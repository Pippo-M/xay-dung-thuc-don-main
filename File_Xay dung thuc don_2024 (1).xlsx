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KHDL2\Trí tuệ nhân tạo\xay-dung-thuc-don\"/>
    </mc:Choice>
  </mc:AlternateContent>
  <xr:revisionPtr revIDLastSave="0" documentId="13_ncr:1_{5DA805D9-B062-410B-B403-9F4F0CBD9F86}" xr6:coauthVersionLast="47" xr6:coauthVersionMax="47" xr10:uidLastSave="{00000000-0000-0000-0000-000000000000}"/>
  <bookViews>
    <workbookView minimized="1" xWindow="3852" yWindow="3132" windowWidth="17280" windowHeight="8880" tabRatio="784" firstSheet="1" activeTab="2" xr2:uid="{00000000-000D-0000-FFFF-FFFF00000000}"/>
  </bookViews>
  <sheets>
    <sheet name="FCDB 2017 (full)" sheetId="9" state="hidden" r:id="rId1"/>
    <sheet name="Năng lượng_2024" sheetId="8" r:id="rId2"/>
    <sheet name="2.XDTD_S.Tr.T" sheetId="2" r:id="rId3"/>
    <sheet name="3.Thuc_Don" sheetId="3" r:id="rId4"/>
  </sheets>
  <definedNames>
    <definedName name="_xlnm._FilterDatabase" localSheetId="0" hidden="1">'FCDB 2017 (full)'!$A$1:$CI$661</definedName>
    <definedName name="_Toc350567836" localSheetId="1">'Năng lượng_2024'!$M$1</definedName>
    <definedName name="_xlnm.Print_Area" localSheetId="0">'FCDB 2017 (full)'!$C$36:$J$89</definedName>
    <definedName name="Slicer_CHỌN_BỮA">#N/A</definedName>
    <definedName name="Slicer_Thực_phẩm_cả_ngày">#N/A</definedName>
    <definedName name="WW">'Năng lượng_2024'!$U$10</definedName>
    <definedName name="wx">'Năng lượng_2024'!$AJ$16</definedName>
    <definedName name="Z_55D0D275_56B1_4062_B21A_2AB5B60E35A3_.wvu.Cols" localSheetId="0" hidden="1">'FCDB 2017 (full)'!#REF!,'FCDB 2017 (full)'!$E:$Z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</extLst>
</workbook>
</file>

<file path=xl/calcChain.xml><?xml version="1.0" encoding="utf-8"?>
<calcChain xmlns="http://schemas.openxmlformats.org/spreadsheetml/2006/main">
  <c r="P123" i="3" l="1"/>
  <c r="M123" i="3"/>
  <c r="J123" i="3"/>
  <c r="H123" i="3"/>
  <c r="P122" i="3"/>
  <c r="M122" i="3"/>
  <c r="J122" i="3"/>
  <c r="H122" i="3"/>
  <c r="R215" i="2"/>
  <c r="O215" i="2"/>
  <c r="L215" i="2"/>
  <c r="J215" i="2"/>
  <c r="R214" i="2"/>
  <c r="O214" i="2"/>
  <c r="L214" i="2"/>
  <c r="J214" i="2"/>
  <c r="Q211" i="2"/>
  <c r="N211" i="2"/>
  <c r="L119" i="3" s="1"/>
  <c r="K211" i="2"/>
  <c r="I119" i="3" s="1"/>
  <c r="I211" i="2"/>
  <c r="G119" i="3" s="1"/>
  <c r="F211" i="2"/>
  <c r="D119" i="3" s="1"/>
  <c r="Q210" i="2"/>
  <c r="N210" i="2"/>
  <c r="L118" i="3" s="1"/>
  <c r="K210" i="2"/>
  <c r="I118" i="3" s="1"/>
  <c r="I210" i="2"/>
  <c r="G118" i="3" s="1"/>
  <c r="F210" i="2"/>
  <c r="D118" i="3" s="1"/>
  <c r="Q209" i="2"/>
  <c r="N209" i="2"/>
  <c r="L117" i="3" s="1"/>
  <c r="K209" i="2"/>
  <c r="I117" i="3" s="1"/>
  <c r="I209" i="2"/>
  <c r="G117" i="3" s="1"/>
  <c r="F209" i="2"/>
  <c r="Q208" i="2"/>
  <c r="N208" i="2"/>
  <c r="L116" i="3" s="1"/>
  <c r="K208" i="2"/>
  <c r="I116" i="3" s="1"/>
  <c r="I208" i="2"/>
  <c r="G116" i="3" s="1"/>
  <c r="F208" i="2"/>
  <c r="D116" i="3" s="1"/>
  <c r="Q207" i="2"/>
  <c r="N207" i="2"/>
  <c r="L115" i="3" s="1"/>
  <c r="K207" i="2"/>
  <c r="I115" i="3" s="1"/>
  <c r="I207" i="2"/>
  <c r="G115" i="3" s="1"/>
  <c r="F207" i="2"/>
  <c r="D115" i="3" s="1"/>
  <c r="Q206" i="2"/>
  <c r="N206" i="2"/>
  <c r="L114" i="3" s="1"/>
  <c r="K206" i="2"/>
  <c r="I114" i="3" s="1"/>
  <c r="I206" i="2"/>
  <c r="G114" i="3" s="1"/>
  <c r="F206" i="2"/>
  <c r="D114" i="3" s="1"/>
  <c r="Q205" i="2"/>
  <c r="N205" i="2"/>
  <c r="L113" i="3" s="1"/>
  <c r="K205" i="2"/>
  <c r="I113" i="3" s="1"/>
  <c r="I205" i="2"/>
  <c r="G113" i="3" s="1"/>
  <c r="G205" i="2" a="1"/>
  <c r="G205" i="2" s="1"/>
  <c r="F205" i="2"/>
  <c r="D113" i="3" s="1"/>
  <c r="Q204" i="2"/>
  <c r="N204" i="2"/>
  <c r="L112" i="3" s="1"/>
  <c r="K204" i="2"/>
  <c r="I112" i="3" s="1"/>
  <c r="I204" i="2"/>
  <c r="G112" i="3" s="1"/>
  <c r="F204" i="2"/>
  <c r="D112" i="3" s="1"/>
  <c r="Q203" i="2"/>
  <c r="N203" i="2"/>
  <c r="L111" i="3" s="1"/>
  <c r="K203" i="2"/>
  <c r="I111" i="3" s="1"/>
  <c r="I203" i="2"/>
  <c r="G111" i="3" s="1"/>
  <c r="G203" i="2" a="1"/>
  <c r="G203" i="2" s="1"/>
  <c r="F203" i="2"/>
  <c r="D111" i="3" s="1"/>
  <c r="Q202" i="2"/>
  <c r="N202" i="2"/>
  <c r="L110" i="3" s="1"/>
  <c r="K202" i="2"/>
  <c r="I110" i="3" s="1"/>
  <c r="I202" i="2"/>
  <c r="G110" i="3" s="1"/>
  <c r="F202" i="2"/>
  <c r="D110" i="3" s="1"/>
  <c r="Q201" i="2"/>
  <c r="N201" i="2"/>
  <c r="L109" i="3" s="1"/>
  <c r="K201" i="2"/>
  <c r="I109" i="3" s="1"/>
  <c r="I201" i="2"/>
  <c r="G109" i="3" s="1"/>
  <c r="F201" i="2"/>
  <c r="D109" i="3" s="1"/>
  <c r="Q200" i="2"/>
  <c r="N200" i="2"/>
  <c r="L108" i="3" s="1"/>
  <c r="K200" i="2"/>
  <c r="I108" i="3" s="1"/>
  <c r="I200" i="2"/>
  <c r="G108" i="3" s="1"/>
  <c r="F200" i="2"/>
  <c r="D108" i="3" s="1"/>
  <c r="Q199" i="2"/>
  <c r="N199" i="2"/>
  <c r="L107" i="3" s="1"/>
  <c r="K199" i="2"/>
  <c r="I107" i="3" s="1"/>
  <c r="I199" i="2"/>
  <c r="G107" i="3" s="1"/>
  <c r="F199" i="2"/>
  <c r="D107" i="3" s="1"/>
  <c r="Q198" i="2"/>
  <c r="N198" i="2"/>
  <c r="L106" i="3" s="1"/>
  <c r="K198" i="2"/>
  <c r="I106" i="3" s="1"/>
  <c r="I198" i="2"/>
  <c r="G106" i="3" s="1"/>
  <c r="F198" i="2"/>
  <c r="D106" i="3" s="1"/>
  <c r="Q197" i="2"/>
  <c r="N197" i="2"/>
  <c r="L105" i="3" s="1"/>
  <c r="K197" i="2"/>
  <c r="I105" i="3" s="1"/>
  <c r="I197" i="2"/>
  <c r="G105" i="3" s="1"/>
  <c r="F197" i="2"/>
  <c r="D105" i="3" s="1"/>
  <c r="Q196" i="2"/>
  <c r="N196" i="2"/>
  <c r="L104" i="3" s="1"/>
  <c r="K196" i="2"/>
  <c r="I104" i="3" s="1"/>
  <c r="I196" i="2"/>
  <c r="G104" i="3" s="1"/>
  <c r="F196" i="2"/>
  <c r="D104" i="3" s="1"/>
  <c r="Q195" i="2"/>
  <c r="N195" i="2"/>
  <c r="L103" i="3" s="1"/>
  <c r="K195" i="2"/>
  <c r="I103" i="3" s="1"/>
  <c r="I195" i="2"/>
  <c r="G103" i="3" s="1"/>
  <c r="F195" i="2"/>
  <c r="D103" i="3" s="1"/>
  <c r="Q194" i="2"/>
  <c r="N194" i="2"/>
  <c r="L102" i="3" s="1"/>
  <c r="K194" i="2"/>
  <c r="I102" i="3" s="1"/>
  <c r="I194" i="2"/>
  <c r="G102" i="3" s="1"/>
  <c r="F194" i="2"/>
  <c r="Q193" i="2"/>
  <c r="N193" i="2"/>
  <c r="L101" i="3" s="1"/>
  <c r="K193" i="2"/>
  <c r="I101" i="3" s="1"/>
  <c r="I193" i="2"/>
  <c r="G101" i="3" s="1"/>
  <c r="F193" i="2"/>
  <c r="D101" i="3" s="1"/>
  <c r="Q192" i="2"/>
  <c r="N192" i="2"/>
  <c r="L100" i="3" s="1"/>
  <c r="K192" i="2"/>
  <c r="I100" i="3" s="1"/>
  <c r="I192" i="2"/>
  <c r="G100" i="3" s="1"/>
  <c r="F192" i="2"/>
  <c r="G192" i="2" s="1" a="1"/>
  <c r="G192" i="2" s="1"/>
  <c r="Q191" i="2"/>
  <c r="N191" i="2"/>
  <c r="L99" i="3" s="1"/>
  <c r="K191" i="2"/>
  <c r="I99" i="3" s="1"/>
  <c r="I191" i="2"/>
  <c r="G99" i="3" s="1"/>
  <c r="F191" i="2"/>
  <c r="D99" i="3" s="1"/>
  <c r="Q190" i="2"/>
  <c r="N190" i="2"/>
  <c r="L98" i="3" s="1"/>
  <c r="K190" i="2"/>
  <c r="I98" i="3" s="1"/>
  <c r="I190" i="2"/>
  <c r="G98" i="3" s="1"/>
  <c r="F190" i="2"/>
  <c r="D98" i="3" s="1"/>
  <c r="Q189" i="2"/>
  <c r="N189" i="2"/>
  <c r="L97" i="3" s="1"/>
  <c r="K189" i="2"/>
  <c r="I97" i="3" s="1"/>
  <c r="I189" i="2"/>
  <c r="G97" i="3" s="1"/>
  <c r="F189" i="2"/>
  <c r="D97" i="3" s="1"/>
  <c r="F187" i="2"/>
  <c r="E184" i="2"/>
  <c r="R172" i="2"/>
  <c r="O172" i="2"/>
  <c r="L172" i="2"/>
  <c r="J172" i="2"/>
  <c r="R171" i="2"/>
  <c r="O171" i="2"/>
  <c r="L171" i="2"/>
  <c r="J171" i="2"/>
  <c r="Q168" i="2"/>
  <c r="N168" i="2"/>
  <c r="L96" i="3" s="1"/>
  <c r="K168" i="2"/>
  <c r="I96" i="3" s="1"/>
  <c r="I168" i="2"/>
  <c r="G96" i="3" s="1"/>
  <c r="F168" i="2"/>
  <c r="D96" i="3" s="1"/>
  <c r="Q167" i="2"/>
  <c r="N167" i="2"/>
  <c r="L95" i="3" s="1"/>
  <c r="K167" i="2"/>
  <c r="I95" i="3" s="1"/>
  <c r="I167" i="2"/>
  <c r="G95" i="3" s="1"/>
  <c r="H167" i="2" a="1"/>
  <c r="H167" i="2" s="1"/>
  <c r="CP167" i="2" s="1"/>
  <c r="F167" i="2"/>
  <c r="D95" i="3" s="1"/>
  <c r="Q166" i="2"/>
  <c r="N166" i="2"/>
  <c r="L94" i="3" s="1"/>
  <c r="K166" i="2"/>
  <c r="I94" i="3" s="1"/>
  <c r="I166" i="2"/>
  <c r="G94" i="3" s="1"/>
  <c r="H166" i="2" a="1"/>
  <c r="H166" i="2" s="1"/>
  <c r="CB166" i="2" s="1"/>
  <c r="BZ94" i="3" s="1"/>
  <c r="G166" i="2" a="1"/>
  <c r="G166" i="2" s="1"/>
  <c r="P166" i="2" s="1"/>
  <c r="F166" i="2"/>
  <c r="D94" i="3" s="1"/>
  <c r="Q165" i="2"/>
  <c r="N165" i="2"/>
  <c r="L93" i="3" s="1"/>
  <c r="K165" i="2"/>
  <c r="I93" i="3" s="1"/>
  <c r="I165" i="2"/>
  <c r="G93" i="3" s="1"/>
  <c r="F165" i="2"/>
  <c r="D93" i="3" s="1"/>
  <c r="Q164" i="2"/>
  <c r="N164" i="2"/>
  <c r="L92" i="3" s="1"/>
  <c r="K164" i="2"/>
  <c r="I92" i="3" s="1"/>
  <c r="I164" i="2"/>
  <c r="G92" i="3" s="1"/>
  <c r="H164" i="2" a="1"/>
  <c r="H164" i="2" s="1"/>
  <c r="F164" i="2"/>
  <c r="D92" i="3" s="1"/>
  <c r="Q163" i="2"/>
  <c r="N163" i="2"/>
  <c r="L91" i="3" s="1"/>
  <c r="K163" i="2"/>
  <c r="I91" i="3" s="1"/>
  <c r="I163" i="2"/>
  <c r="G91" i="3" s="1"/>
  <c r="F163" i="2"/>
  <c r="D91" i="3" s="1"/>
  <c r="Q162" i="2"/>
  <c r="N162" i="2"/>
  <c r="L90" i="3" s="1"/>
  <c r="K162" i="2"/>
  <c r="I90" i="3" s="1"/>
  <c r="I162" i="2"/>
  <c r="G90" i="3" s="1"/>
  <c r="F162" i="2"/>
  <c r="D90" i="3" s="1"/>
  <c r="Q161" i="2"/>
  <c r="N161" i="2"/>
  <c r="L89" i="3" s="1"/>
  <c r="K161" i="2"/>
  <c r="I89" i="3" s="1"/>
  <c r="I161" i="2"/>
  <c r="G89" i="3" s="1"/>
  <c r="F161" i="2"/>
  <c r="D89" i="3" s="1"/>
  <c r="Q160" i="2"/>
  <c r="N160" i="2"/>
  <c r="L88" i="3" s="1"/>
  <c r="L160" i="2"/>
  <c r="J88" i="3" s="1"/>
  <c r="K160" i="2"/>
  <c r="I88" i="3" s="1"/>
  <c r="I160" i="2"/>
  <c r="G88" i="3" s="1"/>
  <c r="H160" i="2" a="1"/>
  <c r="H160" i="2"/>
  <c r="CJ160" i="2" s="1"/>
  <c r="CH88" i="3" s="1"/>
  <c r="G160" i="2" a="1"/>
  <c r="G160" i="2" s="1"/>
  <c r="P160" i="2" s="1"/>
  <c r="F160" i="2"/>
  <c r="D88" i="3" s="1"/>
  <c r="Q159" i="2"/>
  <c r="N159" i="2"/>
  <c r="L87" i="3" s="1"/>
  <c r="K159" i="2"/>
  <c r="I87" i="3" s="1"/>
  <c r="I159" i="2"/>
  <c r="G87" i="3" s="1"/>
  <c r="F159" i="2"/>
  <c r="D87" i="3" s="1"/>
  <c r="Q158" i="2"/>
  <c r="N158" i="2"/>
  <c r="L86" i="3" s="1"/>
  <c r="K158" i="2"/>
  <c r="I86" i="3" s="1"/>
  <c r="I158" i="2"/>
  <c r="G86" i="3" s="1"/>
  <c r="F158" i="2"/>
  <c r="D86" i="3" s="1"/>
  <c r="Q157" i="2"/>
  <c r="N157" i="2"/>
  <c r="L85" i="3" s="1"/>
  <c r="K157" i="2"/>
  <c r="I85" i="3" s="1"/>
  <c r="I157" i="2"/>
  <c r="G85" i="3" s="1"/>
  <c r="F157" i="2"/>
  <c r="D85" i="3" s="1"/>
  <c r="Q156" i="2"/>
  <c r="N156" i="2"/>
  <c r="L84" i="3" s="1"/>
  <c r="K156" i="2"/>
  <c r="I84" i="3" s="1"/>
  <c r="I156" i="2"/>
  <c r="G84" i="3" s="1"/>
  <c r="F156" i="2"/>
  <c r="D84" i="3" s="1"/>
  <c r="Q155" i="2"/>
  <c r="N155" i="2"/>
  <c r="L83" i="3" s="1"/>
  <c r="K155" i="2"/>
  <c r="I83" i="3" s="1"/>
  <c r="I155" i="2"/>
  <c r="G83" i="3" s="1"/>
  <c r="F155" i="2"/>
  <c r="D83" i="3" s="1"/>
  <c r="Q154" i="2"/>
  <c r="N154" i="2"/>
  <c r="L82" i="3" s="1"/>
  <c r="K154" i="2"/>
  <c r="I82" i="3" s="1"/>
  <c r="I154" i="2"/>
  <c r="G82" i="3" s="1"/>
  <c r="F154" i="2"/>
  <c r="D82" i="3" s="1"/>
  <c r="Q153" i="2"/>
  <c r="N153" i="2"/>
  <c r="L81" i="3" s="1"/>
  <c r="K153" i="2"/>
  <c r="I81" i="3" s="1"/>
  <c r="I153" i="2"/>
  <c r="G81" i="3" s="1"/>
  <c r="F153" i="2"/>
  <c r="D81" i="3" s="1"/>
  <c r="Q152" i="2"/>
  <c r="N152" i="2"/>
  <c r="L80" i="3" s="1"/>
  <c r="K152" i="2"/>
  <c r="I80" i="3" s="1"/>
  <c r="I152" i="2"/>
  <c r="G80" i="3" s="1"/>
  <c r="F152" i="2"/>
  <c r="D80" i="3" s="1"/>
  <c r="Q151" i="2"/>
  <c r="N151" i="2"/>
  <c r="L79" i="3" s="1"/>
  <c r="K151" i="2"/>
  <c r="I79" i="3" s="1"/>
  <c r="I151" i="2"/>
  <c r="G79" i="3" s="1"/>
  <c r="F151" i="2"/>
  <c r="D79" i="3" s="1"/>
  <c r="Q150" i="2"/>
  <c r="N150" i="2"/>
  <c r="L78" i="3" s="1"/>
  <c r="K150" i="2"/>
  <c r="I78" i="3" s="1"/>
  <c r="I150" i="2"/>
  <c r="G78" i="3" s="1"/>
  <c r="F150" i="2"/>
  <c r="D78" i="3" s="1"/>
  <c r="Q149" i="2"/>
  <c r="N149" i="2"/>
  <c r="L77" i="3" s="1"/>
  <c r="K149" i="2"/>
  <c r="I77" i="3" s="1"/>
  <c r="I149" i="2"/>
  <c r="G77" i="3" s="1"/>
  <c r="F149" i="2"/>
  <c r="D77" i="3" s="1"/>
  <c r="Q148" i="2"/>
  <c r="N148" i="2"/>
  <c r="L76" i="3" s="1"/>
  <c r="K148" i="2"/>
  <c r="I76" i="3" s="1"/>
  <c r="I148" i="2"/>
  <c r="G76" i="3" s="1"/>
  <c r="F148" i="2"/>
  <c r="D76" i="3" s="1"/>
  <c r="Q147" i="2"/>
  <c r="N147" i="2"/>
  <c r="L75" i="3" s="1"/>
  <c r="K147" i="2"/>
  <c r="I75" i="3" s="1"/>
  <c r="I147" i="2"/>
  <c r="G75" i="3" s="1"/>
  <c r="F147" i="2"/>
  <c r="D75" i="3" s="1"/>
  <c r="Q146" i="2"/>
  <c r="N146" i="2"/>
  <c r="L74" i="3" s="1"/>
  <c r="K146" i="2"/>
  <c r="I74" i="3" s="1"/>
  <c r="I146" i="2"/>
  <c r="G74" i="3" s="1"/>
  <c r="F146" i="2"/>
  <c r="F144" i="2"/>
  <c r="R129" i="2"/>
  <c r="O129" i="2"/>
  <c r="L129" i="2"/>
  <c r="J129" i="2"/>
  <c r="R128" i="2"/>
  <c r="O128" i="2"/>
  <c r="L128" i="2"/>
  <c r="J128" i="2"/>
  <c r="Q125" i="2"/>
  <c r="N125" i="2"/>
  <c r="L73" i="3" s="1"/>
  <c r="K125" i="2"/>
  <c r="I73" i="3" s="1"/>
  <c r="I125" i="2"/>
  <c r="G73" i="3" s="1"/>
  <c r="F125" i="2"/>
  <c r="CM124" i="2"/>
  <c r="CK72" i="3" s="1"/>
  <c r="AB124" i="2"/>
  <c r="Z72" i="3" s="1"/>
  <c r="Q124" i="2"/>
  <c r="N124" i="2"/>
  <c r="L72" i="3" s="1"/>
  <c r="K124" i="2"/>
  <c r="I72" i="3" s="1"/>
  <c r="I124" i="2"/>
  <c r="G72" i="3" s="1"/>
  <c r="H124" i="2"/>
  <c r="BP124" i="2" s="1"/>
  <c r="F124" i="2"/>
  <c r="D72" i="3" s="1"/>
  <c r="Q123" i="2"/>
  <c r="N123" i="2"/>
  <c r="L71" i="3" s="1"/>
  <c r="K123" i="2"/>
  <c r="I71" i="3" s="1"/>
  <c r="I123" i="2"/>
  <c r="G71" i="3" s="1"/>
  <c r="F123" i="2"/>
  <c r="D71" i="3" s="1"/>
  <c r="Q122" i="2"/>
  <c r="N122" i="2"/>
  <c r="L70" i="3" s="1"/>
  <c r="K122" i="2"/>
  <c r="I70" i="3" s="1"/>
  <c r="I122" i="2"/>
  <c r="G70" i="3" s="1"/>
  <c r="F122" i="2"/>
  <c r="Q121" i="2"/>
  <c r="N121" i="2"/>
  <c r="L69" i="3" s="1"/>
  <c r="K121" i="2"/>
  <c r="I69" i="3" s="1"/>
  <c r="I121" i="2"/>
  <c r="G69" i="3" s="1"/>
  <c r="F121" i="2"/>
  <c r="H121" i="2" s="1"/>
  <c r="Q120" i="2"/>
  <c r="N120" i="2"/>
  <c r="L68" i="3" s="1"/>
  <c r="K120" i="2"/>
  <c r="I68" i="3" s="1"/>
  <c r="I120" i="2"/>
  <c r="G68" i="3" s="1"/>
  <c r="F120" i="2"/>
  <c r="D68" i="3" s="1"/>
  <c r="Q119" i="2"/>
  <c r="N119" i="2"/>
  <c r="L67" i="3" s="1"/>
  <c r="K119" i="2"/>
  <c r="I67" i="3" s="1"/>
  <c r="I119" i="2"/>
  <c r="G67" i="3" s="1"/>
  <c r="F119" i="2"/>
  <c r="D67" i="3" s="1"/>
  <c r="Q118" i="2"/>
  <c r="N118" i="2"/>
  <c r="L66" i="3" s="1"/>
  <c r="K118" i="2"/>
  <c r="I66" i="3" s="1"/>
  <c r="I118" i="2"/>
  <c r="G66" i="3" s="1"/>
  <c r="F118" i="2"/>
  <c r="W117" i="2"/>
  <c r="U65" i="3" s="1"/>
  <c r="Q117" i="2"/>
  <c r="N117" i="2"/>
  <c r="L65" i="3" s="1"/>
  <c r="K117" i="2"/>
  <c r="I65" i="3" s="1"/>
  <c r="I117" i="2"/>
  <c r="G65" i="3" s="1"/>
  <c r="H117" i="2"/>
  <c r="CB117" i="2" s="1"/>
  <c r="BZ65" i="3" s="1"/>
  <c r="F117" i="2"/>
  <c r="D65" i="3" s="1"/>
  <c r="CE116" i="2"/>
  <c r="CC64" i="3" s="1"/>
  <c r="BP116" i="2"/>
  <c r="Q116" i="2"/>
  <c r="N116" i="2"/>
  <c r="L64" i="3" s="1"/>
  <c r="K116" i="2"/>
  <c r="I64" i="3" s="1"/>
  <c r="I116" i="2"/>
  <c r="G64" i="3" s="1"/>
  <c r="H116" i="2"/>
  <c r="CL116" i="2" s="1"/>
  <c r="CJ64" i="3" s="1"/>
  <c r="F116" i="2"/>
  <c r="D64" i="3" s="1"/>
  <c r="Q115" i="2"/>
  <c r="N115" i="2"/>
  <c r="L63" i="3" s="1"/>
  <c r="K115" i="2"/>
  <c r="I63" i="3" s="1"/>
  <c r="I115" i="2"/>
  <c r="G63" i="3" s="1"/>
  <c r="F115" i="2"/>
  <c r="G115" i="2" s="1" a="1"/>
  <c r="G115" i="2" s="1"/>
  <c r="Q114" i="2"/>
  <c r="N114" i="2"/>
  <c r="L62" i="3" s="1"/>
  <c r="K114" i="2"/>
  <c r="I62" i="3" s="1"/>
  <c r="I114" i="2"/>
  <c r="G62" i="3" s="1"/>
  <c r="F114" i="2"/>
  <c r="Q113" i="2"/>
  <c r="N113" i="2"/>
  <c r="L61" i="3" s="1"/>
  <c r="K113" i="2"/>
  <c r="I61" i="3" s="1"/>
  <c r="I113" i="2"/>
  <c r="G61" i="3" s="1"/>
  <c r="F113" i="2"/>
  <c r="D61" i="3" s="1"/>
  <c r="Q112" i="2"/>
  <c r="N112" i="2"/>
  <c r="L60" i="3" s="1"/>
  <c r="K112" i="2"/>
  <c r="I60" i="3" s="1"/>
  <c r="I112" i="2"/>
  <c r="G60" i="3" s="1"/>
  <c r="F112" i="2"/>
  <c r="D60" i="3" s="1"/>
  <c r="Q111" i="2"/>
  <c r="N111" i="2"/>
  <c r="L59" i="3" s="1"/>
  <c r="K111" i="2"/>
  <c r="I59" i="3" s="1"/>
  <c r="I111" i="2"/>
  <c r="G59" i="3" s="1"/>
  <c r="F111" i="2"/>
  <c r="Q110" i="2"/>
  <c r="N110" i="2"/>
  <c r="L58" i="3" s="1"/>
  <c r="K110" i="2"/>
  <c r="I58" i="3" s="1"/>
  <c r="I110" i="2"/>
  <c r="G58" i="3" s="1"/>
  <c r="F110" i="2"/>
  <c r="H110" i="2" s="1"/>
  <c r="Q109" i="2"/>
  <c r="N109" i="2"/>
  <c r="L57" i="3" s="1"/>
  <c r="K109" i="2"/>
  <c r="I57" i="3" s="1"/>
  <c r="I109" i="2"/>
  <c r="G57" i="3" s="1"/>
  <c r="F109" i="2"/>
  <c r="D57" i="3" s="1"/>
  <c r="Q108" i="2"/>
  <c r="N108" i="2"/>
  <c r="L56" i="3" s="1"/>
  <c r="K108" i="2"/>
  <c r="I56" i="3" s="1"/>
  <c r="I108" i="2"/>
  <c r="G56" i="3" s="1"/>
  <c r="F108" i="2"/>
  <c r="D56" i="3" s="1"/>
  <c r="Q107" i="2"/>
  <c r="N107" i="2"/>
  <c r="L55" i="3" s="1"/>
  <c r="K107" i="2"/>
  <c r="I55" i="3" s="1"/>
  <c r="I107" i="2"/>
  <c r="G55" i="3" s="1"/>
  <c r="F107" i="2"/>
  <c r="D55" i="3" s="1"/>
  <c r="Q106" i="2"/>
  <c r="N106" i="2"/>
  <c r="L54" i="3" s="1"/>
  <c r="K106" i="2"/>
  <c r="I54" i="3" s="1"/>
  <c r="I106" i="2"/>
  <c r="G54" i="3" s="1"/>
  <c r="F106" i="2"/>
  <c r="D54" i="3" s="1"/>
  <c r="Q105" i="2"/>
  <c r="N105" i="2"/>
  <c r="L53" i="3" s="1"/>
  <c r="K105" i="2"/>
  <c r="I53" i="3" s="1"/>
  <c r="I105" i="2"/>
  <c r="G53" i="3" s="1"/>
  <c r="F105" i="2"/>
  <c r="Q104" i="2"/>
  <c r="N104" i="2"/>
  <c r="L52" i="3" s="1"/>
  <c r="K104" i="2"/>
  <c r="I52" i="3" s="1"/>
  <c r="I104" i="2"/>
  <c r="G52" i="3" s="1"/>
  <c r="F104" i="2"/>
  <c r="Q103" i="2"/>
  <c r="N103" i="2"/>
  <c r="L51" i="3" s="1"/>
  <c r="K103" i="2"/>
  <c r="I51" i="3" s="1"/>
  <c r="I103" i="2"/>
  <c r="G51" i="3" s="1"/>
  <c r="F103" i="2"/>
  <c r="D51" i="3" s="1"/>
  <c r="F101" i="2"/>
  <c r="R86" i="2"/>
  <c r="O86" i="2"/>
  <c r="L86" i="2"/>
  <c r="J86" i="2"/>
  <c r="R85" i="2"/>
  <c r="O85" i="2"/>
  <c r="L85" i="2"/>
  <c r="J85" i="2"/>
  <c r="Q82" i="2"/>
  <c r="N82" i="2"/>
  <c r="L50" i="3" s="1"/>
  <c r="K82" i="2"/>
  <c r="I50" i="3" s="1"/>
  <c r="I82" i="2"/>
  <c r="G50" i="3" s="1"/>
  <c r="F82" i="2"/>
  <c r="D50" i="3" s="1"/>
  <c r="Q81" i="2"/>
  <c r="N81" i="2"/>
  <c r="L49" i="3" s="1"/>
  <c r="K81" i="2"/>
  <c r="I49" i="3" s="1"/>
  <c r="I81" i="2"/>
  <c r="G49" i="3" s="1"/>
  <c r="H81" i="2"/>
  <c r="F49" i="3" s="1"/>
  <c r="G81" i="2" a="1"/>
  <c r="G81" i="2" s="1"/>
  <c r="F81" i="2"/>
  <c r="D49" i="3" s="1"/>
  <c r="Q80" i="2"/>
  <c r="N80" i="2"/>
  <c r="L48" i="3" s="1"/>
  <c r="K80" i="2"/>
  <c r="I48" i="3" s="1"/>
  <c r="I80" i="2"/>
  <c r="G48" i="3" s="1"/>
  <c r="F80" i="2"/>
  <c r="Q79" i="2"/>
  <c r="N79" i="2"/>
  <c r="L47" i="3" s="1"/>
  <c r="K79" i="2"/>
  <c r="I47" i="3" s="1"/>
  <c r="I79" i="2"/>
  <c r="G47" i="3" s="1"/>
  <c r="F79" i="2"/>
  <c r="Q78" i="2"/>
  <c r="N78" i="2"/>
  <c r="L46" i="3" s="1"/>
  <c r="K78" i="2"/>
  <c r="I46" i="3" s="1"/>
  <c r="I78" i="2"/>
  <c r="G46" i="3" s="1"/>
  <c r="F78" i="2"/>
  <c r="D46" i="3" s="1"/>
  <c r="Q77" i="2"/>
  <c r="N77" i="2"/>
  <c r="L45" i="3" s="1"/>
  <c r="K77" i="2"/>
  <c r="I45" i="3" s="1"/>
  <c r="I77" i="2"/>
  <c r="G45" i="3" s="1"/>
  <c r="F77" i="2"/>
  <c r="D45" i="3" s="1"/>
  <c r="Q76" i="2"/>
  <c r="N76" i="2"/>
  <c r="L44" i="3" s="1"/>
  <c r="K76" i="2"/>
  <c r="I44" i="3" s="1"/>
  <c r="I76" i="2"/>
  <c r="G44" i="3" s="1"/>
  <c r="F76" i="2"/>
  <c r="Q75" i="2"/>
  <c r="N75" i="2"/>
  <c r="L43" i="3" s="1"/>
  <c r="K75" i="2"/>
  <c r="I43" i="3" s="1"/>
  <c r="I75" i="2"/>
  <c r="G43" i="3" s="1"/>
  <c r="F75" i="2"/>
  <c r="Q74" i="2"/>
  <c r="N74" i="2"/>
  <c r="L42" i="3" s="1"/>
  <c r="K74" i="2"/>
  <c r="I42" i="3" s="1"/>
  <c r="I74" i="2"/>
  <c r="G42" i="3" s="1"/>
  <c r="F74" i="2"/>
  <c r="D42" i="3" s="1"/>
  <c r="BK73" i="2"/>
  <c r="BI41" i="3" s="1"/>
  <c r="BB73" i="2"/>
  <c r="AZ41" i="3" s="1"/>
  <c r="Q73" i="2"/>
  <c r="N73" i="2"/>
  <c r="L41" i="3" s="1"/>
  <c r="K73" i="2"/>
  <c r="I41" i="3" s="1"/>
  <c r="I73" i="2"/>
  <c r="G41" i="3" s="1"/>
  <c r="H73" i="2"/>
  <c r="CP73" i="2" s="1"/>
  <c r="G73" i="2" a="1"/>
  <c r="G73" i="2" s="1"/>
  <c r="O73" i="2" s="1"/>
  <c r="M41" i="3" s="1"/>
  <c r="F73" i="2"/>
  <c r="D41" i="3" s="1"/>
  <c r="Q72" i="2"/>
  <c r="N72" i="2"/>
  <c r="L40" i="3" s="1"/>
  <c r="K72" i="2"/>
  <c r="I40" i="3" s="1"/>
  <c r="I72" i="2"/>
  <c r="G40" i="3" s="1"/>
  <c r="F72" i="2"/>
  <c r="Q71" i="2"/>
  <c r="N71" i="2"/>
  <c r="L39" i="3" s="1"/>
  <c r="K71" i="2"/>
  <c r="I39" i="3" s="1"/>
  <c r="I71" i="2"/>
  <c r="G39" i="3" s="1"/>
  <c r="F71" i="2"/>
  <c r="D39" i="3" s="1"/>
  <c r="Q70" i="2"/>
  <c r="N70" i="2"/>
  <c r="L38" i="3" s="1"/>
  <c r="K70" i="2"/>
  <c r="I38" i="3" s="1"/>
  <c r="I70" i="2"/>
  <c r="G38" i="3" s="1"/>
  <c r="F70" i="2"/>
  <c r="D38" i="3" s="1"/>
  <c r="Q69" i="2"/>
  <c r="N69" i="2"/>
  <c r="L37" i="3" s="1"/>
  <c r="K69" i="2"/>
  <c r="I37" i="3" s="1"/>
  <c r="I69" i="2"/>
  <c r="G37" i="3" s="1"/>
  <c r="F69" i="2"/>
  <c r="D37" i="3" s="1"/>
  <c r="Q68" i="2"/>
  <c r="N68" i="2"/>
  <c r="L36" i="3" s="1"/>
  <c r="K68" i="2"/>
  <c r="I36" i="3" s="1"/>
  <c r="I68" i="2"/>
  <c r="G36" i="3" s="1"/>
  <c r="F68" i="2"/>
  <c r="D36" i="3" s="1"/>
  <c r="Q67" i="2"/>
  <c r="N67" i="2"/>
  <c r="L35" i="3" s="1"/>
  <c r="K67" i="2"/>
  <c r="I35" i="3" s="1"/>
  <c r="I67" i="2"/>
  <c r="G35" i="3" s="1"/>
  <c r="F67" i="2"/>
  <c r="D35" i="3" s="1"/>
  <c r="Q66" i="2"/>
  <c r="N66" i="2"/>
  <c r="L34" i="3" s="1"/>
  <c r="K66" i="2"/>
  <c r="I34" i="3" s="1"/>
  <c r="I66" i="2"/>
  <c r="G34" i="3" s="1"/>
  <c r="F66" i="2"/>
  <c r="D34" i="3" s="1"/>
  <c r="Q65" i="2"/>
  <c r="N65" i="2"/>
  <c r="L33" i="3" s="1"/>
  <c r="K65" i="2"/>
  <c r="I33" i="3" s="1"/>
  <c r="I65" i="2"/>
  <c r="G33" i="3" s="1"/>
  <c r="F65" i="2"/>
  <c r="D33" i="3" s="1"/>
  <c r="Q64" i="2"/>
  <c r="N64" i="2"/>
  <c r="L32" i="3" s="1"/>
  <c r="K64" i="2"/>
  <c r="I32" i="3" s="1"/>
  <c r="I64" i="2"/>
  <c r="G32" i="3" s="1"/>
  <c r="F64" i="2"/>
  <c r="D32" i="3" s="1"/>
  <c r="Q63" i="2"/>
  <c r="N63" i="2"/>
  <c r="L31" i="3" s="1"/>
  <c r="K63" i="2"/>
  <c r="I31" i="3" s="1"/>
  <c r="I63" i="2"/>
  <c r="G31" i="3" s="1"/>
  <c r="F63" i="2"/>
  <c r="Q62" i="2"/>
  <c r="N62" i="2"/>
  <c r="L30" i="3" s="1"/>
  <c r="K62" i="2"/>
  <c r="I30" i="3" s="1"/>
  <c r="I62" i="2"/>
  <c r="G30" i="3" s="1"/>
  <c r="F62" i="2"/>
  <c r="D30" i="3" s="1"/>
  <c r="Q61" i="2"/>
  <c r="N61" i="2"/>
  <c r="L29" i="3" s="1"/>
  <c r="K61" i="2"/>
  <c r="I29" i="3" s="1"/>
  <c r="I61" i="2"/>
  <c r="G29" i="3" s="1"/>
  <c r="F61" i="2"/>
  <c r="D29" i="3" s="1"/>
  <c r="Q60" i="2"/>
  <c r="N60" i="2"/>
  <c r="L28" i="3" s="1"/>
  <c r="K60" i="2"/>
  <c r="I28" i="3" s="1"/>
  <c r="I60" i="2"/>
  <c r="G28" i="3" s="1"/>
  <c r="F60" i="2"/>
  <c r="F58" i="2"/>
  <c r="R42" i="2"/>
  <c r="O42" i="2"/>
  <c r="L42" i="2"/>
  <c r="J42" i="2"/>
  <c r="R41" i="2"/>
  <c r="O41" i="2"/>
  <c r="L41" i="2"/>
  <c r="J41" i="2"/>
  <c r="Q38" i="2"/>
  <c r="N38" i="2"/>
  <c r="L27" i="3" s="1"/>
  <c r="K38" i="2"/>
  <c r="I27" i="3" s="1"/>
  <c r="I38" i="2"/>
  <c r="G27" i="3" s="1"/>
  <c r="F38" i="2"/>
  <c r="D27" i="3" s="1"/>
  <c r="Q37" i="2"/>
  <c r="N37" i="2"/>
  <c r="L26" i="3" s="1"/>
  <c r="K37" i="2"/>
  <c r="I26" i="3" s="1"/>
  <c r="I37" i="2"/>
  <c r="G26" i="3" s="1"/>
  <c r="F37" i="2"/>
  <c r="D26" i="3" s="1"/>
  <c r="Q36" i="2"/>
  <c r="N36" i="2"/>
  <c r="L25" i="3" s="1"/>
  <c r="K36" i="2"/>
  <c r="I25" i="3" s="1"/>
  <c r="I36" i="2"/>
  <c r="G25" i="3" s="1"/>
  <c r="G36" i="2" a="1"/>
  <c r="G36" i="2" s="1"/>
  <c r="F36" i="2"/>
  <c r="D25" i="3" s="1"/>
  <c r="Q35" i="2"/>
  <c r="N35" i="2"/>
  <c r="L24" i="3" s="1"/>
  <c r="K35" i="2"/>
  <c r="I24" i="3" s="1"/>
  <c r="I35" i="2"/>
  <c r="G24" i="3" s="1"/>
  <c r="F35" i="2"/>
  <c r="D24" i="3" s="1"/>
  <c r="Q34" i="2"/>
  <c r="N34" i="2"/>
  <c r="L23" i="3" s="1"/>
  <c r="K34" i="2"/>
  <c r="I23" i="3" s="1"/>
  <c r="I34" i="2"/>
  <c r="G23" i="3" s="1"/>
  <c r="F34" i="2"/>
  <c r="G34" i="2" s="1" a="1"/>
  <c r="G34" i="2" s="1"/>
  <c r="Q33" i="2"/>
  <c r="N33" i="2"/>
  <c r="L22" i="3" s="1"/>
  <c r="K33" i="2"/>
  <c r="I22" i="3" s="1"/>
  <c r="I33" i="2"/>
  <c r="G22" i="3" s="1"/>
  <c r="F33" i="2"/>
  <c r="D22" i="3" s="1"/>
  <c r="Q32" i="2"/>
  <c r="N32" i="2"/>
  <c r="L21" i="3" s="1"/>
  <c r="K32" i="2"/>
  <c r="I21" i="3" s="1"/>
  <c r="I32" i="2"/>
  <c r="G21" i="3" s="1"/>
  <c r="F32" i="2"/>
  <c r="G32" i="2" s="1" a="1"/>
  <c r="G32" i="2" s="1"/>
  <c r="Q31" i="2"/>
  <c r="N31" i="2"/>
  <c r="L20" i="3" s="1"/>
  <c r="K31" i="2"/>
  <c r="I20" i="3" s="1"/>
  <c r="I31" i="2"/>
  <c r="G20" i="3" s="1"/>
  <c r="H31" i="2" a="1"/>
  <c r="H31" i="2" s="1"/>
  <c r="F31" i="2"/>
  <c r="D20" i="3" s="1"/>
  <c r="Q30" i="2"/>
  <c r="N30" i="2"/>
  <c r="L19" i="3" s="1"/>
  <c r="K30" i="2"/>
  <c r="I19" i="3" s="1"/>
  <c r="I30" i="2"/>
  <c r="G19" i="3" s="1"/>
  <c r="F30" i="2"/>
  <c r="D19" i="3" s="1"/>
  <c r="Q29" i="2"/>
  <c r="N29" i="2"/>
  <c r="L18" i="3" s="1"/>
  <c r="K29" i="2"/>
  <c r="I18" i="3" s="1"/>
  <c r="I29" i="2"/>
  <c r="G18" i="3" s="1"/>
  <c r="F29" i="2"/>
  <c r="H29" i="2" s="1" a="1"/>
  <c r="H29" i="2" s="1"/>
  <c r="Q28" i="2"/>
  <c r="N28" i="2"/>
  <c r="L17" i="3" s="1"/>
  <c r="K28" i="2"/>
  <c r="I17" i="3" s="1"/>
  <c r="I28" i="2"/>
  <c r="G17" i="3" s="1"/>
  <c r="F28" i="2"/>
  <c r="D17" i="3" s="1"/>
  <c r="Q27" i="2"/>
  <c r="N27" i="2"/>
  <c r="L16" i="3" s="1"/>
  <c r="K27" i="2"/>
  <c r="I16" i="3" s="1"/>
  <c r="I27" i="2"/>
  <c r="G16" i="3" s="1"/>
  <c r="F27" i="2"/>
  <c r="D16" i="3" s="1"/>
  <c r="Q26" i="2"/>
  <c r="N26" i="2"/>
  <c r="L15" i="3" s="1"/>
  <c r="K26" i="2"/>
  <c r="I15" i="3" s="1"/>
  <c r="I26" i="2"/>
  <c r="G15" i="3" s="1"/>
  <c r="F26" i="2"/>
  <c r="D15" i="3" s="1"/>
  <c r="Q25" i="2"/>
  <c r="N25" i="2"/>
  <c r="L14" i="3" s="1"/>
  <c r="K25" i="2"/>
  <c r="I14" i="3" s="1"/>
  <c r="I25" i="2"/>
  <c r="G14" i="3" s="1"/>
  <c r="F25" i="2"/>
  <c r="D14" i="3" s="1"/>
  <c r="Q24" i="2"/>
  <c r="N24" i="2"/>
  <c r="L13" i="3" s="1"/>
  <c r="K24" i="2"/>
  <c r="I13" i="3" s="1"/>
  <c r="I24" i="2"/>
  <c r="G13" i="3" s="1"/>
  <c r="F24" i="2"/>
  <c r="D13" i="3" s="1"/>
  <c r="Q23" i="2"/>
  <c r="N23" i="2"/>
  <c r="L12" i="3" s="1"/>
  <c r="K23" i="2"/>
  <c r="I12" i="3" s="1"/>
  <c r="I23" i="2"/>
  <c r="G12" i="3" s="1"/>
  <c r="F23" i="2"/>
  <c r="D12" i="3" s="1"/>
  <c r="Q22" i="2"/>
  <c r="N22" i="2"/>
  <c r="L11" i="3" s="1"/>
  <c r="K22" i="2"/>
  <c r="I11" i="3" s="1"/>
  <c r="I22" i="2"/>
  <c r="G11" i="3" s="1"/>
  <c r="F22" i="2"/>
  <c r="D11" i="3" s="1"/>
  <c r="Q21" i="2"/>
  <c r="N21" i="2"/>
  <c r="L10" i="3" s="1"/>
  <c r="K21" i="2"/>
  <c r="I10" i="3" s="1"/>
  <c r="I21" i="2"/>
  <c r="G10" i="3" s="1"/>
  <c r="F21" i="2"/>
  <c r="D10" i="3" s="1"/>
  <c r="Q20" i="2"/>
  <c r="N20" i="2"/>
  <c r="L9" i="3" s="1"/>
  <c r="K20" i="2"/>
  <c r="I9" i="3" s="1"/>
  <c r="I20" i="2"/>
  <c r="G9" i="3" s="1"/>
  <c r="F20" i="2"/>
  <c r="D9" i="3" s="1"/>
  <c r="Q19" i="2"/>
  <c r="N19" i="2"/>
  <c r="L8" i="3" s="1"/>
  <c r="K19" i="2"/>
  <c r="I8" i="3" s="1"/>
  <c r="I19" i="2"/>
  <c r="G8" i="3" s="1"/>
  <c r="F19" i="2"/>
  <c r="D8" i="3" s="1"/>
  <c r="Q18" i="2"/>
  <c r="N18" i="2"/>
  <c r="L7" i="3" s="1"/>
  <c r="K18" i="2"/>
  <c r="I7" i="3" s="1"/>
  <c r="I18" i="2"/>
  <c r="G7" i="3" s="1"/>
  <c r="F18" i="2"/>
  <c r="D7" i="3" s="1"/>
  <c r="Q17" i="2"/>
  <c r="N17" i="2"/>
  <c r="L6" i="3" s="1"/>
  <c r="K17" i="2"/>
  <c r="I6" i="3" s="1"/>
  <c r="I17" i="2"/>
  <c r="G6" i="3" s="1"/>
  <c r="F17" i="2"/>
  <c r="D6" i="3" s="1"/>
  <c r="Q16" i="2"/>
  <c r="N16" i="2"/>
  <c r="L5" i="3" s="1"/>
  <c r="K16" i="2"/>
  <c r="I5" i="3" s="1"/>
  <c r="I16" i="2"/>
  <c r="G5" i="3" s="1"/>
  <c r="H16" i="2"/>
  <c r="F5" i="3" s="1"/>
  <c r="F16" i="2"/>
  <c r="D5" i="3" s="1"/>
  <c r="F14" i="2"/>
  <c r="T12" i="2"/>
  <c r="S12" i="2"/>
  <c r="R12" i="2"/>
  <c r="H12" i="2"/>
  <c r="G12" i="2"/>
  <c r="D80" i="8"/>
  <c r="C80" i="8"/>
  <c r="G79" i="8"/>
  <c r="E79" i="8"/>
  <c r="C79" i="8"/>
  <c r="G78" i="8"/>
  <c r="G77" i="8"/>
  <c r="F77" i="8"/>
  <c r="G76" i="8"/>
  <c r="G75" i="8"/>
  <c r="G74" i="8"/>
  <c r="F74" i="8"/>
  <c r="G73" i="8"/>
  <c r="G72" i="8"/>
  <c r="E71" i="8"/>
  <c r="D71" i="8"/>
  <c r="G70" i="8"/>
  <c r="E70" i="8"/>
  <c r="G69" i="8"/>
  <c r="G68" i="8"/>
  <c r="F68" i="8"/>
  <c r="G67" i="8"/>
  <c r="G66" i="8"/>
  <c r="G65" i="8"/>
  <c r="F65" i="8"/>
  <c r="G64" i="8"/>
  <c r="G63" i="8"/>
  <c r="E62" i="8"/>
  <c r="D62" i="8"/>
  <c r="G61" i="8"/>
  <c r="E61" i="8"/>
  <c r="G60" i="8"/>
  <c r="G59" i="8"/>
  <c r="F59" i="8"/>
  <c r="G58" i="8"/>
  <c r="G57" i="8"/>
  <c r="G56" i="8"/>
  <c r="F56" i="8"/>
  <c r="G55" i="8"/>
  <c r="G54" i="8"/>
  <c r="E53" i="8"/>
  <c r="D53" i="8"/>
  <c r="G52" i="8"/>
  <c r="E52" i="8"/>
  <c r="G51" i="8"/>
  <c r="G50" i="8"/>
  <c r="F50" i="8"/>
  <c r="G49" i="8"/>
  <c r="F49" i="8"/>
  <c r="G48" i="8"/>
  <c r="G47" i="8"/>
  <c r="F47" i="8"/>
  <c r="G46" i="8"/>
  <c r="F46" i="8"/>
  <c r="G45" i="8"/>
  <c r="E44" i="8"/>
  <c r="D44" i="8"/>
  <c r="G43" i="8"/>
  <c r="E43" i="8"/>
  <c r="G42" i="8"/>
  <c r="G41" i="8"/>
  <c r="F41" i="8"/>
  <c r="G40" i="8"/>
  <c r="G39" i="8"/>
  <c r="G38" i="8"/>
  <c r="F38" i="8"/>
  <c r="G37" i="8"/>
  <c r="G36" i="8"/>
  <c r="E35" i="8"/>
  <c r="D35" i="8"/>
  <c r="D34" i="8"/>
  <c r="G29" i="8"/>
  <c r="E29" i="8"/>
  <c r="D29" i="8"/>
  <c r="C29" i="8"/>
  <c r="G28" i="8"/>
  <c r="E28" i="8"/>
  <c r="G27" i="8"/>
  <c r="E27" i="8"/>
  <c r="G26" i="8"/>
  <c r="E26" i="8"/>
  <c r="D26" i="8"/>
  <c r="G25" i="8"/>
  <c r="E25" i="8"/>
  <c r="G24" i="8"/>
  <c r="E24" i="8"/>
  <c r="G23" i="8"/>
  <c r="E23" i="8"/>
  <c r="D23" i="8"/>
  <c r="E18" i="8"/>
  <c r="E16" i="8"/>
  <c r="E15" i="8" a="1"/>
  <c r="E15" i="8"/>
  <c r="E12" i="8"/>
  <c r="E8" i="8" a="1"/>
  <c r="E8" i="8"/>
  <c r="E7" i="8" a="1"/>
  <c r="E7" i="8"/>
  <c r="E6" i="8"/>
  <c r="E5" i="8"/>
  <c r="I659" i="9"/>
  <c r="E659" i="9"/>
  <c r="I658" i="9"/>
  <c r="E658" i="9"/>
  <c r="I657" i="9"/>
  <c r="E657" i="9"/>
  <c r="I656" i="9"/>
  <c r="E656" i="9"/>
  <c r="I655" i="9"/>
  <c r="E655" i="9"/>
  <c r="I654" i="9"/>
  <c r="E654" i="9"/>
  <c r="I653" i="9"/>
  <c r="E653" i="9"/>
  <c r="I652" i="9"/>
  <c r="E652" i="9"/>
  <c r="I651" i="9"/>
  <c r="E651" i="9"/>
  <c r="I650" i="9"/>
  <c r="E650" i="9"/>
  <c r="I649" i="9"/>
  <c r="E649" i="9"/>
  <c r="I648" i="9"/>
  <c r="E648" i="9"/>
  <c r="I647" i="9"/>
  <c r="E647" i="9"/>
  <c r="I646" i="9"/>
  <c r="E646" i="9"/>
  <c r="I645" i="9"/>
  <c r="E645" i="9"/>
  <c r="I644" i="9"/>
  <c r="E644" i="9"/>
  <c r="I643" i="9"/>
  <c r="E643" i="9"/>
  <c r="I642" i="9"/>
  <c r="E642" i="9"/>
  <c r="I641" i="9"/>
  <c r="E641" i="9"/>
  <c r="I640" i="9"/>
  <c r="E640" i="9"/>
  <c r="I639" i="9"/>
  <c r="E639" i="9"/>
  <c r="I638" i="9"/>
  <c r="E638" i="9"/>
  <c r="I637" i="9"/>
  <c r="E637" i="9"/>
  <c r="I636" i="9"/>
  <c r="E636" i="9"/>
  <c r="I635" i="9"/>
  <c r="E635" i="9"/>
  <c r="I634" i="9"/>
  <c r="E634" i="9"/>
  <c r="I633" i="9"/>
  <c r="E633" i="9"/>
  <c r="I632" i="9"/>
  <c r="E632" i="9"/>
  <c r="I631" i="9"/>
  <c r="E631" i="9"/>
  <c r="I630" i="9"/>
  <c r="E630" i="9"/>
  <c r="I629" i="9"/>
  <c r="E629" i="9"/>
  <c r="I628" i="9"/>
  <c r="E628" i="9"/>
  <c r="I627" i="9"/>
  <c r="E627" i="9"/>
  <c r="I626" i="9"/>
  <c r="E626" i="9"/>
  <c r="I625" i="9"/>
  <c r="E625" i="9"/>
  <c r="I624" i="9"/>
  <c r="E624" i="9"/>
  <c r="I623" i="9"/>
  <c r="E623" i="9"/>
  <c r="I622" i="9"/>
  <c r="E622" i="9"/>
  <c r="I621" i="9"/>
  <c r="E621" i="9"/>
  <c r="I620" i="9"/>
  <c r="E620" i="9"/>
  <c r="I619" i="9"/>
  <c r="E619" i="9"/>
  <c r="S618" i="9"/>
  <c r="I618" i="9"/>
  <c r="E618" i="9"/>
  <c r="I617" i="9"/>
  <c r="E617" i="9"/>
  <c r="I616" i="9"/>
  <c r="E616" i="9"/>
  <c r="I615" i="9"/>
  <c r="E615" i="9"/>
  <c r="I614" i="9"/>
  <c r="E614" i="9"/>
  <c r="I613" i="9"/>
  <c r="E613" i="9"/>
  <c r="I612" i="9"/>
  <c r="E612" i="9"/>
  <c r="I611" i="9"/>
  <c r="E611" i="9"/>
  <c r="I610" i="9"/>
  <c r="E610" i="9"/>
  <c r="I609" i="9"/>
  <c r="E609" i="9"/>
  <c r="I608" i="9"/>
  <c r="E608" i="9"/>
  <c r="I607" i="9"/>
  <c r="E607" i="9"/>
  <c r="I606" i="9"/>
  <c r="E606" i="9"/>
  <c r="I605" i="9"/>
  <c r="E605" i="9"/>
  <c r="I604" i="9"/>
  <c r="E604" i="9"/>
  <c r="I603" i="9"/>
  <c r="E603" i="9"/>
  <c r="I602" i="9"/>
  <c r="E602" i="9"/>
  <c r="I601" i="9"/>
  <c r="E601" i="9"/>
  <c r="I600" i="9"/>
  <c r="E600" i="9"/>
  <c r="I599" i="9"/>
  <c r="E599" i="9"/>
  <c r="I598" i="9"/>
  <c r="E598" i="9"/>
  <c r="I597" i="9"/>
  <c r="E597" i="9"/>
  <c r="I596" i="9"/>
  <c r="E596" i="9"/>
  <c r="I595" i="9"/>
  <c r="E595" i="9"/>
  <c r="I594" i="9"/>
  <c r="E594" i="9"/>
  <c r="I593" i="9"/>
  <c r="E593" i="9"/>
  <c r="I592" i="9"/>
  <c r="E592" i="9"/>
  <c r="I591" i="9"/>
  <c r="E591" i="9"/>
  <c r="I590" i="9"/>
  <c r="E590" i="9"/>
  <c r="I589" i="9"/>
  <c r="E589" i="9"/>
  <c r="I588" i="9"/>
  <c r="E588" i="9"/>
  <c r="I587" i="9"/>
  <c r="E587" i="9"/>
  <c r="AI584" i="9"/>
  <c r="AH584" i="9"/>
  <c r="I584" i="9"/>
  <c r="E584" i="9"/>
  <c r="AI583" i="9"/>
  <c r="AH583" i="9"/>
  <c r="I583" i="9"/>
  <c r="E583" i="9"/>
  <c r="AI582" i="9"/>
  <c r="AH582" i="9"/>
  <c r="I582" i="9"/>
  <c r="E582" i="9"/>
  <c r="AI581" i="9"/>
  <c r="AH581" i="9"/>
  <c r="I581" i="9"/>
  <c r="E581" i="9"/>
  <c r="AI580" i="9"/>
  <c r="AH580" i="9"/>
  <c r="I580" i="9"/>
  <c r="E580" i="9"/>
  <c r="AI579" i="9"/>
  <c r="AH579" i="9"/>
  <c r="I579" i="9"/>
  <c r="E579" i="9"/>
  <c r="AI578" i="9"/>
  <c r="AH578" i="9"/>
  <c r="I578" i="9"/>
  <c r="E578" i="9"/>
  <c r="AI577" i="9"/>
  <c r="AH577" i="9"/>
  <c r="I577" i="9"/>
  <c r="E577" i="9"/>
  <c r="AI576" i="9"/>
  <c r="AH576" i="9"/>
  <c r="I576" i="9"/>
  <c r="E576" i="9"/>
  <c r="AI575" i="9"/>
  <c r="AH575" i="9"/>
  <c r="I575" i="9"/>
  <c r="E575" i="9"/>
  <c r="AI574" i="9"/>
  <c r="AH574" i="9"/>
  <c r="I574" i="9"/>
  <c r="E574" i="9"/>
  <c r="AI573" i="9"/>
  <c r="AH573" i="9"/>
  <c r="I573" i="9"/>
  <c r="E573" i="9"/>
  <c r="AI572" i="9"/>
  <c r="AH572" i="9"/>
  <c r="I572" i="9"/>
  <c r="E572" i="9"/>
  <c r="AI571" i="9"/>
  <c r="AH571" i="9"/>
  <c r="I571" i="9"/>
  <c r="AI570" i="9"/>
  <c r="AH570" i="9"/>
  <c r="I570" i="9"/>
  <c r="AI569" i="9"/>
  <c r="AH569" i="9"/>
  <c r="I569" i="9"/>
  <c r="AI566" i="9"/>
  <c r="AH566" i="9"/>
  <c r="I566" i="9"/>
  <c r="E566" i="9"/>
  <c r="AI565" i="9"/>
  <c r="AH565" i="9"/>
  <c r="I565" i="9"/>
  <c r="E565" i="9"/>
  <c r="AI564" i="9"/>
  <c r="AH564" i="9"/>
  <c r="I564" i="9"/>
  <c r="E564" i="9"/>
  <c r="AI563" i="9"/>
  <c r="AH563" i="9"/>
  <c r="I563" i="9"/>
  <c r="E563" i="9"/>
  <c r="AI562" i="9"/>
  <c r="AH562" i="9"/>
  <c r="I562" i="9"/>
  <c r="E562" i="9"/>
  <c r="AI561" i="9"/>
  <c r="AH561" i="9"/>
  <c r="I561" i="9"/>
  <c r="E561" i="9"/>
  <c r="AI560" i="9"/>
  <c r="AH560" i="9"/>
  <c r="I560" i="9"/>
  <c r="E560" i="9"/>
  <c r="AI559" i="9"/>
  <c r="AH559" i="9"/>
  <c r="I559" i="9"/>
  <c r="E559" i="9"/>
  <c r="AI558" i="9"/>
  <c r="AH558" i="9"/>
  <c r="I558" i="9"/>
  <c r="E558" i="9"/>
  <c r="AI557" i="9"/>
  <c r="AH557" i="9"/>
  <c r="I557" i="9"/>
  <c r="E557" i="9"/>
  <c r="AI556" i="9"/>
  <c r="AH556" i="9"/>
  <c r="I556" i="9"/>
  <c r="E556" i="9"/>
  <c r="AI555" i="9"/>
  <c r="AH555" i="9"/>
  <c r="I555" i="9"/>
  <c r="E555" i="9"/>
  <c r="AI554" i="9"/>
  <c r="AH554" i="9"/>
  <c r="I554" i="9"/>
  <c r="E554" i="9"/>
  <c r="AI553" i="9"/>
  <c r="AH553" i="9"/>
  <c r="I553" i="9"/>
  <c r="E553" i="9"/>
  <c r="AI552" i="9"/>
  <c r="AH552" i="9"/>
  <c r="I552" i="9"/>
  <c r="E552" i="9"/>
  <c r="AI551" i="9"/>
  <c r="AH551" i="9"/>
  <c r="I551" i="9"/>
  <c r="E551" i="9"/>
  <c r="AL550" i="9"/>
  <c r="AK550" i="9"/>
  <c r="AI550" i="9"/>
  <c r="AH550" i="9"/>
  <c r="I550" i="9"/>
  <c r="E550" i="9"/>
  <c r="AI549" i="9"/>
  <c r="AH549" i="9"/>
  <c r="I549" i="9"/>
  <c r="E549" i="9"/>
  <c r="AI548" i="9"/>
  <c r="AH548" i="9"/>
  <c r="I548" i="9"/>
  <c r="E548" i="9"/>
  <c r="AI547" i="9"/>
  <c r="AH547" i="9"/>
  <c r="I547" i="9"/>
  <c r="E547" i="9"/>
  <c r="AI546" i="9"/>
  <c r="AH546" i="9"/>
  <c r="I546" i="9"/>
  <c r="E546" i="9"/>
  <c r="AI545" i="9"/>
  <c r="AH545" i="9"/>
  <c r="I545" i="9"/>
  <c r="E545" i="9"/>
  <c r="AI544" i="9"/>
  <c r="AH544" i="9"/>
  <c r="I544" i="9"/>
  <c r="E544" i="9"/>
  <c r="AI541" i="9"/>
  <c r="AH541" i="9"/>
  <c r="I541" i="9"/>
  <c r="E541" i="9"/>
  <c r="AI540" i="9"/>
  <c r="AH540" i="9"/>
  <c r="I540" i="9"/>
  <c r="E540" i="9"/>
  <c r="AI539" i="9"/>
  <c r="AH539" i="9"/>
  <c r="I539" i="9"/>
  <c r="E539" i="9"/>
  <c r="AI538" i="9"/>
  <c r="AH538" i="9"/>
  <c r="I538" i="9"/>
  <c r="E538" i="9"/>
  <c r="AI537" i="9"/>
  <c r="AH537" i="9"/>
  <c r="I537" i="9"/>
  <c r="E537" i="9"/>
  <c r="AI536" i="9"/>
  <c r="AH536" i="9"/>
  <c r="I536" i="9"/>
  <c r="E536" i="9"/>
  <c r="AI535" i="9"/>
  <c r="AH535" i="9"/>
  <c r="I535" i="9"/>
  <c r="E535" i="9"/>
  <c r="AI534" i="9"/>
  <c r="AH534" i="9"/>
  <c r="I534" i="9"/>
  <c r="E534" i="9"/>
  <c r="AI533" i="9"/>
  <c r="AH533" i="9"/>
  <c r="I533" i="9"/>
  <c r="E533" i="9"/>
  <c r="AI532" i="9"/>
  <c r="AH532" i="9"/>
  <c r="I532" i="9"/>
  <c r="E532" i="9"/>
  <c r="AI531" i="9"/>
  <c r="AH531" i="9"/>
  <c r="I531" i="9"/>
  <c r="E531" i="9"/>
  <c r="AI530" i="9"/>
  <c r="AH530" i="9"/>
  <c r="I530" i="9"/>
  <c r="E530" i="9"/>
  <c r="AI529" i="9"/>
  <c r="AH529" i="9"/>
  <c r="I529" i="9"/>
  <c r="E529" i="9"/>
  <c r="AI528" i="9"/>
  <c r="AH528" i="9"/>
  <c r="I528" i="9"/>
  <c r="E528" i="9"/>
  <c r="AI527" i="9"/>
  <c r="AH527" i="9"/>
  <c r="I527" i="9"/>
  <c r="E527" i="9"/>
  <c r="AI526" i="9"/>
  <c r="AH526" i="9"/>
  <c r="I526" i="9"/>
  <c r="E526" i="9"/>
  <c r="AI525" i="9"/>
  <c r="AH525" i="9"/>
  <c r="I525" i="9"/>
  <c r="E525" i="9"/>
  <c r="AI524" i="9"/>
  <c r="AH524" i="9"/>
  <c r="I524" i="9"/>
  <c r="E524" i="9"/>
  <c r="AI523" i="9"/>
  <c r="AH523" i="9"/>
  <c r="I523" i="9"/>
  <c r="E523" i="9"/>
  <c r="AI522" i="9"/>
  <c r="AH522" i="9"/>
  <c r="I522" i="9"/>
  <c r="E522" i="9"/>
  <c r="AI521" i="9"/>
  <c r="AH521" i="9"/>
  <c r="I521" i="9"/>
  <c r="E521" i="9"/>
  <c r="AI520" i="9"/>
  <c r="AH520" i="9"/>
  <c r="I520" i="9"/>
  <c r="E520" i="9"/>
  <c r="AI519" i="9"/>
  <c r="AH519" i="9"/>
  <c r="I519" i="9"/>
  <c r="E519" i="9"/>
  <c r="AI518" i="9"/>
  <c r="AH518" i="9"/>
  <c r="I518" i="9"/>
  <c r="E518" i="9"/>
  <c r="AI517" i="9"/>
  <c r="AH517" i="9"/>
  <c r="I517" i="9"/>
  <c r="E517" i="9"/>
  <c r="AI516" i="9"/>
  <c r="AH516" i="9"/>
  <c r="I516" i="9"/>
  <c r="E516" i="9"/>
  <c r="AI515" i="9"/>
  <c r="AH515" i="9"/>
  <c r="I515" i="9"/>
  <c r="E515" i="9"/>
  <c r="AI512" i="9"/>
  <c r="AH512" i="9"/>
  <c r="I512" i="9"/>
  <c r="E512" i="9"/>
  <c r="AI511" i="9"/>
  <c r="AH511" i="9"/>
  <c r="I511" i="9"/>
  <c r="E511" i="9"/>
  <c r="AI510" i="9"/>
  <c r="AH510" i="9"/>
  <c r="I510" i="9"/>
  <c r="E510" i="9"/>
  <c r="AI509" i="9"/>
  <c r="AH509" i="9"/>
  <c r="I509" i="9"/>
  <c r="E509" i="9"/>
  <c r="AI508" i="9"/>
  <c r="AH508" i="9"/>
  <c r="I508" i="9"/>
  <c r="E508" i="9"/>
  <c r="AI507" i="9"/>
  <c r="AH507" i="9"/>
  <c r="I507" i="9"/>
  <c r="E507" i="9"/>
  <c r="AI506" i="9"/>
  <c r="AH506" i="9"/>
  <c r="I506" i="9"/>
  <c r="E506" i="9"/>
  <c r="AI505" i="9"/>
  <c r="AH505" i="9"/>
  <c r="I505" i="9"/>
  <c r="E505" i="9"/>
  <c r="AI504" i="9"/>
  <c r="AH504" i="9"/>
  <c r="I504" i="9"/>
  <c r="E504" i="9"/>
  <c r="AI503" i="9"/>
  <c r="AH503" i="9"/>
  <c r="I503" i="9"/>
  <c r="E503" i="9"/>
  <c r="AI502" i="9"/>
  <c r="AH502" i="9"/>
  <c r="I502" i="9"/>
  <c r="E502" i="9"/>
  <c r="AI501" i="9"/>
  <c r="AH501" i="9"/>
  <c r="I501" i="9"/>
  <c r="E501" i="9"/>
  <c r="AI500" i="9"/>
  <c r="AH500" i="9"/>
  <c r="I500" i="9"/>
  <c r="E500" i="9"/>
  <c r="AI499" i="9"/>
  <c r="AH499" i="9"/>
  <c r="I499" i="9"/>
  <c r="E499" i="9"/>
  <c r="AI498" i="9"/>
  <c r="AH498" i="9"/>
  <c r="I498" i="9"/>
  <c r="E498" i="9"/>
  <c r="AI497" i="9"/>
  <c r="AH497" i="9"/>
  <c r="I497" i="9"/>
  <c r="E497" i="9"/>
  <c r="AI496" i="9"/>
  <c r="AH496" i="9"/>
  <c r="I496" i="9"/>
  <c r="E496" i="9"/>
  <c r="AI495" i="9"/>
  <c r="AH495" i="9"/>
  <c r="I495" i="9"/>
  <c r="E495" i="9"/>
  <c r="AI494" i="9"/>
  <c r="AH494" i="9"/>
  <c r="I494" i="9"/>
  <c r="E494" i="9"/>
  <c r="AI493" i="9"/>
  <c r="AH493" i="9"/>
  <c r="I493" i="9"/>
  <c r="E493" i="9"/>
  <c r="AI492" i="9"/>
  <c r="AH492" i="9"/>
  <c r="I492" i="9"/>
  <c r="E492" i="9"/>
  <c r="AI489" i="9"/>
  <c r="AH489" i="9"/>
  <c r="I489" i="9"/>
  <c r="E489" i="9"/>
  <c r="AI488" i="9"/>
  <c r="AH488" i="9"/>
  <c r="I488" i="9"/>
  <c r="E488" i="9"/>
  <c r="AI487" i="9"/>
  <c r="AH487" i="9"/>
  <c r="I487" i="9"/>
  <c r="E487" i="9"/>
  <c r="AI486" i="9"/>
  <c r="AH486" i="9"/>
  <c r="I486" i="9"/>
  <c r="E486" i="9"/>
  <c r="AI485" i="9"/>
  <c r="AH485" i="9"/>
  <c r="I485" i="9"/>
  <c r="E485" i="9"/>
  <c r="AI484" i="9"/>
  <c r="AH484" i="9"/>
  <c r="I484" i="9"/>
  <c r="E484" i="9"/>
  <c r="AI483" i="9"/>
  <c r="AH483" i="9"/>
  <c r="I483" i="9"/>
  <c r="E483" i="9"/>
  <c r="AI482" i="9"/>
  <c r="AH482" i="9"/>
  <c r="I482" i="9"/>
  <c r="E482" i="9"/>
  <c r="AI481" i="9"/>
  <c r="AH481" i="9"/>
  <c r="I481" i="9"/>
  <c r="E481" i="9"/>
  <c r="AJ478" i="9"/>
  <c r="AI478" i="9"/>
  <c r="AH478" i="9"/>
  <c r="I478" i="9"/>
  <c r="E478" i="9"/>
  <c r="AI477" i="9"/>
  <c r="AH477" i="9"/>
  <c r="I477" i="9"/>
  <c r="E477" i="9"/>
  <c r="AI476" i="9"/>
  <c r="AH476" i="9"/>
  <c r="I476" i="9"/>
  <c r="E476" i="9"/>
  <c r="AI475" i="9"/>
  <c r="AH475" i="9"/>
  <c r="I475" i="9"/>
  <c r="E475" i="9"/>
  <c r="AI474" i="9"/>
  <c r="AH474" i="9"/>
  <c r="I474" i="9"/>
  <c r="E474" i="9"/>
  <c r="AJ473" i="9"/>
  <c r="AI473" i="9"/>
  <c r="AH473" i="9"/>
  <c r="I473" i="9"/>
  <c r="E473" i="9"/>
  <c r="AI472" i="9"/>
  <c r="AH472" i="9"/>
  <c r="I472" i="9"/>
  <c r="E472" i="9"/>
  <c r="AI471" i="9"/>
  <c r="AH471" i="9"/>
  <c r="I471" i="9"/>
  <c r="E471" i="9"/>
  <c r="AJ470" i="9"/>
  <c r="AI470" i="9"/>
  <c r="AH470" i="9"/>
  <c r="I470" i="9"/>
  <c r="E470" i="9"/>
  <c r="AI469" i="9"/>
  <c r="AH469" i="9"/>
  <c r="I469" i="9"/>
  <c r="E469" i="9"/>
  <c r="AI468" i="9"/>
  <c r="AH468" i="9"/>
  <c r="I468" i="9"/>
  <c r="E468" i="9"/>
  <c r="AI467" i="9"/>
  <c r="AH467" i="9"/>
  <c r="I467" i="9"/>
  <c r="E467" i="9"/>
  <c r="AI464" i="9"/>
  <c r="I464" i="9"/>
  <c r="E464" i="9"/>
  <c r="AI463" i="9"/>
  <c r="I463" i="9"/>
  <c r="E463" i="9"/>
  <c r="AI462" i="9"/>
  <c r="AH462" i="9"/>
  <c r="I462" i="9"/>
  <c r="E462" i="9"/>
  <c r="AI461" i="9"/>
  <c r="AH461" i="9"/>
  <c r="I461" i="9"/>
  <c r="E461" i="9"/>
  <c r="AI460" i="9"/>
  <c r="AH460" i="9"/>
  <c r="I460" i="9"/>
  <c r="E460" i="9"/>
  <c r="AI459" i="9"/>
  <c r="AH459" i="9"/>
  <c r="I459" i="9"/>
  <c r="E459" i="9"/>
  <c r="AI458" i="9"/>
  <c r="AH458" i="9"/>
  <c r="I458" i="9"/>
  <c r="E458" i="9"/>
  <c r="AI457" i="9"/>
  <c r="AH457" i="9"/>
  <c r="I457" i="9"/>
  <c r="E457" i="9"/>
  <c r="AI456" i="9"/>
  <c r="AH456" i="9"/>
  <c r="I456" i="9"/>
  <c r="E456" i="9"/>
  <c r="AI455" i="9"/>
  <c r="AH455" i="9"/>
  <c r="I455" i="9"/>
  <c r="E455" i="9"/>
  <c r="AI454" i="9"/>
  <c r="AH454" i="9"/>
  <c r="I454" i="9"/>
  <c r="E454" i="9"/>
  <c r="AI453" i="9"/>
  <c r="AH453" i="9"/>
  <c r="I453" i="9"/>
  <c r="E453" i="9"/>
  <c r="AI452" i="9"/>
  <c r="AH452" i="9"/>
  <c r="I452" i="9"/>
  <c r="E452" i="9"/>
  <c r="AI451" i="9"/>
  <c r="AH451" i="9"/>
  <c r="I451" i="9"/>
  <c r="E451" i="9"/>
  <c r="AI450" i="9"/>
  <c r="AH450" i="9"/>
  <c r="I450" i="9"/>
  <c r="E450" i="9"/>
  <c r="AJ449" i="9"/>
  <c r="AI449" i="9"/>
  <c r="AH449" i="9"/>
  <c r="I449" i="9"/>
  <c r="E449" i="9"/>
  <c r="AI448" i="9"/>
  <c r="AH448" i="9"/>
  <c r="I448" i="9"/>
  <c r="E448" i="9"/>
  <c r="AI447" i="9"/>
  <c r="AH447" i="9"/>
  <c r="I447" i="9"/>
  <c r="E447" i="9"/>
  <c r="AI446" i="9"/>
  <c r="AH446" i="9"/>
  <c r="I446" i="9"/>
  <c r="E446" i="9"/>
  <c r="AI445" i="9"/>
  <c r="AH445" i="9"/>
  <c r="I445" i="9"/>
  <c r="E445" i="9"/>
  <c r="AI444" i="9"/>
  <c r="AH444" i="9"/>
  <c r="I444" i="9"/>
  <c r="E444" i="9"/>
  <c r="AI443" i="9"/>
  <c r="AH443" i="9"/>
  <c r="I443" i="9"/>
  <c r="E443" i="9"/>
  <c r="AI442" i="9"/>
  <c r="AH442" i="9"/>
  <c r="I442" i="9"/>
  <c r="E442" i="9"/>
  <c r="AI441" i="9"/>
  <c r="AH441" i="9"/>
  <c r="I441" i="9"/>
  <c r="E441" i="9"/>
  <c r="AI440" i="9"/>
  <c r="AH440" i="9"/>
  <c r="I440" i="9"/>
  <c r="E440" i="9"/>
  <c r="AI439" i="9"/>
  <c r="AH439" i="9"/>
  <c r="I439" i="9"/>
  <c r="E439" i="9"/>
  <c r="AI438" i="9"/>
  <c r="AH438" i="9"/>
  <c r="I438" i="9"/>
  <c r="E438" i="9"/>
  <c r="AI437" i="9"/>
  <c r="AH437" i="9"/>
  <c r="I437" i="9"/>
  <c r="E437" i="9"/>
  <c r="AJ436" i="9"/>
  <c r="AI436" i="9"/>
  <c r="AH436" i="9"/>
  <c r="I436" i="9"/>
  <c r="E436" i="9"/>
  <c r="AI435" i="9"/>
  <c r="AH435" i="9"/>
  <c r="I435" i="9"/>
  <c r="E435" i="9"/>
  <c r="AI434" i="9"/>
  <c r="AH434" i="9"/>
  <c r="I434" i="9"/>
  <c r="E434" i="9"/>
  <c r="AI433" i="9"/>
  <c r="AH433" i="9"/>
  <c r="I433" i="9"/>
  <c r="E433" i="9"/>
  <c r="AI432" i="9"/>
  <c r="AH432" i="9"/>
  <c r="I432" i="9"/>
  <c r="E432" i="9"/>
  <c r="AI431" i="9"/>
  <c r="AH431" i="9"/>
  <c r="I431" i="9"/>
  <c r="E431" i="9"/>
  <c r="AI430" i="9"/>
  <c r="AH430" i="9"/>
  <c r="I430" i="9"/>
  <c r="E430" i="9"/>
  <c r="AJ429" i="9"/>
  <c r="AI429" i="9"/>
  <c r="AH429" i="9"/>
  <c r="I429" i="9"/>
  <c r="E429" i="9"/>
  <c r="AJ428" i="9"/>
  <c r="AI428" i="9"/>
  <c r="AH428" i="9"/>
  <c r="I428" i="9"/>
  <c r="E428" i="9"/>
  <c r="AI427" i="9"/>
  <c r="AH427" i="9"/>
  <c r="I427" i="9"/>
  <c r="E427" i="9"/>
  <c r="AJ426" i="9"/>
  <c r="AI426" i="9"/>
  <c r="AH426" i="9"/>
  <c r="I426" i="9"/>
  <c r="E426" i="9"/>
  <c r="AI425" i="9"/>
  <c r="AH425" i="9"/>
  <c r="I425" i="9"/>
  <c r="E425" i="9"/>
  <c r="AI424" i="9"/>
  <c r="AH424" i="9"/>
  <c r="I424" i="9"/>
  <c r="E424" i="9"/>
  <c r="AI423" i="9"/>
  <c r="AH423" i="9"/>
  <c r="I423" i="9"/>
  <c r="E423" i="9"/>
  <c r="AJ422" i="9"/>
  <c r="AI422" i="9"/>
  <c r="AH422" i="9"/>
  <c r="I422" i="9"/>
  <c r="E422" i="9"/>
  <c r="AI421" i="9"/>
  <c r="AH421" i="9"/>
  <c r="I421" i="9"/>
  <c r="E421" i="9"/>
  <c r="AI420" i="9"/>
  <c r="AH420" i="9"/>
  <c r="I420" i="9"/>
  <c r="E420" i="9"/>
  <c r="AI419" i="9"/>
  <c r="AH419" i="9"/>
  <c r="I419" i="9"/>
  <c r="E419" i="9"/>
  <c r="AI418" i="9"/>
  <c r="AH418" i="9"/>
  <c r="I418" i="9"/>
  <c r="E418" i="9"/>
  <c r="AI417" i="9"/>
  <c r="AH417" i="9"/>
  <c r="I417" i="9"/>
  <c r="E417" i="9"/>
  <c r="AI416" i="9"/>
  <c r="AH416" i="9"/>
  <c r="I416" i="9"/>
  <c r="E416" i="9"/>
  <c r="AI415" i="9"/>
  <c r="AH415" i="9"/>
  <c r="I415" i="9"/>
  <c r="E415" i="9"/>
  <c r="AI414" i="9"/>
  <c r="AH414" i="9"/>
  <c r="I414" i="9"/>
  <c r="E414" i="9"/>
  <c r="AI413" i="9"/>
  <c r="AH413" i="9"/>
  <c r="I413" i="9"/>
  <c r="E413" i="9"/>
  <c r="AI412" i="9"/>
  <c r="AH412" i="9"/>
  <c r="I412" i="9"/>
  <c r="E412" i="9"/>
  <c r="AI411" i="9"/>
  <c r="AH411" i="9"/>
  <c r="I411" i="9"/>
  <c r="E411" i="9"/>
  <c r="AI410" i="9"/>
  <c r="AH410" i="9"/>
  <c r="I410" i="9"/>
  <c r="E410" i="9"/>
  <c r="AJ409" i="9"/>
  <c r="AI409" i="9"/>
  <c r="AH409" i="9"/>
  <c r="I409" i="9"/>
  <c r="E409" i="9"/>
  <c r="AI408" i="9"/>
  <c r="AH408" i="9"/>
  <c r="I408" i="9"/>
  <c r="E408" i="9"/>
  <c r="AI407" i="9"/>
  <c r="AH407" i="9"/>
  <c r="I407" i="9"/>
  <c r="E407" i="9"/>
  <c r="AI406" i="9"/>
  <c r="AH406" i="9"/>
  <c r="I406" i="9"/>
  <c r="E406" i="9"/>
  <c r="AI405" i="9"/>
  <c r="AH405" i="9"/>
  <c r="I405" i="9"/>
  <c r="E405" i="9"/>
  <c r="AJ404" i="9"/>
  <c r="AI404" i="9"/>
  <c r="AH404" i="9"/>
  <c r="I404" i="9"/>
  <c r="E404" i="9"/>
  <c r="AI403" i="9"/>
  <c r="AH403" i="9"/>
  <c r="I403" i="9"/>
  <c r="E403" i="9"/>
  <c r="AI402" i="9"/>
  <c r="AH402" i="9"/>
  <c r="I402" i="9"/>
  <c r="E402" i="9"/>
  <c r="AI401" i="9"/>
  <c r="AH401" i="9"/>
  <c r="I401" i="9"/>
  <c r="E401" i="9"/>
  <c r="AI400" i="9"/>
  <c r="AH400" i="9"/>
  <c r="I400" i="9"/>
  <c r="E400" i="9"/>
  <c r="AI399" i="9"/>
  <c r="AH399" i="9"/>
  <c r="I399" i="9"/>
  <c r="E399" i="9"/>
  <c r="AI396" i="9"/>
  <c r="I396" i="9"/>
  <c r="E396" i="9"/>
  <c r="AI395" i="9"/>
  <c r="AH395" i="9"/>
  <c r="I395" i="9"/>
  <c r="E395" i="9"/>
  <c r="AI394" i="9"/>
  <c r="AH394" i="9"/>
  <c r="I394" i="9"/>
  <c r="E394" i="9"/>
  <c r="AI393" i="9"/>
  <c r="AH393" i="9"/>
  <c r="I393" i="9"/>
  <c r="E393" i="9"/>
  <c r="AI392" i="9"/>
  <c r="AH392" i="9"/>
  <c r="I392" i="9"/>
  <c r="E392" i="9"/>
  <c r="AI391" i="9"/>
  <c r="I391" i="9"/>
  <c r="E391" i="9"/>
  <c r="AI390" i="9"/>
  <c r="AH390" i="9"/>
  <c r="I390" i="9"/>
  <c r="E390" i="9"/>
  <c r="AI389" i="9"/>
  <c r="AH389" i="9"/>
  <c r="E389" i="9"/>
  <c r="AI388" i="9"/>
  <c r="AH388" i="9"/>
  <c r="I388" i="9"/>
  <c r="E388" i="9"/>
  <c r="AI387" i="9"/>
  <c r="AH387" i="9"/>
  <c r="I387" i="9"/>
  <c r="E387" i="9"/>
  <c r="AI386" i="9"/>
  <c r="AH386" i="9"/>
  <c r="I386" i="9"/>
  <c r="E386" i="9"/>
  <c r="AI385" i="9"/>
  <c r="AH385" i="9"/>
  <c r="I385" i="9"/>
  <c r="E385" i="9"/>
  <c r="AI384" i="9"/>
  <c r="AH384" i="9"/>
  <c r="I384" i="9"/>
  <c r="E384" i="9"/>
  <c r="AI383" i="9"/>
  <c r="AH383" i="9"/>
  <c r="I383" i="9"/>
  <c r="E383" i="9"/>
  <c r="AI382" i="9"/>
  <c r="I382" i="9"/>
  <c r="E382" i="9"/>
  <c r="AI381" i="9"/>
  <c r="AH381" i="9"/>
  <c r="I381" i="9"/>
  <c r="E381" i="9"/>
  <c r="AI380" i="9"/>
  <c r="AH380" i="9"/>
  <c r="I380" i="9"/>
  <c r="E380" i="9"/>
  <c r="AI379" i="9"/>
  <c r="AH379" i="9"/>
  <c r="I379" i="9"/>
  <c r="E379" i="9"/>
  <c r="AI378" i="9"/>
  <c r="AH378" i="9"/>
  <c r="I378" i="9"/>
  <c r="E378" i="9"/>
  <c r="AI377" i="9"/>
  <c r="AH377" i="9"/>
  <c r="I377" i="9"/>
  <c r="E377" i="9"/>
  <c r="AI376" i="9"/>
  <c r="AH376" i="9"/>
  <c r="I376" i="9"/>
  <c r="E376" i="9"/>
  <c r="AI375" i="9"/>
  <c r="AH375" i="9"/>
  <c r="I375" i="9"/>
  <c r="E375" i="9"/>
  <c r="AI374" i="9"/>
  <c r="AH374" i="9"/>
  <c r="I374" i="9"/>
  <c r="E374" i="9"/>
  <c r="AI373" i="9"/>
  <c r="AH373" i="9"/>
  <c r="I373" i="9"/>
  <c r="E373" i="9"/>
  <c r="AI372" i="9"/>
  <c r="AH372" i="9"/>
  <c r="I372" i="9"/>
  <c r="E372" i="9"/>
  <c r="AI371" i="9"/>
  <c r="AH371" i="9"/>
  <c r="I371" i="9"/>
  <c r="E371" i="9"/>
  <c r="AI370" i="9"/>
  <c r="AH370" i="9"/>
  <c r="I370" i="9"/>
  <c r="E370" i="9"/>
  <c r="AI369" i="9"/>
  <c r="AH369" i="9"/>
  <c r="I369" i="9"/>
  <c r="E369" i="9"/>
  <c r="AI368" i="9"/>
  <c r="AH368" i="9"/>
  <c r="I368" i="9"/>
  <c r="E368" i="9"/>
  <c r="AI367" i="9"/>
  <c r="AH367" i="9"/>
  <c r="I367" i="9"/>
  <c r="E367" i="9"/>
  <c r="AI366" i="9"/>
  <c r="AH366" i="9"/>
  <c r="I366" i="9"/>
  <c r="E366" i="9"/>
  <c r="AI365" i="9"/>
  <c r="AH365" i="9"/>
  <c r="I365" i="9"/>
  <c r="E365" i="9"/>
  <c r="AI364" i="9"/>
  <c r="AH364" i="9"/>
  <c r="I364" i="9"/>
  <c r="E364" i="9"/>
  <c r="AI363" i="9"/>
  <c r="AH363" i="9"/>
  <c r="I363" i="9"/>
  <c r="E363" i="9"/>
  <c r="AI362" i="9"/>
  <c r="AH362" i="9"/>
  <c r="I362" i="9"/>
  <c r="E362" i="9"/>
  <c r="AI361" i="9"/>
  <c r="AH361" i="9"/>
  <c r="I361" i="9"/>
  <c r="E361" i="9"/>
  <c r="AI360" i="9"/>
  <c r="AH360" i="9"/>
  <c r="I360" i="9"/>
  <c r="E360" i="9"/>
  <c r="AI359" i="9"/>
  <c r="AH359" i="9"/>
  <c r="I359" i="9"/>
  <c r="E359" i="9"/>
  <c r="AI358" i="9"/>
  <c r="AH358" i="9"/>
  <c r="I358" i="9"/>
  <c r="E358" i="9"/>
  <c r="AI357" i="9"/>
  <c r="AH357" i="9"/>
  <c r="I357" i="9"/>
  <c r="E357" i="9"/>
  <c r="AI356" i="9"/>
  <c r="AH356" i="9"/>
  <c r="I356" i="9"/>
  <c r="E356" i="9"/>
  <c r="AI355" i="9"/>
  <c r="AH355" i="9"/>
  <c r="I355" i="9"/>
  <c r="E355" i="9"/>
  <c r="AI354" i="9"/>
  <c r="AH354" i="9"/>
  <c r="I354" i="9"/>
  <c r="E354" i="9"/>
  <c r="AI353" i="9"/>
  <c r="AH353" i="9"/>
  <c r="I353" i="9"/>
  <c r="E353" i="9"/>
  <c r="AI352" i="9"/>
  <c r="AH352" i="9"/>
  <c r="I352" i="9"/>
  <c r="E352" i="9"/>
  <c r="AI351" i="9"/>
  <c r="AH351" i="9"/>
  <c r="I351" i="9"/>
  <c r="E351" i="9"/>
  <c r="AI350" i="9"/>
  <c r="AH350" i="9"/>
  <c r="I350" i="9"/>
  <c r="E350" i="9"/>
  <c r="AI349" i="9"/>
  <c r="AH349" i="9"/>
  <c r="I349" i="9"/>
  <c r="E349" i="9"/>
  <c r="AI348" i="9"/>
  <c r="AH348" i="9"/>
  <c r="I348" i="9"/>
  <c r="E348" i="9"/>
  <c r="AI347" i="9"/>
  <c r="AH347" i="9"/>
  <c r="I347" i="9"/>
  <c r="E347" i="9"/>
  <c r="AI346" i="9"/>
  <c r="AH346" i="9"/>
  <c r="I346" i="9"/>
  <c r="E346" i="9"/>
  <c r="AI345" i="9"/>
  <c r="AH345" i="9"/>
  <c r="I345" i="9"/>
  <c r="E345" i="9"/>
  <c r="AI344" i="9"/>
  <c r="AH344" i="9"/>
  <c r="I344" i="9"/>
  <c r="E344" i="9"/>
  <c r="AI343" i="9"/>
  <c r="AH343" i="9"/>
  <c r="I343" i="9"/>
  <c r="E343" i="9"/>
  <c r="AI342" i="9"/>
  <c r="AH342" i="9"/>
  <c r="I342" i="9"/>
  <c r="E342" i="9"/>
  <c r="AI341" i="9"/>
  <c r="AH341" i="9"/>
  <c r="I341" i="9"/>
  <c r="E341" i="9"/>
  <c r="AI340" i="9"/>
  <c r="AH340" i="9"/>
  <c r="I340" i="9"/>
  <c r="E340" i="9"/>
  <c r="AI339" i="9"/>
  <c r="AH339" i="9"/>
  <c r="I339" i="9"/>
  <c r="E339" i="9"/>
  <c r="AI338" i="9"/>
  <c r="AH338" i="9"/>
  <c r="I338" i="9"/>
  <c r="E338" i="9"/>
  <c r="AI337" i="9"/>
  <c r="AH337" i="9"/>
  <c r="I337" i="9"/>
  <c r="E337" i="9"/>
  <c r="AI336" i="9"/>
  <c r="AH336" i="9"/>
  <c r="I336" i="9"/>
  <c r="E336" i="9"/>
  <c r="AI335" i="9"/>
  <c r="AH335" i="9"/>
  <c r="I335" i="9"/>
  <c r="E335" i="9"/>
  <c r="AI334" i="9"/>
  <c r="AH334" i="9"/>
  <c r="I334" i="9"/>
  <c r="E334" i="9"/>
  <c r="AI333" i="9"/>
  <c r="AH333" i="9"/>
  <c r="I333" i="9"/>
  <c r="E333" i="9"/>
  <c r="AI332" i="9"/>
  <c r="AH332" i="9"/>
  <c r="I332" i="9"/>
  <c r="E332" i="9"/>
  <c r="AI331" i="9"/>
  <c r="AH331" i="9"/>
  <c r="I331" i="9"/>
  <c r="E331" i="9"/>
  <c r="AI330" i="9"/>
  <c r="AH330" i="9"/>
  <c r="I330" i="9"/>
  <c r="E330" i="9"/>
  <c r="AI329" i="9"/>
  <c r="AH329" i="9"/>
  <c r="I329" i="9"/>
  <c r="E329" i="9"/>
  <c r="AI328" i="9"/>
  <c r="AH328" i="9"/>
  <c r="I328" i="9"/>
  <c r="E328" i="9"/>
  <c r="AI327" i="9"/>
  <c r="AH327" i="9"/>
  <c r="I327" i="9"/>
  <c r="E327" i="9"/>
  <c r="AI326" i="9"/>
  <c r="AH326" i="9"/>
  <c r="I326" i="9"/>
  <c r="E326" i="9"/>
  <c r="AI325" i="9"/>
  <c r="AH325" i="9"/>
  <c r="I325" i="9"/>
  <c r="E325" i="9"/>
  <c r="AI324" i="9"/>
  <c r="AH324" i="9"/>
  <c r="I324" i="9"/>
  <c r="E324" i="9"/>
  <c r="AI323" i="9"/>
  <c r="AH323" i="9"/>
  <c r="I323" i="9"/>
  <c r="E323" i="9"/>
  <c r="AI322" i="9"/>
  <c r="AH322" i="9"/>
  <c r="I322" i="9"/>
  <c r="E322" i="9"/>
  <c r="AI321" i="9"/>
  <c r="AH321" i="9"/>
  <c r="I321" i="9"/>
  <c r="E321" i="9"/>
  <c r="AI320" i="9"/>
  <c r="AH320" i="9"/>
  <c r="I320" i="9"/>
  <c r="E320" i="9"/>
  <c r="AI319" i="9"/>
  <c r="AH319" i="9"/>
  <c r="I319" i="9"/>
  <c r="E319" i="9"/>
  <c r="AI318" i="9"/>
  <c r="AH318" i="9"/>
  <c r="I318" i="9"/>
  <c r="E318" i="9"/>
  <c r="AI317" i="9"/>
  <c r="AH317" i="9"/>
  <c r="I317" i="9"/>
  <c r="E317" i="9"/>
  <c r="AI316" i="9"/>
  <c r="AH316" i="9"/>
  <c r="I316" i="9"/>
  <c r="E316" i="9"/>
  <c r="AI315" i="9"/>
  <c r="AH315" i="9"/>
  <c r="I315" i="9"/>
  <c r="E315" i="9"/>
  <c r="AI314" i="9"/>
  <c r="AH314" i="9"/>
  <c r="I314" i="9"/>
  <c r="E314" i="9"/>
  <c r="AI313" i="9"/>
  <c r="AH313" i="9"/>
  <c r="I313" i="9"/>
  <c r="E313" i="9"/>
  <c r="AI312" i="9"/>
  <c r="AH312" i="9"/>
  <c r="I312" i="9"/>
  <c r="E312" i="9"/>
  <c r="AI311" i="9"/>
  <c r="AH311" i="9"/>
  <c r="I311" i="9"/>
  <c r="E311" i="9"/>
  <c r="AI310" i="9"/>
  <c r="AH310" i="9"/>
  <c r="I310" i="9"/>
  <c r="E310" i="9"/>
  <c r="AI309" i="9"/>
  <c r="AH309" i="9"/>
  <c r="I309" i="9"/>
  <c r="E309" i="9"/>
  <c r="AI308" i="9"/>
  <c r="AH308" i="9"/>
  <c r="I308" i="9"/>
  <c r="E308" i="9"/>
  <c r="AI307" i="9"/>
  <c r="AH307" i="9"/>
  <c r="I307" i="9"/>
  <c r="E307" i="9"/>
  <c r="AI306" i="9"/>
  <c r="AH306" i="9"/>
  <c r="I306" i="9"/>
  <c r="E306" i="9"/>
  <c r="AI303" i="9"/>
  <c r="AH303" i="9"/>
  <c r="I303" i="9"/>
  <c r="E303" i="9"/>
  <c r="AI302" i="9"/>
  <c r="AH302" i="9"/>
  <c r="I302" i="9"/>
  <c r="E302" i="9"/>
  <c r="AI301" i="9"/>
  <c r="AH301" i="9"/>
  <c r="I301" i="9"/>
  <c r="E301" i="9"/>
  <c r="AI300" i="9"/>
  <c r="AH300" i="9"/>
  <c r="I300" i="9"/>
  <c r="E300" i="9"/>
  <c r="AI299" i="9"/>
  <c r="AH299" i="9"/>
  <c r="I299" i="9"/>
  <c r="E299" i="9"/>
  <c r="AI298" i="9"/>
  <c r="AH298" i="9"/>
  <c r="I298" i="9"/>
  <c r="E298" i="9"/>
  <c r="AI297" i="9"/>
  <c r="AH297" i="9"/>
  <c r="I297" i="9"/>
  <c r="E297" i="9"/>
  <c r="AI296" i="9"/>
  <c r="AH296" i="9"/>
  <c r="I296" i="9"/>
  <c r="E296" i="9"/>
  <c r="AI295" i="9"/>
  <c r="AH295" i="9"/>
  <c r="I295" i="9"/>
  <c r="E295" i="9"/>
  <c r="AI294" i="9"/>
  <c r="AH294" i="9"/>
  <c r="I294" i="9"/>
  <c r="E294" i="9"/>
  <c r="AI293" i="9"/>
  <c r="AH293" i="9"/>
  <c r="I293" i="9"/>
  <c r="E293" i="9"/>
  <c r="AI292" i="9"/>
  <c r="AH292" i="9"/>
  <c r="I292" i="9"/>
  <c r="E292" i="9"/>
  <c r="AI291" i="9"/>
  <c r="AH291" i="9"/>
  <c r="I291" i="9"/>
  <c r="E291" i="9"/>
  <c r="AI290" i="9"/>
  <c r="AH290" i="9"/>
  <c r="I290" i="9"/>
  <c r="E290" i="9"/>
  <c r="AI287" i="9"/>
  <c r="AH287" i="9"/>
  <c r="I287" i="9"/>
  <c r="E287" i="9"/>
  <c r="AI286" i="9"/>
  <c r="AH286" i="9"/>
  <c r="I286" i="9"/>
  <c r="E286" i="9"/>
  <c r="AI285" i="9"/>
  <c r="AH285" i="9"/>
  <c r="I285" i="9"/>
  <c r="E285" i="9"/>
  <c r="AI284" i="9"/>
  <c r="AH284" i="9"/>
  <c r="I284" i="9"/>
  <c r="E284" i="9"/>
  <c r="AI283" i="9"/>
  <c r="AH283" i="9"/>
  <c r="I283" i="9"/>
  <c r="E283" i="9"/>
  <c r="AI282" i="9"/>
  <c r="AH282" i="9"/>
  <c r="I282" i="9"/>
  <c r="E282" i="9"/>
  <c r="AI281" i="9"/>
  <c r="AH281" i="9"/>
  <c r="I281" i="9"/>
  <c r="E281" i="9"/>
  <c r="AI280" i="9"/>
  <c r="AH280" i="9"/>
  <c r="I280" i="9"/>
  <c r="E280" i="9"/>
  <c r="AI279" i="9"/>
  <c r="AH279" i="9"/>
  <c r="I279" i="9"/>
  <c r="E279" i="9"/>
  <c r="AI278" i="9"/>
  <c r="AH278" i="9"/>
  <c r="I278" i="9"/>
  <c r="E278" i="9"/>
  <c r="AI277" i="9"/>
  <c r="AH277" i="9"/>
  <c r="I277" i="9"/>
  <c r="E277" i="9"/>
  <c r="AI276" i="9"/>
  <c r="AH276" i="9"/>
  <c r="I276" i="9"/>
  <c r="E276" i="9"/>
  <c r="AI275" i="9"/>
  <c r="AH275" i="9"/>
  <c r="I275" i="9"/>
  <c r="E275" i="9"/>
  <c r="AI274" i="9"/>
  <c r="AH274" i="9"/>
  <c r="I274" i="9"/>
  <c r="E274" i="9"/>
  <c r="AI273" i="9"/>
  <c r="AH273" i="9"/>
  <c r="I273" i="9"/>
  <c r="E273" i="9"/>
  <c r="AI272" i="9"/>
  <c r="AH272" i="9"/>
  <c r="I272" i="9"/>
  <c r="E272" i="9"/>
  <c r="AI271" i="9"/>
  <c r="AH271" i="9"/>
  <c r="I271" i="9"/>
  <c r="E271" i="9"/>
  <c r="AI270" i="9"/>
  <c r="AH270" i="9"/>
  <c r="I270" i="9"/>
  <c r="E270" i="9"/>
  <c r="AI269" i="9"/>
  <c r="AH269" i="9"/>
  <c r="I269" i="9"/>
  <c r="E269" i="9"/>
  <c r="AI268" i="9"/>
  <c r="AH268" i="9"/>
  <c r="I268" i="9"/>
  <c r="E268" i="9"/>
  <c r="AI267" i="9"/>
  <c r="AH267" i="9"/>
  <c r="I267" i="9"/>
  <c r="E267" i="9"/>
  <c r="AI266" i="9"/>
  <c r="AH266" i="9"/>
  <c r="I266" i="9"/>
  <c r="E266" i="9"/>
  <c r="AI265" i="9"/>
  <c r="AH265" i="9"/>
  <c r="I265" i="9"/>
  <c r="E265" i="9"/>
  <c r="AI264" i="9"/>
  <c r="AH264" i="9"/>
  <c r="I264" i="9"/>
  <c r="E264" i="9"/>
  <c r="AI263" i="9"/>
  <c r="AH263" i="9"/>
  <c r="I263" i="9"/>
  <c r="E263" i="9"/>
  <c r="AI262" i="9"/>
  <c r="AH262" i="9"/>
  <c r="I262" i="9"/>
  <c r="E262" i="9"/>
  <c r="AI261" i="9"/>
  <c r="AH261" i="9"/>
  <c r="I261" i="9"/>
  <c r="E261" i="9"/>
  <c r="AI260" i="9"/>
  <c r="AH260" i="9"/>
  <c r="I260" i="9"/>
  <c r="E260" i="9"/>
  <c r="AI259" i="9"/>
  <c r="AH259" i="9"/>
  <c r="I259" i="9"/>
  <c r="E259" i="9"/>
  <c r="AI258" i="9"/>
  <c r="AH258" i="9"/>
  <c r="I258" i="9"/>
  <c r="E258" i="9"/>
  <c r="AI257" i="9"/>
  <c r="AH257" i="9"/>
  <c r="I257" i="9"/>
  <c r="E257" i="9"/>
  <c r="AI256" i="9"/>
  <c r="AH256" i="9"/>
  <c r="I256" i="9"/>
  <c r="E256" i="9"/>
  <c r="AI255" i="9"/>
  <c r="AH255" i="9"/>
  <c r="I255" i="9"/>
  <c r="E255" i="9"/>
  <c r="AI254" i="9"/>
  <c r="AH254" i="9"/>
  <c r="I254" i="9"/>
  <c r="E254" i="9"/>
  <c r="AI253" i="9"/>
  <c r="AH253" i="9"/>
  <c r="I253" i="9"/>
  <c r="E253" i="9"/>
  <c r="AI252" i="9"/>
  <c r="AH252" i="9"/>
  <c r="I252" i="9"/>
  <c r="E252" i="9"/>
  <c r="AI251" i="9"/>
  <c r="AH251" i="9"/>
  <c r="I251" i="9"/>
  <c r="E251" i="9"/>
  <c r="AI250" i="9"/>
  <c r="AH250" i="9"/>
  <c r="I250" i="9"/>
  <c r="E250" i="9"/>
  <c r="AI249" i="9"/>
  <c r="AH249" i="9"/>
  <c r="I249" i="9"/>
  <c r="E249" i="9"/>
  <c r="AI248" i="9"/>
  <c r="AH248" i="9"/>
  <c r="I248" i="9"/>
  <c r="E248" i="9"/>
  <c r="AI247" i="9"/>
  <c r="AH247" i="9"/>
  <c r="I247" i="9"/>
  <c r="E247" i="9"/>
  <c r="AI246" i="9"/>
  <c r="AH246" i="9"/>
  <c r="I246" i="9"/>
  <c r="E246" i="9"/>
  <c r="AI245" i="9"/>
  <c r="AH245" i="9"/>
  <c r="I245" i="9"/>
  <c r="E245" i="9"/>
  <c r="AI244" i="9"/>
  <c r="AH244" i="9"/>
  <c r="I244" i="9"/>
  <c r="E244" i="9"/>
  <c r="AI243" i="9"/>
  <c r="AH243" i="9"/>
  <c r="I243" i="9"/>
  <c r="E243" i="9"/>
  <c r="AI242" i="9"/>
  <c r="AH242" i="9"/>
  <c r="I242" i="9"/>
  <c r="E242" i="9"/>
  <c r="AI241" i="9"/>
  <c r="AH241" i="9"/>
  <c r="I241" i="9"/>
  <c r="E241" i="9"/>
  <c r="AI240" i="9"/>
  <c r="AH240" i="9"/>
  <c r="I240" i="9"/>
  <c r="E240" i="9"/>
  <c r="AI239" i="9"/>
  <c r="AH239" i="9"/>
  <c r="I239" i="9"/>
  <c r="E239" i="9"/>
  <c r="AI238" i="9"/>
  <c r="AH238" i="9"/>
  <c r="I238" i="9"/>
  <c r="E238" i="9"/>
  <c r="AI237" i="9"/>
  <c r="AH237" i="9"/>
  <c r="I237" i="9"/>
  <c r="E237" i="9"/>
  <c r="AI236" i="9"/>
  <c r="AH236" i="9"/>
  <c r="I236" i="9"/>
  <c r="E236" i="9"/>
  <c r="AI235" i="9"/>
  <c r="AH235" i="9"/>
  <c r="I235" i="9"/>
  <c r="E235" i="9"/>
  <c r="AI234" i="9"/>
  <c r="AH234" i="9"/>
  <c r="I234" i="9"/>
  <c r="E234" i="9"/>
  <c r="AI233" i="9"/>
  <c r="AH233" i="9"/>
  <c r="I233" i="9"/>
  <c r="E233" i="9"/>
  <c r="AI232" i="9"/>
  <c r="AH232" i="9"/>
  <c r="I232" i="9"/>
  <c r="E232" i="9"/>
  <c r="AI229" i="9"/>
  <c r="AH229" i="9"/>
  <c r="I229" i="9"/>
  <c r="E229" i="9"/>
  <c r="AI228" i="9"/>
  <c r="AH228" i="9"/>
  <c r="I228" i="9"/>
  <c r="E228" i="9"/>
  <c r="AI227" i="9"/>
  <c r="AH227" i="9"/>
  <c r="I227" i="9"/>
  <c r="E227" i="9"/>
  <c r="AI226" i="9"/>
  <c r="AH226" i="9"/>
  <c r="I226" i="9"/>
  <c r="E226" i="9"/>
  <c r="AI225" i="9"/>
  <c r="AH225" i="9"/>
  <c r="I225" i="9"/>
  <c r="E225" i="9"/>
  <c r="AI224" i="9"/>
  <c r="AH224" i="9"/>
  <c r="I224" i="9"/>
  <c r="E224" i="9"/>
  <c r="AI223" i="9"/>
  <c r="AH223" i="9"/>
  <c r="I223" i="9"/>
  <c r="E223" i="9"/>
  <c r="AI222" i="9"/>
  <c r="AH222" i="9"/>
  <c r="I222" i="9"/>
  <c r="E222" i="9"/>
  <c r="AI219" i="9"/>
  <c r="AH219" i="9"/>
  <c r="I219" i="9"/>
  <c r="E219" i="9"/>
  <c r="AI218" i="9"/>
  <c r="AH218" i="9"/>
  <c r="I218" i="9"/>
  <c r="E218" i="9"/>
  <c r="AI217" i="9"/>
  <c r="AH217" i="9"/>
  <c r="I217" i="9"/>
  <c r="E217" i="9"/>
  <c r="AI216" i="9"/>
  <c r="AH216" i="9"/>
  <c r="I216" i="9"/>
  <c r="E216" i="9"/>
  <c r="AI215" i="9"/>
  <c r="AH215" i="9"/>
  <c r="I215" i="9"/>
  <c r="E215" i="9"/>
  <c r="AI214" i="9"/>
  <c r="AH214" i="9"/>
  <c r="I214" i="9"/>
  <c r="E214" i="9"/>
  <c r="AI213" i="9"/>
  <c r="AH213" i="9"/>
  <c r="I213" i="9"/>
  <c r="E213" i="9"/>
  <c r="AI212" i="9"/>
  <c r="AH212" i="9"/>
  <c r="I212" i="9"/>
  <c r="E212" i="9"/>
  <c r="AI211" i="9"/>
  <c r="AH211" i="9"/>
  <c r="I211" i="9"/>
  <c r="E211" i="9"/>
  <c r="AI210" i="9"/>
  <c r="AH210" i="9"/>
  <c r="I210" i="9"/>
  <c r="E210" i="9"/>
  <c r="AI209" i="9"/>
  <c r="AH209" i="9"/>
  <c r="I209" i="9"/>
  <c r="E209" i="9"/>
  <c r="AI206" i="9"/>
  <c r="E206" i="9"/>
  <c r="AI205" i="9"/>
  <c r="E205" i="9"/>
  <c r="AI204" i="9"/>
  <c r="E204" i="9"/>
  <c r="AI203" i="9"/>
  <c r="E203" i="9"/>
  <c r="AI202" i="9"/>
  <c r="AH202" i="9"/>
  <c r="I202" i="9"/>
  <c r="E202" i="9"/>
  <c r="AI201" i="9"/>
  <c r="AH201" i="9"/>
  <c r="I201" i="9"/>
  <c r="E201" i="9"/>
  <c r="AI200" i="9"/>
  <c r="AH200" i="9"/>
  <c r="I200" i="9"/>
  <c r="E200" i="9"/>
  <c r="AI199" i="9"/>
  <c r="AH199" i="9"/>
  <c r="I199" i="9"/>
  <c r="E199" i="9"/>
  <c r="AI198" i="9"/>
  <c r="AH198" i="9"/>
  <c r="I198" i="9"/>
  <c r="E198" i="9"/>
  <c r="AI197" i="9"/>
  <c r="AH197" i="9"/>
  <c r="I197" i="9"/>
  <c r="E197" i="9"/>
  <c r="AI196" i="9"/>
  <c r="AH196" i="9"/>
  <c r="I196" i="9"/>
  <c r="E196" i="9"/>
  <c r="AI195" i="9"/>
  <c r="AH195" i="9"/>
  <c r="I195" i="9"/>
  <c r="E195" i="9"/>
  <c r="AI194" i="9"/>
  <c r="AH194" i="9"/>
  <c r="I194" i="9"/>
  <c r="E194" i="9"/>
  <c r="AI193" i="9"/>
  <c r="AH193" i="9"/>
  <c r="I193" i="9"/>
  <c r="E193" i="9"/>
  <c r="AI192" i="9"/>
  <c r="AH192" i="9"/>
  <c r="I192" i="9"/>
  <c r="E192" i="9"/>
  <c r="AI191" i="9"/>
  <c r="AH191" i="9"/>
  <c r="I191" i="9"/>
  <c r="E191" i="9"/>
  <c r="AI190" i="9"/>
  <c r="AH190" i="9"/>
  <c r="I190" i="9"/>
  <c r="E190" i="9"/>
  <c r="AI189" i="9"/>
  <c r="AH189" i="9"/>
  <c r="I189" i="9"/>
  <c r="E189" i="9"/>
  <c r="AI188" i="9"/>
  <c r="AH188" i="9"/>
  <c r="I188" i="9"/>
  <c r="E188" i="9"/>
  <c r="AI187" i="9"/>
  <c r="AH187" i="9"/>
  <c r="I187" i="9"/>
  <c r="E187" i="9"/>
  <c r="AI186" i="9"/>
  <c r="AH186" i="9"/>
  <c r="I186" i="9"/>
  <c r="E186" i="9"/>
  <c r="AI185" i="9"/>
  <c r="AH185" i="9"/>
  <c r="I185" i="9"/>
  <c r="E185" i="9"/>
  <c r="AI184" i="9"/>
  <c r="AH184" i="9"/>
  <c r="I184" i="9"/>
  <c r="E184" i="9"/>
  <c r="AI183" i="9"/>
  <c r="AH183" i="9"/>
  <c r="I183" i="9"/>
  <c r="E183" i="9"/>
  <c r="AI182" i="9"/>
  <c r="AH182" i="9"/>
  <c r="I182" i="9"/>
  <c r="E182" i="9"/>
  <c r="AI181" i="9"/>
  <c r="AH181" i="9"/>
  <c r="I181" i="9"/>
  <c r="E181" i="9"/>
  <c r="AI180" i="9"/>
  <c r="AH180" i="9"/>
  <c r="I180" i="9"/>
  <c r="E180" i="9"/>
  <c r="AI179" i="9"/>
  <c r="AH179" i="9"/>
  <c r="I179" i="9"/>
  <c r="E179" i="9"/>
  <c r="AI178" i="9"/>
  <c r="AH178" i="9"/>
  <c r="I178" i="9"/>
  <c r="E178" i="9"/>
  <c r="AI177" i="9"/>
  <c r="AH177" i="9"/>
  <c r="I177" i="9"/>
  <c r="E177" i="9"/>
  <c r="AI176" i="9"/>
  <c r="AH176" i="9"/>
  <c r="I176" i="9"/>
  <c r="E176" i="9"/>
  <c r="AI175" i="9"/>
  <c r="AH175" i="9"/>
  <c r="I175" i="9"/>
  <c r="E175" i="9"/>
  <c r="AI174" i="9"/>
  <c r="AH174" i="9"/>
  <c r="I174" i="9"/>
  <c r="E174" i="9"/>
  <c r="AI173" i="9"/>
  <c r="AH173" i="9"/>
  <c r="I173" i="9"/>
  <c r="E173" i="9"/>
  <c r="AI172" i="9"/>
  <c r="AH172" i="9"/>
  <c r="I172" i="9"/>
  <c r="E172" i="9"/>
  <c r="AI171" i="9"/>
  <c r="AH171" i="9"/>
  <c r="I171" i="9"/>
  <c r="E171" i="9"/>
  <c r="AI170" i="9"/>
  <c r="AH170" i="9"/>
  <c r="I170" i="9"/>
  <c r="E170" i="9"/>
  <c r="AI169" i="9"/>
  <c r="AH169" i="9"/>
  <c r="I169" i="9"/>
  <c r="E169" i="9"/>
  <c r="AI168" i="9"/>
  <c r="AH168" i="9"/>
  <c r="I168" i="9"/>
  <c r="E168" i="9"/>
  <c r="AI167" i="9"/>
  <c r="AH167" i="9"/>
  <c r="I167" i="9"/>
  <c r="E167" i="9"/>
  <c r="AI166" i="9"/>
  <c r="AH166" i="9"/>
  <c r="I166" i="9"/>
  <c r="E166" i="9"/>
  <c r="AI165" i="9"/>
  <c r="AH165" i="9"/>
  <c r="I165" i="9"/>
  <c r="E165" i="9"/>
  <c r="AI164" i="9"/>
  <c r="AH164" i="9"/>
  <c r="I164" i="9"/>
  <c r="E164" i="9"/>
  <c r="AI163" i="9"/>
  <c r="AH163" i="9"/>
  <c r="I163" i="9"/>
  <c r="E163" i="9"/>
  <c r="AI162" i="9"/>
  <c r="AH162" i="9"/>
  <c r="I162" i="9"/>
  <c r="E162" i="9"/>
  <c r="AI161" i="9"/>
  <c r="AH161" i="9"/>
  <c r="I161" i="9"/>
  <c r="E161" i="9"/>
  <c r="AI160" i="9"/>
  <c r="AH160" i="9"/>
  <c r="I160" i="9"/>
  <c r="E160" i="9"/>
  <c r="AI159" i="9"/>
  <c r="AH159" i="9"/>
  <c r="I159" i="9"/>
  <c r="E159" i="9"/>
  <c r="AI158" i="9"/>
  <c r="AH158" i="9"/>
  <c r="I158" i="9"/>
  <c r="E158" i="9"/>
  <c r="AI157" i="9"/>
  <c r="AH157" i="9"/>
  <c r="I157" i="9"/>
  <c r="E157" i="9"/>
  <c r="AI156" i="9"/>
  <c r="AH156" i="9"/>
  <c r="I156" i="9"/>
  <c r="E156" i="9"/>
  <c r="AI155" i="9"/>
  <c r="AH155" i="9"/>
  <c r="I155" i="9"/>
  <c r="E155" i="9"/>
  <c r="AI154" i="9"/>
  <c r="AH154" i="9"/>
  <c r="I154" i="9"/>
  <c r="E154" i="9"/>
  <c r="AI153" i="9"/>
  <c r="AH153" i="9"/>
  <c r="I153" i="9"/>
  <c r="E153" i="9"/>
  <c r="AI152" i="9"/>
  <c r="AH152" i="9"/>
  <c r="I152" i="9"/>
  <c r="E152" i="9"/>
  <c r="AI151" i="9"/>
  <c r="AH151" i="9"/>
  <c r="I151" i="9"/>
  <c r="E151" i="9"/>
  <c r="AI150" i="9"/>
  <c r="AH150" i="9"/>
  <c r="I150" i="9"/>
  <c r="E150" i="9"/>
  <c r="AI149" i="9"/>
  <c r="AH149" i="9"/>
  <c r="I149" i="9"/>
  <c r="E149" i="9"/>
  <c r="AI148" i="9"/>
  <c r="AH148" i="9"/>
  <c r="I148" i="9"/>
  <c r="E148" i="9"/>
  <c r="AI147" i="9"/>
  <c r="AH147" i="9"/>
  <c r="I147" i="9"/>
  <c r="E147" i="9"/>
  <c r="AI146" i="9"/>
  <c r="AH146" i="9"/>
  <c r="I146" i="9"/>
  <c r="E146" i="9"/>
  <c r="AI145" i="9"/>
  <c r="AH145" i="9"/>
  <c r="I145" i="9"/>
  <c r="E145" i="9"/>
  <c r="AI144" i="9"/>
  <c r="AH144" i="9"/>
  <c r="I144" i="9"/>
  <c r="E144" i="9"/>
  <c r="AI143" i="9"/>
  <c r="AH143" i="9"/>
  <c r="I143" i="9"/>
  <c r="E143" i="9"/>
  <c r="AI142" i="9"/>
  <c r="AH142" i="9"/>
  <c r="I142" i="9"/>
  <c r="E142" i="9"/>
  <c r="AI141" i="9"/>
  <c r="AH141" i="9"/>
  <c r="I141" i="9"/>
  <c r="E141" i="9"/>
  <c r="AI140" i="9"/>
  <c r="AH140" i="9"/>
  <c r="I140" i="9"/>
  <c r="E140" i="9"/>
  <c r="AI139" i="9"/>
  <c r="AH139" i="9"/>
  <c r="I139" i="9"/>
  <c r="E139" i="9"/>
  <c r="AI138" i="9"/>
  <c r="AH138" i="9"/>
  <c r="I138" i="9"/>
  <c r="E138" i="9"/>
  <c r="AI137" i="9"/>
  <c r="AH137" i="9"/>
  <c r="I137" i="9"/>
  <c r="E137" i="9"/>
  <c r="AI136" i="9"/>
  <c r="AH136" i="9"/>
  <c r="I136" i="9"/>
  <c r="E136" i="9"/>
  <c r="AI135" i="9"/>
  <c r="AH135" i="9"/>
  <c r="I135" i="9"/>
  <c r="E135" i="9"/>
  <c r="AI134" i="9"/>
  <c r="AH134" i="9"/>
  <c r="I134" i="9"/>
  <c r="E134" i="9"/>
  <c r="AI133" i="9"/>
  <c r="AH133" i="9"/>
  <c r="I133" i="9"/>
  <c r="E133" i="9"/>
  <c r="AI132" i="9"/>
  <c r="AH132" i="9"/>
  <c r="I132" i="9"/>
  <c r="E132" i="9"/>
  <c r="AI131" i="9"/>
  <c r="AH131" i="9"/>
  <c r="I131" i="9"/>
  <c r="E131" i="9"/>
  <c r="AI130" i="9"/>
  <c r="AH130" i="9"/>
  <c r="I130" i="9"/>
  <c r="E130" i="9"/>
  <c r="AI129" i="9"/>
  <c r="AH129" i="9"/>
  <c r="I129" i="9"/>
  <c r="E129" i="9"/>
  <c r="AI128" i="9"/>
  <c r="AH128" i="9"/>
  <c r="I128" i="9"/>
  <c r="E128" i="9"/>
  <c r="AI127" i="9"/>
  <c r="AH127" i="9"/>
  <c r="I127" i="9"/>
  <c r="E127" i="9"/>
  <c r="AI126" i="9"/>
  <c r="AH126" i="9"/>
  <c r="I126" i="9"/>
  <c r="E126" i="9"/>
  <c r="AI125" i="9"/>
  <c r="AH125" i="9"/>
  <c r="I125" i="9"/>
  <c r="E125" i="9"/>
  <c r="AI124" i="9"/>
  <c r="AH124" i="9"/>
  <c r="I124" i="9"/>
  <c r="E124" i="9"/>
  <c r="AI123" i="9"/>
  <c r="AH123" i="9"/>
  <c r="I123" i="9"/>
  <c r="E123" i="9"/>
  <c r="AI122" i="9"/>
  <c r="AH122" i="9"/>
  <c r="I122" i="9"/>
  <c r="E122" i="9"/>
  <c r="AI121" i="9"/>
  <c r="AH121" i="9"/>
  <c r="I121" i="9"/>
  <c r="E121" i="9"/>
  <c r="AI120" i="9"/>
  <c r="AH120" i="9"/>
  <c r="I120" i="9"/>
  <c r="E120" i="9"/>
  <c r="AI119" i="9"/>
  <c r="AH119" i="9"/>
  <c r="I119" i="9"/>
  <c r="E119" i="9"/>
  <c r="AI118" i="9"/>
  <c r="AH118" i="9"/>
  <c r="I118" i="9"/>
  <c r="E118" i="9"/>
  <c r="AI117" i="9"/>
  <c r="AH117" i="9"/>
  <c r="I117" i="9"/>
  <c r="E117" i="9"/>
  <c r="AI116" i="9"/>
  <c r="AH116" i="9"/>
  <c r="I116" i="9"/>
  <c r="E116" i="9"/>
  <c r="AI115" i="9"/>
  <c r="AH115" i="9"/>
  <c r="I115" i="9"/>
  <c r="E115" i="9"/>
  <c r="AI114" i="9"/>
  <c r="AH114" i="9"/>
  <c r="I114" i="9"/>
  <c r="E114" i="9"/>
  <c r="AI113" i="9"/>
  <c r="AH113" i="9"/>
  <c r="I113" i="9"/>
  <c r="E113" i="9"/>
  <c r="AI112" i="9"/>
  <c r="AH112" i="9"/>
  <c r="I112" i="9"/>
  <c r="E112" i="9"/>
  <c r="AI111" i="9"/>
  <c r="AH111" i="9"/>
  <c r="I111" i="9"/>
  <c r="E111" i="9"/>
  <c r="AI110" i="9"/>
  <c r="AH110" i="9"/>
  <c r="I110" i="9"/>
  <c r="E110" i="9"/>
  <c r="AI109" i="9"/>
  <c r="AH109" i="9"/>
  <c r="I109" i="9"/>
  <c r="E109" i="9"/>
  <c r="AI108" i="9"/>
  <c r="AH108" i="9"/>
  <c r="I108" i="9"/>
  <c r="E108" i="9"/>
  <c r="AI107" i="9"/>
  <c r="AH107" i="9"/>
  <c r="I107" i="9"/>
  <c r="E107" i="9"/>
  <c r="AI106" i="9"/>
  <c r="AH106" i="9"/>
  <c r="I106" i="9"/>
  <c r="E106" i="9"/>
  <c r="AI105" i="9"/>
  <c r="AH105" i="9"/>
  <c r="I105" i="9"/>
  <c r="E105" i="9"/>
  <c r="AI104" i="9"/>
  <c r="AH104" i="9"/>
  <c r="I104" i="9"/>
  <c r="E104" i="9"/>
  <c r="AI103" i="9"/>
  <c r="AH103" i="9"/>
  <c r="I103" i="9"/>
  <c r="E103" i="9"/>
  <c r="AI102" i="9"/>
  <c r="AH102" i="9"/>
  <c r="I102" i="9"/>
  <c r="E102" i="9"/>
  <c r="AI101" i="9"/>
  <c r="AH101" i="9"/>
  <c r="I101" i="9"/>
  <c r="E101" i="9"/>
  <c r="AI100" i="9"/>
  <c r="AH100" i="9"/>
  <c r="I100" i="9"/>
  <c r="E100" i="9"/>
  <c r="AI99" i="9"/>
  <c r="AH99" i="9"/>
  <c r="I99" i="9"/>
  <c r="E99" i="9"/>
  <c r="AI98" i="9"/>
  <c r="AH98" i="9"/>
  <c r="I98" i="9"/>
  <c r="E98" i="9"/>
  <c r="AI97" i="9"/>
  <c r="AH97" i="9"/>
  <c r="I97" i="9"/>
  <c r="E97" i="9"/>
  <c r="AI96" i="9"/>
  <c r="AH96" i="9"/>
  <c r="I96" i="9"/>
  <c r="E96" i="9"/>
  <c r="AI92" i="9"/>
  <c r="AH92" i="9"/>
  <c r="I92" i="9"/>
  <c r="E92" i="9"/>
  <c r="AI91" i="9"/>
  <c r="AH91" i="9"/>
  <c r="I91" i="9"/>
  <c r="E91" i="9"/>
  <c r="AI90" i="9"/>
  <c r="AH90" i="9"/>
  <c r="I90" i="9"/>
  <c r="E90" i="9"/>
  <c r="AI89" i="9"/>
  <c r="AH89" i="9"/>
  <c r="I89" i="9"/>
  <c r="E89" i="9"/>
  <c r="AI88" i="9"/>
  <c r="AH88" i="9"/>
  <c r="I88" i="9"/>
  <c r="E88" i="9"/>
  <c r="AI87" i="9"/>
  <c r="AH87" i="9"/>
  <c r="I87" i="9"/>
  <c r="E87" i="9"/>
  <c r="AI86" i="9"/>
  <c r="AH86" i="9"/>
  <c r="I86" i="9"/>
  <c r="E86" i="9"/>
  <c r="AI85" i="9"/>
  <c r="AH85" i="9"/>
  <c r="I85" i="9"/>
  <c r="E85" i="9"/>
  <c r="AI84" i="9"/>
  <c r="AH84" i="9"/>
  <c r="I84" i="9"/>
  <c r="E84" i="9"/>
  <c r="AI83" i="9"/>
  <c r="AH83" i="9"/>
  <c r="I83" i="9"/>
  <c r="E83" i="9"/>
  <c r="AI82" i="9"/>
  <c r="AH82" i="9"/>
  <c r="I82" i="9"/>
  <c r="E82" i="9"/>
  <c r="AI81" i="9"/>
  <c r="AH81" i="9"/>
  <c r="I81" i="9"/>
  <c r="E81" i="9"/>
  <c r="AI80" i="9"/>
  <c r="AH80" i="9"/>
  <c r="I80" i="9"/>
  <c r="E80" i="9"/>
  <c r="AI79" i="9"/>
  <c r="AH79" i="9"/>
  <c r="I79" i="9"/>
  <c r="E79" i="9"/>
  <c r="AI78" i="9"/>
  <c r="AH78" i="9"/>
  <c r="I78" i="9"/>
  <c r="E78" i="9"/>
  <c r="AI77" i="9"/>
  <c r="AH77" i="9"/>
  <c r="I77" i="9"/>
  <c r="E77" i="9"/>
  <c r="AI76" i="9"/>
  <c r="AH76" i="9"/>
  <c r="I76" i="9"/>
  <c r="E76" i="9"/>
  <c r="AI75" i="9"/>
  <c r="AH75" i="9"/>
  <c r="I75" i="9"/>
  <c r="E75" i="9"/>
  <c r="AI74" i="9"/>
  <c r="AH74" i="9"/>
  <c r="I74" i="9"/>
  <c r="E74" i="9"/>
  <c r="AI73" i="9"/>
  <c r="AH73" i="9"/>
  <c r="I73" i="9"/>
  <c r="E73" i="9"/>
  <c r="AI72" i="9"/>
  <c r="AH72" i="9"/>
  <c r="I72" i="9"/>
  <c r="E72" i="9"/>
  <c r="AI71" i="9"/>
  <c r="AH71" i="9"/>
  <c r="I71" i="9"/>
  <c r="E71" i="9"/>
  <c r="AI70" i="9"/>
  <c r="AH70" i="9"/>
  <c r="I70" i="9"/>
  <c r="E70" i="9"/>
  <c r="AI69" i="9"/>
  <c r="AH69" i="9"/>
  <c r="I69" i="9"/>
  <c r="E69" i="9"/>
  <c r="AI68" i="9"/>
  <c r="AH68" i="9"/>
  <c r="I68" i="9"/>
  <c r="E68" i="9"/>
  <c r="AI67" i="9"/>
  <c r="AH67" i="9"/>
  <c r="I67" i="9"/>
  <c r="E67" i="9"/>
  <c r="AI66" i="9"/>
  <c r="AH66" i="9"/>
  <c r="I66" i="9"/>
  <c r="E66" i="9"/>
  <c r="AI65" i="9"/>
  <c r="AH65" i="9"/>
  <c r="I65" i="9"/>
  <c r="E65" i="9"/>
  <c r="AI64" i="9"/>
  <c r="AH64" i="9"/>
  <c r="I64" i="9"/>
  <c r="E64" i="9"/>
  <c r="AI63" i="9"/>
  <c r="AH63" i="9"/>
  <c r="I63" i="9"/>
  <c r="E63" i="9"/>
  <c r="AI62" i="9"/>
  <c r="AH62" i="9"/>
  <c r="I62" i="9"/>
  <c r="E62" i="9"/>
  <c r="AI61" i="9"/>
  <c r="AH61" i="9"/>
  <c r="I61" i="9"/>
  <c r="E61" i="9"/>
  <c r="AI60" i="9"/>
  <c r="AH60" i="9"/>
  <c r="I60" i="9"/>
  <c r="E60" i="9"/>
  <c r="AI57" i="9"/>
  <c r="AH57" i="9"/>
  <c r="I57" i="9"/>
  <c r="E57" i="9"/>
  <c r="AI56" i="9"/>
  <c r="AH56" i="9"/>
  <c r="I56" i="9"/>
  <c r="E56" i="9"/>
  <c r="AI55" i="9"/>
  <c r="AH55" i="9"/>
  <c r="I55" i="9"/>
  <c r="E55" i="9"/>
  <c r="AI54" i="9"/>
  <c r="AH54" i="9"/>
  <c r="I54" i="9"/>
  <c r="E54" i="9"/>
  <c r="AI53" i="9"/>
  <c r="AH53" i="9"/>
  <c r="I53" i="9"/>
  <c r="E53" i="9"/>
  <c r="AI52" i="9"/>
  <c r="AH52" i="9"/>
  <c r="I52" i="9"/>
  <c r="E52" i="9"/>
  <c r="AI51" i="9"/>
  <c r="AH51" i="9"/>
  <c r="I51" i="9"/>
  <c r="E51" i="9"/>
  <c r="AI50" i="9"/>
  <c r="AH50" i="9"/>
  <c r="I50" i="9"/>
  <c r="E50" i="9"/>
  <c r="AI49" i="9"/>
  <c r="AH49" i="9"/>
  <c r="I49" i="9"/>
  <c r="E49" i="9"/>
  <c r="AI48" i="9"/>
  <c r="AH48" i="9"/>
  <c r="I48" i="9"/>
  <c r="E48" i="9"/>
  <c r="AI47" i="9"/>
  <c r="AH47" i="9"/>
  <c r="I47" i="9"/>
  <c r="E47" i="9"/>
  <c r="AI46" i="9"/>
  <c r="AH46" i="9"/>
  <c r="I46" i="9"/>
  <c r="E46" i="9"/>
  <c r="AI45" i="9"/>
  <c r="AH45" i="9"/>
  <c r="I45" i="9"/>
  <c r="E45" i="9"/>
  <c r="AI44" i="9"/>
  <c r="AH44" i="9"/>
  <c r="I44" i="9"/>
  <c r="E44" i="9"/>
  <c r="AI43" i="9"/>
  <c r="AH43" i="9"/>
  <c r="I43" i="9"/>
  <c r="E43" i="9"/>
  <c r="AI42" i="9"/>
  <c r="AH42" i="9"/>
  <c r="I42" i="9"/>
  <c r="E42" i="9"/>
  <c r="AI41" i="9"/>
  <c r="AH41" i="9"/>
  <c r="I41" i="9"/>
  <c r="E41" i="9"/>
  <c r="AI40" i="9"/>
  <c r="AH40" i="9"/>
  <c r="I40" i="9"/>
  <c r="E40" i="9"/>
  <c r="AI39" i="9"/>
  <c r="AH39" i="9"/>
  <c r="I39" i="9"/>
  <c r="E39" i="9"/>
  <c r="AI38" i="9"/>
  <c r="AH38" i="9"/>
  <c r="I38" i="9"/>
  <c r="E38" i="9"/>
  <c r="AI37" i="9"/>
  <c r="AH37" i="9"/>
  <c r="I37" i="9"/>
  <c r="E37" i="9"/>
  <c r="AI36" i="9"/>
  <c r="AH36" i="9"/>
  <c r="I36" i="9"/>
  <c r="E36" i="9"/>
  <c r="AI35" i="9"/>
  <c r="AH35" i="9"/>
  <c r="I35" i="9"/>
  <c r="E35" i="9"/>
  <c r="AI34" i="9"/>
  <c r="AH34" i="9"/>
  <c r="I34" i="9"/>
  <c r="E34" i="9"/>
  <c r="AI33" i="9"/>
  <c r="AH33" i="9"/>
  <c r="I33" i="9"/>
  <c r="E33" i="9"/>
  <c r="AI32" i="9"/>
  <c r="AH32" i="9"/>
  <c r="I32" i="9"/>
  <c r="E32" i="9"/>
  <c r="AI29" i="9"/>
  <c r="I29" i="9"/>
  <c r="E29" i="9"/>
  <c r="AI28" i="9"/>
  <c r="AH28" i="9"/>
  <c r="I28" i="9"/>
  <c r="E28" i="9"/>
  <c r="AI27" i="9"/>
  <c r="AH27" i="9"/>
  <c r="I27" i="9"/>
  <c r="E27" i="9"/>
  <c r="AI26" i="9"/>
  <c r="AH26" i="9"/>
  <c r="I26" i="9"/>
  <c r="E26" i="9"/>
  <c r="AI25" i="9"/>
  <c r="AH25" i="9"/>
  <c r="I25" i="9"/>
  <c r="E25" i="9"/>
  <c r="AI24" i="9"/>
  <c r="AH24" i="9"/>
  <c r="I24" i="9"/>
  <c r="E24" i="9"/>
  <c r="AI23" i="9"/>
  <c r="AH23" i="9"/>
  <c r="I23" i="9"/>
  <c r="E23" i="9"/>
  <c r="AI22" i="9"/>
  <c r="AH22" i="9"/>
  <c r="I22" i="9"/>
  <c r="E22" i="9"/>
  <c r="AI21" i="9"/>
  <c r="AH21" i="9"/>
  <c r="I21" i="9"/>
  <c r="E21" i="9"/>
  <c r="AI20" i="9"/>
  <c r="AH20" i="9"/>
  <c r="I20" i="9"/>
  <c r="E20" i="9"/>
  <c r="AI19" i="9"/>
  <c r="AH19" i="9"/>
  <c r="I19" i="9"/>
  <c r="E19" i="9"/>
  <c r="AI18" i="9"/>
  <c r="AH18" i="9"/>
  <c r="I18" i="9"/>
  <c r="E18" i="9"/>
  <c r="AI17" i="9"/>
  <c r="AH17" i="9"/>
  <c r="I17" i="9"/>
  <c r="E17" i="9"/>
  <c r="AI16" i="9"/>
  <c r="AH16" i="9"/>
  <c r="I16" i="9"/>
  <c r="E16" i="9"/>
  <c r="AI15" i="9"/>
  <c r="AH15" i="9"/>
  <c r="I15" i="9"/>
  <c r="E15" i="9"/>
  <c r="AI14" i="9"/>
  <c r="AH14" i="9"/>
  <c r="I14" i="9"/>
  <c r="E14" i="9"/>
  <c r="AI13" i="9"/>
  <c r="AH13" i="9"/>
  <c r="I13" i="9"/>
  <c r="E13" i="9"/>
  <c r="AI12" i="9"/>
  <c r="AH12" i="9"/>
  <c r="I12" i="9"/>
  <c r="E12" i="9"/>
  <c r="AI11" i="9"/>
  <c r="AH11" i="9"/>
  <c r="I11" i="9"/>
  <c r="E11" i="9"/>
  <c r="AI10" i="9"/>
  <c r="AH10" i="9"/>
  <c r="I10" i="9"/>
  <c r="E10" i="9"/>
  <c r="AI9" i="9"/>
  <c r="AH9" i="9"/>
  <c r="I9" i="9"/>
  <c r="E9" i="9"/>
  <c r="AI8" i="9"/>
  <c r="AH8" i="9"/>
  <c r="I8" i="9"/>
  <c r="E8" i="9"/>
  <c r="AI7" i="9"/>
  <c r="AH7" i="9"/>
  <c r="I7" i="9"/>
  <c r="E7" i="9"/>
  <c r="AI6" i="9"/>
  <c r="AH6" i="9"/>
  <c r="I6" i="9"/>
  <c r="E6" i="9"/>
  <c r="BF110" i="2" l="1"/>
  <c r="BD58" i="3" s="1"/>
  <c r="CG110" i="2"/>
  <c r="CE58" i="3" s="1"/>
  <c r="BL110" i="2"/>
  <c r="BJ58" i="3" s="1"/>
  <c r="BA110" i="2"/>
  <c r="AY58" i="3" s="1"/>
  <c r="AP110" i="2"/>
  <c r="U110" i="2"/>
  <c r="S58" i="3" s="1"/>
  <c r="G64" i="2" a="1"/>
  <c r="G64" i="2" s="1"/>
  <c r="Y16" i="2"/>
  <c r="H67" i="2"/>
  <c r="F35" i="3" s="1"/>
  <c r="G70" i="2" a="1"/>
  <c r="G70" i="2" s="1"/>
  <c r="O70" i="2" s="1"/>
  <c r="M38" i="3" s="1"/>
  <c r="W73" i="2"/>
  <c r="U41" i="3" s="1"/>
  <c r="BV73" i="2"/>
  <c r="BT41" i="3" s="1"/>
  <c r="G82" i="2" a="1"/>
  <c r="G82" i="2" s="1"/>
  <c r="S116" i="2"/>
  <c r="Q64" i="3" s="1"/>
  <c r="CJ116" i="2"/>
  <c r="CH64" i="3" s="1"/>
  <c r="BO117" i="2"/>
  <c r="BM65" i="3" s="1"/>
  <c r="AV124" i="2"/>
  <c r="AT72" i="3" s="1"/>
  <c r="G162" i="2" a="1"/>
  <c r="G162" i="2" s="1"/>
  <c r="L162" i="2" s="1"/>
  <c r="J90" i="3" s="1"/>
  <c r="G211" i="2" a="1"/>
  <c r="G211" i="2" s="1"/>
  <c r="H71" i="2"/>
  <c r="G196" i="2" a="1"/>
  <c r="G196" i="2" s="1"/>
  <c r="BU16" i="2"/>
  <c r="H70" i="2"/>
  <c r="CL70" i="2" s="1"/>
  <c r="CJ38" i="3" s="1"/>
  <c r="X73" i="2"/>
  <c r="V41" i="3" s="1"/>
  <c r="BW73" i="2"/>
  <c r="BU41" i="3" s="1"/>
  <c r="H82" i="2"/>
  <c r="BK82" i="2" s="1"/>
  <c r="BI50" i="3" s="1"/>
  <c r="AE116" i="2"/>
  <c r="AC64" i="3" s="1"/>
  <c r="CN117" i="2"/>
  <c r="CL65" i="3" s="1"/>
  <c r="G124" i="2" a="1"/>
  <c r="G124" i="2" s="1"/>
  <c r="AY124" i="2"/>
  <c r="AW72" i="3" s="1"/>
  <c r="G207" i="2" a="1"/>
  <c r="G207" i="2" s="1"/>
  <c r="G210" i="2" a="1"/>
  <c r="G210" i="2" s="1"/>
  <c r="H35" i="2" a="1"/>
  <c r="H35" i="2" s="1"/>
  <c r="AP35" i="2" s="1"/>
  <c r="H61" i="2"/>
  <c r="G67" i="2" a="1"/>
  <c r="G67" i="2" s="1"/>
  <c r="CK16" i="2"/>
  <c r="AA73" i="2"/>
  <c r="Y41" i="3" s="1"/>
  <c r="CA73" i="2"/>
  <c r="BY41" i="3" s="1"/>
  <c r="AI116" i="2"/>
  <c r="AG64" i="3" s="1"/>
  <c r="BT124" i="2"/>
  <c r="BR72" i="3" s="1"/>
  <c r="H210" i="2" a="1"/>
  <c r="H210" i="2" s="1"/>
  <c r="AX210" i="2" s="1"/>
  <c r="AV118" i="3" s="1"/>
  <c r="AL73" i="2"/>
  <c r="AJ41" i="3" s="1"/>
  <c r="AU116" i="2"/>
  <c r="AS64" i="3" s="1"/>
  <c r="G62" i="2" a="1"/>
  <c r="G62" i="2" s="1"/>
  <c r="P62" i="2" s="1"/>
  <c r="AV73" i="2"/>
  <c r="AT41" i="3" s="1"/>
  <c r="G107" i="2" a="1"/>
  <c r="G107" i="2" s="1"/>
  <c r="H112" i="2"/>
  <c r="BR112" i="2" s="1"/>
  <c r="BP60" i="3" s="1"/>
  <c r="AZ116" i="2"/>
  <c r="AX64" i="3" s="1"/>
  <c r="CN124" i="2"/>
  <c r="CL72" i="3" s="1"/>
  <c r="CJ73" i="2"/>
  <c r="CH41" i="3" s="1"/>
  <c r="AX73" i="2"/>
  <c r="AV41" i="3" s="1"/>
  <c r="H74" i="2"/>
  <c r="BG74" i="2" s="1"/>
  <c r="BE42" i="3" s="1"/>
  <c r="BL116" i="2"/>
  <c r="BJ64" i="3" s="1"/>
  <c r="G167" i="2" a="1"/>
  <c r="G167" i="2" s="1"/>
  <c r="P167" i="2" s="1"/>
  <c r="H191" i="2" a="1"/>
  <c r="H191" i="2" s="1"/>
  <c r="CD191" i="2" s="1"/>
  <c r="CB99" i="3" s="1"/>
  <c r="G16" i="2"/>
  <c r="E35" i="3"/>
  <c r="P67" i="2"/>
  <c r="V81" i="2"/>
  <c r="T49" i="3" s="1"/>
  <c r="CH81" i="2"/>
  <c r="CF49" i="3" s="1"/>
  <c r="H22" i="2" a="1"/>
  <c r="H22" i="2" s="1"/>
  <c r="AP81" i="2"/>
  <c r="H33" i="2" a="1"/>
  <c r="H33" i="2" s="1"/>
  <c r="BH74" i="2"/>
  <c r="BF42" i="3" s="1"/>
  <c r="H78" i="2"/>
  <c r="AD81" i="2"/>
  <c r="AB49" i="3" s="1"/>
  <c r="AT81" i="2"/>
  <c r="AR49" i="3" s="1"/>
  <c r="BJ81" i="2"/>
  <c r="BH49" i="3" s="1"/>
  <c r="BZ81" i="2"/>
  <c r="BX49" i="3" s="1"/>
  <c r="CP81" i="2"/>
  <c r="BO82" i="2"/>
  <c r="BM50" i="3" s="1"/>
  <c r="H103" i="2"/>
  <c r="V116" i="2"/>
  <c r="T64" i="3" s="1"/>
  <c r="AN116" i="2"/>
  <c r="AL64" i="3" s="1"/>
  <c r="BD116" i="2"/>
  <c r="BB64" i="3" s="1"/>
  <c r="BV116" i="2"/>
  <c r="BT64" i="3" s="1"/>
  <c r="CP116" i="2"/>
  <c r="CB167" i="2"/>
  <c r="BZ95" i="3" s="1"/>
  <c r="BR81" i="2"/>
  <c r="BP49" i="3" s="1"/>
  <c r="H18" i="2" a="1"/>
  <c r="H18" i="2" s="1"/>
  <c r="AU74" i="2"/>
  <c r="AS42" i="3" s="1"/>
  <c r="BF81" i="2"/>
  <c r="BD49" i="3" s="1"/>
  <c r="AW16" i="2"/>
  <c r="G20" i="2" a="1"/>
  <c r="G20" i="2" s="1"/>
  <c r="G24" i="2" a="1"/>
  <c r="G24" i="2" s="1"/>
  <c r="G28" i="2" a="1"/>
  <c r="G28" i="2" s="1"/>
  <c r="E17" i="3" s="1"/>
  <c r="CD35" i="2"/>
  <c r="CB24" i="3" s="1"/>
  <c r="H37" i="2" a="1"/>
  <c r="H37" i="2" s="1"/>
  <c r="R61" i="2"/>
  <c r="P29" i="3" s="1"/>
  <c r="AX61" i="2"/>
  <c r="AV29" i="3" s="1"/>
  <c r="CD61" i="2"/>
  <c r="CB29" i="3" s="1"/>
  <c r="H69" i="2"/>
  <c r="AE71" i="2"/>
  <c r="AC39" i="3" s="1"/>
  <c r="BU71" i="2"/>
  <c r="BS39" i="3" s="1"/>
  <c r="AM73" i="2"/>
  <c r="AK41" i="3" s="1"/>
  <c r="BL73" i="2"/>
  <c r="BJ41" i="3" s="1"/>
  <c r="CL73" i="2"/>
  <c r="CJ41" i="3" s="1"/>
  <c r="T74" i="2"/>
  <c r="R42" i="3" s="1"/>
  <c r="BS74" i="2"/>
  <c r="BQ42" i="3" s="1"/>
  <c r="G77" i="2" a="1"/>
  <c r="G77" i="2" s="1"/>
  <c r="AE81" i="2"/>
  <c r="AC49" i="3" s="1"/>
  <c r="AU81" i="2"/>
  <c r="AS49" i="3" s="1"/>
  <c r="BK81" i="2"/>
  <c r="BI49" i="3" s="1"/>
  <c r="CA81" i="2"/>
  <c r="BY49" i="3" s="1"/>
  <c r="CQ81" i="2"/>
  <c r="S82" i="2"/>
  <c r="Q50" i="3" s="1"/>
  <c r="BS82" i="2"/>
  <c r="BQ50" i="3" s="1"/>
  <c r="H108" i="2"/>
  <c r="Z110" i="2"/>
  <c r="X58" i="3" s="1"/>
  <c r="BQ110" i="2"/>
  <c r="X116" i="2"/>
  <c r="V64" i="3" s="1"/>
  <c r="AP116" i="2"/>
  <c r="BF116" i="2"/>
  <c r="BD64" i="3" s="1"/>
  <c r="BW116" i="2"/>
  <c r="BU64" i="3" s="1"/>
  <c r="CQ116" i="2"/>
  <c r="AG117" i="2"/>
  <c r="AE65" i="3" s="1"/>
  <c r="AJ124" i="2"/>
  <c r="AH72" i="3" s="1"/>
  <c r="CB124" i="2"/>
  <c r="BZ72" i="3" s="1"/>
  <c r="G159" i="2" a="1"/>
  <c r="G159" i="2" s="1"/>
  <c r="L159" i="2" s="1"/>
  <c r="J87" i="3" s="1"/>
  <c r="H161" i="2" a="1"/>
  <c r="H161" i="2" s="1"/>
  <c r="G201" i="2" a="1"/>
  <c r="G201" i="2" s="1"/>
  <c r="CG74" i="2"/>
  <c r="CE42" i="3" s="1"/>
  <c r="H26" i="2" a="1"/>
  <c r="H26" i="2" s="1"/>
  <c r="Z81" i="2"/>
  <c r="X49" i="3" s="1"/>
  <c r="CL81" i="2"/>
  <c r="CJ49" i="3" s="1"/>
  <c r="AO16" i="2"/>
  <c r="G65" i="2" a="1"/>
  <c r="G65" i="2" s="1"/>
  <c r="BE16" i="2"/>
  <c r="H20" i="2" a="1"/>
  <c r="H20" i="2" s="1"/>
  <c r="BD20" i="2" s="1"/>
  <c r="BB9" i="3" s="1"/>
  <c r="H24" i="2" a="1"/>
  <c r="H24" i="2" s="1"/>
  <c r="H28" i="2" a="1"/>
  <c r="H28" i="2" s="1"/>
  <c r="AO35" i="2"/>
  <c r="AM24" i="3" s="1"/>
  <c r="S61" i="2"/>
  <c r="Q29" i="3" s="1"/>
  <c r="AY61" i="2"/>
  <c r="AW29" i="3" s="1"/>
  <c r="CE61" i="2"/>
  <c r="CC29" i="3" s="1"/>
  <c r="AF71" i="2"/>
  <c r="AD39" i="3" s="1"/>
  <c r="BX71" i="2"/>
  <c r="BV39" i="3" s="1"/>
  <c r="AN73" i="2"/>
  <c r="AL41" i="3" s="1"/>
  <c r="BN73" i="2"/>
  <c r="BL41" i="3" s="1"/>
  <c r="CM73" i="2"/>
  <c r="CK41" i="3" s="1"/>
  <c r="U74" i="2"/>
  <c r="S42" i="3" s="1"/>
  <c r="BT74" i="2"/>
  <c r="BR42" i="3" s="1"/>
  <c r="R81" i="2"/>
  <c r="P49" i="3" s="1"/>
  <c r="AH81" i="2"/>
  <c r="AF49" i="3" s="1"/>
  <c r="AX81" i="2"/>
  <c r="AV49" i="3" s="1"/>
  <c r="BN81" i="2"/>
  <c r="BL49" i="3" s="1"/>
  <c r="CD81" i="2"/>
  <c r="CB49" i="3" s="1"/>
  <c r="X82" i="2"/>
  <c r="V50" i="3" s="1"/>
  <c r="CE82" i="2"/>
  <c r="CC50" i="3" s="1"/>
  <c r="AF110" i="2"/>
  <c r="AD58" i="3" s="1"/>
  <c r="BV110" i="2"/>
  <c r="BT58" i="3" s="1"/>
  <c r="J116" i="2"/>
  <c r="H64" i="3" s="1"/>
  <c r="Z116" i="2"/>
  <c r="X64" i="3" s="1"/>
  <c r="AQ116" i="2"/>
  <c r="BJ116" i="2"/>
  <c r="BH64" i="3" s="1"/>
  <c r="BZ116" i="2"/>
  <c r="BX64" i="3" s="1"/>
  <c r="AR117" i="2"/>
  <c r="AP65" i="3" s="1"/>
  <c r="G123" i="2" a="1"/>
  <c r="G123" i="2" s="1"/>
  <c r="AN124" i="2"/>
  <c r="AL72" i="3" s="1"/>
  <c r="CE124" i="2"/>
  <c r="CC72" i="3" s="1"/>
  <c r="G164" i="2" a="1"/>
  <c r="G164" i="2" s="1"/>
  <c r="G191" i="2" a="1"/>
  <c r="G191" i="2" s="1"/>
  <c r="P191" i="2" s="1"/>
  <c r="G197" i="2" a="1"/>
  <c r="G197" i="2" s="1"/>
  <c r="P197" i="2" s="1"/>
  <c r="BB81" i="2"/>
  <c r="AZ49" i="3" s="1"/>
  <c r="CM82" i="2"/>
  <c r="CK50" i="3" s="1"/>
  <c r="L120" i="3"/>
  <c r="BM16" i="2"/>
  <c r="Z61" i="2"/>
  <c r="X29" i="3" s="1"/>
  <c r="BF61" i="2"/>
  <c r="BD29" i="3" s="1"/>
  <c r="CL61" i="2"/>
  <c r="CJ29" i="3" s="1"/>
  <c r="AF74" i="2"/>
  <c r="AD42" i="3" s="1"/>
  <c r="CF74" i="2"/>
  <c r="CD42" i="3" s="1"/>
  <c r="S81" i="2"/>
  <c r="Q49" i="3" s="1"/>
  <c r="AI81" i="2"/>
  <c r="AG49" i="3" s="1"/>
  <c r="AY81" i="2"/>
  <c r="AW49" i="3" s="1"/>
  <c r="BO81" i="2"/>
  <c r="BM49" i="3" s="1"/>
  <c r="CE81" i="2"/>
  <c r="CC49" i="3" s="1"/>
  <c r="AA82" i="2"/>
  <c r="Y50" i="3" s="1"/>
  <c r="CJ82" i="2"/>
  <c r="CH50" i="3" s="1"/>
  <c r="AK110" i="2"/>
  <c r="AI58" i="3" s="1"/>
  <c r="CB110" i="2"/>
  <c r="BZ58" i="3" s="1"/>
  <c r="AD116" i="2"/>
  <c r="AB64" i="3" s="1"/>
  <c r="AT116" i="2"/>
  <c r="AR64" i="3" s="1"/>
  <c r="BK116" i="2"/>
  <c r="BI64" i="3" s="1"/>
  <c r="CA116" i="2"/>
  <c r="BY64" i="3" s="1"/>
  <c r="BC117" i="2"/>
  <c r="BA65" i="3" s="1"/>
  <c r="AI74" i="2"/>
  <c r="AG42" i="3" s="1"/>
  <c r="AL81" i="2"/>
  <c r="AJ49" i="3" s="1"/>
  <c r="AN82" i="2"/>
  <c r="AL50" i="3" s="1"/>
  <c r="CC16" i="2"/>
  <c r="G18" i="2" a="1"/>
  <c r="G18" i="2" s="1"/>
  <c r="G22" i="2" a="1"/>
  <c r="G22" i="2" s="1"/>
  <c r="P22" i="2" s="1"/>
  <c r="G26" i="2" a="1"/>
  <c r="G26" i="2" s="1"/>
  <c r="G30" i="2" a="1"/>
  <c r="G30" i="2" s="1"/>
  <c r="AX35" i="2"/>
  <c r="AV24" i="3" s="1"/>
  <c r="J61" i="2"/>
  <c r="H29" i="3" s="1"/>
  <c r="AH61" i="2"/>
  <c r="AF29" i="3" s="1"/>
  <c r="BN61" i="2"/>
  <c r="BL29" i="3" s="1"/>
  <c r="H64" i="2"/>
  <c r="Z73" i="2"/>
  <c r="X41" i="3" s="1"/>
  <c r="AY73" i="2"/>
  <c r="AW41" i="3" s="1"/>
  <c r="BZ73" i="2"/>
  <c r="BX41" i="3" s="1"/>
  <c r="AS74" i="2"/>
  <c r="AQ42" i="3" s="1"/>
  <c r="W81" i="2"/>
  <c r="U49" i="3" s="1"/>
  <c r="AM81" i="2"/>
  <c r="AK49" i="3" s="1"/>
  <c r="BC81" i="2"/>
  <c r="BA49" i="3" s="1"/>
  <c r="BS81" i="2"/>
  <c r="BQ49" i="3" s="1"/>
  <c r="CI81" i="2"/>
  <c r="CG49" i="3" s="1"/>
  <c r="AU82" i="2"/>
  <c r="AS50" i="3" s="1"/>
  <c r="H107" i="2"/>
  <c r="AV110" i="2"/>
  <c r="AT58" i="3" s="1"/>
  <c r="CL110" i="2"/>
  <c r="CJ58" i="3" s="1"/>
  <c r="G112" i="2" a="1"/>
  <c r="G112" i="2" s="1"/>
  <c r="L112" i="2" s="1"/>
  <c r="J60" i="3" s="1"/>
  <c r="AF116" i="2"/>
  <c r="AD64" i="3" s="1"/>
  <c r="AY116" i="2"/>
  <c r="AW64" i="3" s="1"/>
  <c r="BO116" i="2"/>
  <c r="BM64" i="3" s="1"/>
  <c r="CF116" i="2"/>
  <c r="CD64" i="3" s="1"/>
  <c r="G120" i="2" a="1"/>
  <c r="G120" i="2" s="1"/>
  <c r="BG124" i="2"/>
  <c r="BE72" i="3" s="1"/>
  <c r="AF167" i="2"/>
  <c r="AD95" i="3" s="1"/>
  <c r="G195" i="2" a="1"/>
  <c r="G195" i="2" s="1"/>
  <c r="S124" i="2"/>
  <c r="Q72" i="3" s="1"/>
  <c r="BH124" i="2"/>
  <c r="BF72" i="3" s="1"/>
  <c r="G156" i="2" a="1"/>
  <c r="G156" i="2" s="1"/>
  <c r="AV167" i="2"/>
  <c r="AT95" i="3" s="1"/>
  <c r="G190" i="2" a="1"/>
  <c r="G190" i="2" s="1"/>
  <c r="P190" i="2" s="1"/>
  <c r="G193" i="2" a="1"/>
  <c r="G193" i="2" s="1"/>
  <c r="P193" i="2" s="1"/>
  <c r="H195" i="2" a="1"/>
  <c r="H195" i="2" s="1"/>
  <c r="G199" i="2" a="1"/>
  <c r="G199" i="2" s="1"/>
  <c r="J81" i="2"/>
  <c r="H49" i="3" s="1"/>
  <c r="BV81" i="2"/>
  <c r="BT49" i="3" s="1"/>
  <c r="AV82" i="2"/>
  <c r="AT50" i="3" s="1"/>
  <c r="G106" i="2" a="1"/>
  <c r="G106" i="2" s="1"/>
  <c r="G119" i="2" a="1"/>
  <c r="G119" i="2" s="1"/>
  <c r="O119" i="2" s="1"/>
  <c r="M67" i="3" s="1"/>
  <c r="H120" i="2"/>
  <c r="AG16" i="2"/>
  <c r="BU35" i="2"/>
  <c r="BS24" i="3" s="1"/>
  <c r="G38" i="2" a="1"/>
  <c r="G38" i="2" s="1"/>
  <c r="AP61" i="2"/>
  <c r="BV61" i="2"/>
  <c r="BT29" i="3" s="1"/>
  <c r="H62" i="2"/>
  <c r="U71" i="2"/>
  <c r="S39" i="3" s="1"/>
  <c r="AI73" i="2"/>
  <c r="AG41" i="3" s="1"/>
  <c r="BJ73" i="2"/>
  <c r="BH41" i="3" s="1"/>
  <c r="CI73" i="2"/>
  <c r="CG41" i="3" s="1"/>
  <c r="G78" i="2" a="1"/>
  <c r="G78" i="2" s="1"/>
  <c r="AA81" i="2"/>
  <c r="Y49" i="3" s="1"/>
  <c r="AQ81" i="2"/>
  <c r="BG81" i="2"/>
  <c r="BE49" i="3" s="1"/>
  <c r="BW81" i="2"/>
  <c r="BU49" i="3" s="1"/>
  <c r="CM81" i="2"/>
  <c r="CK49" i="3" s="1"/>
  <c r="G103" i="2" a="1"/>
  <c r="G103" i="2" s="1"/>
  <c r="H109" i="2"/>
  <c r="G116" i="2" a="1"/>
  <c r="G116" i="2" s="1"/>
  <c r="T116" i="2"/>
  <c r="R64" i="3" s="1"/>
  <c r="AJ116" i="2"/>
  <c r="AH64" i="3" s="1"/>
  <c r="BB116" i="2"/>
  <c r="AZ64" i="3" s="1"/>
  <c r="BT116" i="2"/>
  <c r="BR64" i="3" s="1"/>
  <c r="AA124" i="2"/>
  <c r="Y72" i="3" s="1"/>
  <c r="H156" i="2" a="1"/>
  <c r="H156" i="2" s="1"/>
  <c r="BL167" i="2"/>
  <c r="BJ95" i="3" s="1"/>
  <c r="H190" i="2" a="1"/>
  <c r="H190" i="2" s="1"/>
  <c r="H193" i="2" a="1"/>
  <c r="H193" i="2" s="1"/>
  <c r="BT20" i="2"/>
  <c r="BR9" i="3" s="1"/>
  <c r="AN20" i="2"/>
  <c r="AL9" i="3" s="1"/>
  <c r="CI20" i="2"/>
  <c r="CG9" i="3" s="1"/>
  <c r="BC20" i="2"/>
  <c r="BA9" i="3" s="1"/>
  <c r="W20" i="2"/>
  <c r="U9" i="3" s="1"/>
  <c r="CH20" i="2"/>
  <c r="CF9" i="3" s="1"/>
  <c r="BB20" i="2"/>
  <c r="AZ9" i="3" s="1"/>
  <c r="V20" i="2"/>
  <c r="T9" i="3" s="1"/>
  <c r="CG20" i="2"/>
  <c r="CE9" i="3" s="1"/>
  <c r="BA20" i="2"/>
  <c r="AY9" i="3" s="1"/>
  <c r="U20" i="2"/>
  <c r="S9" i="3" s="1"/>
  <c r="BX20" i="2"/>
  <c r="BV9" i="3" s="1"/>
  <c r="AR20" i="2"/>
  <c r="AP9" i="3" s="1"/>
  <c r="AG20" i="2"/>
  <c r="AE9" i="3" s="1"/>
  <c r="BO20" i="2"/>
  <c r="BM9" i="3" s="1"/>
  <c r="AI20" i="2"/>
  <c r="AG9" i="3" s="1"/>
  <c r="AW20" i="2"/>
  <c r="AU9" i="3" s="1"/>
  <c r="BN20" i="2"/>
  <c r="BL9" i="3" s="1"/>
  <c r="AH20" i="2"/>
  <c r="AF9" i="3" s="1"/>
  <c r="BM20" i="2"/>
  <c r="BK9" i="3" s="1"/>
  <c r="F13" i="3"/>
  <c r="CJ24" i="2"/>
  <c r="CH13" i="3" s="1"/>
  <c r="CB24" i="2"/>
  <c r="BZ13" i="3" s="1"/>
  <c r="BT24" i="2"/>
  <c r="BR13" i="3" s="1"/>
  <c r="BL24" i="2"/>
  <c r="BJ13" i="3" s="1"/>
  <c r="BD24" i="2"/>
  <c r="BB13" i="3" s="1"/>
  <c r="AV24" i="2"/>
  <c r="AT13" i="3" s="1"/>
  <c r="AN24" i="2"/>
  <c r="AL13" i="3" s="1"/>
  <c r="AF24" i="2"/>
  <c r="AD13" i="3" s="1"/>
  <c r="X24" i="2"/>
  <c r="V13" i="3" s="1"/>
  <c r="CQ24" i="2"/>
  <c r="CI24" i="2"/>
  <c r="CG13" i="3" s="1"/>
  <c r="CA24" i="2"/>
  <c r="BY13" i="3" s="1"/>
  <c r="BS24" i="2"/>
  <c r="BQ13" i="3" s="1"/>
  <c r="BK24" i="2"/>
  <c r="BI13" i="3" s="1"/>
  <c r="BC24" i="2"/>
  <c r="BA13" i="3" s="1"/>
  <c r="AU24" i="2"/>
  <c r="AS13" i="3" s="1"/>
  <c r="AM24" i="2"/>
  <c r="AK13" i="3" s="1"/>
  <c r="AE24" i="2"/>
  <c r="AC13" i="3" s="1"/>
  <c r="W24" i="2"/>
  <c r="U13" i="3" s="1"/>
  <c r="AO24" i="2"/>
  <c r="AM13" i="3" s="1"/>
  <c r="CP24" i="2"/>
  <c r="CH24" i="2"/>
  <c r="CF13" i="3" s="1"/>
  <c r="BZ24" i="2"/>
  <c r="BX13" i="3" s="1"/>
  <c r="BR24" i="2"/>
  <c r="BP13" i="3" s="1"/>
  <c r="BJ24" i="2"/>
  <c r="BH13" i="3" s="1"/>
  <c r="BB24" i="2"/>
  <c r="AZ13" i="3" s="1"/>
  <c r="AT24" i="2"/>
  <c r="AR13" i="3" s="1"/>
  <c r="AL24" i="2"/>
  <c r="AJ13" i="3" s="1"/>
  <c r="AD24" i="2"/>
  <c r="AB13" i="3" s="1"/>
  <c r="V24" i="2"/>
  <c r="T13" i="3" s="1"/>
  <c r="CC24" i="2"/>
  <c r="CA13" i="3" s="1"/>
  <c r="AG24" i="2"/>
  <c r="AE13" i="3" s="1"/>
  <c r="CO24" i="2"/>
  <c r="CM13" i="3" s="1"/>
  <c r="CG24" i="2"/>
  <c r="CE13" i="3" s="1"/>
  <c r="BY24" i="2"/>
  <c r="BW13" i="3" s="1"/>
  <c r="BQ24" i="2"/>
  <c r="BI24" i="2"/>
  <c r="BG13" i="3" s="1"/>
  <c r="BA24" i="2"/>
  <c r="AY13" i="3" s="1"/>
  <c r="AS24" i="2"/>
  <c r="AQ13" i="3" s="1"/>
  <c r="AK24" i="2"/>
  <c r="AI13" i="3" s="1"/>
  <c r="AC24" i="2"/>
  <c r="AA13" i="3" s="1"/>
  <c r="U24" i="2"/>
  <c r="S13" i="3" s="1"/>
  <c r="BM24" i="2"/>
  <c r="BK13" i="3" s="1"/>
  <c r="Y24" i="2"/>
  <c r="W13" i="3" s="1"/>
  <c r="CN24" i="2"/>
  <c r="CL13" i="3" s="1"/>
  <c r="CF24" i="2"/>
  <c r="CD13" i="3" s="1"/>
  <c r="BX24" i="2"/>
  <c r="BV13" i="3" s="1"/>
  <c r="BP24" i="2"/>
  <c r="BH24" i="2"/>
  <c r="BF13" i="3" s="1"/>
  <c r="AZ24" i="2"/>
  <c r="AX13" i="3" s="1"/>
  <c r="AR24" i="2"/>
  <c r="AP13" i="3" s="1"/>
  <c r="AJ24" i="2"/>
  <c r="AH13" i="3" s="1"/>
  <c r="AB24" i="2"/>
  <c r="Z13" i="3" s="1"/>
  <c r="T24" i="2"/>
  <c r="R13" i="3" s="1"/>
  <c r="CM24" i="2"/>
  <c r="CK13" i="3" s="1"/>
  <c r="CE24" i="2"/>
  <c r="CC13" i="3" s="1"/>
  <c r="BW24" i="2"/>
  <c r="BU13" i="3" s="1"/>
  <c r="BO24" i="2"/>
  <c r="BM13" i="3" s="1"/>
  <c r="BG24" i="2"/>
  <c r="BE13" i="3" s="1"/>
  <c r="AY24" i="2"/>
  <c r="AW13" i="3" s="1"/>
  <c r="AQ24" i="2"/>
  <c r="AI24" i="2"/>
  <c r="AG13" i="3" s="1"/>
  <c r="AA24" i="2"/>
  <c r="Y13" i="3" s="1"/>
  <c r="S24" i="2"/>
  <c r="Q13" i="3" s="1"/>
  <c r="BU24" i="2"/>
  <c r="BS13" i="3" s="1"/>
  <c r="AW24" i="2"/>
  <c r="AU13" i="3" s="1"/>
  <c r="CL24" i="2"/>
  <c r="CJ13" i="3" s="1"/>
  <c r="CD24" i="2"/>
  <c r="CB13" i="3" s="1"/>
  <c r="BV24" i="2"/>
  <c r="BT13" i="3" s="1"/>
  <c r="BN24" i="2"/>
  <c r="BL13" i="3" s="1"/>
  <c r="BF24" i="2"/>
  <c r="BD13" i="3" s="1"/>
  <c r="AX24" i="2"/>
  <c r="AV13" i="3" s="1"/>
  <c r="AP24" i="2"/>
  <c r="AH24" i="2"/>
  <c r="AF13" i="3" s="1"/>
  <c r="Z24" i="2"/>
  <c r="X13" i="3" s="1"/>
  <c r="R24" i="2"/>
  <c r="P13" i="3" s="1"/>
  <c r="J24" i="2"/>
  <c r="H13" i="3" s="1"/>
  <c r="CK24" i="2"/>
  <c r="CI13" i="3" s="1"/>
  <c r="BE24" i="2"/>
  <c r="BC13" i="3" s="1"/>
  <c r="F17" i="3"/>
  <c r="CL28" i="2"/>
  <c r="CJ17" i="3" s="1"/>
  <c r="CD28" i="2"/>
  <c r="CB17" i="3" s="1"/>
  <c r="CK28" i="2"/>
  <c r="CI17" i="3" s="1"/>
  <c r="CC28" i="2"/>
  <c r="CA17" i="3" s="1"/>
  <c r="BU28" i="2"/>
  <c r="BS17" i="3" s="1"/>
  <c r="BM28" i="2"/>
  <c r="BK17" i="3" s="1"/>
  <c r="BE28" i="2"/>
  <c r="BC17" i="3" s="1"/>
  <c r="CQ28" i="2"/>
  <c r="CG28" i="2"/>
  <c r="CE17" i="3" s="1"/>
  <c r="BW28" i="2"/>
  <c r="BU17" i="3" s="1"/>
  <c r="BN28" i="2"/>
  <c r="BL17" i="3" s="1"/>
  <c r="BD28" i="2"/>
  <c r="BB17" i="3" s="1"/>
  <c r="AV28" i="2"/>
  <c r="AT17" i="3" s="1"/>
  <c r="AN28" i="2"/>
  <c r="AL17" i="3" s="1"/>
  <c r="AF28" i="2"/>
  <c r="AD17" i="3" s="1"/>
  <c r="X28" i="2"/>
  <c r="V17" i="3" s="1"/>
  <c r="CP28" i="2"/>
  <c r="CF28" i="2"/>
  <c r="CD17" i="3" s="1"/>
  <c r="BV28" i="2"/>
  <c r="BT17" i="3" s="1"/>
  <c r="BL28" i="2"/>
  <c r="BJ17" i="3" s="1"/>
  <c r="BC28" i="2"/>
  <c r="BA17" i="3" s="1"/>
  <c r="AU28" i="2"/>
  <c r="AS17" i="3" s="1"/>
  <c r="AM28" i="2"/>
  <c r="AK17" i="3" s="1"/>
  <c r="AE28" i="2"/>
  <c r="AC17" i="3" s="1"/>
  <c r="W28" i="2"/>
  <c r="U17" i="3" s="1"/>
  <c r="CO28" i="2"/>
  <c r="CM17" i="3" s="1"/>
  <c r="CE28" i="2"/>
  <c r="CC17" i="3" s="1"/>
  <c r="BT28" i="2"/>
  <c r="BR17" i="3" s="1"/>
  <c r="BK28" i="2"/>
  <c r="BI17" i="3" s="1"/>
  <c r="BB28" i="2"/>
  <c r="AZ17" i="3" s="1"/>
  <c r="AT28" i="2"/>
  <c r="AR17" i="3" s="1"/>
  <c r="AL28" i="2"/>
  <c r="AJ17" i="3" s="1"/>
  <c r="AD28" i="2"/>
  <c r="AB17" i="3" s="1"/>
  <c r="V28" i="2"/>
  <c r="T17" i="3" s="1"/>
  <c r="CN28" i="2"/>
  <c r="CL17" i="3" s="1"/>
  <c r="CB28" i="2"/>
  <c r="BZ17" i="3" s="1"/>
  <c r="BS28" i="2"/>
  <c r="BQ17" i="3" s="1"/>
  <c r="BJ28" i="2"/>
  <c r="BH17" i="3" s="1"/>
  <c r="BA28" i="2"/>
  <c r="AY17" i="3" s="1"/>
  <c r="AS28" i="2"/>
  <c r="AQ17" i="3" s="1"/>
  <c r="AK28" i="2"/>
  <c r="AI17" i="3" s="1"/>
  <c r="AC28" i="2"/>
  <c r="AA17" i="3" s="1"/>
  <c r="U28" i="2"/>
  <c r="S17" i="3" s="1"/>
  <c r="BO28" i="2"/>
  <c r="BM17" i="3" s="1"/>
  <c r="Y28" i="2"/>
  <c r="W17" i="3" s="1"/>
  <c r="CM28" i="2"/>
  <c r="CK17" i="3" s="1"/>
  <c r="CA28" i="2"/>
  <c r="BY17" i="3" s="1"/>
  <c r="BR28" i="2"/>
  <c r="BP17" i="3" s="1"/>
  <c r="BI28" i="2"/>
  <c r="BG17" i="3" s="1"/>
  <c r="AZ28" i="2"/>
  <c r="AX17" i="3" s="1"/>
  <c r="AR28" i="2"/>
  <c r="AP17" i="3" s="1"/>
  <c r="AJ28" i="2"/>
  <c r="AH17" i="3" s="1"/>
  <c r="AB28" i="2"/>
  <c r="Z17" i="3" s="1"/>
  <c r="T28" i="2"/>
  <c r="R17" i="3" s="1"/>
  <c r="CJ28" i="2"/>
  <c r="CH17" i="3" s="1"/>
  <c r="BZ28" i="2"/>
  <c r="BX17" i="3" s="1"/>
  <c r="BQ28" i="2"/>
  <c r="BH28" i="2"/>
  <c r="BF17" i="3" s="1"/>
  <c r="AY28" i="2"/>
  <c r="AW17" i="3" s="1"/>
  <c r="AQ28" i="2"/>
  <c r="AI28" i="2"/>
  <c r="AG17" i="3" s="1"/>
  <c r="AA28" i="2"/>
  <c r="Y17" i="3" s="1"/>
  <c r="S28" i="2"/>
  <c r="Q17" i="3" s="1"/>
  <c r="CH28" i="2"/>
  <c r="CF17" i="3" s="1"/>
  <c r="BF28" i="2"/>
  <c r="BD17" i="3" s="1"/>
  <c r="AO28" i="2"/>
  <c r="AM17" i="3" s="1"/>
  <c r="AG28" i="2"/>
  <c r="AE17" i="3" s="1"/>
  <c r="CI28" i="2"/>
  <c r="CG17" i="3" s="1"/>
  <c r="BY28" i="2"/>
  <c r="BW17" i="3" s="1"/>
  <c r="BP28" i="2"/>
  <c r="BG28" i="2"/>
  <c r="BE17" i="3" s="1"/>
  <c r="AX28" i="2"/>
  <c r="AV17" i="3" s="1"/>
  <c r="AP28" i="2"/>
  <c r="AH28" i="2"/>
  <c r="AF17" i="3" s="1"/>
  <c r="Z28" i="2"/>
  <c r="X17" i="3" s="1"/>
  <c r="R28" i="2"/>
  <c r="P17" i="3" s="1"/>
  <c r="J28" i="2"/>
  <c r="H17" i="3" s="1"/>
  <c r="BX28" i="2"/>
  <c r="BV17" i="3" s="1"/>
  <c r="AW28" i="2"/>
  <c r="AU17" i="3" s="1"/>
  <c r="F20" i="3"/>
  <c r="CP31" i="2"/>
  <c r="CH31" i="2"/>
  <c r="CF20" i="3" s="1"/>
  <c r="BZ31" i="2"/>
  <c r="BX20" i="3" s="1"/>
  <c r="BR31" i="2"/>
  <c r="BP20" i="3" s="1"/>
  <c r="BJ31" i="2"/>
  <c r="BH20" i="3" s="1"/>
  <c r="BB31" i="2"/>
  <c r="AZ20" i="3" s="1"/>
  <c r="AT31" i="2"/>
  <c r="AR20" i="3" s="1"/>
  <c r="AL31" i="2"/>
  <c r="AJ20" i="3" s="1"/>
  <c r="AD31" i="2"/>
  <c r="AB20" i="3" s="1"/>
  <c r="V31" i="2"/>
  <c r="T20" i="3" s="1"/>
  <c r="CO31" i="2"/>
  <c r="CM20" i="3" s="1"/>
  <c r="CG31" i="2"/>
  <c r="CE20" i="3" s="1"/>
  <c r="BY31" i="2"/>
  <c r="BW20" i="3" s="1"/>
  <c r="BQ31" i="2"/>
  <c r="BI31" i="2"/>
  <c r="BG20" i="3" s="1"/>
  <c r="BA31" i="2"/>
  <c r="AY20" i="3" s="1"/>
  <c r="AS31" i="2"/>
  <c r="AQ20" i="3" s="1"/>
  <c r="AK31" i="2"/>
  <c r="AI20" i="3" s="1"/>
  <c r="AC31" i="2"/>
  <c r="AA20" i="3" s="1"/>
  <c r="U31" i="2"/>
  <c r="S20" i="3" s="1"/>
  <c r="CN31" i="2"/>
  <c r="CL20" i="3" s="1"/>
  <c r="CF31" i="2"/>
  <c r="CD20" i="3" s="1"/>
  <c r="BX31" i="2"/>
  <c r="BV20" i="3" s="1"/>
  <c r="BP31" i="2"/>
  <c r="BH31" i="2"/>
  <c r="BF20" i="3" s="1"/>
  <c r="AZ31" i="2"/>
  <c r="AX20" i="3" s="1"/>
  <c r="AR31" i="2"/>
  <c r="AP20" i="3" s="1"/>
  <c r="AJ31" i="2"/>
  <c r="AH20" i="3" s="1"/>
  <c r="AB31" i="2"/>
  <c r="Z20" i="3" s="1"/>
  <c r="T31" i="2"/>
  <c r="R20" i="3" s="1"/>
  <c r="CM31" i="2"/>
  <c r="CK20" i="3" s="1"/>
  <c r="CE31" i="2"/>
  <c r="CC20" i="3" s="1"/>
  <c r="BW31" i="2"/>
  <c r="BU20" i="3" s="1"/>
  <c r="BO31" i="2"/>
  <c r="BM20" i="3" s="1"/>
  <c r="BG31" i="2"/>
  <c r="BE20" i="3" s="1"/>
  <c r="AY31" i="2"/>
  <c r="AW20" i="3" s="1"/>
  <c r="AQ31" i="2"/>
  <c r="AI31" i="2"/>
  <c r="AG20" i="3" s="1"/>
  <c r="AA31" i="2"/>
  <c r="Y20" i="3" s="1"/>
  <c r="S31" i="2"/>
  <c r="Q20" i="3" s="1"/>
  <c r="CC31" i="2"/>
  <c r="CA20" i="3" s="1"/>
  <c r="BM31" i="2"/>
  <c r="BK20" i="3" s="1"/>
  <c r="AW31" i="2"/>
  <c r="AU20" i="3" s="1"/>
  <c r="AG31" i="2"/>
  <c r="AE20" i="3" s="1"/>
  <c r="CB31" i="2"/>
  <c r="BZ20" i="3" s="1"/>
  <c r="BL31" i="2"/>
  <c r="BJ20" i="3" s="1"/>
  <c r="AV31" i="2"/>
  <c r="AT20" i="3" s="1"/>
  <c r="AF31" i="2"/>
  <c r="AD20" i="3" s="1"/>
  <c r="CD31" i="2"/>
  <c r="CB20" i="3" s="1"/>
  <c r="CQ31" i="2"/>
  <c r="CA31" i="2"/>
  <c r="BY20" i="3" s="1"/>
  <c r="BK31" i="2"/>
  <c r="BI20" i="3" s="1"/>
  <c r="AU31" i="2"/>
  <c r="AS20" i="3" s="1"/>
  <c r="AE31" i="2"/>
  <c r="AC20" i="3" s="1"/>
  <c r="CL31" i="2"/>
  <c r="CJ20" i="3" s="1"/>
  <c r="BV31" i="2"/>
  <c r="BT20" i="3" s="1"/>
  <c r="BF31" i="2"/>
  <c r="BD20" i="3" s="1"/>
  <c r="AP31" i="2"/>
  <c r="Z31" i="2"/>
  <c r="X20" i="3" s="1"/>
  <c r="BN31" i="2"/>
  <c r="BL20" i="3" s="1"/>
  <c r="AH31" i="2"/>
  <c r="AF20" i="3" s="1"/>
  <c r="CK31" i="2"/>
  <c r="CI20" i="3" s="1"/>
  <c r="BU31" i="2"/>
  <c r="BS20" i="3" s="1"/>
  <c r="BE31" i="2"/>
  <c r="BC20" i="3" s="1"/>
  <c r="AO31" i="2"/>
  <c r="AM20" i="3" s="1"/>
  <c r="Y31" i="2"/>
  <c r="W20" i="3" s="1"/>
  <c r="CJ31" i="2"/>
  <c r="CH20" i="3" s="1"/>
  <c r="BT31" i="2"/>
  <c r="BR20" i="3" s="1"/>
  <c r="BD31" i="2"/>
  <c r="BB20" i="3" s="1"/>
  <c r="AN31" i="2"/>
  <c r="AL20" i="3" s="1"/>
  <c r="X31" i="2"/>
  <c r="V20" i="3" s="1"/>
  <c r="J31" i="2"/>
  <c r="H20" i="3" s="1"/>
  <c r="AX31" i="2"/>
  <c r="AV20" i="3" s="1"/>
  <c r="R31" i="2"/>
  <c r="P20" i="3" s="1"/>
  <c r="CI31" i="2"/>
  <c r="CG20" i="3" s="1"/>
  <c r="BS31" i="2"/>
  <c r="BQ20" i="3" s="1"/>
  <c r="BC31" i="2"/>
  <c r="BA20" i="3" s="1"/>
  <c r="AM31" i="2"/>
  <c r="AK20" i="3" s="1"/>
  <c r="W31" i="2"/>
  <c r="U20" i="3" s="1"/>
  <c r="E25" i="3"/>
  <c r="P36" i="2"/>
  <c r="O36" i="2"/>
  <c r="M25" i="3" s="1"/>
  <c r="L36" i="2"/>
  <c r="J25" i="3" s="1"/>
  <c r="M36" i="2"/>
  <c r="K25" i="3" s="1"/>
  <c r="E9" i="3"/>
  <c r="P20" i="2"/>
  <c r="O20" i="2"/>
  <c r="M9" i="3" s="1"/>
  <c r="M20" i="2"/>
  <c r="K9" i="3" s="1"/>
  <c r="L20" i="2"/>
  <c r="J9" i="3" s="1"/>
  <c r="P28" i="2"/>
  <c r="O28" i="2"/>
  <c r="M17" i="3" s="1"/>
  <c r="M28" i="2"/>
  <c r="K17" i="3" s="1"/>
  <c r="L28" i="2"/>
  <c r="J17" i="3" s="1"/>
  <c r="E13" i="3"/>
  <c r="P24" i="2"/>
  <c r="O24" i="2"/>
  <c r="M13" i="3" s="1"/>
  <c r="M24" i="2"/>
  <c r="K13" i="3" s="1"/>
  <c r="L24" i="2"/>
  <c r="J13" i="3" s="1"/>
  <c r="E7" i="3"/>
  <c r="P18" i="2"/>
  <c r="O18" i="2"/>
  <c r="M7" i="3" s="1"/>
  <c r="M18" i="2"/>
  <c r="K7" i="3" s="1"/>
  <c r="L18" i="2"/>
  <c r="J7" i="3" s="1"/>
  <c r="E11" i="3"/>
  <c r="O22" i="2"/>
  <c r="M11" i="3" s="1"/>
  <c r="L22" i="2"/>
  <c r="J11" i="3" s="1"/>
  <c r="E15" i="3"/>
  <c r="P26" i="2"/>
  <c r="O26" i="2"/>
  <c r="M15" i="3" s="1"/>
  <c r="M26" i="2"/>
  <c r="K15" i="3" s="1"/>
  <c r="L26" i="2"/>
  <c r="J15" i="3" s="1"/>
  <c r="E19" i="3"/>
  <c r="O30" i="2"/>
  <c r="M19" i="3" s="1"/>
  <c r="P30" i="2"/>
  <c r="M30" i="2"/>
  <c r="K19" i="3" s="1"/>
  <c r="L30" i="2"/>
  <c r="J19" i="3" s="1"/>
  <c r="E23" i="3"/>
  <c r="P34" i="2"/>
  <c r="O34" i="2"/>
  <c r="M23" i="3" s="1"/>
  <c r="M34" i="2"/>
  <c r="K23" i="3" s="1"/>
  <c r="L34" i="2"/>
  <c r="J23" i="3" s="1"/>
  <c r="E21" i="3"/>
  <c r="P32" i="2"/>
  <c r="O32" i="2"/>
  <c r="M21" i="3" s="1"/>
  <c r="M32" i="2"/>
  <c r="K21" i="3" s="1"/>
  <c r="L32" i="2"/>
  <c r="J21" i="3" s="1"/>
  <c r="F7" i="3"/>
  <c r="CJ18" i="2"/>
  <c r="CH7" i="3" s="1"/>
  <c r="CB18" i="2"/>
  <c r="BZ7" i="3" s="1"/>
  <c r="BT18" i="2"/>
  <c r="BR7" i="3" s="1"/>
  <c r="BL18" i="2"/>
  <c r="BJ7" i="3" s="1"/>
  <c r="BD18" i="2"/>
  <c r="BB7" i="3" s="1"/>
  <c r="AV18" i="2"/>
  <c r="AT7" i="3" s="1"/>
  <c r="AN18" i="2"/>
  <c r="AL7" i="3" s="1"/>
  <c r="AF18" i="2"/>
  <c r="AD7" i="3" s="1"/>
  <c r="X18" i="2"/>
  <c r="V7" i="3" s="1"/>
  <c r="CC18" i="2"/>
  <c r="CA7" i="3" s="1"/>
  <c r="CQ18" i="2"/>
  <c r="CI18" i="2"/>
  <c r="CG7" i="3" s="1"/>
  <c r="CA18" i="2"/>
  <c r="BY7" i="3" s="1"/>
  <c r="BS18" i="2"/>
  <c r="BQ7" i="3" s="1"/>
  <c r="BK18" i="2"/>
  <c r="BI7" i="3" s="1"/>
  <c r="BC18" i="2"/>
  <c r="BA7" i="3" s="1"/>
  <c r="AU18" i="2"/>
  <c r="AS7" i="3" s="1"/>
  <c r="AM18" i="2"/>
  <c r="AK7" i="3" s="1"/>
  <c r="AE18" i="2"/>
  <c r="AC7" i="3" s="1"/>
  <c r="W18" i="2"/>
  <c r="U7" i="3" s="1"/>
  <c r="AO18" i="2"/>
  <c r="AM7" i="3" s="1"/>
  <c r="CP18" i="2"/>
  <c r="CH18" i="2"/>
  <c r="CF7" i="3" s="1"/>
  <c r="BZ18" i="2"/>
  <c r="BX7" i="3" s="1"/>
  <c r="BR18" i="2"/>
  <c r="BP7" i="3" s="1"/>
  <c r="BJ18" i="2"/>
  <c r="BH7" i="3" s="1"/>
  <c r="BB18" i="2"/>
  <c r="AZ7" i="3" s="1"/>
  <c r="AT18" i="2"/>
  <c r="AR7" i="3" s="1"/>
  <c r="AL18" i="2"/>
  <c r="AJ7" i="3" s="1"/>
  <c r="AD18" i="2"/>
  <c r="AB7" i="3" s="1"/>
  <c r="V18" i="2"/>
  <c r="T7" i="3" s="1"/>
  <c r="BE18" i="2"/>
  <c r="BC7" i="3" s="1"/>
  <c r="CO18" i="2"/>
  <c r="CM7" i="3" s="1"/>
  <c r="CG18" i="2"/>
  <c r="CE7" i="3" s="1"/>
  <c r="BY18" i="2"/>
  <c r="BW7" i="3" s="1"/>
  <c r="BQ18" i="2"/>
  <c r="BI18" i="2"/>
  <c r="BG7" i="3" s="1"/>
  <c r="BA18" i="2"/>
  <c r="AY7" i="3" s="1"/>
  <c r="AS18" i="2"/>
  <c r="AQ7" i="3" s="1"/>
  <c r="AK18" i="2"/>
  <c r="AI7" i="3" s="1"/>
  <c r="AC18" i="2"/>
  <c r="AA7" i="3" s="1"/>
  <c r="U18" i="2"/>
  <c r="S7" i="3" s="1"/>
  <c r="BU18" i="2"/>
  <c r="BS7" i="3" s="1"/>
  <c r="Y18" i="2"/>
  <c r="W7" i="3" s="1"/>
  <c r="CN18" i="2"/>
  <c r="CL7" i="3" s="1"/>
  <c r="CF18" i="2"/>
  <c r="CD7" i="3" s="1"/>
  <c r="BX18" i="2"/>
  <c r="BV7" i="3" s="1"/>
  <c r="BP18" i="2"/>
  <c r="BH18" i="2"/>
  <c r="BF7" i="3" s="1"/>
  <c r="AZ18" i="2"/>
  <c r="AX7" i="3" s="1"/>
  <c r="AR18" i="2"/>
  <c r="AP7" i="3" s="1"/>
  <c r="AJ18" i="2"/>
  <c r="AH7" i="3" s="1"/>
  <c r="AB18" i="2"/>
  <c r="Z7" i="3" s="1"/>
  <c r="T18" i="2"/>
  <c r="R7" i="3" s="1"/>
  <c r="BM18" i="2"/>
  <c r="BK7" i="3" s="1"/>
  <c r="CM18" i="2"/>
  <c r="CK7" i="3" s="1"/>
  <c r="CE18" i="2"/>
  <c r="CC7" i="3" s="1"/>
  <c r="BW18" i="2"/>
  <c r="BU7" i="3" s="1"/>
  <c r="BO18" i="2"/>
  <c r="BM7" i="3" s="1"/>
  <c r="BG18" i="2"/>
  <c r="BE7" i="3" s="1"/>
  <c r="AY18" i="2"/>
  <c r="AW7" i="3" s="1"/>
  <c r="AQ18" i="2"/>
  <c r="AI18" i="2"/>
  <c r="AG7" i="3" s="1"/>
  <c r="AA18" i="2"/>
  <c r="Y7" i="3" s="1"/>
  <c r="S18" i="2"/>
  <c r="Q7" i="3" s="1"/>
  <c r="AW18" i="2"/>
  <c r="AU7" i="3" s="1"/>
  <c r="CL18" i="2"/>
  <c r="CJ7" i="3" s="1"/>
  <c r="CD18" i="2"/>
  <c r="CB7" i="3" s="1"/>
  <c r="BV18" i="2"/>
  <c r="BT7" i="3" s="1"/>
  <c r="BN18" i="2"/>
  <c r="BL7" i="3" s="1"/>
  <c r="BF18" i="2"/>
  <c r="BD7" i="3" s="1"/>
  <c r="AX18" i="2"/>
  <c r="AV7" i="3" s="1"/>
  <c r="AP18" i="2"/>
  <c r="AH18" i="2"/>
  <c r="AF7" i="3" s="1"/>
  <c r="Z18" i="2"/>
  <c r="X7" i="3" s="1"/>
  <c r="R18" i="2"/>
  <c r="P7" i="3" s="1"/>
  <c r="J18" i="2"/>
  <c r="H7" i="3" s="1"/>
  <c r="CK18" i="2"/>
  <c r="CI7" i="3" s="1"/>
  <c r="AG18" i="2"/>
  <c r="AE7" i="3" s="1"/>
  <c r="F11" i="3"/>
  <c r="CJ22" i="2"/>
  <c r="CH11" i="3" s="1"/>
  <c r="CB22" i="2"/>
  <c r="BZ11" i="3" s="1"/>
  <c r="BT22" i="2"/>
  <c r="BR11" i="3" s="1"/>
  <c r="BL22" i="2"/>
  <c r="BJ11" i="3" s="1"/>
  <c r="BD22" i="2"/>
  <c r="BB11" i="3" s="1"/>
  <c r="AV22" i="2"/>
  <c r="AT11" i="3" s="1"/>
  <c r="AN22" i="2"/>
  <c r="AL11" i="3" s="1"/>
  <c r="AF22" i="2"/>
  <c r="AD11" i="3" s="1"/>
  <c r="X22" i="2"/>
  <c r="V11" i="3" s="1"/>
  <c r="CQ22" i="2"/>
  <c r="CI22" i="2"/>
  <c r="CG11" i="3" s="1"/>
  <c r="CA22" i="2"/>
  <c r="BY11" i="3" s="1"/>
  <c r="BS22" i="2"/>
  <c r="BQ11" i="3" s="1"/>
  <c r="BK22" i="2"/>
  <c r="BI11" i="3" s="1"/>
  <c r="BC22" i="2"/>
  <c r="BA11" i="3" s="1"/>
  <c r="AU22" i="2"/>
  <c r="AS11" i="3" s="1"/>
  <c r="AM22" i="2"/>
  <c r="AK11" i="3" s="1"/>
  <c r="AE22" i="2"/>
  <c r="AC11" i="3" s="1"/>
  <c r="W22" i="2"/>
  <c r="U11" i="3" s="1"/>
  <c r="CK22" i="2"/>
  <c r="CI11" i="3" s="1"/>
  <c r="Y22" i="2"/>
  <c r="W11" i="3" s="1"/>
  <c r="CP22" i="2"/>
  <c r="CH22" i="2"/>
  <c r="CF11" i="3" s="1"/>
  <c r="BZ22" i="2"/>
  <c r="BX11" i="3" s="1"/>
  <c r="BR22" i="2"/>
  <c r="BP11" i="3" s="1"/>
  <c r="BJ22" i="2"/>
  <c r="BH11" i="3" s="1"/>
  <c r="BB22" i="2"/>
  <c r="AZ11" i="3" s="1"/>
  <c r="AT22" i="2"/>
  <c r="AR11" i="3" s="1"/>
  <c r="AL22" i="2"/>
  <c r="AJ11" i="3" s="1"/>
  <c r="AD22" i="2"/>
  <c r="AB11" i="3" s="1"/>
  <c r="V22" i="2"/>
  <c r="T11" i="3" s="1"/>
  <c r="AW22" i="2"/>
  <c r="AU11" i="3" s="1"/>
  <c r="CO22" i="2"/>
  <c r="CM11" i="3" s="1"/>
  <c r="CG22" i="2"/>
  <c r="CE11" i="3" s="1"/>
  <c r="BY22" i="2"/>
  <c r="BW11" i="3" s="1"/>
  <c r="BQ22" i="2"/>
  <c r="BI22" i="2"/>
  <c r="BG11" i="3" s="1"/>
  <c r="BA22" i="2"/>
  <c r="AY11" i="3" s="1"/>
  <c r="AS22" i="2"/>
  <c r="AQ11" i="3" s="1"/>
  <c r="AK22" i="2"/>
  <c r="AI11" i="3" s="1"/>
  <c r="AC22" i="2"/>
  <c r="AA11" i="3" s="1"/>
  <c r="U22" i="2"/>
  <c r="S11" i="3" s="1"/>
  <c r="BM22" i="2"/>
  <c r="BK11" i="3" s="1"/>
  <c r="AO22" i="2"/>
  <c r="AM11" i="3" s="1"/>
  <c r="CN22" i="2"/>
  <c r="CL11" i="3" s="1"/>
  <c r="CF22" i="2"/>
  <c r="CD11" i="3" s="1"/>
  <c r="BX22" i="2"/>
  <c r="BV11" i="3" s="1"/>
  <c r="BP22" i="2"/>
  <c r="BH22" i="2"/>
  <c r="BF11" i="3" s="1"/>
  <c r="AZ22" i="2"/>
  <c r="AX11" i="3" s="1"/>
  <c r="AR22" i="2"/>
  <c r="AP11" i="3" s="1"/>
  <c r="AJ22" i="2"/>
  <c r="AH11" i="3" s="1"/>
  <c r="AB22" i="2"/>
  <c r="Z11" i="3" s="1"/>
  <c r="T22" i="2"/>
  <c r="R11" i="3" s="1"/>
  <c r="BU22" i="2"/>
  <c r="BS11" i="3" s="1"/>
  <c r="CM22" i="2"/>
  <c r="CK11" i="3" s="1"/>
  <c r="CE22" i="2"/>
  <c r="CC11" i="3" s="1"/>
  <c r="BW22" i="2"/>
  <c r="BU11" i="3" s="1"/>
  <c r="BO22" i="2"/>
  <c r="BM11" i="3" s="1"/>
  <c r="BG22" i="2"/>
  <c r="BE11" i="3" s="1"/>
  <c r="AY22" i="2"/>
  <c r="AW11" i="3" s="1"/>
  <c r="AQ22" i="2"/>
  <c r="AI22" i="2"/>
  <c r="AG11" i="3" s="1"/>
  <c r="AA22" i="2"/>
  <c r="Y11" i="3" s="1"/>
  <c r="S22" i="2"/>
  <c r="Q11" i="3" s="1"/>
  <c r="CC22" i="2"/>
  <c r="CA11" i="3" s="1"/>
  <c r="CL22" i="2"/>
  <c r="CJ11" i="3" s="1"/>
  <c r="CD22" i="2"/>
  <c r="CB11" i="3" s="1"/>
  <c r="BV22" i="2"/>
  <c r="BT11" i="3" s="1"/>
  <c r="BN22" i="2"/>
  <c r="BL11" i="3" s="1"/>
  <c r="BF22" i="2"/>
  <c r="BD11" i="3" s="1"/>
  <c r="AX22" i="2"/>
  <c r="AV11" i="3" s="1"/>
  <c r="AP22" i="2"/>
  <c r="AH22" i="2"/>
  <c r="AF11" i="3" s="1"/>
  <c r="Z22" i="2"/>
  <c r="X11" i="3" s="1"/>
  <c r="R22" i="2"/>
  <c r="P11" i="3" s="1"/>
  <c r="J22" i="2"/>
  <c r="H11" i="3" s="1"/>
  <c r="BE22" i="2"/>
  <c r="BC11" i="3" s="1"/>
  <c r="AG22" i="2"/>
  <c r="AE11" i="3" s="1"/>
  <c r="F15" i="3"/>
  <c r="CJ26" i="2"/>
  <c r="CH15" i="3" s="1"/>
  <c r="CB26" i="2"/>
  <c r="BZ15" i="3" s="1"/>
  <c r="BT26" i="2"/>
  <c r="BR15" i="3" s="1"/>
  <c r="BL26" i="2"/>
  <c r="BJ15" i="3" s="1"/>
  <c r="BD26" i="2"/>
  <c r="BB15" i="3" s="1"/>
  <c r="AV26" i="2"/>
  <c r="AT15" i="3" s="1"/>
  <c r="AN26" i="2"/>
  <c r="AL15" i="3" s="1"/>
  <c r="AF26" i="2"/>
  <c r="AD15" i="3" s="1"/>
  <c r="X26" i="2"/>
  <c r="V15" i="3" s="1"/>
  <c r="CQ26" i="2"/>
  <c r="CI26" i="2"/>
  <c r="CG15" i="3" s="1"/>
  <c r="CA26" i="2"/>
  <c r="BY15" i="3" s="1"/>
  <c r="BS26" i="2"/>
  <c r="BQ15" i="3" s="1"/>
  <c r="BK26" i="2"/>
  <c r="BI15" i="3" s="1"/>
  <c r="BC26" i="2"/>
  <c r="BA15" i="3" s="1"/>
  <c r="AU26" i="2"/>
  <c r="AS15" i="3" s="1"/>
  <c r="AM26" i="2"/>
  <c r="AK15" i="3" s="1"/>
  <c r="AE26" i="2"/>
  <c r="AC15" i="3" s="1"/>
  <c r="W26" i="2"/>
  <c r="U15" i="3" s="1"/>
  <c r="CP26" i="2"/>
  <c r="CH26" i="2"/>
  <c r="CF15" i="3" s="1"/>
  <c r="BZ26" i="2"/>
  <c r="BX15" i="3" s="1"/>
  <c r="BR26" i="2"/>
  <c r="BP15" i="3" s="1"/>
  <c r="BJ26" i="2"/>
  <c r="BH15" i="3" s="1"/>
  <c r="BB26" i="2"/>
  <c r="AZ15" i="3" s="1"/>
  <c r="AT26" i="2"/>
  <c r="AR15" i="3" s="1"/>
  <c r="AL26" i="2"/>
  <c r="AJ15" i="3" s="1"/>
  <c r="AD26" i="2"/>
  <c r="AB15" i="3" s="1"/>
  <c r="V26" i="2"/>
  <c r="T15" i="3" s="1"/>
  <c r="CO26" i="2"/>
  <c r="CM15" i="3" s="1"/>
  <c r="CG26" i="2"/>
  <c r="CE15" i="3" s="1"/>
  <c r="BY26" i="2"/>
  <c r="BW15" i="3" s="1"/>
  <c r="BQ26" i="2"/>
  <c r="BI26" i="2"/>
  <c r="BG15" i="3" s="1"/>
  <c r="BA26" i="2"/>
  <c r="AY15" i="3" s="1"/>
  <c r="AS26" i="2"/>
  <c r="AQ15" i="3" s="1"/>
  <c r="AK26" i="2"/>
  <c r="AI15" i="3" s="1"/>
  <c r="AC26" i="2"/>
  <c r="AA15" i="3" s="1"/>
  <c r="U26" i="2"/>
  <c r="S15" i="3" s="1"/>
  <c r="CK26" i="2"/>
  <c r="CI15" i="3" s="1"/>
  <c r="BU26" i="2"/>
  <c r="BS15" i="3" s="1"/>
  <c r="BE26" i="2"/>
  <c r="BC15" i="3" s="1"/>
  <c r="AG26" i="2"/>
  <c r="AE15" i="3" s="1"/>
  <c r="CN26" i="2"/>
  <c r="CL15" i="3" s="1"/>
  <c r="CF26" i="2"/>
  <c r="CD15" i="3" s="1"/>
  <c r="BX26" i="2"/>
  <c r="BV15" i="3" s="1"/>
  <c r="BP26" i="2"/>
  <c r="BH26" i="2"/>
  <c r="BF15" i="3" s="1"/>
  <c r="AZ26" i="2"/>
  <c r="AX15" i="3" s="1"/>
  <c r="AR26" i="2"/>
  <c r="AP15" i="3" s="1"/>
  <c r="AJ26" i="2"/>
  <c r="AH15" i="3" s="1"/>
  <c r="AB26" i="2"/>
  <c r="Z15" i="3" s="1"/>
  <c r="T26" i="2"/>
  <c r="R15" i="3" s="1"/>
  <c r="CM26" i="2"/>
  <c r="CK15" i="3" s="1"/>
  <c r="CE26" i="2"/>
  <c r="CC15" i="3" s="1"/>
  <c r="BW26" i="2"/>
  <c r="BU15" i="3" s="1"/>
  <c r="BO26" i="2"/>
  <c r="BM15" i="3" s="1"/>
  <c r="BG26" i="2"/>
  <c r="BE15" i="3" s="1"/>
  <c r="AY26" i="2"/>
  <c r="AW15" i="3" s="1"/>
  <c r="AQ26" i="2"/>
  <c r="AI26" i="2"/>
  <c r="AG15" i="3" s="1"/>
  <c r="AA26" i="2"/>
  <c r="Y15" i="3" s="1"/>
  <c r="S26" i="2"/>
  <c r="Q15" i="3" s="1"/>
  <c r="AO26" i="2"/>
  <c r="AM15" i="3" s="1"/>
  <c r="CL26" i="2"/>
  <c r="CJ15" i="3" s="1"/>
  <c r="CD26" i="2"/>
  <c r="CB15" i="3" s="1"/>
  <c r="BV26" i="2"/>
  <c r="BT15" i="3" s="1"/>
  <c r="BN26" i="2"/>
  <c r="BL15" i="3" s="1"/>
  <c r="BF26" i="2"/>
  <c r="BD15" i="3" s="1"/>
  <c r="AX26" i="2"/>
  <c r="AV15" i="3" s="1"/>
  <c r="AP26" i="2"/>
  <c r="AH26" i="2"/>
  <c r="AF15" i="3" s="1"/>
  <c r="Z26" i="2"/>
  <c r="X15" i="3" s="1"/>
  <c r="R26" i="2"/>
  <c r="P15" i="3" s="1"/>
  <c r="J26" i="2"/>
  <c r="H15" i="3" s="1"/>
  <c r="CC26" i="2"/>
  <c r="CA15" i="3" s="1"/>
  <c r="BM26" i="2"/>
  <c r="BK15" i="3" s="1"/>
  <c r="AW26" i="2"/>
  <c r="AU15" i="3" s="1"/>
  <c r="Y26" i="2"/>
  <c r="W15" i="3" s="1"/>
  <c r="O30" i="3"/>
  <c r="N30" i="3"/>
  <c r="F18" i="3"/>
  <c r="CP29" i="2"/>
  <c r="CH29" i="2"/>
  <c r="CF18" i="3" s="1"/>
  <c r="BZ29" i="2"/>
  <c r="BX18" i="3" s="1"/>
  <c r="BR29" i="2"/>
  <c r="BP18" i="3" s="1"/>
  <c r="BJ29" i="2"/>
  <c r="BH18" i="3" s="1"/>
  <c r="BB29" i="2"/>
  <c r="AZ18" i="3" s="1"/>
  <c r="AT29" i="2"/>
  <c r="AR18" i="3" s="1"/>
  <c r="AL29" i="2"/>
  <c r="AJ18" i="3" s="1"/>
  <c r="AD29" i="2"/>
  <c r="AB18" i="3" s="1"/>
  <c r="V29" i="2"/>
  <c r="T18" i="3" s="1"/>
  <c r="CO29" i="2"/>
  <c r="CM18" i="3" s="1"/>
  <c r="CG29" i="2"/>
  <c r="CE18" i="3" s="1"/>
  <c r="BY29" i="2"/>
  <c r="BW18" i="3" s="1"/>
  <c r="BQ29" i="2"/>
  <c r="BI29" i="2"/>
  <c r="BG18" i="3" s="1"/>
  <c r="BA29" i="2"/>
  <c r="AY18" i="3" s="1"/>
  <c r="AS29" i="2"/>
  <c r="AQ18" i="3" s="1"/>
  <c r="AK29" i="2"/>
  <c r="AI18" i="3" s="1"/>
  <c r="AC29" i="2"/>
  <c r="AA18" i="3" s="1"/>
  <c r="U29" i="2"/>
  <c r="S18" i="3" s="1"/>
  <c r="CJ29" i="2"/>
  <c r="CH18" i="3" s="1"/>
  <c r="BX29" i="2"/>
  <c r="BV18" i="3" s="1"/>
  <c r="BN29" i="2"/>
  <c r="BL18" i="3" s="1"/>
  <c r="BD29" i="2"/>
  <c r="BB18" i="3" s="1"/>
  <c r="AR29" i="2"/>
  <c r="AP18" i="3" s="1"/>
  <c r="AH29" i="2"/>
  <c r="AF18" i="3" s="1"/>
  <c r="X29" i="2"/>
  <c r="V18" i="3" s="1"/>
  <c r="CI29" i="2"/>
  <c r="CG18" i="3" s="1"/>
  <c r="BW29" i="2"/>
  <c r="BU18" i="3" s="1"/>
  <c r="BM29" i="2"/>
  <c r="BK18" i="3" s="1"/>
  <c r="BC29" i="2"/>
  <c r="BA18" i="3" s="1"/>
  <c r="AQ29" i="2"/>
  <c r="AG29" i="2"/>
  <c r="AE18" i="3" s="1"/>
  <c r="W29" i="2"/>
  <c r="U18" i="3" s="1"/>
  <c r="CF29" i="2"/>
  <c r="CD18" i="3" s="1"/>
  <c r="BV29" i="2"/>
  <c r="BT18" i="3" s="1"/>
  <c r="BL29" i="2"/>
  <c r="BJ18" i="3" s="1"/>
  <c r="AZ29" i="2"/>
  <c r="AX18" i="3" s="1"/>
  <c r="AP29" i="2"/>
  <c r="AF29" i="2"/>
  <c r="AD18" i="3" s="1"/>
  <c r="T29" i="2"/>
  <c r="R18" i="3" s="1"/>
  <c r="CQ29" i="2"/>
  <c r="CE29" i="2"/>
  <c r="CC18" i="3" s="1"/>
  <c r="BU29" i="2"/>
  <c r="BS18" i="3" s="1"/>
  <c r="BK29" i="2"/>
  <c r="BI18" i="3" s="1"/>
  <c r="AY29" i="2"/>
  <c r="AW18" i="3" s="1"/>
  <c r="AO29" i="2"/>
  <c r="AM18" i="3" s="1"/>
  <c r="AE29" i="2"/>
  <c r="AC18" i="3" s="1"/>
  <c r="S29" i="2"/>
  <c r="Q18" i="3" s="1"/>
  <c r="J29" i="2"/>
  <c r="H18" i="3" s="1"/>
  <c r="CN29" i="2"/>
  <c r="CL18" i="3" s="1"/>
  <c r="CD29" i="2"/>
  <c r="CB18" i="3" s="1"/>
  <c r="BT29" i="2"/>
  <c r="BR18" i="3" s="1"/>
  <c r="BH29" i="2"/>
  <c r="BF18" i="3" s="1"/>
  <c r="AX29" i="2"/>
  <c r="AV18" i="3" s="1"/>
  <c r="AN29" i="2"/>
  <c r="AL18" i="3" s="1"/>
  <c r="AB29" i="2"/>
  <c r="Z18" i="3" s="1"/>
  <c r="R29" i="2"/>
  <c r="P18" i="3" s="1"/>
  <c r="CM29" i="2"/>
  <c r="CK18" i="3" s="1"/>
  <c r="CC29" i="2"/>
  <c r="CA18" i="3" s="1"/>
  <c r="BS29" i="2"/>
  <c r="BQ18" i="3" s="1"/>
  <c r="BG29" i="2"/>
  <c r="BE18" i="3" s="1"/>
  <c r="AW29" i="2"/>
  <c r="AU18" i="3" s="1"/>
  <c r="AM29" i="2"/>
  <c r="AK18" i="3" s="1"/>
  <c r="AA29" i="2"/>
  <c r="Y18" i="3" s="1"/>
  <c r="CK29" i="2"/>
  <c r="CI18" i="3" s="1"/>
  <c r="CA29" i="2"/>
  <c r="BY18" i="3" s="1"/>
  <c r="BE29" i="2"/>
  <c r="BC18" i="3" s="1"/>
  <c r="AU29" i="2"/>
  <c r="AS18" i="3" s="1"/>
  <c r="AI29" i="2"/>
  <c r="AG18" i="3" s="1"/>
  <c r="CL29" i="2"/>
  <c r="CJ18" i="3" s="1"/>
  <c r="CB29" i="2"/>
  <c r="BZ18" i="3" s="1"/>
  <c r="BP29" i="2"/>
  <c r="BF29" i="2"/>
  <c r="BD18" i="3" s="1"/>
  <c r="AV29" i="2"/>
  <c r="AT18" i="3" s="1"/>
  <c r="AJ29" i="2"/>
  <c r="AH18" i="3" s="1"/>
  <c r="Z29" i="2"/>
  <c r="X18" i="3" s="1"/>
  <c r="BO29" i="2"/>
  <c r="BM18" i="3" s="1"/>
  <c r="Y29" i="2"/>
  <c r="W18" i="3" s="1"/>
  <c r="E27" i="3"/>
  <c r="P38" i="2"/>
  <c r="O38" i="2"/>
  <c r="M27" i="3" s="1"/>
  <c r="L38" i="2"/>
  <c r="J27" i="3" s="1"/>
  <c r="M38" i="2"/>
  <c r="K27" i="3" s="1"/>
  <c r="AE5" i="3"/>
  <c r="CA5" i="3"/>
  <c r="F22" i="3"/>
  <c r="CP33" i="2"/>
  <c r="CH33" i="2"/>
  <c r="CF22" i="3" s="1"/>
  <c r="BZ33" i="2"/>
  <c r="BX22" i="3" s="1"/>
  <c r="BR33" i="2"/>
  <c r="BP22" i="3" s="1"/>
  <c r="BJ33" i="2"/>
  <c r="BH22" i="3" s="1"/>
  <c r="BB33" i="2"/>
  <c r="AZ22" i="3" s="1"/>
  <c r="AT33" i="2"/>
  <c r="AR22" i="3" s="1"/>
  <c r="AL33" i="2"/>
  <c r="AJ22" i="3" s="1"/>
  <c r="AD33" i="2"/>
  <c r="AB22" i="3" s="1"/>
  <c r="V33" i="2"/>
  <c r="T22" i="3" s="1"/>
  <c r="CO33" i="2"/>
  <c r="CM22" i="3" s="1"/>
  <c r="CG33" i="2"/>
  <c r="CE22" i="3" s="1"/>
  <c r="BY33" i="2"/>
  <c r="BW22" i="3" s="1"/>
  <c r="BQ33" i="2"/>
  <c r="BI33" i="2"/>
  <c r="BG22" i="3" s="1"/>
  <c r="BA33" i="2"/>
  <c r="AY22" i="3" s="1"/>
  <c r="AS33" i="2"/>
  <c r="AQ22" i="3" s="1"/>
  <c r="AK33" i="2"/>
  <c r="AI22" i="3" s="1"/>
  <c r="AC33" i="2"/>
  <c r="AA22" i="3" s="1"/>
  <c r="U33" i="2"/>
  <c r="S22" i="3" s="1"/>
  <c r="CN33" i="2"/>
  <c r="CL22" i="3" s="1"/>
  <c r="CF33" i="2"/>
  <c r="CD22" i="3" s="1"/>
  <c r="BX33" i="2"/>
  <c r="BV22" i="3" s="1"/>
  <c r="BP33" i="2"/>
  <c r="BH33" i="2"/>
  <c r="BF22" i="3" s="1"/>
  <c r="AZ33" i="2"/>
  <c r="AX22" i="3" s="1"/>
  <c r="AR33" i="2"/>
  <c r="AP22" i="3" s="1"/>
  <c r="AJ33" i="2"/>
  <c r="AH22" i="3" s="1"/>
  <c r="AB33" i="2"/>
  <c r="Z22" i="3" s="1"/>
  <c r="T33" i="2"/>
  <c r="R22" i="3" s="1"/>
  <c r="CM33" i="2"/>
  <c r="CK22" i="3" s="1"/>
  <c r="CE33" i="2"/>
  <c r="CC22" i="3" s="1"/>
  <c r="BW33" i="2"/>
  <c r="BU22" i="3" s="1"/>
  <c r="BO33" i="2"/>
  <c r="BM22" i="3" s="1"/>
  <c r="BG33" i="2"/>
  <c r="BE22" i="3" s="1"/>
  <c r="AY33" i="2"/>
  <c r="AW22" i="3" s="1"/>
  <c r="AQ33" i="2"/>
  <c r="AI33" i="2"/>
  <c r="AG22" i="3" s="1"/>
  <c r="AA33" i="2"/>
  <c r="Y22" i="3" s="1"/>
  <c r="S33" i="2"/>
  <c r="Q22" i="3" s="1"/>
  <c r="BM33" i="2"/>
  <c r="BK22" i="3" s="1"/>
  <c r="F26" i="3"/>
  <c r="CP37" i="2"/>
  <c r="CH37" i="2"/>
  <c r="CF26" i="3" s="1"/>
  <c r="BZ37" i="2"/>
  <c r="BX26" i="3" s="1"/>
  <c r="BR37" i="2"/>
  <c r="BP26" i="3" s="1"/>
  <c r="BJ37" i="2"/>
  <c r="BH26" i="3" s="1"/>
  <c r="BB37" i="2"/>
  <c r="AZ26" i="3" s="1"/>
  <c r="AT37" i="2"/>
  <c r="AR26" i="3" s="1"/>
  <c r="AL37" i="2"/>
  <c r="AJ26" i="3" s="1"/>
  <c r="AD37" i="2"/>
  <c r="AB26" i="3" s="1"/>
  <c r="V37" i="2"/>
  <c r="T26" i="3" s="1"/>
  <c r="CO37" i="2"/>
  <c r="CM26" i="3" s="1"/>
  <c r="CG37" i="2"/>
  <c r="CE26" i="3" s="1"/>
  <c r="BY37" i="2"/>
  <c r="BW26" i="3" s="1"/>
  <c r="BQ37" i="2"/>
  <c r="BI37" i="2"/>
  <c r="BG26" i="3" s="1"/>
  <c r="BA37" i="2"/>
  <c r="AY26" i="3" s="1"/>
  <c r="AS37" i="2"/>
  <c r="AQ26" i="3" s="1"/>
  <c r="AK37" i="2"/>
  <c r="AI26" i="3" s="1"/>
  <c r="AC37" i="2"/>
  <c r="AA26" i="3" s="1"/>
  <c r="U37" i="2"/>
  <c r="S26" i="3" s="1"/>
  <c r="CN37" i="2"/>
  <c r="CL26" i="3" s="1"/>
  <c r="CF37" i="2"/>
  <c r="CD26" i="3" s="1"/>
  <c r="BX37" i="2"/>
  <c r="BV26" i="3" s="1"/>
  <c r="BP37" i="2"/>
  <c r="BH37" i="2"/>
  <c r="BF26" i="3" s="1"/>
  <c r="AZ37" i="2"/>
  <c r="AX26" i="3" s="1"/>
  <c r="AR37" i="2"/>
  <c r="AP26" i="3" s="1"/>
  <c r="AJ37" i="2"/>
  <c r="AH26" i="3" s="1"/>
  <c r="AB37" i="2"/>
  <c r="Z26" i="3" s="1"/>
  <c r="T37" i="2"/>
  <c r="R26" i="3" s="1"/>
  <c r="CM37" i="2"/>
  <c r="CK26" i="3" s="1"/>
  <c r="CE37" i="2"/>
  <c r="CC26" i="3" s="1"/>
  <c r="BW37" i="2"/>
  <c r="BU26" i="3" s="1"/>
  <c r="BO37" i="2"/>
  <c r="BM26" i="3" s="1"/>
  <c r="BG37" i="2"/>
  <c r="BE26" i="3" s="1"/>
  <c r="AY37" i="2"/>
  <c r="AW26" i="3" s="1"/>
  <c r="AQ37" i="2"/>
  <c r="AI37" i="2"/>
  <c r="AG26" i="3" s="1"/>
  <c r="AA37" i="2"/>
  <c r="Y26" i="3" s="1"/>
  <c r="S37" i="2"/>
  <c r="Q26" i="3" s="1"/>
  <c r="CJ37" i="2"/>
  <c r="CH26" i="3" s="1"/>
  <c r="CB37" i="2"/>
  <c r="BZ26" i="3" s="1"/>
  <c r="BT37" i="2"/>
  <c r="BR26" i="3" s="1"/>
  <c r="BL37" i="2"/>
  <c r="BJ26" i="3" s="1"/>
  <c r="BD37" i="2"/>
  <c r="BB26" i="3" s="1"/>
  <c r="AV37" i="2"/>
  <c r="AT26" i="3" s="1"/>
  <c r="AN37" i="2"/>
  <c r="AL26" i="3" s="1"/>
  <c r="AF37" i="2"/>
  <c r="AD26" i="3" s="1"/>
  <c r="X37" i="2"/>
  <c r="V26" i="3" s="1"/>
  <c r="CQ37" i="2"/>
  <c r="CI37" i="2"/>
  <c r="CG26" i="3" s="1"/>
  <c r="CA37" i="2"/>
  <c r="BY26" i="3" s="1"/>
  <c r="BS37" i="2"/>
  <c r="BQ26" i="3" s="1"/>
  <c r="BK37" i="2"/>
  <c r="BI26" i="3" s="1"/>
  <c r="BC37" i="2"/>
  <c r="BA26" i="3" s="1"/>
  <c r="AU37" i="2"/>
  <c r="AS26" i="3" s="1"/>
  <c r="AM37" i="2"/>
  <c r="AK26" i="3" s="1"/>
  <c r="AE37" i="2"/>
  <c r="AC26" i="3" s="1"/>
  <c r="W37" i="2"/>
  <c r="U26" i="3" s="1"/>
  <c r="CL37" i="2"/>
  <c r="CJ26" i="3" s="1"/>
  <c r="J16" i="2"/>
  <c r="R16" i="2"/>
  <c r="Z16" i="2"/>
  <c r="AH16" i="2"/>
  <c r="AP16" i="2"/>
  <c r="AX16" i="2"/>
  <c r="BF16" i="2"/>
  <c r="BN16" i="2"/>
  <c r="BV16" i="2"/>
  <c r="CD16" i="2"/>
  <c r="CL16" i="2"/>
  <c r="G17" i="2" a="1"/>
  <c r="G17" i="2" s="1"/>
  <c r="G19" i="2" a="1"/>
  <c r="G19" i="2" s="1"/>
  <c r="G21" i="2" a="1"/>
  <c r="G21" i="2" s="1"/>
  <c r="G23" i="2" a="1"/>
  <c r="G23" i="2" s="1"/>
  <c r="G25" i="2" a="1"/>
  <c r="G25" i="2" s="1"/>
  <c r="G27" i="2" a="1"/>
  <c r="G27" i="2" s="1"/>
  <c r="H30" i="2" a="1"/>
  <c r="H30" i="2" s="1"/>
  <c r="R33" i="2"/>
  <c r="P22" i="3" s="1"/>
  <c r="AH33" i="2"/>
  <c r="AF22" i="3" s="1"/>
  <c r="AX33" i="2"/>
  <c r="AV22" i="3" s="1"/>
  <c r="BN33" i="2"/>
  <c r="BL22" i="3" s="1"/>
  <c r="CD33" i="2"/>
  <c r="CB22" i="3" s="1"/>
  <c r="Y35" i="2"/>
  <c r="W24" i="3" s="1"/>
  <c r="BE35" i="2"/>
  <c r="BC24" i="3" s="1"/>
  <c r="AG37" i="2"/>
  <c r="AE26" i="3" s="1"/>
  <c r="BM37" i="2"/>
  <c r="BK26" i="3" s="1"/>
  <c r="AM62" i="2"/>
  <c r="AK30" i="3" s="1"/>
  <c r="BS62" i="2"/>
  <c r="BQ30" i="3" s="1"/>
  <c r="BK5" i="3"/>
  <c r="AG33" i="2"/>
  <c r="AE22" i="3" s="1"/>
  <c r="CC33" i="2"/>
  <c r="CA22" i="3" s="1"/>
  <c r="Z37" i="2"/>
  <c r="X26" i="3" s="1"/>
  <c r="S16" i="2"/>
  <c r="AA16" i="2"/>
  <c r="AI16" i="2"/>
  <c r="AQ16" i="2"/>
  <c r="AY16" i="2"/>
  <c r="BG16" i="2"/>
  <c r="BO16" i="2"/>
  <c r="BW16" i="2"/>
  <c r="CE16" i="2"/>
  <c r="CM16" i="2"/>
  <c r="W33" i="2"/>
  <c r="U22" i="3" s="1"/>
  <c r="AM33" i="2"/>
  <c r="AK22" i="3" s="1"/>
  <c r="BC33" i="2"/>
  <c r="BA22" i="3" s="1"/>
  <c r="BS33" i="2"/>
  <c r="BQ22" i="3" s="1"/>
  <c r="CI33" i="2"/>
  <c r="CG22" i="3" s="1"/>
  <c r="F24" i="3"/>
  <c r="CP35" i="2"/>
  <c r="CH35" i="2"/>
  <c r="CF24" i="3" s="1"/>
  <c r="BZ35" i="2"/>
  <c r="BX24" i="3" s="1"/>
  <c r="BR35" i="2"/>
  <c r="BP24" i="3" s="1"/>
  <c r="BJ35" i="2"/>
  <c r="BH24" i="3" s="1"/>
  <c r="BB35" i="2"/>
  <c r="AZ24" i="3" s="1"/>
  <c r="AT35" i="2"/>
  <c r="AR24" i="3" s="1"/>
  <c r="AL35" i="2"/>
  <c r="AJ24" i="3" s="1"/>
  <c r="AD35" i="2"/>
  <c r="AB24" i="3" s="1"/>
  <c r="V35" i="2"/>
  <c r="T24" i="3" s="1"/>
  <c r="CO35" i="2"/>
  <c r="CM24" i="3" s="1"/>
  <c r="CG35" i="2"/>
  <c r="CE24" i="3" s="1"/>
  <c r="BY35" i="2"/>
  <c r="BW24" i="3" s="1"/>
  <c r="BQ35" i="2"/>
  <c r="BI35" i="2"/>
  <c r="BG24" i="3" s="1"/>
  <c r="BA35" i="2"/>
  <c r="AY24" i="3" s="1"/>
  <c r="AS35" i="2"/>
  <c r="AQ24" i="3" s="1"/>
  <c r="AK35" i="2"/>
  <c r="AI24" i="3" s="1"/>
  <c r="AC35" i="2"/>
  <c r="AA24" i="3" s="1"/>
  <c r="U35" i="2"/>
  <c r="S24" i="3" s="1"/>
  <c r="CN35" i="2"/>
  <c r="CL24" i="3" s="1"/>
  <c r="CF35" i="2"/>
  <c r="CD24" i="3" s="1"/>
  <c r="BX35" i="2"/>
  <c r="BV24" i="3" s="1"/>
  <c r="BP35" i="2"/>
  <c r="BH35" i="2"/>
  <c r="BF24" i="3" s="1"/>
  <c r="AZ35" i="2"/>
  <c r="AX24" i="3" s="1"/>
  <c r="AR35" i="2"/>
  <c r="AP24" i="3" s="1"/>
  <c r="AJ35" i="2"/>
  <c r="AH24" i="3" s="1"/>
  <c r="AB35" i="2"/>
  <c r="Z24" i="3" s="1"/>
  <c r="T35" i="2"/>
  <c r="R24" i="3" s="1"/>
  <c r="CM35" i="2"/>
  <c r="CK24" i="3" s="1"/>
  <c r="CE35" i="2"/>
  <c r="CC24" i="3" s="1"/>
  <c r="BW35" i="2"/>
  <c r="BU24" i="3" s="1"/>
  <c r="BO35" i="2"/>
  <c r="BM24" i="3" s="1"/>
  <c r="BG35" i="2"/>
  <c r="BE24" i="3" s="1"/>
  <c r="AY35" i="2"/>
  <c r="AW24" i="3" s="1"/>
  <c r="AQ35" i="2"/>
  <c r="AI35" i="2"/>
  <c r="AG24" i="3" s="1"/>
  <c r="AA35" i="2"/>
  <c r="Y24" i="3" s="1"/>
  <c r="S35" i="2"/>
  <c r="Q24" i="3" s="1"/>
  <c r="CJ35" i="2"/>
  <c r="CH24" i="3" s="1"/>
  <c r="CB35" i="2"/>
  <c r="BZ24" i="3" s="1"/>
  <c r="BT35" i="2"/>
  <c r="BR24" i="3" s="1"/>
  <c r="BL35" i="2"/>
  <c r="BJ24" i="3" s="1"/>
  <c r="BD35" i="2"/>
  <c r="BB24" i="3" s="1"/>
  <c r="AV35" i="2"/>
  <c r="AT24" i="3" s="1"/>
  <c r="AN35" i="2"/>
  <c r="AL24" i="3" s="1"/>
  <c r="AF35" i="2"/>
  <c r="AD24" i="3" s="1"/>
  <c r="X35" i="2"/>
  <c r="V24" i="3" s="1"/>
  <c r="CQ35" i="2"/>
  <c r="CI35" i="2"/>
  <c r="CG24" i="3" s="1"/>
  <c r="CA35" i="2"/>
  <c r="BY24" i="3" s="1"/>
  <c r="BS35" i="2"/>
  <c r="BQ24" i="3" s="1"/>
  <c r="BK35" i="2"/>
  <c r="BI24" i="3" s="1"/>
  <c r="BC35" i="2"/>
  <c r="BA24" i="3" s="1"/>
  <c r="AU35" i="2"/>
  <c r="AS24" i="3" s="1"/>
  <c r="AM35" i="2"/>
  <c r="AK24" i="3" s="1"/>
  <c r="AE35" i="2"/>
  <c r="AC24" i="3" s="1"/>
  <c r="W35" i="2"/>
  <c r="U24" i="3" s="1"/>
  <c r="Z35" i="2"/>
  <c r="X24" i="3" s="1"/>
  <c r="BF35" i="2"/>
  <c r="BD24" i="3" s="1"/>
  <c r="CL35" i="2"/>
  <c r="CJ24" i="3" s="1"/>
  <c r="J37" i="2"/>
  <c r="H26" i="3" s="1"/>
  <c r="AH37" i="2"/>
  <c r="AF26" i="3" s="1"/>
  <c r="BN37" i="2"/>
  <c r="BL26" i="3" s="1"/>
  <c r="O62" i="2"/>
  <c r="M30" i="3" s="1"/>
  <c r="AN62" i="2"/>
  <c r="AL30" i="3" s="1"/>
  <c r="BT62" i="2"/>
  <c r="BR30" i="3" s="1"/>
  <c r="AU5" i="3"/>
  <c r="D31" i="3"/>
  <c r="H63" i="2"/>
  <c r="G63" i="2" a="1"/>
  <c r="G63" i="2" s="1"/>
  <c r="L16" i="2"/>
  <c r="T16" i="2"/>
  <c r="AB16" i="2"/>
  <c r="AJ16" i="2"/>
  <c r="AR16" i="2"/>
  <c r="AZ16" i="2"/>
  <c r="BH16" i="2"/>
  <c r="BP16" i="2"/>
  <c r="BX16" i="2"/>
  <c r="CF16" i="2"/>
  <c r="CN16" i="2"/>
  <c r="H17" i="2" a="1"/>
  <c r="H17" i="2" s="1"/>
  <c r="H19" i="2" a="1"/>
  <c r="H19" i="2" s="1"/>
  <c r="H21" i="2" a="1"/>
  <c r="H21" i="2" s="1"/>
  <c r="H23" i="2" a="1"/>
  <c r="H23" i="2" s="1"/>
  <c r="H25" i="2" a="1"/>
  <c r="H25" i="2" s="1"/>
  <c r="H27" i="2" a="1"/>
  <c r="H27" i="2" s="1"/>
  <c r="J33" i="2"/>
  <c r="H22" i="3" s="1"/>
  <c r="X33" i="2"/>
  <c r="V22" i="3" s="1"/>
  <c r="AN33" i="2"/>
  <c r="AL22" i="3" s="1"/>
  <c r="BD33" i="2"/>
  <c r="BB22" i="3" s="1"/>
  <c r="BT33" i="2"/>
  <c r="BR22" i="3" s="1"/>
  <c r="CJ33" i="2"/>
  <c r="CH22" i="3" s="1"/>
  <c r="AO37" i="2"/>
  <c r="AM26" i="3" s="1"/>
  <c r="BU37" i="2"/>
  <c r="BS26" i="3" s="1"/>
  <c r="E49" i="3"/>
  <c r="P81" i="2"/>
  <c r="M81" i="2"/>
  <c r="K49" i="3" s="1"/>
  <c r="L81" i="2"/>
  <c r="J49" i="3" s="1"/>
  <c r="O81" i="2"/>
  <c r="M49" i="3" s="1"/>
  <c r="W5" i="3"/>
  <c r="BS5" i="3"/>
  <c r="AW33" i="2"/>
  <c r="AU22" i="3" s="1"/>
  <c r="BF37" i="2"/>
  <c r="BD26" i="3" s="1"/>
  <c r="M16" i="2"/>
  <c r="U16" i="2"/>
  <c r="AC16" i="2"/>
  <c r="AK16" i="2"/>
  <c r="AS16" i="2"/>
  <c r="BA16" i="2"/>
  <c r="BI16" i="2"/>
  <c r="BQ16" i="2"/>
  <c r="BY16" i="2"/>
  <c r="CG16" i="2"/>
  <c r="CO16" i="2"/>
  <c r="Y33" i="2"/>
  <c r="W22" i="3" s="1"/>
  <c r="AO33" i="2"/>
  <c r="AM22" i="3" s="1"/>
  <c r="BE33" i="2"/>
  <c r="BC22" i="3" s="1"/>
  <c r="BU33" i="2"/>
  <c r="BS22" i="3" s="1"/>
  <c r="CK33" i="2"/>
  <c r="CI22" i="3" s="1"/>
  <c r="J35" i="2"/>
  <c r="H24" i="3" s="1"/>
  <c r="AH35" i="2"/>
  <c r="AF24" i="3" s="1"/>
  <c r="BN35" i="2"/>
  <c r="BL24" i="3" s="1"/>
  <c r="AP37" i="2"/>
  <c r="BV37" i="2"/>
  <c r="BT26" i="3" s="1"/>
  <c r="AV62" i="2"/>
  <c r="AT30" i="3" s="1"/>
  <c r="E32" i="3"/>
  <c r="M64" i="2"/>
  <c r="K32" i="3" s="1"/>
  <c r="L64" i="2"/>
  <c r="J32" i="3" s="1"/>
  <c r="P64" i="2"/>
  <c r="O64" i="2"/>
  <c r="M32" i="3" s="1"/>
  <c r="CI5" i="3"/>
  <c r="V16" i="2"/>
  <c r="AD16" i="2"/>
  <c r="AL16" i="2"/>
  <c r="AT16" i="2"/>
  <c r="BB16" i="2"/>
  <c r="BJ16" i="2"/>
  <c r="BR16" i="2"/>
  <c r="BZ16" i="2"/>
  <c r="CH16" i="2"/>
  <c r="CP16" i="2"/>
  <c r="Z33" i="2"/>
  <c r="X22" i="3" s="1"/>
  <c r="AP33" i="2"/>
  <c r="BF33" i="2"/>
  <c r="BD22" i="3" s="1"/>
  <c r="BV33" i="2"/>
  <c r="BT22" i="3" s="1"/>
  <c r="CL33" i="2"/>
  <c r="CJ22" i="3" s="1"/>
  <c r="AW37" i="2"/>
  <c r="AU26" i="3" s="1"/>
  <c r="CC37" i="2"/>
  <c r="CA26" i="3" s="1"/>
  <c r="E30" i="3"/>
  <c r="L62" i="2"/>
  <c r="J30" i="3" s="1"/>
  <c r="M62" i="2"/>
  <c r="K30" i="3" s="1"/>
  <c r="CO41" i="3"/>
  <c r="CN41" i="3"/>
  <c r="BC5" i="3"/>
  <c r="O16" i="2"/>
  <c r="W16" i="2"/>
  <c r="AE16" i="2"/>
  <c r="AM16" i="2"/>
  <c r="AU16" i="2"/>
  <c r="BC16" i="2"/>
  <c r="BK16" i="2"/>
  <c r="BS16" i="2"/>
  <c r="CA16" i="2"/>
  <c r="CI16" i="2"/>
  <c r="CQ16" i="2"/>
  <c r="D21" i="3"/>
  <c r="H32" i="2" a="1"/>
  <c r="H32" i="2" s="1"/>
  <c r="AE33" i="2"/>
  <c r="AC22" i="3" s="1"/>
  <c r="AU33" i="2"/>
  <c r="AS22" i="3" s="1"/>
  <c r="BK33" i="2"/>
  <c r="BI22" i="3" s="1"/>
  <c r="CA33" i="2"/>
  <c r="BY22" i="3" s="1"/>
  <c r="CQ33" i="2"/>
  <c r="BV35" i="2"/>
  <c r="BT24" i="3" s="1"/>
  <c r="R37" i="2"/>
  <c r="P26" i="3" s="1"/>
  <c r="AX37" i="2"/>
  <c r="AV26" i="3" s="1"/>
  <c r="CD37" i="2"/>
  <c r="CB26" i="3" s="1"/>
  <c r="D28" i="3"/>
  <c r="H60" i="2"/>
  <c r="G60" i="2" a="1"/>
  <c r="G60" i="2" s="1"/>
  <c r="AO29" i="3"/>
  <c r="AN29" i="3"/>
  <c r="F30" i="3"/>
  <c r="CN62" i="2"/>
  <c r="CL30" i="3" s="1"/>
  <c r="CF62" i="2"/>
  <c r="CD30" i="3" s="1"/>
  <c r="BX62" i="2"/>
  <c r="BV30" i="3" s="1"/>
  <c r="BP62" i="2"/>
  <c r="BH62" i="2"/>
  <c r="BF30" i="3" s="1"/>
  <c r="AZ62" i="2"/>
  <c r="AX30" i="3" s="1"/>
  <c r="AR62" i="2"/>
  <c r="AP30" i="3" s="1"/>
  <c r="AJ62" i="2"/>
  <c r="AH30" i="3" s="1"/>
  <c r="AB62" i="2"/>
  <c r="Z30" i="3" s="1"/>
  <c r="T62" i="2"/>
  <c r="R30" i="3" s="1"/>
  <c r="CM62" i="2"/>
  <c r="CK30" i="3" s="1"/>
  <c r="CE62" i="2"/>
  <c r="CC30" i="3" s="1"/>
  <c r="BW62" i="2"/>
  <c r="BU30" i="3" s="1"/>
  <c r="BO62" i="2"/>
  <c r="BM30" i="3" s="1"/>
  <c r="BG62" i="2"/>
  <c r="BE30" i="3" s="1"/>
  <c r="AY62" i="2"/>
  <c r="AW30" i="3" s="1"/>
  <c r="AQ62" i="2"/>
  <c r="AI62" i="2"/>
  <c r="AG30" i="3" s="1"/>
  <c r="AA62" i="2"/>
  <c r="Y30" i="3" s="1"/>
  <c r="S62" i="2"/>
  <c r="Q30" i="3" s="1"/>
  <c r="CL62" i="2"/>
  <c r="CJ30" i="3" s="1"/>
  <c r="CD62" i="2"/>
  <c r="CB30" i="3" s="1"/>
  <c r="BV62" i="2"/>
  <c r="BT30" i="3" s="1"/>
  <c r="BN62" i="2"/>
  <c r="BL30" i="3" s="1"/>
  <c r="BF62" i="2"/>
  <c r="BD30" i="3" s="1"/>
  <c r="AX62" i="2"/>
  <c r="AV30" i="3" s="1"/>
  <c r="AP62" i="2"/>
  <c r="AH62" i="2"/>
  <c r="AF30" i="3" s="1"/>
  <c r="Z62" i="2"/>
  <c r="X30" i="3" s="1"/>
  <c r="R62" i="2"/>
  <c r="P30" i="3" s="1"/>
  <c r="J62" i="2"/>
  <c r="H30" i="3" s="1"/>
  <c r="CK62" i="2"/>
  <c r="CI30" i="3" s="1"/>
  <c r="CC62" i="2"/>
  <c r="CA30" i="3" s="1"/>
  <c r="BU62" i="2"/>
  <c r="BS30" i="3" s="1"/>
  <c r="BM62" i="2"/>
  <c r="BK30" i="3" s="1"/>
  <c r="BE62" i="2"/>
  <c r="BC30" i="3" s="1"/>
  <c r="AW62" i="2"/>
  <c r="AU30" i="3" s="1"/>
  <c r="AO62" i="2"/>
  <c r="AM30" i="3" s="1"/>
  <c r="AG62" i="2"/>
  <c r="AE30" i="3" s="1"/>
  <c r="Y62" i="2"/>
  <c r="W30" i="3" s="1"/>
  <c r="CP62" i="2"/>
  <c r="CH62" i="2"/>
  <c r="CF30" i="3" s="1"/>
  <c r="BZ62" i="2"/>
  <c r="BX30" i="3" s="1"/>
  <c r="BR62" i="2"/>
  <c r="BP30" i="3" s="1"/>
  <c r="BJ62" i="2"/>
  <c r="BH30" i="3" s="1"/>
  <c r="BB62" i="2"/>
  <c r="AZ30" i="3" s="1"/>
  <c r="AT62" i="2"/>
  <c r="AR30" i="3" s="1"/>
  <c r="AL62" i="2"/>
  <c r="AJ30" i="3" s="1"/>
  <c r="AD62" i="2"/>
  <c r="AB30" i="3" s="1"/>
  <c r="V62" i="2"/>
  <c r="T30" i="3" s="1"/>
  <c r="CO62" i="2"/>
  <c r="CM30" i="3" s="1"/>
  <c r="CG62" i="2"/>
  <c r="CE30" i="3" s="1"/>
  <c r="BY62" i="2"/>
  <c r="BW30" i="3" s="1"/>
  <c r="BQ62" i="2"/>
  <c r="BI62" i="2"/>
  <c r="BG30" i="3" s="1"/>
  <c r="BA62" i="2"/>
  <c r="AY30" i="3" s="1"/>
  <c r="AS62" i="2"/>
  <c r="AQ30" i="3" s="1"/>
  <c r="AK62" i="2"/>
  <c r="AI30" i="3" s="1"/>
  <c r="AC62" i="2"/>
  <c r="AA30" i="3" s="1"/>
  <c r="U62" i="2"/>
  <c r="S30" i="3" s="1"/>
  <c r="X62" i="2"/>
  <c r="V30" i="3" s="1"/>
  <c r="BD62" i="2"/>
  <c r="BB30" i="3" s="1"/>
  <c r="CJ62" i="2"/>
  <c r="CH30" i="3" s="1"/>
  <c r="AM5" i="3"/>
  <c r="D18" i="3"/>
  <c r="G29" i="2" a="1"/>
  <c r="G29" i="2" s="1"/>
  <c r="X16" i="2"/>
  <c r="AF16" i="2"/>
  <c r="AN16" i="2"/>
  <c r="AV16" i="2"/>
  <c r="BD16" i="2"/>
  <c r="BL16" i="2"/>
  <c r="BT16" i="2"/>
  <c r="CB16" i="2"/>
  <c r="CJ16" i="2"/>
  <c r="AF33" i="2"/>
  <c r="AD22" i="3" s="1"/>
  <c r="AV33" i="2"/>
  <c r="AT22" i="3" s="1"/>
  <c r="BL33" i="2"/>
  <c r="BJ22" i="3" s="1"/>
  <c r="CB33" i="2"/>
  <c r="BZ22" i="3" s="1"/>
  <c r="D23" i="3"/>
  <c r="H34" i="2" a="1"/>
  <c r="H34" i="2" s="1"/>
  <c r="Y37" i="2"/>
  <c r="W26" i="3" s="1"/>
  <c r="BE37" i="2"/>
  <c r="BC26" i="3" s="1"/>
  <c r="CK37" i="2"/>
  <c r="CI26" i="3" s="1"/>
  <c r="E33" i="3"/>
  <c r="P65" i="2"/>
  <c r="O65" i="2"/>
  <c r="M33" i="3" s="1"/>
  <c r="M65" i="2"/>
  <c r="K33" i="3" s="1"/>
  <c r="L65" i="2"/>
  <c r="J33" i="3" s="1"/>
  <c r="X61" i="2"/>
  <c r="V29" i="3" s="1"/>
  <c r="AF61" i="2"/>
  <c r="AD29" i="3" s="1"/>
  <c r="AN61" i="2"/>
  <c r="AL29" i="3" s="1"/>
  <c r="AV61" i="2"/>
  <c r="AT29" i="3" s="1"/>
  <c r="BD61" i="2"/>
  <c r="BB29" i="3" s="1"/>
  <c r="BL61" i="2"/>
  <c r="BJ29" i="3" s="1"/>
  <c r="BT61" i="2"/>
  <c r="BR29" i="3" s="1"/>
  <c r="CB61" i="2"/>
  <c r="BZ29" i="3" s="1"/>
  <c r="CJ61" i="2"/>
  <c r="CH29" i="3" s="1"/>
  <c r="W64" i="2"/>
  <c r="U32" i="3" s="1"/>
  <c r="AE64" i="2"/>
  <c r="AC32" i="3" s="1"/>
  <c r="AM64" i="2"/>
  <c r="AK32" i="3" s="1"/>
  <c r="AU64" i="2"/>
  <c r="AS32" i="3" s="1"/>
  <c r="BC64" i="2"/>
  <c r="BA32" i="3" s="1"/>
  <c r="BK64" i="2"/>
  <c r="BI32" i="3" s="1"/>
  <c r="BS64" i="2"/>
  <c r="BQ32" i="3" s="1"/>
  <c r="CA64" i="2"/>
  <c r="BY32" i="3" s="1"/>
  <c r="CI64" i="2"/>
  <c r="CG32" i="3" s="1"/>
  <c r="CQ64" i="2"/>
  <c r="V67" i="2"/>
  <c r="T35" i="3" s="1"/>
  <c r="AD67" i="2"/>
  <c r="AB35" i="3" s="1"/>
  <c r="AL67" i="2"/>
  <c r="AJ35" i="3" s="1"/>
  <c r="AT67" i="2"/>
  <c r="AR35" i="3" s="1"/>
  <c r="BB67" i="2"/>
  <c r="AZ35" i="3" s="1"/>
  <c r="BJ67" i="2"/>
  <c r="BH35" i="3" s="1"/>
  <c r="BR67" i="2"/>
  <c r="BP35" i="3" s="1"/>
  <c r="BZ67" i="2"/>
  <c r="BX35" i="3" s="1"/>
  <c r="CH67" i="2"/>
  <c r="CF35" i="3" s="1"/>
  <c r="CP67" i="2"/>
  <c r="F37" i="3"/>
  <c r="CK69" i="2"/>
  <c r="CI37" i="3" s="1"/>
  <c r="CC69" i="2"/>
  <c r="CA37" i="3" s="1"/>
  <c r="BU69" i="2"/>
  <c r="BS37" i="3" s="1"/>
  <c r="BM69" i="2"/>
  <c r="BK37" i="3" s="1"/>
  <c r="BE69" i="2"/>
  <c r="BC37" i="3" s="1"/>
  <c r="CJ69" i="2"/>
  <c r="CH37" i="3" s="1"/>
  <c r="CB69" i="2"/>
  <c r="BZ37" i="3" s="1"/>
  <c r="BT69" i="2"/>
  <c r="BR37" i="3" s="1"/>
  <c r="X69" i="2"/>
  <c r="V37" i="3" s="1"/>
  <c r="AF69" i="2"/>
  <c r="AD37" i="3" s="1"/>
  <c r="AN69" i="2"/>
  <c r="AL37" i="3" s="1"/>
  <c r="AV69" i="2"/>
  <c r="AT37" i="3" s="1"/>
  <c r="BD69" i="2"/>
  <c r="BB37" i="3" s="1"/>
  <c r="BN69" i="2"/>
  <c r="BL37" i="3" s="1"/>
  <c r="BX69" i="2"/>
  <c r="BV37" i="3" s="1"/>
  <c r="CH69" i="2"/>
  <c r="CF37" i="3" s="1"/>
  <c r="Y70" i="2"/>
  <c r="W38" i="3" s="1"/>
  <c r="AI70" i="2"/>
  <c r="AG38" i="3" s="1"/>
  <c r="AU70" i="2"/>
  <c r="AS38" i="3" s="1"/>
  <c r="BE70" i="2"/>
  <c r="BC38" i="3" s="1"/>
  <c r="BO70" i="2"/>
  <c r="BM38" i="3" s="1"/>
  <c r="CA70" i="2"/>
  <c r="BY38" i="3" s="1"/>
  <c r="CK70" i="2"/>
  <c r="CI38" i="3" s="1"/>
  <c r="F39" i="3"/>
  <c r="CQ71" i="2"/>
  <c r="CI71" i="2"/>
  <c r="CG39" i="3" s="1"/>
  <c r="CM71" i="2"/>
  <c r="CK39" i="3" s="1"/>
  <c r="CE71" i="2"/>
  <c r="CC39" i="3" s="1"/>
  <c r="BW71" i="2"/>
  <c r="BU39" i="3" s="1"/>
  <c r="BO71" i="2"/>
  <c r="BM39" i="3" s="1"/>
  <c r="BG71" i="2"/>
  <c r="BE39" i="3" s="1"/>
  <c r="AY71" i="2"/>
  <c r="AW39" i="3" s="1"/>
  <c r="AQ71" i="2"/>
  <c r="AI71" i="2"/>
  <c r="AG39" i="3" s="1"/>
  <c r="AA71" i="2"/>
  <c r="Y39" i="3" s="1"/>
  <c r="S71" i="2"/>
  <c r="Q39" i="3" s="1"/>
  <c r="CL71" i="2"/>
  <c r="CJ39" i="3" s="1"/>
  <c r="CD71" i="2"/>
  <c r="CB39" i="3" s="1"/>
  <c r="BV71" i="2"/>
  <c r="BT39" i="3" s="1"/>
  <c r="BN71" i="2"/>
  <c r="BL39" i="3" s="1"/>
  <c r="BF71" i="2"/>
  <c r="BD39" i="3" s="1"/>
  <c r="AX71" i="2"/>
  <c r="AV39" i="3" s="1"/>
  <c r="AP71" i="2"/>
  <c r="AH71" i="2"/>
  <c r="AF39" i="3" s="1"/>
  <c r="Z71" i="2"/>
  <c r="X39" i="3" s="1"/>
  <c r="R71" i="2"/>
  <c r="P39" i="3" s="1"/>
  <c r="J71" i="2"/>
  <c r="H39" i="3" s="1"/>
  <c r="AC71" i="2"/>
  <c r="AA39" i="3" s="1"/>
  <c r="AM71" i="2"/>
  <c r="AK39" i="3" s="1"/>
  <c r="AW71" i="2"/>
  <c r="AU39" i="3" s="1"/>
  <c r="BI71" i="2"/>
  <c r="BG39" i="3" s="1"/>
  <c r="BS71" i="2"/>
  <c r="BQ39" i="3" s="1"/>
  <c r="CC71" i="2"/>
  <c r="CA39" i="3" s="1"/>
  <c r="CP71" i="2"/>
  <c r="F42" i="3"/>
  <c r="CP74" i="2"/>
  <c r="CH74" i="2"/>
  <c r="CF42" i="3" s="1"/>
  <c r="BZ74" i="2"/>
  <c r="BX42" i="3" s="1"/>
  <c r="BR74" i="2"/>
  <c r="BP42" i="3" s="1"/>
  <c r="BJ74" i="2"/>
  <c r="BH42" i="3" s="1"/>
  <c r="BB74" i="2"/>
  <c r="AZ42" i="3" s="1"/>
  <c r="AT74" i="2"/>
  <c r="AR42" i="3" s="1"/>
  <c r="AL74" i="2"/>
  <c r="AJ42" i="3" s="1"/>
  <c r="AD74" i="2"/>
  <c r="AB42" i="3" s="1"/>
  <c r="V74" i="2"/>
  <c r="T42" i="3" s="1"/>
  <c r="CL74" i="2"/>
  <c r="CJ42" i="3" s="1"/>
  <c r="CD74" i="2"/>
  <c r="CB42" i="3" s="1"/>
  <c r="BV74" i="2"/>
  <c r="BT42" i="3" s="1"/>
  <c r="BN74" i="2"/>
  <c r="BL42" i="3" s="1"/>
  <c r="BF74" i="2"/>
  <c r="BD42" i="3" s="1"/>
  <c r="AX74" i="2"/>
  <c r="AV42" i="3" s="1"/>
  <c r="AP74" i="2"/>
  <c r="AH74" i="2"/>
  <c r="AF42" i="3" s="1"/>
  <c r="Z74" i="2"/>
  <c r="X42" i="3" s="1"/>
  <c r="R74" i="2"/>
  <c r="P42" i="3" s="1"/>
  <c r="J74" i="2"/>
  <c r="H42" i="3" s="1"/>
  <c r="CK74" i="2"/>
  <c r="CI42" i="3" s="1"/>
  <c r="CC74" i="2"/>
  <c r="CA42" i="3" s="1"/>
  <c r="BU74" i="2"/>
  <c r="BS42" i="3" s="1"/>
  <c r="BM74" i="2"/>
  <c r="BK42" i="3" s="1"/>
  <c r="BE74" i="2"/>
  <c r="BC42" i="3" s="1"/>
  <c r="AW74" i="2"/>
  <c r="AU42" i="3" s="1"/>
  <c r="AO74" i="2"/>
  <c r="AM42" i="3" s="1"/>
  <c r="AG74" i="2"/>
  <c r="AE42" i="3" s="1"/>
  <c r="Y74" i="2"/>
  <c r="W42" i="3" s="1"/>
  <c r="AC74" i="2"/>
  <c r="AA42" i="3" s="1"/>
  <c r="AQ74" i="2"/>
  <c r="BC74" i="2"/>
  <c r="BA42" i="3" s="1"/>
  <c r="BP74" i="2"/>
  <c r="CB74" i="2"/>
  <c r="BZ42" i="3" s="1"/>
  <c r="CO74" i="2"/>
  <c r="CM42" i="3" s="1"/>
  <c r="E45" i="3"/>
  <c r="M77" i="2"/>
  <c r="K45" i="3" s="1"/>
  <c r="P77" i="2"/>
  <c r="E50" i="3"/>
  <c r="M82" i="2"/>
  <c r="K50" i="3" s="1"/>
  <c r="L82" i="2"/>
  <c r="J50" i="3" s="1"/>
  <c r="D53" i="3"/>
  <c r="H105" i="2"/>
  <c r="G105" i="2" a="1"/>
  <c r="G105" i="2" s="1"/>
  <c r="F60" i="3"/>
  <c r="CK112" i="2"/>
  <c r="CI60" i="3" s="1"/>
  <c r="CC112" i="2"/>
  <c r="CA60" i="3" s="1"/>
  <c r="BU112" i="2"/>
  <c r="BS60" i="3" s="1"/>
  <c r="BM112" i="2"/>
  <c r="BK60" i="3" s="1"/>
  <c r="BE112" i="2"/>
  <c r="BC60" i="3" s="1"/>
  <c r="AW112" i="2"/>
  <c r="AU60" i="3" s="1"/>
  <c r="AO112" i="2"/>
  <c r="AM60" i="3" s="1"/>
  <c r="AG112" i="2"/>
  <c r="AE60" i="3" s="1"/>
  <c r="Y112" i="2"/>
  <c r="W60" i="3" s="1"/>
  <c r="CO112" i="2"/>
  <c r="CM60" i="3" s="1"/>
  <c r="CG112" i="2"/>
  <c r="CE60" i="3" s="1"/>
  <c r="BY112" i="2"/>
  <c r="BW60" i="3" s="1"/>
  <c r="BQ112" i="2"/>
  <c r="BI112" i="2"/>
  <c r="BG60" i="3" s="1"/>
  <c r="BA112" i="2"/>
  <c r="AY60" i="3" s="1"/>
  <c r="AS112" i="2"/>
  <c r="AQ60" i="3" s="1"/>
  <c r="AK112" i="2"/>
  <c r="AI60" i="3" s="1"/>
  <c r="AC112" i="2"/>
  <c r="AA60" i="3" s="1"/>
  <c r="U112" i="2"/>
  <c r="S60" i="3" s="1"/>
  <c r="CQ112" i="2"/>
  <c r="CF112" i="2"/>
  <c r="CD60" i="3" s="1"/>
  <c r="BV112" i="2"/>
  <c r="BT60" i="3" s="1"/>
  <c r="BK112" i="2"/>
  <c r="BI60" i="3" s="1"/>
  <c r="AZ112" i="2"/>
  <c r="AX60" i="3" s="1"/>
  <c r="AP112" i="2"/>
  <c r="AE112" i="2"/>
  <c r="AC60" i="3" s="1"/>
  <c r="T112" i="2"/>
  <c r="R60" i="3" s="1"/>
  <c r="CP112" i="2"/>
  <c r="CE112" i="2"/>
  <c r="CC60" i="3" s="1"/>
  <c r="BT112" i="2"/>
  <c r="BR60" i="3" s="1"/>
  <c r="BJ112" i="2"/>
  <c r="BH60" i="3" s="1"/>
  <c r="AY112" i="2"/>
  <c r="AW60" i="3" s="1"/>
  <c r="AN112" i="2"/>
  <c r="AL60" i="3" s="1"/>
  <c r="AD112" i="2"/>
  <c r="AB60" i="3" s="1"/>
  <c r="S112" i="2"/>
  <c r="Q60" i="3" s="1"/>
  <c r="J112" i="2"/>
  <c r="H60" i="3" s="1"/>
  <c r="CN112" i="2"/>
  <c r="CL60" i="3" s="1"/>
  <c r="CD112" i="2"/>
  <c r="CB60" i="3" s="1"/>
  <c r="BS112" i="2"/>
  <c r="BQ60" i="3" s="1"/>
  <c r="BH112" i="2"/>
  <c r="BF60" i="3" s="1"/>
  <c r="AX112" i="2"/>
  <c r="AV60" i="3" s="1"/>
  <c r="AM112" i="2"/>
  <c r="AK60" i="3" s="1"/>
  <c r="AB112" i="2"/>
  <c r="Z60" i="3" s="1"/>
  <c r="R112" i="2"/>
  <c r="P60" i="3" s="1"/>
  <c r="CL112" i="2"/>
  <c r="CJ60" i="3" s="1"/>
  <c r="CA112" i="2"/>
  <c r="BY60" i="3" s="1"/>
  <c r="BP112" i="2"/>
  <c r="BF112" i="2"/>
  <c r="BD60" i="3" s="1"/>
  <c r="AU112" i="2"/>
  <c r="AS60" i="3" s="1"/>
  <c r="AJ112" i="2"/>
  <c r="AH60" i="3" s="1"/>
  <c r="Z112" i="2"/>
  <c r="X60" i="3" s="1"/>
  <c r="CJ112" i="2"/>
  <c r="CH60" i="3" s="1"/>
  <c r="BZ112" i="2"/>
  <c r="BX60" i="3" s="1"/>
  <c r="BO112" i="2"/>
  <c r="BM60" i="3" s="1"/>
  <c r="BD112" i="2"/>
  <c r="BB60" i="3" s="1"/>
  <c r="AT112" i="2"/>
  <c r="AR60" i="3" s="1"/>
  <c r="AI112" i="2"/>
  <c r="AG60" i="3" s="1"/>
  <c r="X112" i="2"/>
  <c r="V60" i="3" s="1"/>
  <c r="CI112" i="2"/>
  <c r="CG60" i="3" s="1"/>
  <c r="BX112" i="2"/>
  <c r="BV60" i="3" s="1"/>
  <c r="BN112" i="2"/>
  <c r="BL60" i="3" s="1"/>
  <c r="BC112" i="2"/>
  <c r="BA60" i="3" s="1"/>
  <c r="AR112" i="2"/>
  <c r="AP60" i="3" s="1"/>
  <c r="AH112" i="2"/>
  <c r="AF60" i="3" s="1"/>
  <c r="W112" i="2"/>
  <c r="U60" i="3" s="1"/>
  <c r="CH112" i="2"/>
  <c r="CF60" i="3" s="1"/>
  <c r="BW112" i="2"/>
  <c r="BU60" i="3" s="1"/>
  <c r="BL112" i="2"/>
  <c r="BJ60" i="3" s="1"/>
  <c r="BB112" i="2"/>
  <c r="AZ60" i="3" s="1"/>
  <c r="AQ112" i="2"/>
  <c r="AF112" i="2"/>
  <c r="AD60" i="3" s="1"/>
  <c r="V112" i="2"/>
  <c r="T60" i="3" s="1"/>
  <c r="AV112" i="2"/>
  <c r="AT60" i="3" s="1"/>
  <c r="E63" i="3"/>
  <c r="P115" i="2"/>
  <c r="L115" i="2"/>
  <c r="J63" i="3" s="1"/>
  <c r="O115" i="2"/>
  <c r="M63" i="3" s="1"/>
  <c r="M115" i="2"/>
  <c r="K63" i="3" s="1"/>
  <c r="Y61" i="2"/>
  <c r="W29" i="3" s="1"/>
  <c r="AG61" i="2"/>
  <c r="AE29" i="3" s="1"/>
  <c r="AO61" i="2"/>
  <c r="AM29" i="3" s="1"/>
  <c r="AW61" i="2"/>
  <c r="AU29" i="3" s="1"/>
  <c r="BE61" i="2"/>
  <c r="BC29" i="3" s="1"/>
  <c r="BM61" i="2"/>
  <c r="BK29" i="3" s="1"/>
  <c r="BU61" i="2"/>
  <c r="BS29" i="3" s="1"/>
  <c r="CC61" i="2"/>
  <c r="CA29" i="3" s="1"/>
  <c r="CK61" i="2"/>
  <c r="CI29" i="3" s="1"/>
  <c r="X64" i="2"/>
  <c r="V32" i="3" s="1"/>
  <c r="AF64" i="2"/>
  <c r="AD32" i="3" s="1"/>
  <c r="AN64" i="2"/>
  <c r="AL32" i="3" s="1"/>
  <c r="AV64" i="2"/>
  <c r="AT32" i="3" s="1"/>
  <c r="BD64" i="2"/>
  <c r="BB32" i="3" s="1"/>
  <c r="BL64" i="2"/>
  <c r="BJ32" i="3" s="1"/>
  <c r="BT64" i="2"/>
  <c r="BR32" i="3" s="1"/>
  <c r="CB64" i="2"/>
  <c r="BZ32" i="3" s="1"/>
  <c r="CJ64" i="2"/>
  <c r="CH32" i="3" s="1"/>
  <c r="O67" i="2"/>
  <c r="M35" i="3" s="1"/>
  <c r="W67" i="2"/>
  <c r="U35" i="3" s="1"/>
  <c r="AE67" i="2"/>
  <c r="AC35" i="3" s="1"/>
  <c r="AM67" i="2"/>
  <c r="AK35" i="3" s="1"/>
  <c r="AU67" i="2"/>
  <c r="AS35" i="3" s="1"/>
  <c r="BC67" i="2"/>
  <c r="BA35" i="3" s="1"/>
  <c r="BK67" i="2"/>
  <c r="BI35" i="3" s="1"/>
  <c r="BS67" i="2"/>
  <c r="BQ35" i="3" s="1"/>
  <c r="CA67" i="2"/>
  <c r="BY35" i="3" s="1"/>
  <c r="CI67" i="2"/>
  <c r="CG35" i="3" s="1"/>
  <c r="CQ67" i="2"/>
  <c r="Y69" i="2"/>
  <c r="W37" i="3" s="1"/>
  <c r="AG69" i="2"/>
  <c r="AE37" i="3" s="1"/>
  <c r="AO69" i="2"/>
  <c r="AM37" i="3" s="1"/>
  <c r="AW69" i="2"/>
  <c r="AU37" i="3" s="1"/>
  <c r="BF69" i="2"/>
  <c r="BD37" i="3" s="1"/>
  <c r="BO69" i="2"/>
  <c r="BM37" i="3" s="1"/>
  <c r="BY69" i="2"/>
  <c r="BW37" i="3" s="1"/>
  <c r="CI69" i="2"/>
  <c r="CG37" i="3" s="1"/>
  <c r="E38" i="3"/>
  <c r="M70" i="2"/>
  <c r="K38" i="3" s="1"/>
  <c r="P70" i="2"/>
  <c r="Z70" i="2"/>
  <c r="X38" i="3" s="1"/>
  <c r="AJ70" i="2"/>
  <c r="AH38" i="3" s="1"/>
  <c r="AV70" i="2"/>
  <c r="AT38" i="3" s="1"/>
  <c r="BF70" i="2"/>
  <c r="BD38" i="3" s="1"/>
  <c r="BP70" i="2"/>
  <c r="CB70" i="2"/>
  <c r="BZ38" i="3" s="1"/>
  <c r="T71" i="2"/>
  <c r="R39" i="3" s="1"/>
  <c r="AD71" i="2"/>
  <c r="AB39" i="3" s="1"/>
  <c r="AN71" i="2"/>
  <c r="AL39" i="3" s="1"/>
  <c r="AZ71" i="2"/>
  <c r="AX39" i="3" s="1"/>
  <c r="BJ71" i="2"/>
  <c r="BH39" i="3" s="1"/>
  <c r="BT71" i="2"/>
  <c r="BR39" i="3" s="1"/>
  <c r="CF71" i="2"/>
  <c r="CD39" i="3" s="1"/>
  <c r="D40" i="3"/>
  <c r="H72" i="2"/>
  <c r="G72" i="2" a="1"/>
  <c r="G72" i="2" s="1"/>
  <c r="S74" i="2"/>
  <c r="Q42" i="3" s="1"/>
  <c r="AE74" i="2"/>
  <c r="AC42" i="3" s="1"/>
  <c r="AR74" i="2"/>
  <c r="AP42" i="3" s="1"/>
  <c r="BD74" i="2"/>
  <c r="BB42" i="3" s="1"/>
  <c r="BQ74" i="2"/>
  <c r="CE74" i="2"/>
  <c r="CC42" i="3" s="1"/>
  <c r="CQ74" i="2"/>
  <c r="F50" i="3"/>
  <c r="CP82" i="2"/>
  <c r="CH82" i="2"/>
  <c r="CF50" i="3" s="1"/>
  <c r="BZ82" i="2"/>
  <c r="BX50" i="3" s="1"/>
  <c r="BR82" i="2"/>
  <c r="BP50" i="3" s="1"/>
  <c r="BJ82" i="2"/>
  <c r="BH50" i="3" s="1"/>
  <c r="BB82" i="2"/>
  <c r="AZ50" i="3" s="1"/>
  <c r="AT82" i="2"/>
  <c r="AR50" i="3" s="1"/>
  <c r="AL82" i="2"/>
  <c r="AJ50" i="3" s="1"/>
  <c r="AD82" i="2"/>
  <c r="AB50" i="3" s="1"/>
  <c r="V82" i="2"/>
  <c r="T50" i="3" s="1"/>
  <c r="CO82" i="2"/>
  <c r="CM50" i="3" s="1"/>
  <c r="CG82" i="2"/>
  <c r="CE50" i="3" s="1"/>
  <c r="BY82" i="2"/>
  <c r="BW50" i="3" s="1"/>
  <c r="BQ82" i="2"/>
  <c r="BI82" i="2"/>
  <c r="BG50" i="3" s="1"/>
  <c r="BA82" i="2"/>
  <c r="AY50" i="3" s="1"/>
  <c r="AS82" i="2"/>
  <c r="AQ50" i="3" s="1"/>
  <c r="AK82" i="2"/>
  <c r="AI50" i="3" s="1"/>
  <c r="AC82" i="2"/>
  <c r="AA50" i="3" s="1"/>
  <c r="U82" i="2"/>
  <c r="S50" i="3" s="1"/>
  <c r="CN82" i="2"/>
  <c r="CL50" i="3" s="1"/>
  <c r="CF82" i="2"/>
  <c r="CD50" i="3" s="1"/>
  <c r="BX82" i="2"/>
  <c r="BV50" i="3" s="1"/>
  <c r="BP82" i="2"/>
  <c r="BH82" i="2"/>
  <c r="BF50" i="3" s="1"/>
  <c r="AZ82" i="2"/>
  <c r="AX50" i="3" s="1"/>
  <c r="AR82" i="2"/>
  <c r="AP50" i="3" s="1"/>
  <c r="AJ82" i="2"/>
  <c r="AH50" i="3" s="1"/>
  <c r="AB82" i="2"/>
  <c r="Z50" i="3" s="1"/>
  <c r="T82" i="2"/>
  <c r="R50" i="3" s="1"/>
  <c r="CL82" i="2"/>
  <c r="CJ50" i="3" s="1"/>
  <c r="CD82" i="2"/>
  <c r="CB50" i="3" s="1"/>
  <c r="BV82" i="2"/>
  <c r="BT50" i="3" s="1"/>
  <c r="BN82" i="2"/>
  <c r="BL50" i="3" s="1"/>
  <c r="BF82" i="2"/>
  <c r="BD50" i="3" s="1"/>
  <c r="AX82" i="2"/>
  <c r="AV50" i="3" s="1"/>
  <c r="AP82" i="2"/>
  <c r="AH82" i="2"/>
  <c r="AF50" i="3" s="1"/>
  <c r="Z82" i="2"/>
  <c r="X50" i="3" s="1"/>
  <c r="R82" i="2"/>
  <c r="P50" i="3" s="1"/>
  <c r="J82" i="2"/>
  <c r="H50" i="3" s="1"/>
  <c r="CK82" i="2"/>
  <c r="CI50" i="3" s="1"/>
  <c r="CC82" i="2"/>
  <c r="CA50" i="3" s="1"/>
  <c r="BU82" i="2"/>
  <c r="BS50" i="3" s="1"/>
  <c r="BM82" i="2"/>
  <c r="BK50" i="3" s="1"/>
  <c r="BE82" i="2"/>
  <c r="BC50" i="3" s="1"/>
  <c r="AW82" i="2"/>
  <c r="AU50" i="3" s="1"/>
  <c r="AO82" i="2"/>
  <c r="AM50" i="3" s="1"/>
  <c r="AG82" i="2"/>
  <c r="AE50" i="3" s="1"/>
  <c r="Y82" i="2"/>
  <c r="W50" i="3" s="1"/>
  <c r="W82" i="2"/>
  <c r="U50" i="3" s="1"/>
  <c r="AQ82" i="2"/>
  <c r="BL82" i="2"/>
  <c r="BJ50" i="3" s="1"/>
  <c r="CI82" i="2"/>
  <c r="CG50" i="3" s="1"/>
  <c r="E55" i="3"/>
  <c r="P107" i="2"/>
  <c r="M107" i="2"/>
  <c r="K55" i="3" s="1"/>
  <c r="L107" i="2"/>
  <c r="J55" i="3" s="1"/>
  <c r="F57" i="3"/>
  <c r="CL109" i="2"/>
  <c r="CJ57" i="3" s="1"/>
  <c r="CD109" i="2"/>
  <c r="CB57" i="3" s="1"/>
  <c r="BV109" i="2"/>
  <c r="BT57" i="3" s="1"/>
  <c r="BN109" i="2"/>
  <c r="BL57" i="3" s="1"/>
  <c r="BF109" i="2"/>
  <c r="BD57" i="3" s="1"/>
  <c r="AX109" i="2"/>
  <c r="AV57" i="3" s="1"/>
  <c r="AP109" i="2"/>
  <c r="AH109" i="2"/>
  <c r="AF57" i="3" s="1"/>
  <c r="Z109" i="2"/>
  <c r="X57" i="3" s="1"/>
  <c r="R109" i="2"/>
  <c r="P57" i="3" s="1"/>
  <c r="J109" i="2"/>
  <c r="H57" i="3" s="1"/>
  <c r="CP109" i="2"/>
  <c r="CH109" i="2"/>
  <c r="CF57" i="3" s="1"/>
  <c r="BZ109" i="2"/>
  <c r="BX57" i="3" s="1"/>
  <c r="BR109" i="2"/>
  <c r="BP57" i="3" s="1"/>
  <c r="BJ109" i="2"/>
  <c r="BH57" i="3" s="1"/>
  <c r="BB109" i="2"/>
  <c r="AZ57" i="3" s="1"/>
  <c r="AT109" i="2"/>
  <c r="AR57" i="3" s="1"/>
  <c r="AL109" i="2"/>
  <c r="AJ57" i="3" s="1"/>
  <c r="AD109" i="2"/>
  <c r="AB57" i="3" s="1"/>
  <c r="V109" i="2"/>
  <c r="T57" i="3" s="1"/>
  <c r="CG109" i="2"/>
  <c r="CE57" i="3" s="1"/>
  <c r="BW109" i="2"/>
  <c r="BU57" i="3" s="1"/>
  <c r="BL109" i="2"/>
  <c r="BJ57" i="3" s="1"/>
  <c r="BA109" i="2"/>
  <c r="AY57" i="3" s="1"/>
  <c r="AQ109" i="2"/>
  <c r="AF109" i="2"/>
  <c r="AD57" i="3" s="1"/>
  <c r="U109" i="2"/>
  <c r="S57" i="3" s="1"/>
  <c r="CQ109" i="2"/>
  <c r="CF109" i="2"/>
  <c r="CD57" i="3" s="1"/>
  <c r="BU109" i="2"/>
  <c r="BS57" i="3" s="1"/>
  <c r="BK109" i="2"/>
  <c r="BI57" i="3" s="1"/>
  <c r="AZ109" i="2"/>
  <c r="AX57" i="3" s="1"/>
  <c r="AO109" i="2"/>
  <c r="AM57" i="3" s="1"/>
  <c r="AE109" i="2"/>
  <c r="AC57" i="3" s="1"/>
  <c r="T109" i="2"/>
  <c r="R57" i="3" s="1"/>
  <c r="CO109" i="2"/>
  <c r="CM57" i="3" s="1"/>
  <c r="CE109" i="2"/>
  <c r="CC57" i="3" s="1"/>
  <c r="BT109" i="2"/>
  <c r="BR57" i="3" s="1"/>
  <c r="BI109" i="2"/>
  <c r="BG57" i="3" s="1"/>
  <c r="AY109" i="2"/>
  <c r="AW57" i="3" s="1"/>
  <c r="AN109" i="2"/>
  <c r="AL57" i="3" s="1"/>
  <c r="AC109" i="2"/>
  <c r="AA57" i="3" s="1"/>
  <c r="S109" i="2"/>
  <c r="Q57" i="3" s="1"/>
  <c r="CM109" i="2"/>
  <c r="CK57" i="3" s="1"/>
  <c r="CB109" i="2"/>
  <c r="BZ57" i="3" s="1"/>
  <c r="BQ109" i="2"/>
  <c r="BG109" i="2"/>
  <c r="BE57" i="3" s="1"/>
  <c r="AV109" i="2"/>
  <c r="AT57" i="3" s="1"/>
  <c r="AK109" i="2"/>
  <c r="AI57" i="3" s="1"/>
  <c r="AA109" i="2"/>
  <c r="Y57" i="3" s="1"/>
  <c r="CK109" i="2"/>
  <c r="CI57" i="3" s="1"/>
  <c r="CA109" i="2"/>
  <c r="BY57" i="3" s="1"/>
  <c r="BP109" i="2"/>
  <c r="BE109" i="2"/>
  <c r="BC57" i="3" s="1"/>
  <c r="AU109" i="2"/>
  <c r="AS57" i="3" s="1"/>
  <c r="AJ109" i="2"/>
  <c r="AH57" i="3" s="1"/>
  <c r="Y109" i="2"/>
  <c r="W57" i="3" s="1"/>
  <c r="CJ109" i="2"/>
  <c r="CH57" i="3" s="1"/>
  <c r="BY109" i="2"/>
  <c r="BW57" i="3" s="1"/>
  <c r="BO109" i="2"/>
  <c r="BM57" i="3" s="1"/>
  <c r="BD109" i="2"/>
  <c r="BB57" i="3" s="1"/>
  <c r="AS109" i="2"/>
  <c r="AQ57" i="3" s="1"/>
  <c r="AI109" i="2"/>
  <c r="AG57" i="3" s="1"/>
  <c r="X109" i="2"/>
  <c r="V57" i="3" s="1"/>
  <c r="AG109" i="2"/>
  <c r="AE57" i="3" s="1"/>
  <c r="BX109" i="2"/>
  <c r="BV57" i="3" s="1"/>
  <c r="AO58" i="3"/>
  <c r="AN58" i="3"/>
  <c r="BG112" i="2"/>
  <c r="BE60" i="3" s="1"/>
  <c r="O35" i="3"/>
  <c r="N35" i="3"/>
  <c r="X67" i="2"/>
  <c r="V35" i="3" s="1"/>
  <c r="AF67" i="2"/>
  <c r="AD35" i="3" s="1"/>
  <c r="AN67" i="2"/>
  <c r="AL35" i="3" s="1"/>
  <c r="AV67" i="2"/>
  <c r="AT35" i="3" s="1"/>
  <c r="BD67" i="2"/>
  <c r="BB35" i="3" s="1"/>
  <c r="BL67" i="2"/>
  <c r="BJ35" i="3" s="1"/>
  <c r="BT67" i="2"/>
  <c r="BR35" i="3" s="1"/>
  <c r="CB67" i="2"/>
  <c r="BZ35" i="3" s="1"/>
  <c r="CJ67" i="2"/>
  <c r="CH35" i="3" s="1"/>
  <c r="F38" i="3"/>
  <c r="CP70" i="2"/>
  <c r="CH70" i="2"/>
  <c r="CF38" i="3" s="1"/>
  <c r="BZ70" i="2"/>
  <c r="BX38" i="3" s="1"/>
  <c r="BR70" i="2"/>
  <c r="BP38" i="3" s="1"/>
  <c r="BJ70" i="2"/>
  <c r="BH38" i="3" s="1"/>
  <c r="BB70" i="2"/>
  <c r="AZ38" i="3" s="1"/>
  <c r="AT70" i="2"/>
  <c r="AR38" i="3" s="1"/>
  <c r="AL70" i="2"/>
  <c r="AJ38" i="3" s="1"/>
  <c r="AD70" i="2"/>
  <c r="AB38" i="3" s="1"/>
  <c r="V70" i="2"/>
  <c r="T38" i="3" s="1"/>
  <c r="CO70" i="2"/>
  <c r="CM38" i="3" s="1"/>
  <c r="CG70" i="2"/>
  <c r="CE38" i="3" s="1"/>
  <c r="BY70" i="2"/>
  <c r="BW38" i="3" s="1"/>
  <c r="BQ70" i="2"/>
  <c r="BI70" i="2"/>
  <c r="BG38" i="3" s="1"/>
  <c r="BA70" i="2"/>
  <c r="AY38" i="3" s="1"/>
  <c r="AS70" i="2"/>
  <c r="AQ38" i="3" s="1"/>
  <c r="AK70" i="2"/>
  <c r="AI38" i="3" s="1"/>
  <c r="AC70" i="2"/>
  <c r="AA38" i="3" s="1"/>
  <c r="U70" i="2"/>
  <c r="S38" i="3" s="1"/>
  <c r="AA70" i="2"/>
  <c r="Y38" i="3" s="1"/>
  <c r="AM70" i="2"/>
  <c r="AK38" i="3" s="1"/>
  <c r="AW70" i="2"/>
  <c r="AU38" i="3" s="1"/>
  <c r="BG70" i="2"/>
  <c r="BE38" i="3" s="1"/>
  <c r="BS70" i="2"/>
  <c r="BQ38" i="3" s="1"/>
  <c r="CC70" i="2"/>
  <c r="CA38" i="3" s="1"/>
  <c r="CM70" i="2"/>
  <c r="CK38" i="3" s="1"/>
  <c r="D43" i="3"/>
  <c r="G75" i="2" a="1"/>
  <c r="G75" i="2" s="1"/>
  <c r="D52" i="3"/>
  <c r="G104" i="2" a="1"/>
  <c r="G104" i="2" s="1"/>
  <c r="E71" i="3"/>
  <c r="P123" i="2"/>
  <c r="M123" i="2"/>
  <c r="K71" i="3" s="1"/>
  <c r="L123" i="2"/>
  <c r="J71" i="3" s="1"/>
  <c r="O123" i="2"/>
  <c r="M71" i="3" s="1"/>
  <c r="Y67" i="2"/>
  <c r="W35" i="3" s="1"/>
  <c r="AG67" i="2"/>
  <c r="AE35" i="3" s="1"/>
  <c r="AO67" i="2"/>
  <c r="AM35" i="3" s="1"/>
  <c r="AW67" i="2"/>
  <c r="AU35" i="3" s="1"/>
  <c r="BE67" i="2"/>
  <c r="BC35" i="3" s="1"/>
  <c r="BM67" i="2"/>
  <c r="BK35" i="3" s="1"/>
  <c r="BU67" i="2"/>
  <c r="BS35" i="3" s="1"/>
  <c r="CC67" i="2"/>
  <c r="CA35" i="3" s="1"/>
  <c r="CK67" i="2"/>
  <c r="CI35" i="3" s="1"/>
  <c r="R70" i="2"/>
  <c r="P38" i="3" s="1"/>
  <c r="AB70" i="2"/>
  <c r="Z38" i="3" s="1"/>
  <c r="AN70" i="2"/>
  <c r="AL38" i="3" s="1"/>
  <c r="AX70" i="2"/>
  <c r="AV38" i="3" s="1"/>
  <c r="BH70" i="2"/>
  <c r="BF38" i="3" s="1"/>
  <c r="BT70" i="2"/>
  <c r="BR38" i="3" s="1"/>
  <c r="CD70" i="2"/>
  <c r="CB38" i="3" s="1"/>
  <c r="CN70" i="2"/>
  <c r="CL38" i="3" s="1"/>
  <c r="E41" i="3"/>
  <c r="M73" i="2"/>
  <c r="K41" i="3" s="1"/>
  <c r="L73" i="2"/>
  <c r="J41" i="3" s="1"/>
  <c r="P73" i="2"/>
  <c r="H75" i="2"/>
  <c r="AO49" i="3"/>
  <c r="AN49" i="3"/>
  <c r="H104" i="2"/>
  <c r="D59" i="3"/>
  <c r="H111" i="2"/>
  <c r="G111" i="2" a="1"/>
  <c r="G111" i="2" s="1"/>
  <c r="CB112" i="2"/>
  <c r="BZ60" i="3" s="1"/>
  <c r="T61" i="2"/>
  <c r="R29" i="3" s="1"/>
  <c r="AB61" i="2"/>
  <c r="Z29" i="3" s="1"/>
  <c r="AJ61" i="2"/>
  <c r="AH29" i="3" s="1"/>
  <c r="AR61" i="2"/>
  <c r="AP29" i="3" s="1"/>
  <c r="AZ61" i="2"/>
  <c r="AX29" i="3" s="1"/>
  <c r="BH61" i="2"/>
  <c r="BF29" i="3" s="1"/>
  <c r="BP61" i="2"/>
  <c r="BX61" i="2"/>
  <c r="BV29" i="3" s="1"/>
  <c r="CF61" i="2"/>
  <c r="CD29" i="3" s="1"/>
  <c r="CN61" i="2"/>
  <c r="CL29" i="3" s="1"/>
  <c r="S64" i="2"/>
  <c r="Q32" i="3" s="1"/>
  <c r="AA64" i="2"/>
  <c r="Y32" i="3" s="1"/>
  <c r="AI64" i="2"/>
  <c r="AG32" i="3" s="1"/>
  <c r="AQ64" i="2"/>
  <c r="AY64" i="2"/>
  <c r="AW32" i="3" s="1"/>
  <c r="BG64" i="2"/>
  <c r="BE32" i="3" s="1"/>
  <c r="BO64" i="2"/>
  <c r="BM32" i="3" s="1"/>
  <c r="BW64" i="2"/>
  <c r="BU32" i="3" s="1"/>
  <c r="CE64" i="2"/>
  <c r="CC32" i="3" s="1"/>
  <c r="CM64" i="2"/>
  <c r="CK32" i="3" s="1"/>
  <c r="H65" i="2"/>
  <c r="J67" i="2"/>
  <c r="H35" i="3" s="1"/>
  <c r="R67" i="2"/>
  <c r="P35" i="3" s="1"/>
  <c r="Z67" i="2"/>
  <c r="X35" i="3" s="1"/>
  <c r="AH67" i="2"/>
  <c r="AF35" i="3" s="1"/>
  <c r="AP67" i="2"/>
  <c r="AX67" i="2"/>
  <c r="AV35" i="3" s="1"/>
  <c r="BF67" i="2"/>
  <c r="BD35" i="3" s="1"/>
  <c r="BN67" i="2"/>
  <c r="BL35" i="3" s="1"/>
  <c r="BV67" i="2"/>
  <c r="BT35" i="3" s="1"/>
  <c r="CD67" i="2"/>
  <c r="CB35" i="3" s="1"/>
  <c r="CL67" i="2"/>
  <c r="CJ35" i="3" s="1"/>
  <c r="G68" i="2" a="1"/>
  <c r="G68" i="2" s="1"/>
  <c r="T69" i="2"/>
  <c r="R37" i="3" s="1"/>
  <c r="AB69" i="2"/>
  <c r="Z37" i="3" s="1"/>
  <c r="AJ69" i="2"/>
  <c r="AH37" i="3" s="1"/>
  <c r="AR69" i="2"/>
  <c r="AP37" i="3" s="1"/>
  <c r="AZ69" i="2"/>
  <c r="AX37" i="3" s="1"/>
  <c r="BI69" i="2"/>
  <c r="BG37" i="3" s="1"/>
  <c r="BR69" i="2"/>
  <c r="BP37" i="3" s="1"/>
  <c r="CD69" i="2"/>
  <c r="CB37" i="3" s="1"/>
  <c r="CN69" i="2"/>
  <c r="CL37" i="3" s="1"/>
  <c r="J70" i="2"/>
  <c r="H38" i="3" s="1"/>
  <c r="S70" i="2"/>
  <c r="Q38" i="3" s="1"/>
  <c r="AE70" i="2"/>
  <c r="AC38" i="3" s="1"/>
  <c r="AO70" i="2"/>
  <c r="AM38" i="3" s="1"/>
  <c r="AY70" i="2"/>
  <c r="AW38" i="3" s="1"/>
  <c r="BK70" i="2"/>
  <c r="BI38" i="3" s="1"/>
  <c r="BU70" i="2"/>
  <c r="BS38" i="3" s="1"/>
  <c r="CE70" i="2"/>
  <c r="CC38" i="3" s="1"/>
  <c r="CQ70" i="2"/>
  <c r="W71" i="2"/>
  <c r="U39" i="3" s="1"/>
  <c r="AG71" i="2"/>
  <c r="AE39" i="3" s="1"/>
  <c r="AS71" i="2"/>
  <c r="AQ39" i="3" s="1"/>
  <c r="BC71" i="2"/>
  <c r="BA39" i="3" s="1"/>
  <c r="BM71" i="2"/>
  <c r="BK39" i="3" s="1"/>
  <c r="BY71" i="2"/>
  <c r="BW39" i="3" s="1"/>
  <c r="CJ71" i="2"/>
  <c r="CH39" i="3" s="1"/>
  <c r="AD73" i="2"/>
  <c r="AB41" i="3" s="1"/>
  <c r="AP73" i="2"/>
  <c r="BC73" i="2"/>
  <c r="BA41" i="3" s="1"/>
  <c r="BO73" i="2"/>
  <c r="BM41" i="3" s="1"/>
  <c r="CB73" i="2"/>
  <c r="BZ41" i="3" s="1"/>
  <c r="W74" i="2"/>
  <c r="U42" i="3" s="1"/>
  <c r="AJ74" i="2"/>
  <c r="AH42" i="3" s="1"/>
  <c r="AV74" i="2"/>
  <c r="AT42" i="3" s="1"/>
  <c r="BI74" i="2"/>
  <c r="BG42" i="3" s="1"/>
  <c r="BW74" i="2"/>
  <c r="BU42" i="3" s="1"/>
  <c r="CI74" i="2"/>
  <c r="CG42" i="3" s="1"/>
  <c r="D44" i="3"/>
  <c r="H76" i="2"/>
  <c r="E46" i="3"/>
  <c r="M78" i="2"/>
  <c r="K46" i="3" s="1"/>
  <c r="AE78" i="2"/>
  <c r="AC46" i="3" s="1"/>
  <c r="AQ78" i="2"/>
  <c r="BD78" i="2"/>
  <c r="BB46" i="3" s="1"/>
  <c r="BP78" i="2"/>
  <c r="CC78" i="2"/>
  <c r="CA46" i="3" s="1"/>
  <c r="AE82" i="2"/>
  <c r="AC50" i="3" s="1"/>
  <c r="AY82" i="2"/>
  <c r="AW50" i="3" s="1"/>
  <c r="BT82" i="2"/>
  <c r="BR50" i="3" s="1"/>
  <c r="CQ82" i="2"/>
  <c r="CB103" i="2"/>
  <c r="AR108" i="2"/>
  <c r="AP56" i="3" s="1"/>
  <c r="CC108" i="2"/>
  <c r="CA56" i="3" s="1"/>
  <c r="AW109" i="2"/>
  <c r="AU57" i="3" s="1"/>
  <c r="CN109" i="2"/>
  <c r="CL57" i="3" s="1"/>
  <c r="CM112" i="2"/>
  <c r="CK60" i="3" s="1"/>
  <c r="H36" i="2" a="1"/>
  <c r="H36" i="2" s="1"/>
  <c r="H38" i="2" a="1"/>
  <c r="H38" i="2" s="1"/>
  <c r="U61" i="2"/>
  <c r="S29" i="3" s="1"/>
  <c r="AC61" i="2"/>
  <c r="AA29" i="3" s="1"/>
  <c r="AK61" i="2"/>
  <c r="AI29" i="3" s="1"/>
  <c r="AS61" i="2"/>
  <c r="AQ29" i="3" s="1"/>
  <c r="BA61" i="2"/>
  <c r="AY29" i="3" s="1"/>
  <c r="BI61" i="2"/>
  <c r="BG29" i="3" s="1"/>
  <c r="BQ61" i="2"/>
  <c r="BY61" i="2"/>
  <c r="BW29" i="3" s="1"/>
  <c r="CG61" i="2"/>
  <c r="CE29" i="3" s="1"/>
  <c r="CO61" i="2"/>
  <c r="CM29" i="3" s="1"/>
  <c r="T64" i="2"/>
  <c r="R32" i="3" s="1"/>
  <c r="AB64" i="2"/>
  <c r="Z32" i="3" s="1"/>
  <c r="AJ64" i="2"/>
  <c r="AH32" i="3" s="1"/>
  <c r="AR64" i="2"/>
  <c r="AP32" i="3" s="1"/>
  <c r="AZ64" i="2"/>
  <c r="AX32" i="3" s="1"/>
  <c r="BH64" i="2"/>
  <c r="BF32" i="3" s="1"/>
  <c r="BP64" i="2"/>
  <c r="BX64" i="2"/>
  <c r="BV32" i="3" s="1"/>
  <c r="CF64" i="2"/>
  <c r="CD32" i="3" s="1"/>
  <c r="CN64" i="2"/>
  <c r="CL32" i="3" s="1"/>
  <c r="S67" i="2"/>
  <c r="Q35" i="3" s="1"/>
  <c r="AA67" i="2"/>
  <c r="Y35" i="3" s="1"/>
  <c r="AI67" i="2"/>
  <c r="AG35" i="3" s="1"/>
  <c r="AQ67" i="2"/>
  <c r="AY67" i="2"/>
  <c r="AW35" i="3" s="1"/>
  <c r="BG67" i="2"/>
  <c r="BE35" i="3" s="1"/>
  <c r="BO67" i="2"/>
  <c r="BM35" i="3" s="1"/>
  <c r="BW67" i="2"/>
  <c r="BU35" i="3" s="1"/>
  <c r="CE67" i="2"/>
  <c r="CC35" i="3" s="1"/>
  <c r="CM67" i="2"/>
  <c r="CK35" i="3" s="1"/>
  <c r="H68" i="2"/>
  <c r="U69" i="2"/>
  <c r="S37" i="3" s="1"/>
  <c r="AC69" i="2"/>
  <c r="AA37" i="3" s="1"/>
  <c r="AK69" i="2"/>
  <c r="AI37" i="3" s="1"/>
  <c r="AS69" i="2"/>
  <c r="AQ37" i="3" s="1"/>
  <c r="BA69" i="2"/>
  <c r="AY37" i="3" s="1"/>
  <c r="BJ69" i="2"/>
  <c r="BH37" i="3" s="1"/>
  <c r="BS69" i="2"/>
  <c r="BQ37" i="3" s="1"/>
  <c r="CE69" i="2"/>
  <c r="CC37" i="3" s="1"/>
  <c r="CO69" i="2"/>
  <c r="CM37" i="3" s="1"/>
  <c r="T70" i="2"/>
  <c r="R38" i="3" s="1"/>
  <c r="AF70" i="2"/>
  <c r="AD38" i="3" s="1"/>
  <c r="AP70" i="2"/>
  <c r="AZ70" i="2"/>
  <c r="AX38" i="3" s="1"/>
  <c r="BL70" i="2"/>
  <c r="BJ38" i="3" s="1"/>
  <c r="BV70" i="2"/>
  <c r="BT38" i="3" s="1"/>
  <c r="CF70" i="2"/>
  <c r="CD38" i="3" s="1"/>
  <c r="X71" i="2"/>
  <c r="V39" i="3" s="1"/>
  <c r="AJ71" i="2"/>
  <c r="AH39" i="3" s="1"/>
  <c r="AT71" i="2"/>
  <c r="AR39" i="3" s="1"/>
  <c r="BD71" i="2"/>
  <c r="BB39" i="3" s="1"/>
  <c r="BP71" i="2"/>
  <c r="BZ71" i="2"/>
  <c r="BX39" i="3" s="1"/>
  <c r="CK71" i="2"/>
  <c r="CI39" i="3" s="1"/>
  <c r="F41" i="3"/>
  <c r="CK73" i="2"/>
  <c r="CI41" i="3" s="1"/>
  <c r="CC73" i="2"/>
  <c r="CA41" i="3" s="1"/>
  <c r="BU73" i="2"/>
  <c r="BS41" i="3" s="1"/>
  <c r="BM73" i="2"/>
  <c r="BK41" i="3" s="1"/>
  <c r="BE73" i="2"/>
  <c r="BC41" i="3" s="1"/>
  <c r="AW73" i="2"/>
  <c r="AU41" i="3" s="1"/>
  <c r="AO73" i="2"/>
  <c r="AM41" i="3" s="1"/>
  <c r="AG73" i="2"/>
  <c r="AE41" i="3" s="1"/>
  <c r="Y73" i="2"/>
  <c r="W41" i="3" s="1"/>
  <c r="CO73" i="2"/>
  <c r="CM41" i="3" s="1"/>
  <c r="CG73" i="2"/>
  <c r="CE41" i="3" s="1"/>
  <c r="BY73" i="2"/>
  <c r="BW41" i="3" s="1"/>
  <c r="BQ73" i="2"/>
  <c r="BI73" i="2"/>
  <c r="BG41" i="3" s="1"/>
  <c r="BA73" i="2"/>
  <c r="AY41" i="3" s="1"/>
  <c r="AS73" i="2"/>
  <c r="AQ41" i="3" s="1"/>
  <c r="AK73" i="2"/>
  <c r="AI41" i="3" s="1"/>
  <c r="AC73" i="2"/>
  <c r="AA41" i="3" s="1"/>
  <c r="U73" i="2"/>
  <c r="S41" i="3" s="1"/>
  <c r="CN73" i="2"/>
  <c r="CL41" i="3" s="1"/>
  <c r="CF73" i="2"/>
  <c r="CD41" i="3" s="1"/>
  <c r="BX73" i="2"/>
  <c r="BV41" i="3" s="1"/>
  <c r="BP73" i="2"/>
  <c r="BH73" i="2"/>
  <c r="BF41" i="3" s="1"/>
  <c r="AZ73" i="2"/>
  <c r="AX41" i="3" s="1"/>
  <c r="AR73" i="2"/>
  <c r="AP41" i="3" s="1"/>
  <c r="AJ73" i="2"/>
  <c r="AH41" i="3" s="1"/>
  <c r="AB73" i="2"/>
  <c r="Z41" i="3" s="1"/>
  <c r="T73" i="2"/>
  <c r="R41" i="3" s="1"/>
  <c r="R73" i="2"/>
  <c r="P41" i="3" s="1"/>
  <c r="AE73" i="2"/>
  <c r="AC41" i="3" s="1"/>
  <c r="AQ73" i="2"/>
  <c r="BD73" i="2"/>
  <c r="BB41" i="3" s="1"/>
  <c r="BR73" i="2"/>
  <c r="BP41" i="3" s="1"/>
  <c r="CD73" i="2"/>
  <c r="CB41" i="3" s="1"/>
  <c r="CQ73" i="2"/>
  <c r="X74" i="2"/>
  <c r="V42" i="3" s="1"/>
  <c r="AK74" i="2"/>
  <c r="AI42" i="3" s="1"/>
  <c r="AY74" i="2"/>
  <c r="AW42" i="3" s="1"/>
  <c r="BK74" i="2"/>
  <c r="BI42" i="3" s="1"/>
  <c r="BX74" i="2"/>
  <c r="BV42" i="3" s="1"/>
  <c r="CJ74" i="2"/>
  <c r="CH42" i="3" s="1"/>
  <c r="L77" i="2"/>
  <c r="J45" i="3" s="1"/>
  <c r="F46" i="3"/>
  <c r="CL78" i="2"/>
  <c r="CJ46" i="3" s="1"/>
  <c r="CD78" i="2"/>
  <c r="CB46" i="3" s="1"/>
  <c r="BV78" i="2"/>
  <c r="BT46" i="3" s="1"/>
  <c r="BN78" i="2"/>
  <c r="BL46" i="3" s="1"/>
  <c r="BF78" i="2"/>
  <c r="BD46" i="3" s="1"/>
  <c r="AX78" i="2"/>
  <c r="AV46" i="3" s="1"/>
  <c r="AP78" i="2"/>
  <c r="AH78" i="2"/>
  <c r="AF46" i="3" s="1"/>
  <c r="Z78" i="2"/>
  <c r="X46" i="3" s="1"/>
  <c r="R78" i="2"/>
  <c r="P46" i="3" s="1"/>
  <c r="J78" i="2"/>
  <c r="H46" i="3" s="1"/>
  <c r="CP78" i="2"/>
  <c r="CH78" i="2"/>
  <c r="CF46" i="3" s="1"/>
  <c r="BZ78" i="2"/>
  <c r="BX46" i="3" s="1"/>
  <c r="BR78" i="2"/>
  <c r="BP46" i="3" s="1"/>
  <c r="BJ78" i="2"/>
  <c r="BH46" i="3" s="1"/>
  <c r="BB78" i="2"/>
  <c r="AZ46" i="3" s="1"/>
  <c r="AT78" i="2"/>
  <c r="AR46" i="3" s="1"/>
  <c r="AL78" i="2"/>
  <c r="AJ46" i="3" s="1"/>
  <c r="AD78" i="2"/>
  <c r="AB46" i="3" s="1"/>
  <c r="V78" i="2"/>
  <c r="T46" i="3" s="1"/>
  <c r="CO78" i="2"/>
  <c r="CM46" i="3" s="1"/>
  <c r="CG78" i="2"/>
  <c r="CE46" i="3" s="1"/>
  <c r="BY78" i="2"/>
  <c r="BW46" i="3" s="1"/>
  <c r="BQ78" i="2"/>
  <c r="BI78" i="2"/>
  <c r="BG46" i="3" s="1"/>
  <c r="BA78" i="2"/>
  <c r="AY46" i="3" s="1"/>
  <c r="AS78" i="2"/>
  <c r="AQ46" i="3" s="1"/>
  <c r="AK78" i="2"/>
  <c r="AI46" i="3" s="1"/>
  <c r="AC78" i="2"/>
  <c r="AA46" i="3" s="1"/>
  <c r="U78" i="2"/>
  <c r="S46" i="3" s="1"/>
  <c r="S78" i="2"/>
  <c r="Q46" i="3" s="1"/>
  <c r="AF78" i="2"/>
  <c r="AD46" i="3" s="1"/>
  <c r="AR78" i="2"/>
  <c r="AP46" i="3" s="1"/>
  <c r="BE78" i="2"/>
  <c r="BC46" i="3" s="1"/>
  <c r="BS78" i="2"/>
  <c r="BQ46" i="3" s="1"/>
  <c r="CE78" i="2"/>
  <c r="CC46" i="3" s="1"/>
  <c r="D47" i="3"/>
  <c r="G79" i="2" a="1"/>
  <c r="G79" i="2" s="1"/>
  <c r="CO49" i="3"/>
  <c r="CN49" i="3"/>
  <c r="O82" i="2"/>
  <c r="M50" i="3" s="1"/>
  <c r="AF82" i="2"/>
  <c r="AD50" i="3" s="1"/>
  <c r="BC82" i="2"/>
  <c r="BA50" i="3" s="1"/>
  <c r="BW82" i="2"/>
  <c r="BU50" i="3" s="1"/>
  <c r="E51" i="3"/>
  <c r="M103" i="2"/>
  <c r="L103" i="2"/>
  <c r="E54" i="3"/>
  <c r="M106" i="2"/>
  <c r="K54" i="3" s="1"/>
  <c r="L106" i="2"/>
  <c r="J54" i="3" s="1"/>
  <c r="P106" i="2"/>
  <c r="O106" i="2"/>
  <c r="M54" i="3" s="1"/>
  <c r="AW108" i="2"/>
  <c r="AU56" i="3" s="1"/>
  <c r="CH108" i="2"/>
  <c r="CF56" i="3" s="1"/>
  <c r="BC109" i="2"/>
  <c r="BA57" i="3" s="1"/>
  <c r="V61" i="2"/>
  <c r="T29" i="3" s="1"/>
  <c r="AD61" i="2"/>
  <c r="AB29" i="3" s="1"/>
  <c r="AL61" i="2"/>
  <c r="AJ29" i="3" s="1"/>
  <c r="AT61" i="2"/>
  <c r="AR29" i="3" s="1"/>
  <c r="BB61" i="2"/>
  <c r="AZ29" i="3" s="1"/>
  <c r="BJ61" i="2"/>
  <c r="BH29" i="3" s="1"/>
  <c r="BR61" i="2"/>
  <c r="BP29" i="3" s="1"/>
  <c r="BZ61" i="2"/>
  <c r="BX29" i="3" s="1"/>
  <c r="CH61" i="2"/>
  <c r="CF29" i="3" s="1"/>
  <c r="CP61" i="2"/>
  <c r="U64" i="2"/>
  <c r="S32" i="3" s="1"/>
  <c r="AC64" i="2"/>
  <c r="AA32" i="3" s="1"/>
  <c r="AK64" i="2"/>
  <c r="AI32" i="3" s="1"/>
  <c r="AS64" i="2"/>
  <c r="AQ32" i="3" s="1"/>
  <c r="BA64" i="2"/>
  <c r="AY32" i="3" s="1"/>
  <c r="BI64" i="2"/>
  <c r="BG32" i="3" s="1"/>
  <c r="BQ64" i="2"/>
  <c r="BY64" i="2"/>
  <c r="BW32" i="3" s="1"/>
  <c r="CG64" i="2"/>
  <c r="CE32" i="3" s="1"/>
  <c r="CO64" i="2"/>
  <c r="CM32" i="3" s="1"/>
  <c r="G66" i="2" a="1"/>
  <c r="G66" i="2" s="1"/>
  <c r="L67" i="2"/>
  <c r="J35" i="3" s="1"/>
  <c r="T67" i="2"/>
  <c r="R35" i="3" s="1"/>
  <c r="AB67" i="2"/>
  <c r="Z35" i="3" s="1"/>
  <c r="AJ67" i="2"/>
  <c r="AH35" i="3" s="1"/>
  <c r="AR67" i="2"/>
  <c r="AP35" i="3" s="1"/>
  <c r="AZ67" i="2"/>
  <c r="AX35" i="3" s="1"/>
  <c r="BH67" i="2"/>
  <c r="BF35" i="3" s="1"/>
  <c r="BP67" i="2"/>
  <c r="BX67" i="2"/>
  <c r="BV35" i="3" s="1"/>
  <c r="CF67" i="2"/>
  <c r="CD35" i="3" s="1"/>
  <c r="CN67" i="2"/>
  <c r="CL35" i="3" s="1"/>
  <c r="V69" i="2"/>
  <c r="T37" i="3" s="1"/>
  <c r="AD69" i="2"/>
  <c r="AB37" i="3" s="1"/>
  <c r="AL69" i="2"/>
  <c r="AJ37" i="3" s="1"/>
  <c r="AT69" i="2"/>
  <c r="AR37" i="3" s="1"/>
  <c r="BB69" i="2"/>
  <c r="AZ37" i="3" s="1"/>
  <c r="BK69" i="2"/>
  <c r="BI37" i="3" s="1"/>
  <c r="BV69" i="2"/>
  <c r="BT37" i="3" s="1"/>
  <c r="CF69" i="2"/>
  <c r="CD37" i="3" s="1"/>
  <c r="CP69" i="2"/>
  <c r="L70" i="2"/>
  <c r="J38" i="3" s="1"/>
  <c r="W70" i="2"/>
  <c r="U38" i="3" s="1"/>
  <c r="AG70" i="2"/>
  <c r="AE38" i="3" s="1"/>
  <c r="AQ70" i="2"/>
  <c r="BC70" i="2"/>
  <c r="BA38" i="3" s="1"/>
  <c r="BM70" i="2"/>
  <c r="BK38" i="3" s="1"/>
  <c r="BW70" i="2"/>
  <c r="BU38" i="3" s="1"/>
  <c r="CI70" i="2"/>
  <c r="CG38" i="3" s="1"/>
  <c r="Y71" i="2"/>
  <c r="W39" i="3" s="1"/>
  <c r="AK71" i="2"/>
  <c r="AI39" i="3" s="1"/>
  <c r="AU71" i="2"/>
  <c r="AS39" i="3" s="1"/>
  <c r="BE71" i="2"/>
  <c r="BC39" i="3" s="1"/>
  <c r="BQ71" i="2"/>
  <c r="CA71" i="2"/>
  <c r="BY39" i="3" s="1"/>
  <c r="CN71" i="2"/>
  <c r="CL39" i="3" s="1"/>
  <c r="S73" i="2"/>
  <c r="Q41" i="3" s="1"/>
  <c r="AF73" i="2"/>
  <c r="AD41" i="3" s="1"/>
  <c r="AT73" i="2"/>
  <c r="AR41" i="3" s="1"/>
  <c r="BF73" i="2"/>
  <c r="BD41" i="3" s="1"/>
  <c r="BS73" i="2"/>
  <c r="BQ41" i="3" s="1"/>
  <c r="CE73" i="2"/>
  <c r="CC41" i="3" s="1"/>
  <c r="AA74" i="2"/>
  <c r="Y42" i="3" s="1"/>
  <c r="AM74" i="2"/>
  <c r="AK42" i="3" s="1"/>
  <c r="AZ74" i="2"/>
  <c r="AX42" i="3" s="1"/>
  <c r="BL74" i="2"/>
  <c r="BJ42" i="3" s="1"/>
  <c r="BY74" i="2"/>
  <c r="BW42" i="3" s="1"/>
  <c r="CM74" i="2"/>
  <c r="CK42" i="3" s="1"/>
  <c r="G76" i="2" a="1"/>
  <c r="G76" i="2" s="1"/>
  <c r="T78" i="2"/>
  <c r="R46" i="3" s="1"/>
  <c r="AG78" i="2"/>
  <c r="AE46" i="3" s="1"/>
  <c r="AU78" i="2"/>
  <c r="AS46" i="3" s="1"/>
  <c r="BG78" i="2"/>
  <c r="BE46" i="3" s="1"/>
  <c r="BT78" i="2"/>
  <c r="BR46" i="3" s="1"/>
  <c r="CF78" i="2"/>
  <c r="CD46" i="3" s="1"/>
  <c r="D48" i="3"/>
  <c r="H80" i="2"/>
  <c r="G80" i="2" a="1"/>
  <c r="G80" i="2" s="1"/>
  <c r="P82" i="2"/>
  <c r="AI82" i="2"/>
  <c r="AG50" i="3" s="1"/>
  <c r="BD82" i="2"/>
  <c r="BB50" i="3" s="1"/>
  <c r="CA82" i="2"/>
  <c r="BY50" i="3" s="1"/>
  <c r="F51" i="3"/>
  <c r="CP103" i="2"/>
  <c r="CH103" i="2"/>
  <c r="BZ103" i="2"/>
  <c r="BR103" i="2"/>
  <c r="BJ103" i="2"/>
  <c r="BB103" i="2"/>
  <c r="AT103" i="2"/>
  <c r="AL103" i="2"/>
  <c r="AD103" i="2"/>
  <c r="V103" i="2"/>
  <c r="CO103" i="2"/>
  <c r="CG103" i="2"/>
  <c r="BY103" i="2"/>
  <c r="BQ103" i="2"/>
  <c r="BI103" i="2"/>
  <c r="BA103" i="2"/>
  <c r="AS103" i="2"/>
  <c r="AK103" i="2"/>
  <c r="AC103" i="2"/>
  <c r="U103" i="2"/>
  <c r="CN103" i="2"/>
  <c r="CF103" i="2"/>
  <c r="BX103" i="2"/>
  <c r="BP103" i="2"/>
  <c r="BH103" i="2"/>
  <c r="AZ103" i="2"/>
  <c r="AR103" i="2"/>
  <c r="AJ103" i="2"/>
  <c r="AB103" i="2"/>
  <c r="T103" i="2"/>
  <c r="CL103" i="2"/>
  <c r="CD103" i="2"/>
  <c r="BV103" i="2"/>
  <c r="BN103" i="2"/>
  <c r="BF103" i="2"/>
  <c r="AX103" i="2"/>
  <c r="AP103" i="2"/>
  <c r="AH103" i="2"/>
  <c r="Z103" i="2"/>
  <c r="R103" i="2"/>
  <c r="J103" i="2"/>
  <c r="CK103" i="2"/>
  <c r="CC103" i="2"/>
  <c r="BU103" i="2"/>
  <c r="BM103" i="2"/>
  <c r="BE103" i="2"/>
  <c r="AW103" i="2"/>
  <c r="AO103" i="2"/>
  <c r="AG103" i="2"/>
  <c r="Y103" i="2"/>
  <c r="W103" i="2"/>
  <c r="AQ103" i="2"/>
  <c r="BL103" i="2"/>
  <c r="CI103" i="2"/>
  <c r="O107" i="2"/>
  <c r="M55" i="3" s="1"/>
  <c r="T108" i="2"/>
  <c r="R56" i="3" s="1"/>
  <c r="BB108" i="2"/>
  <c r="AZ56" i="3" s="1"/>
  <c r="BH109" i="2"/>
  <c r="BF57" i="3" s="1"/>
  <c r="AA112" i="2"/>
  <c r="Y60" i="3" s="1"/>
  <c r="G31" i="2" a="1"/>
  <c r="G31" i="2" s="1"/>
  <c r="G33" i="2" a="1"/>
  <c r="G33" i="2" s="1"/>
  <c r="G35" i="2" a="1"/>
  <c r="G35" i="2" s="1"/>
  <c r="G37" i="2" a="1"/>
  <c r="G37" i="2" s="1"/>
  <c r="G61" i="2" a="1"/>
  <c r="G61" i="2" s="1"/>
  <c r="W61" i="2"/>
  <c r="U29" i="3" s="1"/>
  <c r="AE61" i="2"/>
  <c r="AC29" i="3" s="1"/>
  <c r="AM61" i="2"/>
  <c r="AK29" i="3" s="1"/>
  <c r="AU61" i="2"/>
  <c r="AS29" i="3" s="1"/>
  <c r="BC61" i="2"/>
  <c r="BA29" i="3" s="1"/>
  <c r="BK61" i="2"/>
  <c r="BI29" i="3" s="1"/>
  <c r="BS61" i="2"/>
  <c r="BQ29" i="3" s="1"/>
  <c r="CA61" i="2"/>
  <c r="BY29" i="3" s="1"/>
  <c r="CI61" i="2"/>
  <c r="CG29" i="3" s="1"/>
  <c r="CQ61" i="2"/>
  <c r="V64" i="2"/>
  <c r="T32" i="3" s="1"/>
  <c r="AD64" i="2"/>
  <c r="AB32" i="3" s="1"/>
  <c r="AL64" i="2"/>
  <c r="AJ32" i="3" s="1"/>
  <c r="AT64" i="2"/>
  <c r="AR32" i="3" s="1"/>
  <c r="BB64" i="2"/>
  <c r="AZ32" i="3" s="1"/>
  <c r="BJ64" i="2"/>
  <c r="BH32" i="3" s="1"/>
  <c r="BR64" i="2"/>
  <c r="BP32" i="3" s="1"/>
  <c r="BZ64" i="2"/>
  <c r="BX32" i="3" s="1"/>
  <c r="CH64" i="2"/>
  <c r="CF32" i="3" s="1"/>
  <c r="CP64" i="2"/>
  <c r="H66" i="2"/>
  <c r="M67" i="2"/>
  <c r="K35" i="3" s="1"/>
  <c r="U67" i="2"/>
  <c r="S35" i="3" s="1"/>
  <c r="AC67" i="2"/>
  <c r="AA35" i="3" s="1"/>
  <c r="AK67" i="2"/>
  <c r="AI35" i="3" s="1"/>
  <c r="AS67" i="2"/>
  <c r="AQ35" i="3" s="1"/>
  <c r="BA67" i="2"/>
  <c r="AY35" i="3" s="1"/>
  <c r="BI67" i="2"/>
  <c r="BG35" i="3" s="1"/>
  <c r="BQ67" i="2"/>
  <c r="BY67" i="2"/>
  <c r="BW35" i="3" s="1"/>
  <c r="CG67" i="2"/>
  <c r="CE35" i="3" s="1"/>
  <c r="CO67" i="2"/>
  <c r="CM35" i="3" s="1"/>
  <c r="G69" i="2" a="1"/>
  <c r="G69" i="2" s="1"/>
  <c r="W69" i="2"/>
  <c r="U37" i="3" s="1"/>
  <c r="AE69" i="2"/>
  <c r="AC37" i="3" s="1"/>
  <c r="AM69" i="2"/>
  <c r="AK37" i="3" s="1"/>
  <c r="AU69" i="2"/>
  <c r="AS37" i="3" s="1"/>
  <c r="BC69" i="2"/>
  <c r="BA37" i="3" s="1"/>
  <c r="BL69" i="2"/>
  <c r="BJ37" i="3" s="1"/>
  <c r="BW69" i="2"/>
  <c r="BU37" i="3" s="1"/>
  <c r="CG69" i="2"/>
  <c r="CE37" i="3" s="1"/>
  <c r="CQ69" i="2"/>
  <c r="X70" i="2"/>
  <c r="V38" i="3" s="1"/>
  <c r="AH70" i="2"/>
  <c r="AF38" i="3" s="1"/>
  <c r="AR70" i="2"/>
  <c r="AP38" i="3" s="1"/>
  <c r="BD70" i="2"/>
  <c r="BB38" i="3" s="1"/>
  <c r="BN70" i="2"/>
  <c r="BL38" i="3" s="1"/>
  <c r="BX70" i="2"/>
  <c r="BV38" i="3" s="1"/>
  <c r="CJ70" i="2"/>
  <c r="CH38" i="3" s="1"/>
  <c r="G71" i="2" a="1"/>
  <c r="G71" i="2" s="1"/>
  <c r="AB71" i="2"/>
  <c r="Z39" i="3" s="1"/>
  <c r="AL71" i="2"/>
  <c r="AJ39" i="3" s="1"/>
  <c r="AV71" i="2"/>
  <c r="AT39" i="3" s="1"/>
  <c r="BH71" i="2"/>
  <c r="BF39" i="3" s="1"/>
  <c r="BR71" i="2"/>
  <c r="BP39" i="3" s="1"/>
  <c r="CB71" i="2"/>
  <c r="BZ39" i="3" s="1"/>
  <c r="CO71" i="2"/>
  <c r="CM39" i="3" s="1"/>
  <c r="J73" i="2"/>
  <c r="H41" i="3" s="1"/>
  <c r="V73" i="2"/>
  <c r="T41" i="3" s="1"/>
  <c r="AH73" i="2"/>
  <c r="AF41" i="3" s="1"/>
  <c r="AU73" i="2"/>
  <c r="AS41" i="3" s="1"/>
  <c r="BG73" i="2"/>
  <c r="BE41" i="3" s="1"/>
  <c r="BT73" i="2"/>
  <c r="BR41" i="3" s="1"/>
  <c r="CH73" i="2"/>
  <c r="CF41" i="3" s="1"/>
  <c r="G74" i="2" a="1"/>
  <c r="G74" i="2" s="1"/>
  <c r="AB74" i="2"/>
  <c r="Z42" i="3" s="1"/>
  <c r="AN74" i="2"/>
  <c r="AL42" i="3" s="1"/>
  <c r="BA74" i="2"/>
  <c r="AY42" i="3" s="1"/>
  <c r="BO74" i="2"/>
  <c r="BM42" i="3" s="1"/>
  <c r="CA74" i="2"/>
  <c r="BY42" i="3" s="1"/>
  <c r="CN74" i="2"/>
  <c r="CL42" i="3" s="1"/>
  <c r="O77" i="2"/>
  <c r="M45" i="3" s="1"/>
  <c r="W78" i="2"/>
  <c r="U46" i="3" s="1"/>
  <c r="AI78" i="2"/>
  <c r="AG46" i="3" s="1"/>
  <c r="AV78" i="2"/>
  <c r="AT46" i="3" s="1"/>
  <c r="BH78" i="2"/>
  <c r="BF46" i="3" s="1"/>
  <c r="BU78" i="2"/>
  <c r="BS46" i="3" s="1"/>
  <c r="CI78" i="2"/>
  <c r="CG46" i="3" s="1"/>
  <c r="H79" i="2"/>
  <c r="AM82" i="2"/>
  <c r="AK50" i="3" s="1"/>
  <c r="BG82" i="2"/>
  <c r="BE50" i="3" s="1"/>
  <c r="CB82" i="2"/>
  <c r="BZ50" i="3" s="1"/>
  <c r="X103" i="2"/>
  <c r="AU103" i="2"/>
  <c r="BO103" i="2"/>
  <c r="CJ103" i="2"/>
  <c r="F56" i="3"/>
  <c r="CO108" i="2"/>
  <c r="CM56" i="3" s="1"/>
  <c r="CG108" i="2"/>
  <c r="CE56" i="3" s="1"/>
  <c r="BY108" i="2"/>
  <c r="BW56" i="3" s="1"/>
  <c r="BQ108" i="2"/>
  <c r="BI108" i="2"/>
  <c r="BG56" i="3" s="1"/>
  <c r="BA108" i="2"/>
  <c r="AY56" i="3" s="1"/>
  <c r="AS108" i="2"/>
  <c r="AQ56" i="3" s="1"/>
  <c r="CP108" i="2"/>
  <c r="CF108" i="2"/>
  <c r="CD56" i="3" s="1"/>
  <c r="BW108" i="2"/>
  <c r="BU56" i="3" s="1"/>
  <c r="BN108" i="2"/>
  <c r="BL56" i="3" s="1"/>
  <c r="BE108" i="2"/>
  <c r="BC56" i="3" s="1"/>
  <c r="AV108" i="2"/>
  <c r="AT56" i="3" s="1"/>
  <c r="AM108" i="2"/>
  <c r="AK56" i="3" s="1"/>
  <c r="AE108" i="2"/>
  <c r="AC56" i="3" s="1"/>
  <c r="W108" i="2"/>
  <c r="U56" i="3" s="1"/>
  <c r="CN108" i="2"/>
  <c r="CL56" i="3" s="1"/>
  <c r="CE108" i="2"/>
  <c r="CC56" i="3" s="1"/>
  <c r="BV108" i="2"/>
  <c r="BT56" i="3" s="1"/>
  <c r="BM108" i="2"/>
  <c r="BK56" i="3" s="1"/>
  <c r="BD108" i="2"/>
  <c r="BB56" i="3" s="1"/>
  <c r="AU108" i="2"/>
  <c r="AS56" i="3" s="1"/>
  <c r="AL108" i="2"/>
  <c r="AJ56" i="3" s="1"/>
  <c r="AD108" i="2"/>
  <c r="AB56" i="3" s="1"/>
  <c r="V108" i="2"/>
  <c r="T56" i="3" s="1"/>
  <c r="CM108" i="2"/>
  <c r="CK56" i="3" s="1"/>
  <c r="CD108" i="2"/>
  <c r="CB56" i="3" s="1"/>
  <c r="BU108" i="2"/>
  <c r="BS56" i="3" s="1"/>
  <c r="BL108" i="2"/>
  <c r="BJ56" i="3" s="1"/>
  <c r="BC108" i="2"/>
  <c r="BA56" i="3" s="1"/>
  <c r="AT108" i="2"/>
  <c r="AR56" i="3" s="1"/>
  <c r="AK108" i="2"/>
  <c r="AI56" i="3" s="1"/>
  <c r="AC108" i="2"/>
  <c r="AA56" i="3" s="1"/>
  <c r="U108" i="2"/>
  <c r="S56" i="3" s="1"/>
  <c r="CK108" i="2"/>
  <c r="CI56" i="3" s="1"/>
  <c r="CB108" i="2"/>
  <c r="BZ56" i="3" s="1"/>
  <c r="BS108" i="2"/>
  <c r="BQ56" i="3" s="1"/>
  <c r="BJ108" i="2"/>
  <c r="BH56" i="3" s="1"/>
  <c r="AZ108" i="2"/>
  <c r="AX56" i="3" s="1"/>
  <c r="AQ108" i="2"/>
  <c r="AI108" i="2"/>
  <c r="AG56" i="3" s="1"/>
  <c r="AA108" i="2"/>
  <c r="Y56" i="3" s="1"/>
  <c r="S108" i="2"/>
  <c r="Q56" i="3" s="1"/>
  <c r="CJ108" i="2"/>
  <c r="CH56" i="3" s="1"/>
  <c r="CA108" i="2"/>
  <c r="BY56" i="3" s="1"/>
  <c r="BR108" i="2"/>
  <c r="BP56" i="3" s="1"/>
  <c r="BH108" i="2"/>
  <c r="BF56" i="3" s="1"/>
  <c r="AY108" i="2"/>
  <c r="AW56" i="3" s="1"/>
  <c r="AP108" i="2"/>
  <c r="AH108" i="2"/>
  <c r="AF56" i="3" s="1"/>
  <c r="Z108" i="2"/>
  <c r="X56" i="3" s="1"/>
  <c r="R108" i="2"/>
  <c r="P56" i="3" s="1"/>
  <c r="J108" i="2"/>
  <c r="H56" i="3" s="1"/>
  <c r="CI108" i="2"/>
  <c r="CG56" i="3" s="1"/>
  <c r="BZ108" i="2"/>
  <c r="BX56" i="3" s="1"/>
  <c r="BP108" i="2"/>
  <c r="BG108" i="2"/>
  <c r="BE56" i="3" s="1"/>
  <c r="AX108" i="2"/>
  <c r="AV56" i="3" s="1"/>
  <c r="AO108" i="2"/>
  <c r="AM56" i="3" s="1"/>
  <c r="AG108" i="2"/>
  <c r="AE56" i="3" s="1"/>
  <c r="Y108" i="2"/>
  <c r="W56" i="3" s="1"/>
  <c r="X108" i="2"/>
  <c r="V56" i="3" s="1"/>
  <c r="BF108" i="2"/>
  <c r="BD56" i="3" s="1"/>
  <c r="CQ108" i="2"/>
  <c r="W109" i="2"/>
  <c r="U57" i="3" s="1"/>
  <c r="BM109" i="2"/>
  <c r="BK57" i="3" s="1"/>
  <c r="AL112" i="2"/>
  <c r="AJ60" i="3" s="1"/>
  <c r="E64" i="3"/>
  <c r="M116" i="2"/>
  <c r="K64" i="3" s="1"/>
  <c r="O116" i="2"/>
  <c r="M64" i="3" s="1"/>
  <c r="F65" i="3"/>
  <c r="CL117" i="2"/>
  <c r="CJ65" i="3" s="1"/>
  <c r="CD117" i="2"/>
  <c r="CB65" i="3" s="1"/>
  <c r="BV117" i="2"/>
  <c r="BT65" i="3" s="1"/>
  <c r="BN117" i="2"/>
  <c r="BL65" i="3" s="1"/>
  <c r="BF117" i="2"/>
  <c r="BD65" i="3" s="1"/>
  <c r="AX117" i="2"/>
  <c r="AV65" i="3" s="1"/>
  <c r="AP117" i="2"/>
  <c r="AH117" i="2"/>
  <c r="AF65" i="3" s="1"/>
  <c r="Z117" i="2"/>
  <c r="X65" i="3" s="1"/>
  <c r="R117" i="2"/>
  <c r="P65" i="3" s="1"/>
  <c r="J117" i="2"/>
  <c r="H65" i="3" s="1"/>
  <c r="CQ117" i="2"/>
  <c r="CI117" i="2"/>
  <c r="CG65" i="3" s="1"/>
  <c r="CA117" i="2"/>
  <c r="BY65" i="3" s="1"/>
  <c r="BS117" i="2"/>
  <c r="BQ65" i="3" s="1"/>
  <c r="BK117" i="2"/>
  <c r="BI65" i="3" s="1"/>
  <c r="CP117" i="2"/>
  <c r="CH117" i="2"/>
  <c r="CF65" i="3" s="1"/>
  <c r="BZ117" i="2"/>
  <c r="BX65" i="3" s="1"/>
  <c r="BR117" i="2"/>
  <c r="BP65" i="3" s="1"/>
  <c r="BJ117" i="2"/>
  <c r="BH65" i="3" s="1"/>
  <c r="BB117" i="2"/>
  <c r="AZ65" i="3" s="1"/>
  <c r="AT117" i="2"/>
  <c r="AR65" i="3" s="1"/>
  <c r="AL117" i="2"/>
  <c r="AJ65" i="3" s="1"/>
  <c r="AD117" i="2"/>
  <c r="AB65" i="3" s="1"/>
  <c r="V117" i="2"/>
  <c r="T65" i="3" s="1"/>
  <c r="AB117" i="2"/>
  <c r="Z65" i="3" s="1"/>
  <c r="AM117" i="2"/>
  <c r="AK65" i="3" s="1"/>
  <c r="AW117" i="2"/>
  <c r="AU65" i="3" s="1"/>
  <c r="BH117" i="2"/>
  <c r="BF65" i="3" s="1"/>
  <c r="BU117" i="2"/>
  <c r="BS65" i="3" s="1"/>
  <c r="CG117" i="2"/>
  <c r="CE65" i="3" s="1"/>
  <c r="F68" i="3"/>
  <c r="CL120" i="2"/>
  <c r="CJ68" i="3" s="1"/>
  <c r="CD120" i="2"/>
  <c r="CB68" i="3" s="1"/>
  <c r="BV120" i="2"/>
  <c r="BT68" i="3" s="1"/>
  <c r="BN120" i="2"/>
  <c r="BL68" i="3" s="1"/>
  <c r="BF120" i="2"/>
  <c r="BD68" i="3" s="1"/>
  <c r="AX120" i="2"/>
  <c r="AV68" i="3" s="1"/>
  <c r="AP120" i="2"/>
  <c r="AH120" i="2"/>
  <c r="AF68" i="3" s="1"/>
  <c r="Z120" i="2"/>
  <c r="X68" i="3" s="1"/>
  <c r="R120" i="2"/>
  <c r="P68" i="3" s="1"/>
  <c r="J120" i="2"/>
  <c r="H68" i="3" s="1"/>
  <c r="CK120" i="2"/>
  <c r="CI68" i="3" s="1"/>
  <c r="CC120" i="2"/>
  <c r="CA68" i="3" s="1"/>
  <c r="BU120" i="2"/>
  <c r="BS68" i="3" s="1"/>
  <c r="BM120" i="2"/>
  <c r="BK68" i="3" s="1"/>
  <c r="BE120" i="2"/>
  <c r="BC68" i="3" s="1"/>
  <c r="AW120" i="2"/>
  <c r="AU68" i="3" s="1"/>
  <c r="AO120" i="2"/>
  <c r="AM68" i="3" s="1"/>
  <c r="AG120" i="2"/>
  <c r="AE68" i="3" s="1"/>
  <c r="Y120" i="2"/>
  <c r="W68" i="3" s="1"/>
  <c r="CP120" i="2"/>
  <c r="CH120" i="2"/>
  <c r="CF68" i="3" s="1"/>
  <c r="BZ120" i="2"/>
  <c r="BX68" i="3" s="1"/>
  <c r="BR120" i="2"/>
  <c r="BP68" i="3" s="1"/>
  <c r="BJ120" i="2"/>
  <c r="BH68" i="3" s="1"/>
  <c r="BB120" i="2"/>
  <c r="AZ68" i="3" s="1"/>
  <c r="AT120" i="2"/>
  <c r="AR68" i="3" s="1"/>
  <c r="AL120" i="2"/>
  <c r="AJ68" i="3" s="1"/>
  <c r="AD120" i="2"/>
  <c r="AB68" i="3" s="1"/>
  <c r="V120" i="2"/>
  <c r="T68" i="3" s="1"/>
  <c r="CO120" i="2"/>
  <c r="CM68" i="3" s="1"/>
  <c r="CG120" i="2"/>
  <c r="CE68" i="3" s="1"/>
  <c r="BY120" i="2"/>
  <c r="BW68" i="3" s="1"/>
  <c r="BQ120" i="2"/>
  <c r="BI120" i="2"/>
  <c r="BG68" i="3" s="1"/>
  <c r="BA120" i="2"/>
  <c r="AY68" i="3" s="1"/>
  <c r="AS120" i="2"/>
  <c r="AQ68" i="3" s="1"/>
  <c r="AK120" i="2"/>
  <c r="AI68" i="3" s="1"/>
  <c r="AC120" i="2"/>
  <c r="AA68" i="3" s="1"/>
  <c r="U120" i="2"/>
  <c r="S68" i="3" s="1"/>
  <c r="S120" i="2"/>
  <c r="Q68" i="3" s="1"/>
  <c r="AI120" i="2"/>
  <c r="AG68" i="3" s="1"/>
  <c r="AY120" i="2"/>
  <c r="AW68" i="3" s="1"/>
  <c r="BO120" i="2"/>
  <c r="BM68" i="3" s="1"/>
  <c r="CE120" i="2"/>
  <c r="CC68" i="3" s="1"/>
  <c r="F69" i="3"/>
  <c r="CQ121" i="2"/>
  <c r="CI121" i="2"/>
  <c r="CG69" i="3" s="1"/>
  <c r="CA121" i="2"/>
  <c r="BY69" i="3" s="1"/>
  <c r="BS121" i="2"/>
  <c r="BQ69" i="3" s="1"/>
  <c r="BK121" i="2"/>
  <c r="BI69" i="3" s="1"/>
  <c r="BC121" i="2"/>
  <c r="BA69" i="3" s="1"/>
  <c r="AU121" i="2"/>
  <c r="AS69" i="3" s="1"/>
  <c r="AM121" i="2"/>
  <c r="AK69" i="3" s="1"/>
  <c r="AE121" i="2"/>
  <c r="AC69" i="3" s="1"/>
  <c r="W121" i="2"/>
  <c r="U69" i="3" s="1"/>
  <c r="CP121" i="2"/>
  <c r="CH121" i="2"/>
  <c r="CF69" i="3" s="1"/>
  <c r="BZ121" i="2"/>
  <c r="BX69" i="3" s="1"/>
  <c r="BR121" i="2"/>
  <c r="BP69" i="3" s="1"/>
  <c r="BJ121" i="2"/>
  <c r="BH69" i="3" s="1"/>
  <c r="BB121" i="2"/>
  <c r="AZ69" i="3" s="1"/>
  <c r="AT121" i="2"/>
  <c r="AR69" i="3" s="1"/>
  <c r="AL121" i="2"/>
  <c r="AJ69" i="3" s="1"/>
  <c r="AD121" i="2"/>
  <c r="AB69" i="3" s="1"/>
  <c r="V121" i="2"/>
  <c r="T69" i="3" s="1"/>
  <c r="CM121" i="2"/>
  <c r="CK69" i="3" s="1"/>
  <c r="CE121" i="2"/>
  <c r="CC69" i="3" s="1"/>
  <c r="BW121" i="2"/>
  <c r="BU69" i="3" s="1"/>
  <c r="BO121" i="2"/>
  <c r="BM69" i="3" s="1"/>
  <c r="BG121" i="2"/>
  <c r="BE69" i="3" s="1"/>
  <c r="AY121" i="2"/>
  <c r="AW69" i="3" s="1"/>
  <c r="AQ121" i="2"/>
  <c r="AI121" i="2"/>
  <c r="AG69" i="3" s="1"/>
  <c r="AA121" i="2"/>
  <c r="Y69" i="3" s="1"/>
  <c r="S121" i="2"/>
  <c r="Q69" i="3" s="1"/>
  <c r="CL121" i="2"/>
  <c r="CJ69" i="3" s="1"/>
  <c r="CD121" i="2"/>
  <c r="CB69" i="3" s="1"/>
  <c r="BV121" i="2"/>
  <c r="BT69" i="3" s="1"/>
  <c r="BN121" i="2"/>
  <c r="BL69" i="3" s="1"/>
  <c r="BF121" i="2"/>
  <c r="BD69" i="3" s="1"/>
  <c r="AX121" i="2"/>
  <c r="AV69" i="3" s="1"/>
  <c r="AP121" i="2"/>
  <c r="AH121" i="2"/>
  <c r="AF69" i="3" s="1"/>
  <c r="Z121" i="2"/>
  <c r="X69" i="3" s="1"/>
  <c r="R121" i="2"/>
  <c r="P69" i="3" s="1"/>
  <c r="J121" i="2"/>
  <c r="H69" i="3" s="1"/>
  <c r="T121" i="2"/>
  <c r="R69" i="3" s="1"/>
  <c r="AJ121" i="2"/>
  <c r="AH69" i="3" s="1"/>
  <c r="AZ121" i="2"/>
  <c r="AX69" i="3" s="1"/>
  <c r="BP121" i="2"/>
  <c r="CF121" i="2"/>
  <c r="CD69" i="3" s="1"/>
  <c r="O94" i="3"/>
  <c r="N94" i="3"/>
  <c r="CO95" i="3"/>
  <c r="CN95" i="3"/>
  <c r="E100" i="3"/>
  <c r="P192" i="2"/>
  <c r="O192" i="2"/>
  <c r="M100" i="3" s="1"/>
  <c r="M192" i="2"/>
  <c r="K100" i="3" s="1"/>
  <c r="L192" i="2"/>
  <c r="J100" i="3" s="1"/>
  <c r="F58" i="3"/>
  <c r="CQ110" i="2"/>
  <c r="CI110" i="2"/>
  <c r="CG58" i="3" s="1"/>
  <c r="CA110" i="2"/>
  <c r="BY58" i="3" s="1"/>
  <c r="BS110" i="2"/>
  <c r="BQ58" i="3" s="1"/>
  <c r="BK110" i="2"/>
  <c r="BI58" i="3" s="1"/>
  <c r="BC110" i="2"/>
  <c r="BA58" i="3" s="1"/>
  <c r="AU110" i="2"/>
  <c r="AS58" i="3" s="1"/>
  <c r="AM110" i="2"/>
  <c r="AK58" i="3" s="1"/>
  <c r="AE110" i="2"/>
  <c r="AC58" i="3" s="1"/>
  <c r="W110" i="2"/>
  <c r="U58" i="3" s="1"/>
  <c r="CM110" i="2"/>
  <c r="CK58" i="3" s="1"/>
  <c r="CE110" i="2"/>
  <c r="CC58" i="3" s="1"/>
  <c r="BW110" i="2"/>
  <c r="BU58" i="3" s="1"/>
  <c r="BO110" i="2"/>
  <c r="BM58" i="3" s="1"/>
  <c r="BG110" i="2"/>
  <c r="BE58" i="3" s="1"/>
  <c r="AY110" i="2"/>
  <c r="AW58" i="3" s="1"/>
  <c r="AQ110" i="2"/>
  <c r="AI110" i="2"/>
  <c r="AG58" i="3" s="1"/>
  <c r="AA110" i="2"/>
  <c r="Y58" i="3" s="1"/>
  <c r="S110" i="2"/>
  <c r="Q58" i="3" s="1"/>
  <c r="AB110" i="2"/>
  <c r="Z58" i="3" s="1"/>
  <c r="AL110" i="2"/>
  <c r="AJ58" i="3" s="1"/>
  <c r="AW110" i="2"/>
  <c r="AU58" i="3" s="1"/>
  <c r="BH110" i="2"/>
  <c r="BF58" i="3" s="1"/>
  <c r="BR110" i="2"/>
  <c r="BP58" i="3" s="1"/>
  <c r="CC110" i="2"/>
  <c r="CA58" i="3" s="1"/>
  <c r="CN110" i="2"/>
  <c r="CL58" i="3" s="1"/>
  <c r="G113" i="2" a="1"/>
  <c r="G113" i="2" s="1"/>
  <c r="P116" i="2"/>
  <c r="BO64" i="3"/>
  <c r="BN64" i="3"/>
  <c r="S117" i="2"/>
  <c r="Q65" i="3" s="1"/>
  <c r="AC117" i="2"/>
  <c r="AA65" i="3" s="1"/>
  <c r="AN117" i="2"/>
  <c r="AL65" i="3" s="1"/>
  <c r="AY117" i="2"/>
  <c r="AW65" i="3" s="1"/>
  <c r="BI117" i="2"/>
  <c r="BG65" i="3" s="1"/>
  <c r="BW117" i="2"/>
  <c r="BU65" i="3" s="1"/>
  <c r="CJ117" i="2"/>
  <c r="CH65" i="3" s="1"/>
  <c r="T120" i="2"/>
  <c r="R68" i="3" s="1"/>
  <c r="AJ120" i="2"/>
  <c r="AH68" i="3" s="1"/>
  <c r="AZ120" i="2"/>
  <c r="AX68" i="3" s="1"/>
  <c r="BP120" i="2"/>
  <c r="CF120" i="2"/>
  <c r="CD68" i="3" s="1"/>
  <c r="U121" i="2"/>
  <c r="S69" i="3" s="1"/>
  <c r="AK121" i="2"/>
  <c r="AI69" i="3" s="1"/>
  <c r="BA121" i="2"/>
  <c r="AY69" i="3" s="1"/>
  <c r="BQ121" i="2"/>
  <c r="CG121" i="2"/>
  <c r="CE69" i="3" s="1"/>
  <c r="E72" i="3"/>
  <c r="O124" i="2"/>
  <c r="M72" i="3" s="1"/>
  <c r="M124" i="2"/>
  <c r="K72" i="3" s="1"/>
  <c r="D74" i="3"/>
  <c r="G146" i="2" a="1"/>
  <c r="G146" i="2" s="1"/>
  <c r="F89" i="3"/>
  <c r="CK161" i="2"/>
  <c r="CI89" i="3" s="1"/>
  <c r="CC161" i="2"/>
  <c r="CA89" i="3" s="1"/>
  <c r="BU161" i="2"/>
  <c r="BS89" i="3" s="1"/>
  <c r="BM161" i="2"/>
  <c r="BK89" i="3" s="1"/>
  <c r="BE161" i="2"/>
  <c r="BC89" i="3" s="1"/>
  <c r="AW161" i="2"/>
  <c r="AU89" i="3" s="1"/>
  <c r="AO161" i="2"/>
  <c r="AM89" i="3" s="1"/>
  <c r="AG161" i="2"/>
  <c r="AE89" i="3" s="1"/>
  <c r="Y161" i="2"/>
  <c r="W89" i="3" s="1"/>
  <c r="CO161" i="2"/>
  <c r="CM89" i="3" s="1"/>
  <c r="CG161" i="2"/>
  <c r="CE89" i="3" s="1"/>
  <c r="BY161" i="2"/>
  <c r="BW89" i="3" s="1"/>
  <c r="BQ161" i="2"/>
  <c r="BI161" i="2"/>
  <c r="BG89" i="3" s="1"/>
  <c r="BA161" i="2"/>
  <c r="AY89" i="3" s="1"/>
  <c r="AS161" i="2"/>
  <c r="AQ89" i="3" s="1"/>
  <c r="AK161" i="2"/>
  <c r="AI89" i="3" s="1"/>
  <c r="AC161" i="2"/>
  <c r="AA89" i="3" s="1"/>
  <c r="U161" i="2"/>
  <c r="S89" i="3" s="1"/>
  <c r="CI161" i="2"/>
  <c r="CG89" i="3" s="1"/>
  <c r="BX161" i="2"/>
  <c r="BV89" i="3" s="1"/>
  <c r="BN161" i="2"/>
  <c r="BL89" i="3" s="1"/>
  <c r="BC161" i="2"/>
  <c r="BA89" i="3" s="1"/>
  <c r="AR161" i="2"/>
  <c r="AP89" i="3" s="1"/>
  <c r="AH161" i="2"/>
  <c r="AF89" i="3" s="1"/>
  <c r="W161" i="2"/>
  <c r="U89" i="3" s="1"/>
  <c r="CH161" i="2"/>
  <c r="CF89" i="3" s="1"/>
  <c r="BW161" i="2"/>
  <c r="BU89" i="3" s="1"/>
  <c r="BL161" i="2"/>
  <c r="BJ89" i="3" s="1"/>
  <c r="BB161" i="2"/>
  <c r="AZ89" i="3" s="1"/>
  <c r="AQ161" i="2"/>
  <c r="AF161" i="2"/>
  <c r="AD89" i="3" s="1"/>
  <c r="V161" i="2"/>
  <c r="T89" i="3" s="1"/>
  <c r="CQ161" i="2"/>
  <c r="CF161" i="2"/>
  <c r="CD89" i="3" s="1"/>
  <c r="BV161" i="2"/>
  <c r="BT89" i="3" s="1"/>
  <c r="BK161" i="2"/>
  <c r="BI89" i="3" s="1"/>
  <c r="AZ161" i="2"/>
  <c r="AX89" i="3" s="1"/>
  <c r="AP161" i="2"/>
  <c r="AE161" i="2"/>
  <c r="AC89" i="3" s="1"/>
  <c r="T161" i="2"/>
  <c r="R89" i="3" s="1"/>
  <c r="CP161" i="2"/>
  <c r="CE161" i="2"/>
  <c r="CC89" i="3" s="1"/>
  <c r="BT161" i="2"/>
  <c r="BR89" i="3" s="1"/>
  <c r="BJ161" i="2"/>
  <c r="BH89" i="3" s="1"/>
  <c r="AY161" i="2"/>
  <c r="AW89" i="3" s="1"/>
  <c r="AN161" i="2"/>
  <c r="AL89" i="3" s="1"/>
  <c r="AD161" i="2"/>
  <c r="AB89" i="3" s="1"/>
  <c r="S161" i="2"/>
  <c r="Q89" i="3" s="1"/>
  <c r="J161" i="2"/>
  <c r="H89" i="3" s="1"/>
  <c r="CN161" i="2"/>
  <c r="CL89" i="3" s="1"/>
  <c r="CD161" i="2"/>
  <c r="CB89" i="3" s="1"/>
  <c r="BS161" i="2"/>
  <c r="BQ89" i="3" s="1"/>
  <c r="BH161" i="2"/>
  <c r="BF89" i="3" s="1"/>
  <c r="AX161" i="2"/>
  <c r="AV89" i="3" s="1"/>
  <c r="AM161" i="2"/>
  <c r="AK89" i="3" s="1"/>
  <c r="AB161" i="2"/>
  <c r="Z89" i="3" s="1"/>
  <c r="R161" i="2"/>
  <c r="P89" i="3" s="1"/>
  <c r="CM161" i="2"/>
  <c r="CK89" i="3" s="1"/>
  <c r="CB161" i="2"/>
  <c r="BZ89" i="3" s="1"/>
  <c r="BR161" i="2"/>
  <c r="BP89" i="3" s="1"/>
  <c r="BG161" i="2"/>
  <c r="BE89" i="3" s="1"/>
  <c r="AV161" i="2"/>
  <c r="AT89" i="3" s="1"/>
  <c r="AL161" i="2"/>
  <c r="AJ89" i="3" s="1"/>
  <c r="AA161" i="2"/>
  <c r="Y89" i="3" s="1"/>
  <c r="CL161" i="2"/>
  <c r="CJ89" i="3" s="1"/>
  <c r="CA161" i="2"/>
  <c r="BY89" i="3" s="1"/>
  <c r="BP161" i="2"/>
  <c r="BF161" i="2"/>
  <c r="BD89" i="3" s="1"/>
  <c r="AU161" i="2"/>
  <c r="AS89" i="3" s="1"/>
  <c r="AJ161" i="2"/>
  <c r="AH89" i="3" s="1"/>
  <c r="Z161" i="2"/>
  <c r="X89" i="3" s="1"/>
  <c r="CJ161" i="2"/>
  <c r="CH89" i="3" s="1"/>
  <c r="BZ161" i="2"/>
  <c r="BX89" i="3" s="1"/>
  <c r="BO161" i="2"/>
  <c r="BM89" i="3" s="1"/>
  <c r="BD161" i="2"/>
  <c r="BB89" i="3" s="1"/>
  <c r="AT161" i="2"/>
  <c r="AR89" i="3" s="1"/>
  <c r="AI161" i="2"/>
  <c r="AG89" i="3" s="1"/>
  <c r="X161" i="2"/>
  <c r="V89" i="3" s="1"/>
  <c r="H77" i="2"/>
  <c r="T81" i="2"/>
  <c r="R49" i="3" s="1"/>
  <c r="AB81" i="2"/>
  <c r="Z49" i="3" s="1"/>
  <c r="AJ81" i="2"/>
  <c r="AH49" i="3" s="1"/>
  <c r="AR81" i="2"/>
  <c r="AP49" i="3" s="1"/>
  <c r="AZ81" i="2"/>
  <c r="AX49" i="3" s="1"/>
  <c r="BH81" i="2"/>
  <c r="BF49" i="3" s="1"/>
  <c r="BP81" i="2"/>
  <c r="BX81" i="2"/>
  <c r="BV49" i="3" s="1"/>
  <c r="CF81" i="2"/>
  <c r="CD49" i="3" s="1"/>
  <c r="CN81" i="2"/>
  <c r="CL49" i="3" s="1"/>
  <c r="H106" i="2"/>
  <c r="U107" i="2"/>
  <c r="S55" i="3" s="1"/>
  <c r="AC107" i="2"/>
  <c r="AA55" i="3" s="1"/>
  <c r="AK107" i="2"/>
  <c r="AI55" i="3" s="1"/>
  <c r="AS107" i="2"/>
  <c r="AQ55" i="3" s="1"/>
  <c r="BA107" i="2"/>
  <c r="AY55" i="3" s="1"/>
  <c r="BI107" i="2"/>
  <c r="BG55" i="3" s="1"/>
  <c r="BQ107" i="2"/>
  <c r="BY107" i="2"/>
  <c r="BW55" i="3" s="1"/>
  <c r="CG107" i="2"/>
  <c r="CE55" i="3" s="1"/>
  <c r="CO107" i="2"/>
  <c r="CM55" i="3" s="1"/>
  <c r="R110" i="2"/>
  <c r="P58" i="3" s="1"/>
  <c r="AC110" i="2"/>
  <c r="AA58" i="3" s="1"/>
  <c r="AN110" i="2"/>
  <c r="AL58" i="3" s="1"/>
  <c r="AX110" i="2"/>
  <c r="AV58" i="3" s="1"/>
  <c r="BI110" i="2"/>
  <c r="BG58" i="3" s="1"/>
  <c r="BT110" i="2"/>
  <c r="BR58" i="3" s="1"/>
  <c r="CD110" i="2"/>
  <c r="CB58" i="3" s="1"/>
  <c r="CO110" i="2"/>
  <c r="CM58" i="3" s="1"/>
  <c r="E60" i="3"/>
  <c r="M112" i="2"/>
  <c r="K60" i="3" s="1"/>
  <c r="O112" i="2"/>
  <c r="M60" i="3" s="1"/>
  <c r="H113" i="2"/>
  <c r="D63" i="3"/>
  <c r="H115" i="2"/>
  <c r="F64" i="3"/>
  <c r="CO116" i="2"/>
  <c r="CM64" i="3" s="1"/>
  <c r="CG116" i="2"/>
  <c r="CE64" i="3" s="1"/>
  <c r="BY116" i="2"/>
  <c r="BW64" i="3" s="1"/>
  <c r="BQ116" i="2"/>
  <c r="BI116" i="2"/>
  <c r="BG64" i="3" s="1"/>
  <c r="BA116" i="2"/>
  <c r="AY64" i="3" s="1"/>
  <c r="AS116" i="2"/>
  <c r="AQ64" i="3" s="1"/>
  <c r="AK116" i="2"/>
  <c r="AI64" i="3" s="1"/>
  <c r="AC116" i="2"/>
  <c r="AA64" i="3" s="1"/>
  <c r="U116" i="2"/>
  <c r="S64" i="3" s="1"/>
  <c r="CK116" i="2"/>
  <c r="CI64" i="3" s="1"/>
  <c r="CC116" i="2"/>
  <c r="CA64" i="3" s="1"/>
  <c r="BU116" i="2"/>
  <c r="BS64" i="3" s="1"/>
  <c r="BM116" i="2"/>
  <c r="BK64" i="3" s="1"/>
  <c r="BE116" i="2"/>
  <c r="BC64" i="3" s="1"/>
  <c r="AW116" i="2"/>
  <c r="AU64" i="3" s="1"/>
  <c r="AO116" i="2"/>
  <c r="AM64" i="3" s="1"/>
  <c r="AG116" i="2"/>
  <c r="AE64" i="3" s="1"/>
  <c r="Y116" i="2"/>
  <c r="W64" i="3" s="1"/>
  <c r="AA116" i="2"/>
  <c r="Y64" i="3" s="1"/>
  <c r="AL116" i="2"/>
  <c r="AJ64" i="3" s="1"/>
  <c r="AV116" i="2"/>
  <c r="AT64" i="3" s="1"/>
  <c r="BG116" i="2"/>
  <c r="BE64" i="3" s="1"/>
  <c r="BR116" i="2"/>
  <c r="BP64" i="3" s="1"/>
  <c r="CB116" i="2"/>
  <c r="BZ64" i="3" s="1"/>
  <c r="CM116" i="2"/>
  <c r="CK64" i="3" s="1"/>
  <c r="T117" i="2"/>
  <c r="R65" i="3" s="1"/>
  <c r="AE117" i="2"/>
  <c r="AC65" i="3" s="1"/>
  <c r="AO117" i="2"/>
  <c r="AM65" i="3" s="1"/>
  <c r="AZ117" i="2"/>
  <c r="AX65" i="3" s="1"/>
  <c r="BL117" i="2"/>
  <c r="BJ65" i="3" s="1"/>
  <c r="BX117" i="2"/>
  <c r="BV65" i="3" s="1"/>
  <c r="CK117" i="2"/>
  <c r="CI65" i="3" s="1"/>
  <c r="W120" i="2"/>
  <c r="U68" i="3" s="1"/>
  <c r="AM120" i="2"/>
  <c r="AK68" i="3" s="1"/>
  <c r="BC120" i="2"/>
  <c r="BA68" i="3" s="1"/>
  <c r="BS120" i="2"/>
  <c r="BQ68" i="3" s="1"/>
  <c r="CI120" i="2"/>
  <c r="CG68" i="3" s="1"/>
  <c r="X121" i="2"/>
  <c r="V69" i="3" s="1"/>
  <c r="AN121" i="2"/>
  <c r="AL69" i="3" s="1"/>
  <c r="BD121" i="2"/>
  <c r="BB69" i="3" s="1"/>
  <c r="BT121" i="2"/>
  <c r="BR69" i="3" s="1"/>
  <c r="CJ121" i="2"/>
  <c r="CH69" i="3" s="1"/>
  <c r="F72" i="3"/>
  <c r="CQ124" i="2"/>
  <c r="CI124" i="2"/>
  <c r="CG72" i="3" s="1"/>
  <c r="CA124" i="2"/>
  <c r="BY72" i="3" s="1"/>
  <c r="BS124" i="2"/>
  <c r="BQ72" i="3" s="1"/>
  <c r="BK124" i="2"/>
  <c r="BI72" i="3" s="1"/>
  <c r="BC124" i="2"/>
  <c r="BA72" i="3" s="1"/>
  <c r="AU124" i="2"/>
  <c r="AS72" i="3" s="1"/>
  <c r="AM124" i="2"/>
  <c r="AK72" i="3" s="1"/>
  <c r="AE124" i="2"/>
  <c r="AC72" i="3" s="1"/>
  <c r="W124" i="2"/>
  <c r="U72" i="3" s="1"/>
  <c r="CP124" i="2"/>
  <c r="CH124" i="2"/>
  <c r="CF72" i="3" s="1"/>
  <c r="BZ124" i="2"/>
  <c r="BX72" i="3" s="1"/>
  <c r="BR124" i="2"/>
  <c r="BP72" i="3" s="1"/>
  <c r="BJ124" i="2"/>
  <c r="BH72" i="3" s="1"/>
  <c r="BB124" i="2"/>
  <c r="AZ72" i="3" s="1"/>
  <c r="AT124" i="2"/>
  <c r="AR72" i="3" s="1"/>
  <c r="AL124" i="2"/>
  <c r="AJ72" i="3" s="1"/>
  <c r="AD124" i="2"/>
  <c r="AB72" i="3" s="1"/>
  <c r="V124" i="2"/>
  <c r="T72" i="3" s="1"/>
  <c r="CO124" i="2"/>
  <c r="CM72" i="3" s="1"/>
  <c r="CG124" i="2"/>
  <c r="CE72" i="3" s="1"/>
  <c r="BY124" i="2"/>
  <c r="BW72" i="3" s="1"/>
  <c r="BQ124" i="2"/>
  <c r="BI124" i="2"/>
  <c r="BG72" i="3" s="1"/>
  <c r="BA124" i="2"/>
  <c r="AY72" i="3" s="1"/>
  <c r="AS124" i="2"/>
  <c r="AQ72" i="3" s="1"/>
  <c r="AK124" i="2"/>
  <c r="AI72" i="3" s="1"/>
  <c r="AC124" i="2"/>
  <c r="AA72" i="3" s="1"/>
  <c r="U124" i="2"/>
  <c r="S72" i="3" s="1"/>
  <c r="CL124" i="2"/>
  <c r="CJ72" i="3" s="1"/>
  <c r="CD124" i="2"/>
  <c r="CB72" i="3" s="1"/>
  <c r="BV124" i="2"/>
  <c r="BT72" i="3" s="1"/>
  <c r="BN124" i="2"/>
  <c r="BL72" i="3" s="1"/>
  <c r="BF124" i="2"/>
  <c r="BD72" i="3" s="1"/>
  <c r="AX124" i="2"/>
  <c r="AV72" i="3" s="1"/>
  <c r="AP124" i="2"/>
  <c r="AH124" i="2"/>
  <c r="AF72" i="3" s="1"/>
  <c r="Z124" i="2"/>
  <c r="X72" i="3" s="1"/>
  <c r="R124" i="2"/>
  <c r="P72" i="3" s="1"/>
  <c r="J124" i="2"/>
  <c r="H72" i="3" s="1"/>
  <c r="CK124" i="2"/>
  <c r="CI72" i="3" s="1"/>
  <c r="CC124" i="2"/>
  <c r="CA72" i="3" s="1"/>
  <c r="BU124" i="2"/>
  <c r="BS72" i="3" s="1"/>
  <c r="BM124" i="2"/>
  <c r="BK72" i="3" s="1"/>
  <c r="BE124" i="2"/>
  <c r="BC72" i="3" s="1"/>
  <c r="AW124" i="2"/>
  <c r="AU72" i="3" s="1"/>
  <c r="AO124" i="2"/>
  <c r="AM72" i="3" s="1"/>
  <c r="AG124" i="2"/>
  <c r="AE72" i="3" s="1"/>
  <c r="Y124" i="2"/>
  <c r="W72" i="3" s="1"/>
  <c r="T124" i="2"/>
  <c r="R72" i="3" s="1"/>
  <c r="AQ124" i="2"/>
  <c r="BL124" i="2"/>
  <c r="BJ72" i="3" s="1"/>
  <c r="CF124" i="2"/>
  <c r="CD72" i="3" s="1"/>
  <c r="O99" i="3"/>
  <c r="N99" i="3"/>
  <c r="U81" i="2"/>
  <c r="S49" i="3" s="1"/>
  <c r="AC81" i="2"/>
  <c r="AA49" i="3" s="1"/>
  <c r="AK81" i="2"/>
  <c r="AI49" i="3" s="1"/>
  <c r="AS81" i="2"/>
  <c r="AQ49" i="3" s="1"/>
  <c r="BA81" i="2"/>
  <c r="AY49" i="3" s="1"/>
  <c r="BI81" i="2"/>
  <c r="BG49" i="3" s="1"/>
  <c r="BQ81" i="2"/>
  <c r="BY81" i="2"/>
  <c r="BW49" i="3" s="1"/>
  <c r="CG81" i="2"/>
  <c r="CE49" i="3" s="1"/>
  <c r="CO81" i="2"/>
  <c r="CM49" i="3" s="1"/>
  <c r="V107" i="2"/>
  <c r="T55" i="3" s="1"/>
  <c r="AD107" i="2"/>
  <c r="AB55" i="3" s="1"/>
  <c r="AL107" i="2"/>
  <c r="AJ55" i="3" s="1"/>
  <c r="AT107" i="2"/>
  <c r="AR55" i="3" s="1"/>
  <c r="BB107" i="2"/>
  <c r="AZ55" i="3" s="1"/>
  <c r="BJ107" i="2"/>
  <c r="BH55" i="3" s="1"/>
  <c r="BR107" i="2"/>
  <c r="BP55" i="3" s="1"/>
  <c r="BZ107" i="2"/>
  <c r="BX55" i="3" s="1"/>
  <c r="CH107" i="2"/>
  <c r="CF55" i="3" s="1"/>
  <c r="CP107" i="2"/>
  <c r="G109" i="2" a="1"/>
  <c r="G109" i="2" s="1"/>
  <c r="J110" i="2"/>
  <c r="H58" i="3" s="1"/>
  <c r="T110" i="2"/>
  <c r="R58" i="3" s="1"/>
  <c r="AD110" i="2"/>
  <c r="AB58" i="3" s="1"/>
  <c r="AO110" i="2"/>
  <c r="AM58" i="3" s="1"/>
  <c r="AZ110" i="2"/>
  <c r="AX58" i="3" s="1"/>
  <c r="BJ110" i="2"/>
  <c r="BH58" i="3" s="1"/>
  <c r="BU110" i="2"/>
  <c r="BS58" i="3" s="1"/>
  <c r="CF110" i="2"/>
  <c r="CD58" i="3" s="1"/>
  <c r="CP110" i="2"/>
  <c r="P112" i="2"/>
  <c r="R116" i="2"/>
  <c r="P64" i="3" s="1"/>
  <c r="AB116" i="2"/>
  <c r="Z64" i="3" s="1"/>
  <c r="AM116" i="2"/>
  <c r="AK64" i="3" s="1"/>
  <c r="AX116" i="2"/>
  <c r="AV64" i="3" s="1"/>
  <c r="BH116" i="2"/>
  <c r="BF64" i="3" s="1"/>
  <c r="BS116" i="2"/>
  <c r="BQ64" i="3" s="1"/>
  <c r="CD116" i="2"/>
  <c r="CB64" i="3" s="1"/>
  <c r="CN116" i="2"/>
  <c r="CL64" i="3" s="1"/>
  <c r="U117" i="2"/>
  <c r="S65" i="3" s="1"/>
  <c r="AF117" i="2"/>
  <c r="AD65" i="3" s="1"/>
  <c r="AQ117" i="2"/>
  <c r="BA117" i="2"/>
  <c r="AY65" i="3" s="1"/>
  <c r="BM117" i="2"/>
  <c r="BK65" i="3" s="1"/>
  <c r="BY117" i="2"/>
  <c r="BW65" i="3" s="1"/>
  <c r="CM117" i="2"/>
  <c r="CK65" i="3" s="1"/>
  <c r="X120" i="2"/>
  <c r="V68" i="3" s="1"/>
  <c r="AN120" i="2"/>
  <c r="AL68" i="3" s="1"/>
  <c r="BD120" i="2"/>
  <c r="BB68" i="3" s="1"/>
  <c r="BT120" i="2"/>
  <c r="BR68" i="3" s="1"/>
  <c r="CJ120" i="2"/>
  <c r="CH68" i="3" s="1"/>
  <c r="Y121" i="2"/>
  <c r="W69" i="3" s="1"/>
  <c r="AO121" i="2"/>
  <c r="AM69" i="3" s="1"/>
  <c r="BE121" i="2"/>
  <c r="BC69" i="3" s="1"/>
  <c r="BU121" i="2"/>
  <c r="BS69" i="3" s="1"/>
  <c r="CK121" i="2"/>
  <c r="CI69" i="3" s="1"/>
  <c r="X124" i="2"/>
  <c r="V72" i="3" s="1"/>
  <c r="AR124" i="2"/>
  <c r="AP72" i="3" s="1"/>
  <c r="BO124" i="2"/>
  <c r="BM72" i="3" s="1"/>
  <c r="CJ124" i="2"/>
  <c r="CH72" i="3" s="1"/>
  <c r="H146" i="2" a="1"/>
  <c r="H146" i="2" s="1"/>
  <c r="F92" i="3"/>
  <c r="CQ164" i="2"/>
  <c r="CI164" i="2"/>
  <c r="CG92" i="3" s="1"/>
  <c r="CO164" i="2"/>
  <c r="CM92" i="3" s="1"/>
  <c r="CG164" i="2"/>
  <c r="CE92" i="3" s="1"/>
  <c r="BY164" i="2"/>
  <c r="BW92" i="3" s="1"/>
  <c r="BQ164" i="2"/>
  <c r="BI164" i="2"/>
  <c r="BG92" i="3" s="1"/>
  <c r="BA164" i="2"/>
  <c r="AY92" i="3" s="1"/>
  <c r="AS164" i="2"/>
  <c r="AQ92" i="3" s="1"/>
  <c r="AK164" i="2"/>
  <c r="AI92" i="3" s="1"/>
  <c r="AC164" i="2"/>
  <c r="AA92" i="3" s="1"/>
  <c r="U164" i="2"/>
  <c r="S92" i="3" s="1"/>
  <c r="CM164" i="2"/>
  <c r="CK92" i="3" s="1"/>
  <c r="CE164" i="2"/>
  <c r="CC92" i="3" s="1"/>
  <c r="CK164" i="2"/>
  <c r="CI92" i="3" s="1"/>
  <c r="CC164" i="2"/>
  <c r="CA92" i="3" s="1"/>
  <c r="BU164" i="2"/>
  <c r="BS92" i="3" s="1"/>
  <c r="BM164" i="2"/>
  <c r="BK92" i="3" s="1"/>
  <c r="BE164" i="2"/>
  <c r="BC92" i="3" s="1"/>
  <c r="AW164" i="2"/>
  <c r="AU92" i="3" s="1"/>
  <c r="AO164" i="2"/>
  <c r="AM92" i="3" s="1"/>
  <c r="AG164" i="2"/>
  <c r="AE92" i="3" s="1"/>
  <c r="Y164" i="2"/>
  <c r="W92" i="3" s="1"/>
  <c r="CB164" i="2"/>
  <c r="BZ92" i="3" s="1"/>
  <c r="BR164" i="2"/>
  <c r="BP92" i="3" s="1"/>
  <c r="BG164" i="2"/>
  <c r="BE92" i="3" s="1"/>
  <c r="AV164" i="2"/>
  <c r="AT92" i="3" s="1"/>
  <c r="AL164" i="2"/>
  <c r="AJ92" i="3" s="1"/>
  <c r="AA164" i="2"/>
  <c r="Y92" i="3" s="1"/>
  <c r="CP164" i="2"/>
  <c r="CA164" i="2"/>
  <c r="BY92" i="3" s="1"/>
  <c r="BP164" i="2"/>
  <c r="BF164" i="2"/>
  <c r="BD92" i="3" s="1"/>
  <c r="AU164" i="2"/>
  <c r="AS92" i="3" s="1"/>
  <c r="AJ164" i="2"/>
  <c r="AH92" i="3" s="1"/>
  <c r="Z164" i="2"/>
  <c r="X92" i="3" s="1"/>
  <c r="CN164" i="2"/>
  <c r="CL92" i="3" s="1"/>
  <c r="BZ164" i="2"/>
  <c r="BX92" i="3" s="1"/>
  <c r="BO164" i="2"/>
  <c r="BM92" i="3" s="1"/>
  <c r="BD164" i="2"/>
  <c r="BB92" i="3" s="1"/>
  <c r="AT164" i="2"/>
  <c r="AR92" i="3" s="1"/>
  <c r="AI164" i="2"/>
  <c r="AG92" i="3" s="1"/>
  <c r="X164" i="2"/>
  <c r="V92" i="3" s="1"/>
  <c r="CL164" i="2"/>
  <c r="CJ92" i="3" s="1"/>
  <c r="BX164" i="2"/>
  <c r="BV92" i="3" s="1"/>
  <c r="BN164" i="2"/>
  <c r="BL92" i="3" s="1"/>
  <c r="BC164" i="2"/>
  <c r="BA92" i="3" s="1"/>
  <c r="AR164" i="2"/>
  <c r="AP92" i="3" s="1"/>
  <c r="AH164" i="2"/>
  <c r="AF92" i="3" s="1"/>
  <c r="W164" i="2"/>
  <c r="U92" i="3" s="1"/>
  <c r="CJ164" i="2"/>
  <c r="CH92" i="3" s="1"/>
  <c r="BW164" i="2"/>
  <c r="BU92" i="3" s="1"/>
  <c r="BL164" i="2"/>
  <c r="BJ92" i="3" s="1"/>
  <c r="BB164" i="2"/>
  <c r="AZ92" i="3" s="1"/>
  <c r="AQ164" i="2"/>
  <c r="AF164" i="2"/>
  <c r="AD92" i="3" s="1"/>
  <c r="V164" i="2"/>
  <c r="T92" i="3" s="1"/>
  <c r="CH164" i="2"/>
  <c r="CF92" i="3" s="1"/>
  <c r="BV164" i="2"/>
  <c r="BT92" i="3" s="1"/>
  <c r="BK164" i="2"/>
  <c r="BI92" i="3" s="1"/>
  <c r="AZ164" i="2"/>
  <c r="AX92" i="3" s="1"/>
  <c r="AP164" i="2"/>
  <c r="AE164" i="2"/>
  <c r="AC92" i="3" s="1"/>
  <c r="T164" i="2"/>
  <c r="R92" i="3" s="1"/>
  <c r="CF164" i="2"/>
  <c r="CD92" i="3" s="1"/>
  <c r="BT164" i="2"/>
  <c r="BR92" i="3" s="1"/>
  <c r="BJ164" i="2"/>
  <c r="BH92" i="3" s="1"/>
  <c r="AY164" i="2"/>
  <c r="AW92" i="3" s="1"/>
  <c r="AN164" i="2"/>
  <c r="AL92" i="3" s="1"/>
  <c r="AD164" i="2"/>
  <c r="AB92" i="3" s="1"/>
  <c r="S164" i="2"/>
  <c r="Q92" i="3" s="1"/>
  <c r="J164" i="2"/>
  <c r="H92" i="3" s="1"/>
  <c r="CD164" i="2"/>
  <c r="CB92" i="3" s="1"/>
  <c r="BS164" i="2"/>
  <c r="BQ92" i="3" s="1"/>
  <c r="BH164" i="2"/>
  <c r="BF92" i="3" s="1"/>
  <c r="AX164" i="2"/>
  <c r="AV92" i="3" s="1"/>
  <c r="AM164" i="2"/>
  <c r="AK92" i="3" s="1"/>
  <c r="AB164" i="2"/>
  <c r="Z92" i="3" s="1"/>
  <c r="R164" i="2"/>
  <c r="P92" i="3" s="1"/>
  <c r="CO64" i="3"/>
  <c r="CN64" i="3"/>
  <c r="AA120" i="2"/>
  <c r="Y68" i="3" s="1"/>
  <c r="AQ120" i="2"/>
  <c r="BG120" i="2"/>
  <c r="BE68" i="3" s="1"/>
  <c r="BW120" i="2"/>
  <c r="BU68" i="3" s="1"/>
  <c r="CM120" i="2"/>
  <c r="CK68" i="3" s="1"/>
  <c r="AB121" i="2"/>
  <c r="Z69" i="3" s="1"/>
  <c r="AR121" i="2"/>
  <c r="AP69" i="3" s="1"/>
  <c r="BH121" i="2"/>
  <c r="BF69" i="3" s="1"/>
  <c r="BX121" i="2"/>
  <c r="BV69" i="3" s="1"/>
  <c r="CN121" i="2"/>
  <c r="CL69" i="3" s="1"/>
  <c r="BO72" i="3"/>
  <c r="BN72" i="3"/>
  <c r="X107" i="2"/>
  <c r="V55" i="3" s="1"/>
  <c r="AF107" i="2"/>
  <c r="AD55" i="3" s="1"/>
  <c r="AN107" i="2"/>
  <c r="AL55" i="3" s="1"/>
  <c r="AV107" i="2"/>
  <c r="AT55" i="3" s="1"/>
  <c r="BD107" i="2"/>
  <c r="BB55" i="3" s="1"/>
  <c r="BL107" i="2"/>
  <c r="BJ55" i="3" s="1"/>
  <c r="BT107" i="2"/>
  <c r="BR55" i="3" s="1"/>
  <c r="CB107" i="2"/>
  <c r="BZ55" i="3" s="1"/>
  <c r="CJ107" i="2"/>
  <c r="CH55" i="3" s="1"/>
  <c r="V110" i="2"/>
  <c r="T58" i="3" s="1"/>
  <c r="AG110" i="2"/>
  <c r="AE58" i="3" s="1"/>
  <c r="AR110" i="2"/>
  <c r="AP58" i="3" s="1"/>
  <c r="BB110" i="2"/>
  <c r="AZ58" i="3" s="1"/>
  <c r="BM110" i="2"/>
  <c r="BK58" i="3" s="1"/>
  <c r="BX110" i="2"/>
  <c r="BV58" i="3" s="1"/>
  <c r="CH110" i="2"/>
  <c r="CF58" i="3" s="1"/>
  <c r="D62" i="3"/>
  <c r="G114" i="2" a="1"/>
  <c r="G114" i="2" s="1"/>
  <c r="AN64" i="3"/>
  <c r="AO64" i="3"/>
  <c r="X117" i="2"/>
  <c r="V65" i="3" s="1"/>
  <c r="AI117" i="2"/>
  <c r="AG65" i="3" s="1"/>
  <c r="AS117" i="2"/>
  <c r="AQ65" i="3" s="1"/>
  <c r="BD117" i="2"/>
  <c r="BB65" i="3" s="1"/>
  <c r="BP117" i="2"/>
  <c r="CC117" i="2"/>
  <c r="CA65" i="3" s="1"/>
  <c r="CO117" i="2"/>
  <c r="CM65" i="3" s="1"/>
  <c r="AB120" i="2"/>
  <c r="Z68" i="3" s="1"/>
  <c r="AR120" i="2"/>
  <c r="AP68" i="3" s="1"/>
  <c r="BH120" i="2"/>
  <c r="BF68" i="3" s="1"/>
  <c r="BX120" i="2"/>
  <c r="BV68" i="3" s="1"/>
  <c r="CN120" i="2"/>
  <c r="CL68" i="3" s="1"/>
  <c r="AC121" i="2"/>
  <c r="AA69" i="3" s="1"/>
  <c r="AS121" i="2"/>
  <c r="AQ69" i="3" s="1"/>
  <c r="BI121" i="2"/>
  <c r="BG69" i="3" s="1"/>
  <c r="BY121" i="2"/>
  <c r="BW69" i="3" s="1"/>
  <c r="CO121" i="2"/>
  <c r="CM69" i="3" s="1"/>
  <c r="L124" i="2"/>
  <c r="J72" i="3" s="1"/>
  <c r="X81" i="2"/>
  <c r="V49" i="3" s="1"/>
  <c r="AF81" i="2"/>
  <c r="AD49" i="3" s="1"/>
  <c r="AN81" i="2"/>
  <c r="AL49" i="3" s="1"/>
  <c r="AV81" i="2"/>
  <c r="AT49" i="3" s="1"/>
  <c r="BD81" i="2"/>
  <c r="BB49" i="3" s="1"/>
  <c r="BL81" i="2"/>
  <c r="BJ49" i="3" s="1"/>
  <c r="BT81" i="2"/>
  <c r="BR49" i="3" s="1"/>
  <c r="CB81" i="2"/>
  <c r="BZ49" i="3" s="1"/>
  <c r="CJ81" i="2"/>
  <c r="CH49" i="3" s="1"/>
  <c r="Y107" i="2"/>
  <c r="W55" i="3" s="1"/>
  <c r="AG107" i="2"/>
  <c r="AE55" i="3" s="1"/>
  <c r="AO107" i="2"/>
  <c r="AM55" i="3" s="1"/>
  <c r="AW107" i="2"/>
  <c r="AU55" i="3" s="1"/>
  <c r="BE107" i="2"/>
  <c r="BC55" i="3" s="1"/>
  <c r="BM107" i="2"/>
  <c r="BK55" i="3" s="1"/>
  <c r="BU107" i="2"/>
  <c r="BS55" i="3" s="1"/>
  <c r="CC107" i="2"/>
  <c r="CA55" i="3" s="1"/>
  <c r="CK107" i="2"/>
  <c r="CI55" i="3" s="1"/>
  <c r="X110" i="2"/>
  <c r="V58" i="3" s="1"/>
  <c r="AH110" i="2"/>
  <c r="AF58" i="3" s="1"/>
  <c r="AS110" i="2"/>
  <c r="AQ58" i="3" s="1"/>
  <c r="BD110" i="2"/>
  <c r="BB58" i="3" s="1"/>
  <c r="BN110" i="2"/>
  <c r="BL58" i="3" s="1"/>
  <c r="BY110" i="2"/>
  <c r="BW58" i="3" s="1"/>
  <c r="CJ110" i="2"/>
  <c r="CH58" i="3" s="1"/>
  <c r="L116" i="2"/>
  <c r="J64" i="3" s="1"/>
  <c r="CH116" i="2"/>
  <c r="CF64" i="3" s="1"/>
  <c r="Y117" i="2"/>
  <c r="W65" i="3" s="1"/>
  <c r="AJ117" i="2"/>
  <c r="AH65" i="3" s="1"/>
  <c r="AU117" i="2"/>
  <c r="AS65" i="3" s="1"/>
  <c r="BE117" i="2"/>
  <c r="BC65" i="3" s="1"/>
  <c r="BQ117" i="2"/>
  <c r="CE117" i="2"/>
  <c r="CC65" i="3" s="1"/>
  <c r="D66" i="3"/>
  <c r="H118" i="2"/>
  <c r="G118" i="2" a="1"/>
  <c r="G118" i="2" s="1"/>
  <c r="E67" i="3"/>
  <c r="M119" i="2"/>
  <c r="K67" i="3" s="1"/>
  <c r="L119" i="2"/>
  <c r="J67" i="3" s="1"/>
  <c r="P119" i="2"/>
  <c r="AE120" i="2"/>
  <c r="AC68" i="3" s="1"/>
  <c r="AU120" i="2"/>
  <c r="AS68" i="3" s="1"/>
  <c r="BK120" i="2"/>
  <c r="BI68" i="3" s="1"/>
  <c r="CA120" i="2"/>
  <c r="BY68" i="3" s="1"/>
  <c r="CQ120" i="2"/>
  <c r="AF121" i="2"/>
  <c r="AD69" i="3" s="1"/>
  <c r="AV121" i="2"/>
  <c r="AT69" i="3" s="1"/>
  <c r="BL121" i="2"/>
  <c r="BJ69" i="3" s="1"/>
  <c r="CB121" i="2"/>
  <c r="BZ69" i="3" s="1"/>
  <c r="D70" i="3"/>
  <c r="H122" i="2"/>
  <c r="G122" i="2" a="1"/>
  <c r="G122" i="2" s="1"/>
  <c r="AF124" i="2"/>
  <c r="AD72" i="3" s="1"/>
  <c r="AZ124" i="2"/>
  <c r="AX72" i="3" s="1"/>
  <c r="BW124" i="2"/>
  <c r="BU72" i="3" s="1"/>
  <c r="D73" i="3"/>
  <c r="G125" i="2" a="1"/>
  <c r="G125" i="2" s="1"/>
  <c r="O98" i="3"/>
  <c r="N98" i="3"/>
  <c r="N101" i="3"/>
  <c r="O101" i="3"/>
  <c r="Y81" i="2"/>
  <c r="W49" i="3" s="1"/>
  <c r="AG81" i="2"/>
  <c r="AE49" i="3" s="1"/>
  <c r="AO81" i="2"/>
  <c r="AM49" i="3" s="1"/>
  <c r="AW81" i="2"/>
  <c r="AU49" i="3" s="1"/>
  <c r="BE81" i="2"/>
  <c r="BC49" i="3" s="1"/>
  <c r="BM81" i="2"/>
  <c r="BK49" i="3" s="1"/>
  <c r="BU81" i="2"/>
  <c r="BS49" i="3" s="1"/>
  <c r="CC81" i="2"/>
  <c r="CA49" i="3" s="1"/>
  <c r="CK81" i="2"/>
  <c r="CI49" i="3" s="1"/>
  <c r="J107" i="2"/>
  <c r="H55" i="3" s="1"/>
  <c r="R107" i="2"/>
  <c r="P55" i="3" s="1"/>
  <c r="Z107" i="2"/>
  <c r="X55" i="3" s="1"/>
  <c r="AH107" i="2"/>
  <c r="AF55" i="3" s="1"/>
  <c r="AP107" i="2"/>
  <c r="AX107" i="2"/>
  <c r="AV55" i="3" s="1"/>
  <c r="BF107" i="2"/>
  <c r="BD55" i="3" s="1"/>
  <c r="BN107" i="2"/>
  <c r="BL55" i="3" s="1"/>
  <c r="BV107" i="2"/>
  <c r="BT55" i="3" s="1"/>
  <c r="CD107" i="2"/>
  <c r="CB55" i="3" s="1"/>
  <c r="CL107" i="2"/>
  <c r="CJ55" i="3" s="1"/>
  <c r="G108" i="2" a="1"/>
  <c r="G108" i="2" s="1"/>
  <c r="D58" i="3"/>
  <c r="G110" i="2" a="1"/>
  <c r="G110" i="2" s="1"/>
  <c r="Y110" i="2"/>
  <c r="W58" i="3" s="1"/>
  <c r="AJ110" i="2"/>
  <c r="AH58" i="3" s="1"/>
  <c r="AT110" i="2"/>
  <c r="AR58" i="3" s="1"/>
  <c r="BE110" i="2"/>
  <c r="BC58" i="3" s="1"/>
  <c r="BP110" i="2"/>
  <c r="BZ110" i="2"/>
  <c r="BX58" i="3" s="1"/>
  <c r="CK110" i="2"/>
  <c r="CI58" i="3" s="1"/>
  <c r="H114" i="2"/>
  <c r="W116" i="2"/>
  <c r="U64" i="3" s="1"/>
  <c r="AH116" i="2"/>
  <c r="AF64" i="3" s="1"/>
  <c r="AR116" i="2"/>
  <c r="AP64" i="3" s="1"/>
  <c r="BC116" i="2"/>
  <c r="BA64" i="3" s="1"/>
  <c r="BN116" i="2"/>
  <c r="BL64" i="3" s="1"/>
  <c r="BX116" i="2"/>
  <c r="BV64" i="3" s="1"/>
  <c r="CI116" i="2"/>
  <c r="CG64" i="3" s="1"/>
  <c r="G117" i="2" a="1"/>
  <c r="G117" i="2" s="1"/>
  <c r="AA117" i="2"/>
  <c r="Y65" i="3" s="1"/>
  <c r="AK117" i="2"/>
  <c r="AI65" i="3" s="1"/>
  <c r="AV117" i="2"/>
  <c r="AT65" i="3" s="1"/>
  <c r="BG117" i="2"/>
  <c r="BE65" i="3" s="1"/>
  <c r="BT117" i="2"/>
  <c r="BR65" i="3" s="1"/>
  <c r="CF117" i="2"/>
  <c r="CD65" i="3" s="1"/>
  <c r="E68" i="3"/>
  <c r="M120" i="2"/>
  <c r="K68" i="3" s="1"/>
  <c r="AF120" i="2"/>
  <c r="AD68" i="3" s="1"/>
  <c r="AV120" i="2"/>
  <c r="AT68" i="3" s="1"/>
  <c r="BL120" i="2"/>
  <c r="BJ68" i="3" s="1"/>
  <c r="CB120" i="2"/>
  <c r="BZ68" i="3" s="1"/>
  <c r="D69" i="3"/>
  <c r="G121" i="2" a="1"/>
  <c r="G121" i="2" s="1"/>
  <c r="AG121" i="2"/>
  <c r="AE69" i="3" s="1"/>
  <c r="AW121" i="2"/>
  <c r="AU69" i="3" s="1"/>
  <c r="BM121" i="2"/>
  <c r="BK69" i="3" s="1"/>
  <c r="CC121" i="2"/>
  <c r="CA69" i="3" s="1"/>
  <c r="P124" i="2"/>
  <c r="AI124" i="2"/>
  <c r="AG72" i="3" s="1"/>
  <c r="BD124" i="2"/>
  <c r="BB72" i="3" s="1"/>
  <c r="BX124" i="2"/>
  <c r="BV72" i="3" s="1"/>
  <c r="H125" i="2"/>
  <c r="F84" i="3"/>
  <c r="CO156" i="2"/>
  <c r="CM84" i="3" s="1"/>
  <c r="CG156" i="2"/>
  <c r="CE84" i="3" s="1"/>
  <c r="BY156" i="2"/>
  <c r="BW84" i="3" s="1"/>
  <c r="BQ156" i="2"/>
  <c r="BI156" i="2"/>
  <c r="BG84" i="3" s="1"/>
  <c r="BA156" i="2"/>
  <c r="AY84" i="3" s="1"/>
  <c r="AS156" i="2"/>
  <c r="AQ84" i="3" s="1"/>
  <c r="AK156" i="2"/>
  <c r="AI84" i="3" s="1"/>
  <c r="AC156" i="2"/>
  <c r="AA84" i="3" s="1"/>
  <c r="U156" i="2"/>
  <c r="S84" i="3" s="1"/>
  <c r="CK156" i="2"/>
  <c r="CI84" i="3" s="1"/>
  <c r="CC156" i="2"/>
  <c r="CA84" i="3" s="1"/>
  <c r="BU156" i="2"/>
  <c r="BS84" i="3" s="1"/>
  <c r="BM156" i="2"/>
  <c r="BK84" i="3" s="1"/>
  <c r="BE156" i="2"/>
  <c r="BC84" i="3" s="1"/>
  <c r="AW156" i="2"/>
  <c r="AU84" i="3" s="1"/>
  <c r="AO156" i="2"/>
  <c r="AM84" i="3" s="1"/>
  <c r="AG156" i="2"/>
  <c r="AE84" i="3" s="1"/>
  <c r="Y156" i="2"/>
  <c r="W84" i="3" s="1"/>
  <c r="CM156" i="2"/>
  <c r="CK84" i="3" s="1"/>
  <c r="CB156" i="2"/>
  <c r="BZ84" i="3" s="1"/>
  <c r="BR156" i="2"/>
  <c r="BP84" i="3" s="1"/>
  <c r="BG156" i="2"/>
  <c r="BE84" i="3" s="1"/>
  <c r="AV156" i="2"/>
  <c r="AT84" i="3" s="1"/>
  <c r="AL156" i="2"/>
  <c r="AJ84" i="3" s="1"/>
  <c r="AA156" i="2"/>
  <c r="Y84" i="3" s="1"/>
  <c r="CL156" i="2"/>
  <c r="CJ84" i="3" s="1"/>
  <c r="CA156" i="2"/>
  <c r="BY84" i="3" s="1"/>
  <c r="BP156" i="2"/>
  <c r="BF156" i="2"/>
  <c r="BD84" i="3" s="1"/>
  <c r="AU156" i="2"/>
  <c r="AS84" i="3" s="1"/>
  <c r="AJ156" i="2"/>
  <c r="AH84" i="3" s="1"/>
  <c r="Z156" i="2"/>
  <c r="X84" i="3" s="1"/>
  <c r="CJ156" i="2"/>
  <c r="CH84" i="3" s="1"/>
  <c r="BZ156" i="2"/>
  <c r="BX84" i="3" s="1"/>
  <c r="BO156" i="2"/>
  <c r="BM84" i="3" s="1"/>
  <c r="BD156" i="2"/>
  <c r="BB84" i="3" s="1"/>
  <c r="AT156" i="2"/>
  <c r="AR84" i="3" s="1"/>
  <c r="AI156" i="2"/>
  <c r="AG84" i="3" s="1"/>
  <c r="X156" i="2"/>
  <c r="V84" i="3" s="1"/>
  <c r="CI156" i="2"/>
  <c r="CG84" i="3" s="1"/>
  <c r="BX156" i="2"/>
  <c r="BV84" i="3" s="1"/>
  <c r="BN156" i="2"/>
  <c r="BL84" i="3" s="1"/>
  <c r="BC156" i="2"/>
  <c r="BA84" i="3" s="1"/>
  <c r="AR156" i="2"/>
  <c r="AP84" i="3" s="1"/>
  <c r="AH156" i="2"/>
  <c r="AF84" i="3" s="1"/>
  <c r="W156" i="2"/>
  <c r="U84" i="3" s="1"/>
  <c r="CH156" i="2"/>
  <c r="CF84" i="3" s="1"/>
  <c r="BW156" i="2"/>
  <c r="BU84" i="3" s="1"/>
  <c r="BL156" i="2"/>
  <c r="BJ84" i="3" s="1"/>
  <c r="BB156" i="2"/>
  <c r="AZ84" i="3" s="1"/>
  <c r="AQ156" i="2"/>
  <c r="AF156" i="2"/>
  <c r="AD84" i="3" s="1"/>
  <c r="V156" i="2"/>
  <c r="T84" i="3" s="1"/>
  <c r="CQ156" i="2"/>
  <c r="CF156" i="2"/>
  <c r="CD84" i="3" s="1"/>
  <c r="BV156" i="2"/>
  <c r="BT84" i="3" s="1"/>
  <c r="BK156" i="2"/>
  <c r="BI84" i="3" s="1"/>
  <c r="AZ156" i="2"/>
  <c r="AX84" i="3" s="1"/>
  <c r="AP156" i="2"/>
  <c r="AE156" i="2"/>
  <c r="AC84" i="3" s="1"/>
  <c r="T156" i="2"/>
  <c r="R84" i="3" s="1"/>
  <c r="CP156" i="2"/>
  <c r="CE156" i="2"/>
  <c r="CC84" i="3" s="1"/>
  <c r="BT156" i="2"/>
  <c r="BR84" i="3" s="1"/>
  <c r="BJ156" i="2"/>
  <c r="BH84" i="3" s="1"/>
  <c r="AY156" i="2"/>
  <c r="AW84" i="3" s="1"/>
  <c r="AN156" i="2"/>
  <c r="AL84" i="3" s="1"/>
  <c r="AD156" i="2"/>
  <c r="AB84" i="3" s="1"/>
  <c r="S156" i="2"/>
  <c r="Q84" i="3" s="1"/>
  <c r="J156" i="2"/>
  <c r="H84" i="3" s="1"/>
  <c r="CN156" i="2"/>
  <c r="CL84" i="3" s="1"/>
  <c r="CD156" i="2"/>
  <c r="CB84" i="3" s="1"/>
  <c r="BS156" i="2"/>
  <c r="BQ84" i="3" s="1"/>
  <c r="BH156" i="2"/>
  <c r="BF84" i="3" s="1"/>
  <c r="AX156" i="2"/>
  <c r="AV84" i="3" s="1"/>
  <c r="AM156" i="2"/>
  <c r="AK84" i="3" s="1"/>
  <c r="AB156" i="2"/>
  <c r="Z84" i="3" s="1"/>
  <c r="R156" i="2"/>
  <c r="P84" i="3" s="1"/>
  <c r="O95" i="3"/>
  <c r="N95" i="3"/>
  <c r="H119" i="2"/>
  <c r="W160" i="2"/>
  <c r="U88" i="3" s="1"/>
  <c r="AH160" i="2"/>
  <c r="AF88" i="3" s="1"/>
  <c r="AR160" i="2"/>
  <c r="AP88" i="3" s="1"/>
  <c r="BC160" i="2"/>
  <c r="BA88" i="3" s="1"/>
  <c r="BN160" i="2"/>
  <c r="BL88" i="3" s="1"/>
  <c r="BX160" i="2"/>
  <c r="BV88" i="3" s="1"/>
  <c r="CI160" i="2"/>
  <c r="CG88" i="3" s="1"/>
  <c r="G161" i="2" a="1"/>
  <c r="G161" i="2" s="1"/>
  <c r="P162" i="2"/>
  <c r="H163" i="2" a="1"/>
  <c r="H163" i="2" s="1"/>
  <c r="G165" i="2" a="1"/>
  <c r="G165" i="2" s="1"/>
  <c r="AD166" i="2"/>
  <c r="AB94" i="3" s="1"/>
  <c r="AT166" i="2"/>
  <c r="AR94" i="3" s="1"/>
  <c r="BJ166" i="2"/>
  <c r="BH94" i="3" s="1"/>
  <c r="BZ166" i="2"/>
  <c r="BX94" i="3" s="1"/>
  <c r="CP166" i="2"/>
  <c r="AB167" i="2"/>
  <c r="Z95" i="3" s="1"/>
  <c r="AR167" i="2"/>
  <c r="AP95" i="3" s="1"/>
  <c r="BH167" i="2"/>
  <c r="BF95" i="3" s="1"/>
  <c r="BX167" i="2"/>
  <c r="BV95" i="3" s="1"/>
  <c r="CN167" i="2"/>
  <c r="CL95" i="3" s="1"/>
  <c r="G189" i="2" a="1"/>
  <c r="G189" i="2" s="1"/>
  <c r="AD190" i="2"/>
  <c r="AB98" i="3" s="1"/>
  <c r="AT190" i="2"/>
  <c r="AR98" i="3" s="1"/>
  <c r="BJ190" i="2"/>
  <c r="BH98" i="3" s="1"/>
  <c r="BZ190" i="2"/>
  <c r="BX98" i="3" s="1"/>
  <c r="CP190" i="2"/>
  <c r="AH191" i="2"/>
  <c r="AF99" i="3" s="1"/>
  <c r="BD191" i="2"/>
  <c r="BB99" i="3" s="1"/>
  <c r="BZ191" i="2"/>
  <c r="BX99" i="3" s="1"/>
  <c r="X193" i="2"/>
  <c r="V101" i="3" s="1"/>
  <c r="AT193" i="2"/>
  <c r="AR101" i="3" s="1"/>
  <c r="BN193" i="2"/>
  <c r="BL101" i="3" s="1"/>
  <c r="CJ193" i="2"/>
  <c r="CH101" i="3" s="1"/>
  <c r="AT195" i="2"/>
  <c r="AR103" i="3" s="1"/>
  <c r="O105" i="3"/>
  <c r="N105" i="3"/>
  <c r="G148" i="2" a="1"/>
  <c r="G148" i="2" s="1"/>
  <c r="G150" i="2" a="1"/>
  <c r="G150" i="2" s="1"/>
  <c r="G152" i="2" a="1"/>
  <c r="G152" i="2" s="1"/>
  <c r="G154" i="2" a="1"/>
  <c r="G154" i="2" s="1"/>
  <c r="E88" i="3"/>
  <c r="M160" i="2"/>
  <c r="K88" i="3" s="1"/>
  <c r="O160" i="2"/>
  <c r="M88" i="3" s="1"/>
  <c r="X160" i="2"/>
  <c r="V88" i="3" s="1"/>
  <c r="AI160" i="2"/>
  <c r="AG88" i="3" s="1"/>
  <c r="AT160" i="2"/>
  <c r="AR88" i="3" s="1"/>
  <c r="BD160" i="2"/>
  <c r="BB88" i="3" s="1"/>
  <c r="BO160" i="2"/>
  <c r="BM88" i="3" s="1"/>
  <c r="BZ160" i="2"/>
  <c r="BX88" i="3" s="1"/>
  <c r="H162" i="2" a="1"/>
  <c r="H162" i="2" s="1"/>
  <c r="H165" i="2" a="1"/>
  <c r="H165" i="2" s="1"/>
  <c r="E94" i="3"/>
  <c r="O166" i="2"/>
  <c r="M94" i="3" s="1"/>
  <c r="M166" i="2"/>
  <c r="K94" i="3" s="1"/>
  <c r="AF166" i="2"/>
  <c r="AD94" i="3" s="1"/>
  <c r="AV166" i="2"/>
  <c r="AT94" i="3" s="1"/>
  <c r="BL166" i="2"/>
  <c r="BJ94" i="3" s="1"/>
  <c r="AD167" i="2"/>
  <c r="AB95" i="3" s="1"/>
  <c r="AT167" i="2"/>
  <c r="AR95" i="3" s="1"/>
  <c r="BJ167" i="2"/>
  <c r="BH95" i="3" s="1"/>
  <c r="BZ167" i="2"/>
  <c r="BX95" i="3" s="1"/>
  <c r="H189" i="2" a="1"/>
  <c r="H189" i="2" s="1"/>
  <c r="E98" i="3"/>
  <c r="O190" i="2"/>
  <c r="M98" i="3" s="1"/>
  <c r="M190" i="2"/>
  <c r="K98" i="3" s="1"/>
  <c r="AF190" i="2"/>
  <c r="AD98" i="3" s="1"/>
  <c r="AV190" i="2"/>
  <c r="AT98" i="3" s="1"/>
  <c r="BL190" i="2"/>
  <c r="BJ98" i="3" s="1"/>
  <c r="AL191" i="2"/>
  <c r="AJ99" i="3" s="1"/>
  <c r="BF191" i="2"/>
  <c r="BD99" i="3" s="1"/>
  <c r="CB191" i="2"/>
  <c r="BZ99" i="3" s="1"/>
  <c r="J193" i="2"/>
  <c r="H101" i="3" s="1"/>
  <c r="Z193" i="2"/>
  <c r="X101" i="3" s="1"/>
  <c r="AV193" i="2"/>
  <c r="AT101" i="3" s="1"/>
  <c r="BR193" i="2"/>
  <c r="BP101" i="3" s="1"/>
  <c r="CL193" i="2"/>
  <c r="CJ101" i="3" s="1"/>
  <c r="E109" i="3"/>
  <c r="O201" i="2"/>
  <c r="M109" i="3" s="1"/>
  <c r="P201" i="2"/>
  <c r="M201" i="2"/>
  <c r="K109" i="3" s="1"/>
  <c r="L201" i="2"/>
  <c r="J109" i="3" s="1"/>
  <c r="E87" i="3"/>
  <c r="M159" i="2"/>
  <c r="K87" i="3" s="1"/>
  <c r="O159" i="2"/>
  <c r="M87" i="3" s="1"/>
  <c r="F88" i="3"/>
  <c r="CO160" i="2"/>
  <c r="CM88" i="3" s="1"/>
  <c r="CG160" i="2"/>
  <c r="CE88" i="3" s="1"/>
  <c r="BY160" i="2"/>
  <c r="BW88" i="3" s="1"/>
  <c r="BQ160" i="2"/>
  <c r="BI160" i="2"/>
  <c r="BG88" i="3" s="1"/>
  <c r="BA160" i="2"/>
  <c r="AY88" i="3" s="1"/>
  <c r="AS160" i="2"/>
  <c r="AQ88" i="3" s="1"/>
  <c r="AK160" i="2"/>
  <c r="AI88" i="3" s="1"/>
  <c r="AC160" i="2"/>
  <c r="AA88" i="3" s="1"/>
  <c r="U160" i="2"/>
  <c r="S88" i="3" s="1"/>
  <c r="CK160" i="2"/>
  <c r="CI88" i="3" s="1"/>
  <c r="CC160" i="2"/>
  <c r="CA88" i="3" s="1"/>
  <c r="BU160" i="2"/>
  <c r="BS88" i="3" s="1"/>
  <c r="BM160" i="2"/>
  <c r="BK88" i="3" s="1"/>
  <c r="BE160" i="2"/>
  <c r="BC88" i="3" s="1"/>
  <c r="AW160" i="2"/>
  <c r="AU88" i="3" s="1"/>
  <c r="AO160" i="2"/>
  <c r="AM88" i="3" s="1"/>
  <c r="AG160" i="2"/>
  <c r="AE88" i="3" s="1"/>
  <c r="Y160" i="2"/>
  <c r="W88" i="3" s="1"/>
  <c r="O88" i="3"/>
  <c r="N88" i="3"/>
  <c r="Z160" i="2"/>
  <c r="X88" i="3" s="1"/>
  <c r="AJ160" i="2"/>
  <c r="AH88" i="3" s="1"/>
  <c r="AU160" i="2"/>
  <c r="AS88" i="3" s="1"/>
  <c r="BF160" i="2"/>
  <c r="BD88" i="3" s="1"/>
  <c r="BP160" i="2"/>
  <c r="CA160" i="2"/>
  <c r="BY88" i="3" s="1"/>
  <c r="CL160" i="2"/>
  <c r="CJ88" i="3" s="1"/>
  <c r="F94" i="3"/>
  <c r="CQ166" i="2"/>
  <c r="CI166" i="2"/>
  <c r="CG94" i="3" s="1"/>
  <c r="CA166" i="2"/>
  <c r="BY94" i="3" s="1"/>
  <c r="BS166" i="2"/>
  <c r="BQ94" i="3" s="1"/>
  <c r="BK166" i="2"/>
  <c r="BI94" i="3" s="1"/>
  <c r="BC166" i="2"/>
  <c r="BA94" i="3" s="1"/>
  <c r="AU166" i="2"/>
  <c r="AS94" i="3" s="1"/>
  <c r="AM166" i="2"/>
  <c r="AK94" i="3" s="1"/>
  <c r="AE166" i="2"/>
  <c r="AC94" i="3" s="1"/>
  <c r="W166" i="2"/>
  <c r="U94" i="3" s="1"/>
  <c r="CO166" i="2"/>
  <c r="CM94" i="3" s="1"/>
  <c r="CG166" i="2"/>
  <c r="CE94" i="3" s="1"/>
  <c r="BY166" i="2"/>
  <c r="BW94" i="3" s="1"/>
  <c r="BQ166" i="2"/>
  <c r="BI166" i="2"/>
  <c r="BG94" i="3" s="1"/>
  <c r="BA166" i="2"/>
  <c r="AY94" i="3" s="1"/>
  <c r="AS166" i="2"/>
  <c r="AQ94" i="3" s="1"/>
  <c r="AK166" i="2"/>
  <c r="AI94" i="3" s="1"/>
  <c r="AC166" i="2"/>
  <c r="AA94" i="3" s="1"/>
  <c r="U166" i="2"/>
  <c r="S94" i="3" s="1"/>
  <c r="CM166" i="2"/>
  <c r="CK94" i="3" s="1"/>
  <c r="CE166" i="2"/>
  <c r="CC94" i="3" s="1"/>
  <c r="BW166" i="2"/>
  <c r="BU94" i="3" s="1"/>
  <c r="BO166" i="2"/>
  <c r="BM94" i="3" s="1"/>
  <c r="BG166" i="2"/>
  <c r="BE94" i="3" s="1"/>
  <c r="AY166" i="2"/>
  <c r="AW94" i="3" s="1"/>
  <c r="AQ166" i="2"/>
  <c r="AI166" i="2"/>
  <c r="AG94" i="3" s="1"/>
  <c r="AA166" i="2"/>
  <c r="Y94" i="3" s="1"/>
  <c r="S166" i="2"/>
  <c r="Q94" i="3" s="1"/>
  <c r="CK166" i="2"/>
  <c r="CI94" i="3" s="1"/>
  <c r="CC166" i="2"/>
  <c r="CA94" i="3" s="1"/>
  <c r="BU166" i="2"/>
  <c r="BS94" i="3" s="1"/>
  <c r="BM166" i="2"/>
  <c r="BK94" i="3" s="1"/>
  <c r="BE166" i="2"/>
  <c r="BC94" i="3" s="1"/>
  <c r="AW166" i="2"/>
  <c r="AU94" i="3" s="1"/>
  <c r="AO166" i="2"/>
  <c r="AM94" i="3" s="1"/>
  <c r="AG166" i="2"/>
  <c r="AE94" i="3" s="1"/>
  <c r="Y166" i="2"/>
  <c r="W94" i="3" s="1"/>
  <c r="R166" i="2"/>
  <c r="P94" i="3" s="1"/>
  <c r="AH166" i="2"/>
  <c r="AF94" i="3" s="1"/>
  <c r="AX166" i="2"/>
  <c r="AV94" i="3" s="1"/>
  <c r="BN166" i="2"/>
  <c r="BL94" i="3" s="1"/>
  <c r="CD166" i="2"/>
  <c r="CB94" i="3" s="1"/>
  <c r="E95" i="3"/>
  <c r="O167" i="2"/>
  <c r="M95" i="3" s="1"/>
  <c r="M167" i="2"/>
  <c r="K95" i="3" s="1"/>
  <c r="F98" i="3"/>
  <c r="CK190" i="2"/>
  <c r="CI98" i="3" s="1"/>
  <c r="CC190" i="2"/>
  <c r="CA98" i="3" s="1"/>
  <c r="BU190" i="2"/>
  <c r="BS98" i="3" s="1"/>
  <c r="BM190" i="2"/>
  <c r="BK98" i="3" s="1"/>
  <c r="BE190" i="2"/>
  <c r="BC98" i="3" s="1"/>
  <c r="AW190" i="2"/>
  <c r="AU98" i="3" s="1"/>
  <c r="AO190" i="2"/>
  <c r="AM98" i="3" s="1"/>
  <c r="AG190" i="2"/>
  <c r="AE98" i="3" s="1"/>
  <c r="Y190" i="2"/>
  <c r="W98" i="3" s="1"/>
  <c r="CQ190" i="2"/>
  <c r="CI190" i="2"/>
  <c r="CG98" i="3" s="1"/>
  <c r="CA190" i="2"/>
  <c r="BY98" i="3" s="1"/>
  <c r="BS190" i="2"/>
  <c r="BQ98" i="3" s="1"/>
  <c r="BK190" i="2"/>
  <c r="BI98" i="3" s="1"/>
  <c r="BC190" i="2"/>
  <c r="BA98" i="3" s="1"/>
  <c r="AU190" i="2"/>
  <c r="AS98" i="3" s="1"/>
  <c r="AM190" i="2"/>
  <c r="AK98" i="3" s="1"/>
  <c r="AE190" i="2"/>
  <c r="AC98" i="3" s="1"/>
  <c r="W190" i="2"/>
  <c r="U98" i="3" s="1"/>
  <c r="CO190" i="2"/>
  <c r="CM98" i="3" s="1"/>
  <c r="CG190" i="2"/>
  <c r="CE98" i="3" s="1"/>
  <c r="BY190" i="2"/>
  <c r="BW98" i="3" s="1"/>
  <c r="BQ190" i="2"/>
  <c r="BI190" i="2"/>
  <c r="BG98" i="3" s="1"/>
  <c r="BA190" i="2"/>
  <c r="AY98" i="3" s="1"/>
  <c r="AS190" i="2"/>
  <c r="AQ98" i="3" s="1"/>
  <c r="AK190" i="2"/>
  <c r="AI98" i="3" s="1"/>
  <c r="AC190" i="2"/>
  <c r="AA98" i="3" s="1"/>
  <c r="U190" i="2"/>
  <c r="S98" i="3" s="1"/>
  <c r="CM190" i="2"/>
  <c r="CK98" i="3" s="1"/>
  <c r="CE190" i="2"/>
  <c r="CC98" i="3" s="1"/>
  <c r="BW190" i="2"/>
  <c r="BU98" i="3" s="1"/>
  <c r="BO190" i="2"/>
  <c r="BM98" i="3" s="1"/>
  <c r="BG190" i="2"/>
  <c r="BE98" i="3" s="1"/>
  <c r="AY190" i="2"/>
  <c r="AW98" i="3" s="1"/>
  <c r="AQ190" i="2"/>
  <c r="AI190" i="2"/>
  <c r="AG98" i="3" s="1"/>
  <c r="AA190" i="2"/>
  <c r="Y98" i="3" s="1"/>
  <c r="S190" i="2"/>
  <c r="Q98" i="3" s="1"/>
  <c r="R190" i="2"/>
  <c r="P98" i="3" s="1"/>
  <c r="AH190" i="2"/>
  <c r="AF98" i="3" s="1"/>
  <c r="AX190" i="2"/>
  <c r="AV98" i="3" s="1"/>
  <c r="BN190" i="2"/>
  <c r="BL98" i="3" s="1"/>
  <c r="CD190" i="2"/>
  <c r="CB98" i="3" s="1"/>
  <c r="E99" i="3"/>
  <c r="M191" i="2"/>
  <c r="K99" i="3" s="1"/>
  <c r="L191" i="2"/>
  <c r="J99" i="3" s="1"/>
  <c r="O191" i="2"/>
  <c r="M99" i="3" s="1"/>
  <c r="R191" i="2"/>
  <c r="P99" i="3" s="1"/>
  <c r="AN191" i="2"/>
  <c r="AL99" i="3" s="1"/>
  <c r="BJ191" i="2"/>
  <c r="BH99" i="3" s="1"/>
  <c r="AD193" i="2"/>
  <c r="AB101" i="3" s="1"/>
  <c r="AX193" i="2"/>
  <c r="AV101" i="3" s="1"/>
  <c r="BT193" i="2"/>
  <c r="BR101" i="3" s="1"/>
  <c r="CP193" i="2"/>
  <c r="E103" i="3"/>
  <c r="M195" i="2"/>
  <c r="K103" i="3" s="1"/>
  <c r="L195" i="2"/>
  <c r="J103" i="3" s="1"/>
  <c r="P195" i="2"/>
  <c r="O195" i="2"/>
  <c r="M103" i="3" s="1"/>
  <c r="E115" i="3"/>
  <c r="O207" i="2"/>
  <c r="M115" i="3" s="1"/>
  <c r="P207" i="2"/>
  <c r="M207" i="2"/>
  <c r="K115" i="3" s="1"/>
  <c r="L207" i="2"/>
  <c r="J115" i="3" s="1"/>
  <c r="H148" i="2" a="1"/>
  <c r="H148" i="2" s="1"/>
  <c r="H150" i="2" a="1"/>
  <c r="H150" i="2" s="1"/>
  <c r="H152" i="2" a="1"/>
  <c r="H152" i="2" s="1"/>
  <c r="H154" i="2" a="1"/>
  <c r="H154" i="2" s="1"/>
  <c r="G158" i="2" a="1"/>
  <c r="G158" i="2" s="1"/>
  <c r="P159" i="2"/>
  <c r="AA160" i="2"/>
  <c r="Y88" i="3" s="1"/>
  <c r="AL160" i="2"/>
  <c r="AJ88" i="3" s="1"/>
  <c r="AV160" i="2"/>
  <c r="AT88" i="3" s="1"/>
  <c r="BG160" i="2"/>
  <c r="BE88" i="3" s="1"/>
  <c r="BR160" i="2"/>
  <c r="BP88" i="3" s="1"/>
  <c r="CB160" i="2"/>
  <c r="BZ88" i="3" s="1"/>
  <c r="CM160" i="2"/>
  <c r="CK88" i="3" s="1"/>
  <c r="T166" i="2"/>
  <c r="R94" i="3" s="1"/>
  <c r="AJ166" i="2"/>
  <c r="AH94" i="3" s="1"/>
  <c r="AZ166" i="2"/>
  <c r="AX94" i="3" s="1"/>
  <c r="BP166" i="2"/>
  <c r="CF166" i="2"/>
  <c r="CD94" i="3" s="1"/>
  <c r="F95" i="3"/>
  <c r="CM167" i="2"/>
  <c r="CK95" i="3" s="1"/>
  <c r="CE167" i="2"/>
  <c r="CC95" i="3" s="1"/>
  <c r="BW167" i="2"/>
  <c r="BU95" i="3" s="1"/>
  <c r="BO167" i="2"/>
  <c r="BM95" i="3" s="1"/>
  <c r="BG167" i="2"/>
  <c r="BE95" i="3" s="1"/>
  <c r="AY167" i="2"/>
  <c r="AW95" i="3" s="1"/>
  <c r="AQ167" i="2"/>
  <c r="AI167" i="2"/>
  <c r="AG95" i="3" s="1"/>
  <c r="AA167" i="2"/>
  <c r="Y95" i="3" s="1"/>
  <c r="S167" i="2"/>
  <c r="Q95" i="3" s="1"/>
  <c r="CK167" i="2"/>
  <c r="CI95" i="3" s="1"/>
  <c r="CC167" i="2"/>
  <c r="CA95" i="3" s="1"/>
  <c r="BU167" i="2"/>
  <c r="BS95" i="3" s="1"/>
  <c r="BM167" i="2"/>
  <c r="BK95" i="3" s="1"/>
  <c r="BE167" i="2"/>
  <c r="BC95" i="3" s="1"/>
  <c r="AW167" i="2"/>
  <c r="AU95" i="3" s="1"/>
  <c r="AO167" i="2"/>
  <c r="AM95" i="3" s="1"/>
  <c r="AG167" i="2"/>
  <c r="AE95" i="3" s="1"/>
  <c r="Y167" i="2"/>
  <c r="W95" i="3" s="1"/>
  <c r="CQ167" i="2"/>
  <c r="CI167" i="2"/>
  <c r="CG95" i="3" s="1"/>
  <c r="CA167" i="2"/>
  <c r="BY95" i="3" s="1"/>
  <c r="BS167" i="2"/>
  <c r="BQ95" i="3" s="1"/>
  <c r="BK167" i="2"/>
  <c r="BI95" i="3" s="1"/>
  <c r="BC167" i="2"/>
  <c r="BA95" i="3" s="1"/>
  <c r="AU167" i="2"/>
  <c r="AS95" i="3" s="1"/>
  <c r="AM167" i="2"/>
  <c r="AK95" i="3" s="1"/>
  <c r="AE167" i="2"/>
  <c r="AC95" i="3" s="1"/>
  <c r="W167" i="2"/>
  <c r="U95" i="3" s="1"/>
  <c r="CO167" i="2"/>
  <c r="CM95" i="3" s="1"/>
  <c r="CG167" i="2"/>
  <c r="CE95" i="3" s="1"/>
  <c r="BY167" i="2"/>
  <c r="BW95" i="3" s="1"/>
  <c r="BQ167" i="2"/>
  <c r="BI167" i="2"/>
  <c r="BG95" i="3" s="1"/>
  <c r="BA167" i="2"/>
  <c r="AY95" i="3" s="1"/>
  <c r="AS167" i="2"/>
  <c r="AQ95" i="3" s="1"/>
  <c r="AK167" i="2"/>
  <c r="AI95" i="3" s="1"/>
  <c r="AC167" i="2"/>
  <c r="AA95" i="3" s="1"/>
  <c r="U167" i="2"/>
  <c r="S95" i="3" s="1"/>
  <c r="R167" i="2"/>
  <c r="P95" i="3" s="1"/>
  <c r="AH167" i="2"/>
  <c r="AF95" i="3" s="1"/>
  <c r="AX167" i="2"/>
  <c r="AV95" i="3" s="1"/>
  <c r="BN167" i="2"/>
  <c r="BL95" i="3" s="1"/>
  <c r="CD167" i="2"/>
  <c r="CB95" i="3" s="1"/>
  <c r="G168" i="2" a="1"/>
  <c r="G168" i="2" s="1"/>
  <c r="F99" i="3"/>
  <c r="CO191" i="2"/>
  <c r="CM99" i="3" s="1"/>
  <c r="CG191" i="2"/>
  <c r="CE99" i="3" s="1"/>
  <c r="BY191" i="2"/>
  <c r="BW99" i="3" s="1"/>
  <c r="BQ191" i="2"/>
  <c r="BI191" i="2"/>
  <c r="BG99" i="3" s="1"/>
  <c r="BA191" i="2"/>
  <c r="AY99" i="3" s="1"/>
  <c r="AS191" i="2"/>
  <c r="AQ99" i="3" s="1"/>
  <c r="AK191" i="2"/>
  <c r="AI99" i="3" s="1"/>
  <c r="AC191" i="2"/>
  <c r="AA99" i="3" s="1"/>
  <c r="U191" i="2"/>
  <c r="S99" i="3" s="1"/>
  <c r="CN191" i="2"/>
  <c r="CL99" i="3" s="1"/>
  <c r="CF191" i="2"/>
  <c r="CD99" i="3" s="1"/>
  <c r="BX191" i="2"/>
  <c r="BV99" i="3" s="1"/>
  <c r="BP191" i="2"/>
  <c r="BH191" i="2"/>
  <c r="BF99" i="3" s="1"/>
  <c r="AZ191" i="2"/>
  <c r="AX99" i="3" s="1"/>
  <c r="AR191" i="2"/>
  <c r="AP99" i="3" s="1"/>
  <c r="AJ191" i="2"/>
  <c r="AH99" i="3" s="1"/>
  <c r="AB191" i="2"/>
  <c r="Z99" i="3" s="1"/>
  <c r="T191" i="2"/>
  <c r="R99" i="3" s="1"/>
  <c r="CM191" i="2"/>
  <c r="CK99" i="3" s="1"/>
  <c r="CE191" i="2"/>
  <c r="CC99" i="3" s="1"/>
  <c r="BW191" i="2"/>
  <c r="BU99" i="3" s="1"/>
  <c r="BO191" i="2"/>
  <c r="BM99" i="3" s="1"/>
  <c r="BG191" i="2"/>
  <c r="BE99" i="3" s="1"/>
  <c r="AY191" i="2"/>
  <c r="AW99" i="3" s="1"/>
  <c r="AQ191" i="2"/>
  <c r="AI191" i="2"/>
  <c r="AG99" i="3" s="1"/>
  <c r="AA191" i="2"/>
  <c r="Y99" i="3" s="1"/>
  <c r="S191" i="2"/>
  <c r="Q99" i="3" s="1"/>
  <c r="CK191" i="2"/>
  <c r="CI99" i="3" s="1"/>
  <c r="CC191" i="2"/>
  <c r="CA99" i="3" s="1"/>
  <c r="BU191" i="2"/>
  <c r="BS99" i="3" s="1"/>
  <c r="BM191" i="2"/>
  <c r="BK99" i="3" s="1"/>
  <c r="BE191" i="2"/>
  <c r="BC99" i="3" s="1"/>
  <c r="AW191" i="2"/>
  <c r="AU99" i="3" s="1"/>
  <c r="AO191" i="2"/>
  <c r="AM99" i="3" s="1"/>
  <c r="AG191" i="2"/>
  <c r="AE99" i="3" s="1"/>
  <c r="Y191" i="2"/>
  <c r="W99" i="3" s="1"/>
  <c r="CQ191" i="2"/>
  <c r="CI191" i="2"/>
  <c r="CG99" i="3" s="1"/>
  <c r="CA191" i="2"/>
  <c r="BY99" i="3" s="1"/>
  <c r="BS191" i="2"/>
  <c r="BQ99" i="3" s="1"/>
  <c r="BK191" i="2"/>
  <c r="BI99" i="3" s="1"/>
  <c r="BC191" i="2"/>
  <c r="BA99" i="3" s="1"/>
  <c r="AU191" i="2"/>
  <c r="AS99" i="3" s="1"/>
  <c r="AM191" i="2"/>
  <c r="AK99" i="3" s="1"/>
  <c r="AE191" i="2"/>
  <c r="AC99" i="3" s="1"/>
  <c r="W191" i="2"/>
  <c r="U99" i="3" s="1"/>
  <c r="V191" i="2"/>
  <c r="T99" i="3" s="1"/>
  <c r="AP191" i="2"/>
  <c r="BL191" i="2"/>
  <c r="BJ99" i="3" s="1"/>
  <c r="CH191" i="2"/>
  <c r="CF99" i="3" s="1"/>
  <c r="D102" i="3"/>
  <c r="H194" i="2" a="1"/>
  <c r="H194" i="2" s="1"/>
  <c r="F103" i="3"/>
  <c r="CO195" i="2"/>
  <c r="CM103" i="3" s="1"/>
  <c r="CG195" i="2"/>
  <c r="CE103" i="3" s="1"/>
  <c r="BY195" i="2"/>
  <c r="BW103" i="3" s="1"/>
  <c r="BQ195" i="2"/>
  <c r="BI195" i="2"/>
  <c r="BG103" i="3" s="1"/>
  <c r="BA195" i="2"/>
  <c r="AY103" i="3" s="1"/>
  <c r="AS195" i="2"/>
  <c r="AQ103" i="3" s="1"/>
  <c r="AK195" i="2"/>
  <c r="AI103" i="3" s="1"/>
  <c r="AC195" i="2"/>
  <c r="AA103" i="3" s="1"/>
  <c r="U195" i="2"/>
  <c r="S103" i="3" s="1"/>
  <c r="CN195" i="2"/>
  <c r="CL103" i="3" s="1"/>
  <c r="CF195" i="2"/>
  <c r="CD103" i="3" s="1"/>
  <c r="BX195" i="2"/>
  <c r="BV103" i="3" s="1"/>
  <c r="BP195" i="2"/>
  <c r="BH195" i="2"/>
  <c r="BF103" i="3" s="1"/>
  <c r="AZ195" i="2"/>
  <c r="AX103" i="3" s="1"/>
  <c r="AR195" i="2"/>
  <c r="AP103" i="3" s="1"/>
  <c r="AJ195" i="2"/>
  <c r="AH103" i="3" s="1"/>
  <c r="AB195" i="2"/>
  <c r="Z103" i="3" s="1"/>
  <c r="T195" i="2"/>
  <c r="R103" i="3" s="1"/>
  <c r="CM195" i="2"/>
  <c r="CK103" i="3" s="1"/>
  <c r="CE195" i="2"/>
  <c r="CC103" i="3" s="1"/>
  <c r="BW195" i="2"/>
  <c r="BU103" i="3" s="1"/>
  <c r="BO195" i="2"/>
  <c r="BM103" i="3" s="1"/>
  <c r="BG195" i="2"/>
  <c r="BE103" i="3" s="1"/>
  <c r="AY195" i="2"/>
  <c r="AW103" i="3" s="1"/>
  <c r="AQ195" i="2"/>
  <c r="AI195" i="2"/>
  <c r="AG103" i="3" s="1"/>
  <c r="AA195" i="2"/>
  <c r="Y103" i="3" s="1"/>
  <c r="S195" i="2"/>
  <c r="Q103" i="3" s="1"/>
  <c r="CK195" i="2"/>
  <c r="CI103" i="3" s="1"/>
  <c r="CC195" i="2"/>
  <c r="CA103" i="3" s="1"/>
  <c r="BU195" i="2"/>
  <c r="BS103" i="3" s="1"/>
  <c r="BM195" i="2"/>
  <c r="BK103" i="3" s="1"/>
  <c r="BE195" i="2"/>
  <c r="BC103" i="3" s="1"/>
  <c r="AW195" i="2"/>
  <c r="AU103" i="3" s="1"/>
  <c r="AO195" i="2"/>
  <c r="AM103" i="3" s="1"/>
  <c r="AG195" i="2"/>
  <c r="AE103" i="3" s="1"/>
  <c r="Y195" i="2"/>
  <c r="W103" i="3" s="1"/>
  <c r="CJ195" i="2"/>
  <c r="CH103" i="3" s="1"/>
  <c r="CB195" i="2"/>
  <c r="BZ103" i="3" s="1"/>
  <c r="BT195" i="2"/>
  <c r="BR103" i="3" s="1"/>
  <c r="BL195" i="2"/>
  <c r="BJ103" i="3" s="1"/>
  <c r="BD195" i="2"/>
  <c r="BB103" i="3" s="1"/>
  <c r="AV195" i="2"/>
  <c r="AT103" i="3" s="1"/>
  <c r="AN195" i="2"/>
  <c r="AL103" i="3" s="1"/>
  <c r="AF195" i="2"/>
  <c r="AD103" i="3" s="1"/>
  <c r="X195" i="2"/>
  <c r="V103" i="3" s="1"/>
  <c r="CQ195" i="2"/>
  <c r="CI195" i="2"/>
  <c r="CG103" i="3" s="1"/>
  <c r="CA195" i="2"/>
  <c r="BY103" i="3" s="1"/>
  <c r="BS195" i="2"/>
  <c r="BQ103" i="3" s="1"/>
  <c r="BK195" i="2"/>
  <c r="BI103" i="3" s="1"/>
  <c r="BC195" i="2"/>
  <c r="BA103" i="3" s="1"/>
  <c r="AU195" i="2"/>
  <c r="AS103" i="3" s="1"/>
  <c r="AM195" i="2"/>
  <c r="AK103" i="3" s="1"/>
  <c r="AE195" i="2"/>
  <c r="AC103" i="3" s="1"/>
  <c r="W195" i="2"/>
  <c r="U103" i="3" s="1"/>
  <c r="Z195" i="2"/>
  <c r="X103" i="3" s="1"/>
  <c r="BF195" i="2"/>
  <c r="BD103" i="3" s="1"/>
  <c r="CL195" i="2"/>
  <c r="CJ103" i="3" s="1"/>
  <c r="H123" i="2"/>
  <c r="G157" i="2" a="1"/>
  <c r="G157" i="2" s="1"/>
  <c r="H159" i="2" a="1"/>
  <c r="H159" i="2" s="1"/>
  <c r="R160" i="2"/>
  <c r="P88" i="3" s="1"/>
  <c r="AB160" i="2"/>
  <c r="Z88" i="3" s="1"/>
  <c r="AM160" i="2"/>
  <c r="AK88" i="3" s="1"/>
  <c r="AX160" i="2"/>
  <c r="AV88" i="3" s="1"/>
  <c r="BH160" i="2"/>
  <c r="BF88" i="3" s="1"/>
  <c r="BS160" i="2"/>
  <c r="BQ88" i="3" s="1"/>
  <c r="CD160" i="2"/>
  <c r="CB88" i="3" s="1"/>
  <c r="CN160" i="2"/>
  <c r="CL88" i="3" s="1"/>
  <c r="J166" i="2"/>
  <c r="H94" i="3" s="1"/>
  <c r="V166" i="2"/>
  <c r="T94" i="3" s="1"/>
  <c r="AL166" i="2"/>
  <c r="AJ94" i="3" s="1"/>
  <c r="BB166" i="2"/>
  <c r="AZ94" i="3" s="1"/>
  <c r="BR166" i="2"/>
  <c r="BP94" i="3" s="1"/>
  <c r="CH166" i="2"/>
  <c r="CF94" i="3" s="1"/>
  <c r="T167" i="2"/>
  <c r="R95" i="3" s="1"/>
  <c r="AJ167" i="2"/>
  <c r="AH95" i="3" s="1"/>
  <c r="AZ167" i="2"/>
  <c r="AX95" i="3" s="1"/>
  <c r="BP167" i="2"/>
  <c r="CF167" i="2"/>
  <c r="CD95" i="3" s="1"/>
  <c r="H168" i="2" a="1"/>
  <c r="H168" i="2" s="1"/>
  <c r="J190" i="2"/>
  <c r="H98" i="3" s="1"/>
  <c r="V190" i="2"/>
  <c r="T98" i="3" s="1"/>
  <c r="AL190" i="2"/>
  <c r="AJ98" i="3" s="1"/>
  <c r="BB190" i="2"/>
  <c r="AZ98" i="3" s="1"/>
  <c r="BR190" i="2"/>
  <c r="BP98" i="3" s="1"/>
  <c r="CH190" i="2"/>
  <c r="CF98" i="3" s="1"/>
  <c r="X191" i="2"/>
  <c r="V99" i="3" s="1"/>
  <c r="AT191" i="2"/>
  <c r="AR99" i="3" s="1"/>
  <c r="BN191" i="2"/>
  <c r="BL99" i="3" s="1"/>
  <c r="CJ191" i="2"/>
  <c r="CH99" i="3" s="1"/>
  <c r="AH193" i="2"/>
  <c r="AF101" i="3" s="1"/>
  <c r="BD193" i="2"/>
  <c r="BB101" i="3" s="1"/>
  <c r="BZ193" i="2"/>
  <c r="BX101" i="3" s="1"/>
  <c r="G194" i="2" a="1"/>
  <c r="G194" i="2" s="1"/>
  <c r="AD195" i="2"/>
  <c r="AB103" i="3" s="1"/>
  <c r="BJ195" i="2"/>
  <c r="BH103" i="3" s="1"/>
  <c r="CP195" i="2"/>
  <c r="E105" i="3"/>
  <c r="O197" i="2"/>
  <c r="M105" i="3" s="1"/>
  <c r="M197" i="2"/>
  <c r="K105" i="3" s="1"/>
  <c r="L197" i="2"/>
  <c r="J105" i="3" s="1"/>
  <c r="E111" i="3"/>
  <c r="O203" i="2"/>
  <c r="M111" i="3" s="1"/>
  <c r="P203" i="2"/>
  <c r="M203" i="2"/>
  <c r="K111" i="3" s="1"/>
  <c r="L203" i="2"/>
  <c r="J111" i="3" s="1"/>
  <c r="G147" i="2" a="1"/>
  <c r="G147" i="2" s="1"/>
  <c r="G149" i="2" a="1"/>
  <c r="G149" i="2" s="1"/>
  <c r="G151" i="2" a="1"/>
  <c r="G151" i="2" s="1"/>
  <c r="G153" i="2" a="1"/>
  <c r="G153" i="2" s="1"/>
  <c r="G155" i="2" a="1"/>
  <c r="G155" i="2" s="1"/>
  <c r="E84" i="3"/>
  <c r="M156" i="2"/>
  <c r="K84" i="3" s="1"/>
  <c r="O156" i="2"/>
  <c r="M84" i="3" s="1"/>
  <c r="H158" i="2" a="1"/>
  <c r="H158" i="2" s="1"/>
  <c r="J160" i="2"/>
  <c r="H88" i="3" s="1"/>
  <c r="S160" i="2"/>
  <c r="Q88" i="3" s="1"/>
  <c r="AD160" i="2"/>
  <c r="AB88" i="3" s="1"/>
  <c r="AN160" i="2"/>
  <c r="AL88" i="3" s="1"/>
  <c r="AY160" i="2"/>
  <c r="AW88" i="3" s="1"/>
  <c r="BJ160" i="2"/>
  <c r="BH88" i="3" s="1"/>
  <c r="BT160" i="2"/>
  <c r="BR88" i="3" s="1"/>
  <c r="CE160" i="2"/>
  <c r="CC88" i="3" s="1"/>
  <c r="CP160" i="2"/>
  <c r="E92" i="3"/>
  <c r="M164" i="2"/>
  <c r="K92" i="3" s="1"/>
  <c r="O164" i="2"/>
  <c r="M92" i="3" s="1"/>
  <c r="X166" i="2"/>
  <c r="V94" i="3" s="1"/>
  <c r="AN166" i="2"/>
  <c r="AL94" i="3" s="1"/>
  <c r="BD166" i="2"/>
  <c r="BB94" i="3" s="1"/>
  <c r="BT166" i="2"/>
  <c r="BR94" i="3" s="1"/>
  <c r="CJ166" i="2"/>
  <c r="CH94" i="3" s="1"/>
  <c r="J167" i="2"/>
  <c r="H95" i="3" s="1"/>
  <c r="V167" i="2"/>
  <c r="T95" i="3" s="1"/>
  <c r="AL167" i="2"/>
  <c r="AJ95" i="3" s="1"/>
  <c r="BB167" i="2"/>
  <c r="AZ95" i="3" s="1"/>
  <c r="BR167" i="2"/>
  <c r="BP95" i="3" s="1"/>
  <c r="CH167" i="2"/>
  <c r="CF95" i="3" s="1"/>
  <c r="X190" i="2"/>
  <c r="V98" i="3" s="1"/>
  <c r="AN190" i="2"/>
  <c r="AL98" i="3" s="1"/>
  <c r="BD190" i="2"/>
  <c r="BB98" i="3" s="1"/>
  <c r="BT190" i="2"/>
  <c r="BR98" i="3" s="1"/>
  <c r="CJ190" i="2"/>
  <c r="CH98" i="3" s="1"/>
  <c r="J191" i="2"/>
  <c r="H99" i="3" s="1"/>
  <c r="Z191" i="2"/>
  <c r="X99" i="3" s="1"/>
  <c r="AV191" i="2"/>
  <c r="AT99" i="3" s="1"/>
  <c r="BR191" i="2"/>
  <c r="BP99" i="3" s="1"/>
  <c r="CL191" i="2"/>
  <c r="CJ99" i="3" s="1"/>
  <c r="AL193" i="2"/>
  <c r="AJ101" i="3" s="1"/>
  <c r="BF193" i="2"/>
  <c r="BD101" i="3" s="1"/>
  <c r="CB193" i="2"/>
  <c r="BZ101" i="3" s="1"/>
  <c r="BN195" i="2"/>
  <c r="BL103" i="3" s="1"/>
  <c r="H157" i="2" a="1"/>
  <c r="H157" i="2" s="1"/>
  <c r="T160" i="2"/>
  <c r="R88" i="3" s="1"/>
  <c r="AE160" i="2"/>
  <c r="AC88" i="3" s="1"/>
  <c r="AP160" i="2"/>
  <c r="AZ160" i="2"/>
  <c r="AX88" i="3" s="1"/>
  <c r="BK160" i="2"/>
  <c r="BI88" i="3" s="1"/>
  <c r="BV160" i="2"/>
  <c r="BT88" i="3" s="1"/>
  <c r="CF160" i="2"/>
  <c r="CD88" i="3" s="1"/>
  <c r="CQ160" i="2"/>
  <c r="G163" i="2" a="1"/>
  <c r="G163" i="2" s="1"/>
  <c r="L166" i="2"/>
  <c r="J94" i="3" s="1"/>
  <c r="Z166" i="2"/>
  <c r="X94" i="3" s="1"/>
  <c r="AP166" i="2"/>
  <c r="BF166" i="2"/>
  <c r="BD94" i="3" s="1"/>
  <c r="BV166" i="2"/>
  <c r="BT94" i="3" s="1"/>
  <c r="CL166" i="2"/>
  <c r="CJ94" i="3" s="1"/>
  <c r="X167" i="2"/>
  <c r="V95" i="3" s="1"/>
  <c r="AN167" i="2"/>
  <c r="AL95" i="3" s="1"/>
  <c r="BD167" i="2"/>
  <c r="BB95" i="3" s="1"/>
  <c r="BT167" i="2"/>
  <c r="BR95" i="3" s="1"/>
  <c r="CJ167" i="2"/>
  <c r="CH95" i="3" s="1"/>
  <c r="L190" i="2"/>
  <c r="J98" i="3" s="1"/>
  <c r="Z190" i="2"/>
  <c r="X98" i="3" s="1"/>
  <c r="AP190" i="2"/>
  <c r="BF190" i="2"/>
  <c r="BD98" i="3" s="1"/>
  <c r="BV190" i="2"/>
  <c r="BT98" i="3" s="1"/>
  <c r="CL190" i="2"/>
  <c r="CJ98" i="3" s="1"/>
  <c r="AD191" i="2"/>
  <c r="AB99" i="3" s="1"/>
  <c r="AX191" i="2"/>
  <c r="AV99" i="3" s="1"/>
  <c r="BT191" i="2"/>
  <c r="BR99" i="3" s="1"/>
  <c r="CP191" i="2"/>
  <c r="E101" i="3"/>
  <c r="M193" i="2"/>
  <c r="K101" i="3" s="1"/>
  <c r="L193" i="2"/>
  <c r="J101" i="3" s="1"/>
  <c r="O193" i="2"/>
  <c r="M101" i="3" s="1"/>
  <c r="R193" i="2"/>
  <c r="P101" i="3" s="1"/>
  <c r="AN193" i="2"/>
  <c r="AL101" i="3" s="1"/>
  <c r="BJ193" i="2"/>
  <c r="BH101" i="3" s="1"/>
  <c r="AL195" i="2"/>
  <c r="AJ103" i="3" s="1"/>
  <c r="BR195" i="2"/>
  <c r="BP103" i="3" s="1"/>
  <c r="E104" i="3"/>
  <c r="P196" i="2"/>
  <c r="O196" i="2"/>
  <c r="M104" i="3" s="1"/>
  <c r="M196" i="2"/>
  <c r="K104" i="3" s="1"/>
  <c r="L196" i="2"/>
  <c r="J104" i="3" s="1"/>
  <c r="E107" i="3"/>
  <c r="O199" i="2"/>
  <c r="M107" i="3" s="1"/>
  <c r="P199" i="2"/>
  <c r="M199" i="2"/>
  <c r="K107" i="3" s="1"/>
  <c r="L199" i="2"/>
  <c r="J107" i="3" s="1"/>
  <c r="H147" i="2" a="1"/>
  <c r="H147" i="2" s="1"/>
  <c r="H149" i="2" a="1"/>
  <c r="H149" i="2" s="1"/>
  <c r="H151" i="2" a="1"/>
  <c r="H151" i="2" s="1"/>
  <c r="H153" i="2" a="1"/>
  <c r="H153" i="2" s="1"/>
  <c r="H155" i="2" a="1"/>
  <c r="H155" i="2" s="1"/>
  <c r="V160" i="2"/>
  <c r="T88" i="3" s="1"/>
  <c r="AF160" i="2"/>
  <c r="AD88" i="3" s="1"/>
  <c r="AQ160" i="2"/>
  <c r="BB160" i="2"/>
  <c r="AZ88" i="3" s="1"/>
  <c r="BL160" i="2"/>
  <c r="BJ88" i="3" s="1"/>
  <c r="BW160" i="2"/>
  <c r="BU88" i="3" s="1"/>
  <c r="CH160" i="2"/>
  <c r="CF88" i="3" s="1"/>
  <c r="E90" i="3"/>
  <c r="M162" i="2"/>
  <c r="K90" i="3" s="1"/>
  <c r="O162" i="2"/>
  <c r="M90" i="3" s="1"/>
  <c r="AB166" i="2"/>
  <c r="Z94" i="3" s="1"/>
  <c r="AR166" i="2"/>
  <c r="AP94" i="3" s="1"/>
  <c r="BH166" i="2"/>
  <c r="BF94" i="3" s="1"/>
  <c r="BX166" i="2"/>
  <c r="BV94" i="3" s="1"/>
  <c r="CN166" i="2"/>
  <c r="CL94" i="3" s="1"/>
  <c r="L167" i="2"/>
  <c r="J95" i="3" s="1"/>
  <c r="Z167" i="2"/>
  <c r="X95" i="3" s="1"/>
  <c r="AP167" i="2"/>
  <c r="BF167" i="2"/>
  <c r="BD95" i="3" s="1"/>
  <c r="BV167" i="2"/>
  <c r="BT95" i="3" s="1"/>
  <c r="CL167" i="2"/>
  <c r="CJ95" i="3" s="1"/>
  <c r="AB190" i="2"/>
  <c r="Z98" i="3" s="1"/>
  <c r="AR190" i="2"/>
  <c r="AP98" i="3" s="1"/>
  <c r="BH190" i="2"/>
  <c r="BF98" i="3" s="1"/>
  <c r="BX190" i="2"/>
  <c r="BV98" i="3" s="1"/>
  <c r="CN190" i="2"/>
  <c r="CL98" i="3" s="1"/>
  <c r="AF191" i="2"/>
  <c r="AD99" i="3" s="1"/>
  <c r="BB191" i="2"/>
  <c r="AZ99" i="3" s="1"/>
  <c r="BV191" i="2"/>
  <c r="BT99" i="3" s="1"/>
  <c r="D100" i="3"/>
  <c r="H192" i="2" a="1"/>
  <c r="H192" i="2" s="1"/>
  <c r="F101" i="3"/>
  <c r="CO193" i="2"/>
  <c r="CM101" i="3" s="1"/>
  <c r="CG193" i="2"/>
  <c r="CE101" i="3" s="1"/>
  <c r="BY193" i="2"/>
  <c r="BW101" i="3" s="1"/>
  <c r="BQ193" i="2"/>
  <c r="BI193" i="2"/>
  <c r="BG101" i="3" s="1"/>
  <c r="BA193" i="2"/>
  <c r="AY101" i="3" s="1"/>
  <c r="AS193" i="2"/>
  <c r="AQ101" i="3" s="1"/>
  <c r="AK193" i="2"/>
  <c r="AI101" i="3" s="1"/>
  <c r="AC193" i="2"/>
  <c r="AA101" i="3" s="1"/>
  <c r="U193" i="2"/>
  <c r="S101" i="3" s="1"/>
  <c r="CN193" i="2"/>
  <c r="CL101" i="3" s="1"/>
  <c r="CF193" i="2"/>
  <c r="CD101" i="3" s="1"/>
  <c r="BX193" i="2"/>
  <c r="BV101" i="3" s="1"/>
  <c r="BP193" i="2"/>
  <c r="BH193" i="2"/>
  <c r="BF101" i="3" s="1"/>
  <c r="AZ193" i="2"/>
  <c r="AX101" i="3" s="1"/>
  <c r="AR193" i="2"/>
  <c r="AP101" i="3" s="1"/>
  <c r="AJ193" i="2"/>
  <c r="AH101" i="3" s="1"/>
  <c r="AB193" i="2"/>
  <c r="Z101" i="3" s="1"/>
  <c r="T193" i="2"/>
  <c r="R101" i="3" s="1"/>
  <c r="CM193" i="2"/>
  <c r="CK101" i="3" s="1"/>
  <c r="CE193" i="2"/>
  <c r="CC101" i="3" s="1"/>
  <c r="BW193" i="2"/>
  <c r="BU101" i="3" s="1"/>
  <c r="BO193" i="2"/>
  <c r="BM101" i="3" s="1"/>
  <c r="BG193" i="2"/>
  <c r="BE101" i="3" s="1"/>
  <c r="AY193" i="2"/>
  <c r="AW101" i="3" s="1"/>
  <c r="AQ193" i="2"/>
  <c r="AI193" i="2"/>
  <c r="AG101" i="3" s="1"/>
  <c r="AA193" i="2"/>
  <c r="Y101" i="3" s="1"/>
  <c r="S193" i="2"/>
  <c r="Q101" i="3" s="1"/>
  <c r="CK193" i="2"/>
  <c r="CI101" i="3" s="1"/>
  <c r="CC193" i="2"/>
  <c r="CA101" i="3" s="1"/>
  <c r="BU193" i="2"/>
  <c r="BS101" i="3" s="1"/>
  <c r="BM193" i="2"/>
  <c r="BK101" i="3" s="1"/>
  <c r="BE193" i="2"/>
  <c r="BC101" i="3" s="1"/>
  <c r="AW193" i="2"/>
  <c r="AU101" i="3" s="1"/>
  <c r="AO193" i="2"/>
  <c r="AM101" i="3" s="1"/>
  <c r="AG193" i="2"/>
  <c r="AE101" i="3" s="1"/>
  <c r="Y193" i="2"/>
  <c r="W101" i="3" s="1"/>
  <c r="CQ193" i="2"/>
  <c r="CI193" i="2"/>
  <c r="CG101" i="3" s="1"/>
  <c r="CA193" i="2"/>
  <c r="BY101" i="3" s="1"/>
  <c r="BS193" i="2"/>
  <c r="BQ101" i="3" s="1"/>
  <c r="BK193" i="2"/>
  <c r="BI101" i="3" s="1"/>
  <c r="BC193" i="2"/>
  <c r="BA101" i="3" s="1"/>
  <c r="AU193" i="2"/>
  <c r="AS101" i="3" s="1"/>
  <c r="AM193" i="2"/>
  <c r="AK101" i="3" s="1"/>
  <c r="AE193" i="2"/>
  <c r="AC101" i="3" s="1"/>
  <c r="W193" i="2"/>
  <c r="U101" i="3" s="1"/>
  <c r="V193" i="2"/>
  <c r="T101" i="3" s="1"/>
  <c r="AP193" i="2"/>
  <c r="BL193" i="2"/>
  <c r="BJ101" i="3" s="1"/>
  <c r="CH193" i="2"/>
  <c r="CF101" i="3" s="1"/>
  <c r="AP195" i="2"/>
  <c r="BV195" i="2"/>
  <c r="BT103" i="3" s="1"/>
  <c r="E113" i="3"/>
  <c r="O205" i="2"/>
  <c r="M113" i="3" s="1"/>
  <c r="P205" i="2"/>
  <c r="M205" i="2"/>
  <c r="K113" i="3" s="1"/>
  <c r="L205" i="2"/>
  <c r="J113" i="3" s="1"/>
  <c r="H199" i="2" a="1"/>
  <c r="H199" i="2" s="1"/>
  <c r="H203" i="2" a="1"/>
  <c r="H203" i="2" s="1"/>
  <c r="H207" i="2" a="1"/>
  <c r="H207" i="2" s="1"/>
  <c r="F118" i="3"/>
  <c r="CP210" i="2"/>
  <c r="CH210" i="2"/>
  <c r="CF118" i="3" s="1"/>
  <c r="BZ210" i="2"/>
  <c r="BX118" i="3" s="1"/>
  <c r="BR210" i="2"/>
  <c r="BP118" i="3" s="1"/>
  <c r="BJ210" i="2"/>
  <c r="BH118" i="3" s="1"/>
  <c r="BB210" i="2"/>
  <c r="AZ118" i="3" s="1"/>
  <c r="AT210" i="2"/>
  <c r="AR118" i="3" s="1"/>
  <c r="AL210" i="2"/>
  <c r="AJ118" i="3" s="1"/>
  <c r="AD210" i="2"/>
  <c r="AB118" i="3" s="1"/>
  <c r="V210" i="2"/>
  <c r="T118" i="3" s="1"/>
  <c r="CN210" i="2"/>
  <c r="CL118" i="3" s="1"/>
  <c r="CF210" i="2"/>
  <c r="CD118" i="3" s="1"/>
  <c r="BX210" i="2"/>
  <c r="BV118" i="3" s="1"/>
  <c r="BP210" i="2"/>
  <c r="BH210" i="2"/>
  <c r="BF118" i="3" s="1"/>
  <c r="AZ210" i="2"/>
  <c r="AX118" i="3" s="1"/>
  <c r="AR210" i="2"/>
  <c r="AP118" i="3" s="1"/>
  <c r="AJ210" i="2"/>
  <c r="AH118" i="3" s="1"/>
  <c r="AB210" i="2"/>
  <c r="Z118" i="3" s="1"/>
  <c r="T210" i="2"/>
  <c r="R118" i="3" s="1"/>
  <c r="CM210" i="2"/>
  <c r="CK118" i="3" s="1"/>
  <c r="CE210" i="2"/>
  <c r="CC118" i="3" s="1"/>
  <c r="BW210" i="2"/>
  <c r="BU118" i="3" s="1"/>
  <c r="BO210" i="2"/>
  <c r="BM118" i="3" s="1"/>
  <c r="BG210" i="2"/>
  <c r="BE118" i="3" s="1"/>
  <c r="AY210" i="2"/>
  <c r="AW118" i="3" s="1"/>
  <c r="AQ210" i="2"/>
  <c r="AI210" i="2"/>
  <c r="AG118" i="3" s="1"/>
  <c r="AA210" i="2"/>
  <c r="Y118" i="3" s="1"/>
  <c r="S210" i="2"/>
  <c r="Q118" i="3" s="1"/>
  <c r="CK210" i="2"/>
  <c r="CI118" i="3" s="1"/>
  <c r="CC210" i="2"/>
  <c r="CA118" i="3" s="1"/>
  <c r="BU210" i="2"/>
  <c r="BS118" i="3" s="1"/>
  <c r="BM210" i="2"/>
  <c r="BK118" i="3" s="1"/>
  <c r="BE210" i="2"/>
  <c r="BC118" i="3" s="1"/>
  <c r="AW210" i="2"/>
  <c r="AU118" i="3" s="1"/>
  <c r="AO210" i="2"/>
  <c r="AM118" i="3" s="1"/>
  <c r="AG210" i="2"/>
  <c r="AE118" i="3" s="1"/>
  <c r="Y210" i="2"/>
  <c r="W118" i="3" s="1"/>
  <c r="CG210" i="2"/>
  <c r="CE118" i="3" s="1"/>
  <c r="BQ210" i="2"/>
  <c r="BA210" i="2"/>
  <c r="AY118" i="3" s="1"/>
  <c r="AK210" i="2"/>
  <c r="AI118" i="3" s="1"/>
  <c r="U210" i="2"/>
  <c r="S118" i="3" s="1"/>
  <c r="J210" i="2"/>
  <c r="H118" i="3" s="1"/>
  <c r="CB210" i="2"/>
  <c r="BZ118" i="3" s="1"/>
  <c r="BL210" i="2"/>
  <c r="BJ118" i="3" s="1"/>
  <c r="AV210" i="2"/>
  <c r="AT118" i="3" s="1"/>
  <c r="AF210" i="2"/>
  <c r="AD118" i="3" s="1"/>
  <c r="CQ210" i="2"/>
  <c r="CA210" i="2"/>
  <c r="BY118" i="3" s="1"/>
  <c r="BK210" i="2"/>
  <c r="BI118" i="3" s="1"/>
  <c r="AU210" i="2"/>
  <c r="AS118" i="3" s="1"/>
  <c r="AE210" i="2"/>
  <c r="AC118" i="3" s="1"/>
  <c r="CO210" i="2"/>
  <c r="CM118" i="3" s="1"/>
  <c r="BY210" i="2"/>
  <c r="BW118" i="3" s="1"/>
  <c r="BI210" i="2"/>
  <c r="BG118" i="3" s="1"/>
  <c r="AS210" i="2"/>
  <c r="AQ118" i="3" s="1"/>
  <c r="AC210" i="2"/>
  <c r="AA118" i="3" s="1"/>
  <c r="CL210" i="2"/>
  <c r="CJ118" i="3" s="1"/>
  <c r="BV210" i="2"/>
  <c r="BT118" i="3" s="1"/>
  <c r="BF210" i="2"/>
  <c r="BD118" i="3" s="1"/>
  <c r="AP210" i="2"/>
  <c r="Z210" i="2"/>
  <c r="X118" i="3" s="1"/>
  <c r="CJ210" i="2"/>
  <c r="CH118" i="3" s="1"/>
  <c r="BT210" i="2"/>
  <c r="BR118" i="3" s="1"/>
  <c r="BD210" i="2"/>
  <c r="BB118" i="3" s="1"/>
  <c r="AN210" i="2"/>
  <c r="AL118" i="3" s="1"/>
  <c r="X210" i="2"/>
  <c r="V118" i="3" s="1"/>
  <c r="CI210" i="2"/>
  <c r="CG118" i="3" s="1"/>
  <c r="BS210" i="2"/>
  <c r="BQ118" i="3" s="1"/>
  <c r="BC210" i="2"/>
  <c r="BA118" i="3" s="1"/>
  <c r="AM210" i="2"/>
  <c r="AK118" i="3" s="1"/>
  <c r="W210" i="2"/>
  <c r="U118" i="3" s="1"/>
  <c r="BN210" i="2"/>
  <c r="BL118" i="3" s="1"/>
  <c r="G198" i="2" a="1"/>
  <c r="G198" i="2" s="1"/>
  <c r="G202" i="2" a="1"/>
  <c r="G202" i="2" s="1"/>
  <c r="G206" i="2" a="1"/>
  <c r="G206" i="2" s="1"/>
  <c r="CD210" i="2"/>
  <c r="CB118" i="3" s="1"/>
  <c r="H198" i="2" a="1"/>
  <c r="H198" i="2" s="1"/>
  <c r="H202" i="2" a="1"/>
  <c r="H202" i="2" s="1"/>
  <c r="H206" i="2" a="1"/>
  <c r="H206" i="2" s="1"/>
  <c r="D117" i="3"/>
  <c r="H209" i="2" a="1"/>
  <c r="H209" i="2" s="1"/>
  <c r="E119" i="3"/>
  <c r="P211" i="2"/>
  <c r="O211" i="2"/>
  <c r="M119" i="3" s="1"/>
  <c r="M211" i="2"/>
  <c r="K119" i="3" s="1"/>
  <c r="L211" i="2"/>
  <c r="J119" i="3" s="1"/>
  <c r="H197" i="2" a="1"/>
  <c r="H197" i="2" s="1"/>
  <c r="H201" i="2" a="1"/>
  <c r="H201" i="2" s="1"/>
  <c r="H205" i="2" a="1"/>
  <c r="H205" i="2" s="1"/>
  <c r="H196" i="2" a="1"/>
  <c r="H196" i="2" s="1"/>
  <c r="G200" i="2" a="1"/>
  <c r="G200" i="2" s="1"/>
  <c r="G204" i="2" a="1"/>
  <c r="G204" i="2" s="1"/>
  <c r="G208" i="2" a="1"/>
  <c r="G208" i="2" s="1"/>
  <c r="G209" i="2" a="1"/>
  <c r="G209" i="2" s="1"/>
  <c r="R210" i="2"/>
  <c r="P118" i="3" s="1"/>
  <c r="H200" i="2" a="1"/>
  <c r="H200" i="2" s="1"/>
  <c r="H204" i="2" a="1"/>
  <c r="H204" i="2" s="1"/>
  <c r="H208" i="2" a="1"/>
  <c r="H208" i="2" s="1"/>
  <c r="E118" i="3"/>
  <c r="L210" i="2"/>
  <c r="J118" i="3" s="1"/>
  <c r="P210" i="2"/>
  <c r="O210" i="2"/>
  <c r="M118" i="3" s="1"/>
  <c r="M210" i="2"/>
  <c r="K118" i="3" s="1"/>
  <c r="H211" i="2" a="1"/>
  <c r="H211" i="2" s="1"/>
  <c r="AN24" i="3" l="1"/>
  <c r="AO24" i="3"/>
  <c r="AG35" i="2"/>
  <c r="AE24" i="3" s="1"/>
  <c r="AH210" i="2"/>
  <c r="AF118" i="3" s="1"/>
  <c r="BK71" i="2"/>
  <c r="BI39" i="3" s="1"/>
  <c r="AO71" i="2"/>
  <c r="AM39" i="3" s="1"/>
  <c r="V71" i="2"/>
  <c r="T39" i="3" s="1"/>
  <c r="BA71" i="2"/>
  <c r="AY39" i="3" s="1"/>
  <c r="AR71" i="2"/>
  <c r="AP39" i="3" s="1"/>
  <c r="CH71" i="2"/>
  <c r="CF39" i="3" s="1"/>
  <c r="CG71" i="2"/>
  <c r="CE39" i="3" s="1"/>
  <c r="BL71" i="2"/>
  <c r="BJ39" i="3" s="1"/>
  <c r="BB71" i="2"/>
  <c r="AZ39" i="3" s="1"/>
  <c r="F29" i="3"/>
  <c r="AI61" i="2"/>
  <c r="AG29" i="3" s="1"/>
  <c r="AA61" i="2"/>
  <c r="Y29" i="3" s="1"/>
  <c r="AQ61" i="2"/>
  <c r="CM61" i="2"/>
  <c r="CK29" i="3" s="1"/>
  <c r="BW61" i="2"/>
  <c r="BU29" i="3" s="1"/>
  <c r="BG61" i="2"/>
  <c r="BE29" i="3" s="1"/>
  <c r="BO61" i="2"/>
  <c r="BM29" i="3" s="1"/>
  <c r="CK35" i="2"/>
  <c r="CI24" i="3" s="1"/>
  <c r="AW35" i="2"/>
  <c r="AU24" i="3" s="1"/>
  <c r="R35" i="2"/>
  <c r="P24" i="3" s="1"/>
  <c r="CC35" i="2"/>
  <c r="CA24" i="3" s="1"/>
  <c r="BM35" i="2"/>
  <c r="BK24" i="3" s="1"/>
  <c r="M22" i="2"/>
  <c r="K11" i="3" s="1"/>
  <c r="Z20" i="2"/>
  <c r="X9" i="3" s="1"/>
  <c r="CL20" i="2"/>
  <c r="CJ9" i="3" s="1"/>
  <c r="BG20" i="2"/>
  <c r="BE9" i="3" s="1"/>
  <c r="AJ20" i="2"/>
  <c r="AH9" i="3" s="1"/>
  <c r="Y20" i="2"/>
  <c r="W9" i="3" s="1"/>
  <c r="BY20" i="2"/>
  <c r="BW9" i="3" s="1"/>
  <c r="AT20" i="2"/>
  <c r="AR9" i="3" s="1"/>
  <c r="BU20" i="2"/>
  <c r="BS9" i="3" s="1"/>
  <c r="CA20" i="2"/>
  <c r="BY9" i="3" s="1"/>
  <c r="BL20" i="2"/>
  <c r="BJ9" i="3" s="1"/>
  <c r="P103" i="2"/>
  <c r="O103" i="2"/>
  <c r="CE103" i="2"/>
  <c r="CC51" i="3" s="1"/>
  <c r="CA103" i="2"/>
  <c r="BY51" i="3" s="1"/>
  <c r="AY103" i="2"/>
  <c r="AW51" i="3" s="1"/>
  <c r="S103" i="2"/>
  <c r="Q51" i="3" s="1"/>
  <c r="BW103" i="2"/>
  <c r="BU51" i="3" s="1"/>
  <c r="AV103" i="2"/>
  <c r="AT51" i="3" s="1"/>
  <c r="BT103" i="2"/>
  <c r="BR51" i="3" s="1"/>
  <c r="AN103" i="2"/>
  <c r="AL51" i="3" s="1"/>
  <c r="BK103" i="2"/>
  <c r="BI51" i="3" s="1"/>
  <c r="AI103" i="2"/>
  <c r="AG51" i="3" s="1"/>
  <c r="BS103" i="2"/>
  <c r="BQ51" i="3" s="1"/>
  <c r="BG103" i="2"/>
  <c r="BE51" i="3" s="1"/>
  <c r="AF103" i="2"/>
  <c r="AD51" i="3" s="1"/>
  <c r="CQ103" i="2"/>
  <c r="BD103" i="2"/>
  <c r="BB51" i="3" s="1"/>
  <c r="AE103" i="2"/>
  <c r="AC51" i="3" s="1"/>
  <c r="AM103" i="2"/>
  <c r="AK51" i="3" s="1"/>
  <c r="CM103" i="2"/>
  <c r="CK51" i="3" s="1"/>
  <c r="BC103" i="2"/>
  <c r="BA51" i="3" s="1"/>
  <c r="AA103" i="2"/>
  <c r="Y51" i="3" s="1"/>
  <c r="E5" i="3"/>
  <c r="P16" i="2"/>
  <c r="BZ195" i="2"/>
  <c r="BX103" i="3" s="1"/>
  <c r="AX195" i="2"/>
  <c r="AV103" i="3" s="1"/>
  <c r="AH195" i="2"/>
  <c r="AF103" i="3" s="1"/>
  <c r="V195" i="2"/>
  <c r="T103" i="3" s="1"/>
  <c r="R195" i="2"/>
  <c r="P103" i="3" s="1"/>
  <c r="CH195" i="2"/>
  <c r="CF103" i="3" s="1"/>
  <c r="CD195" i="2"/>
  <c r="CB103" i="3" s="1"/>
  <c r="BB195" i="2"/>
  <c r="AZ103" i="3" s="1"/>
  <c r="J195" i="2"/>
  <c r="H103" i="3" s="1"/>
  <c r="AP20" i="2"/>
  <c r="CC20" i="2"/>
  <c r="CA9" i="3" s="1"/>
  <c r="BW20" i="2"/>
  <c r="BU9" i="3" s="1"/>
  <c r="AZ20" i="2"/>
  <c r="AX9" i="3" s="1"/>
  <c r="AC20" i="2"/>
  <c r="AA9" i="3" s="1"/>
  <c r="CO20" i="2"/>
  <c r="CM9" i="3" s="1"/>
  <c r="BJ20" i="2"/>
  <c r="BH9" i="3" s="1"/>
  <c r="AE20" i="2"/>
  <c r="AC9" i="3" s="1"/>
  <c r="CQ20" i="2"/>
  <c r="CB20" i="2"/>
  <c r="BZ9" i="3" s="1"/>
  <c r="CL108" i="2"/>
  <c r="CJ56" i="3" s="1"/>
  <c r="AF108" i="2"/>
  <c r="AD56" i="3" s="1"/>
  <c r="BX108" i="2"/>
  <c r="BV56" i="3" s="1"/>
  <c r="BO108" i="2"/>
  <c r="BM56" i="3" s="1"/>
  <c r="BK108" i="2"/>
  <c r="BI56" i="3" s="1"/>
  <c r="AN108" i="2"/>
  <c r="AL56" i="3" s="1"/>
  <c r="AB108" i="2"/>
  <c r="Z56" i="3" s="1"/>
  <c r="BT108" i="2"/>
  <c r="BR56" i="3" s="1"/>
  <c r="AJ108" i="2"/>
  <c r="AH56" i="3" s="1"/>
  <c r="CL69" i="2"/>
  <c r="CJ37" i="3" s="1"/>
  <c r="AX69" i="2"/>
  <c r="AV37" i="3" s="1"/>
  <c r="R69" i="2"/>
  <c r="P37" i="3" s="1"/>
  <c r="BZ69" i="2"/>
  <c r="BX37" i="3" s="1"/>
  <c r="AP69" i="2"/>
  <c r="BP69" i="2"/>
  <c r="AH69" i="2"/>
  <c r="AF37" i="3" s="1"/>
  <c r="J69" i="2"/>
  <c r="H37" i="3" s="1"/>
  <c r="BH69" i="2"/>
  <c r="BF37" i="3" s="1"/>
  <c r="AA69" i="2"/>
  <c r="Y37" i="3" s="1"/>
  <c r="BQ69" i="2"/>
  <c r="BG69" i="2"/>
  <c r="BE37" i="3" s="1"/>
  <c r="Z69" i="2"/>
  <c r="X37" i="3" s="1"/>
  <c r="CA69" i="2"/>
  <c r="BY37" i="3" s="1"/>
  <c r="AI69" i="2"/>
  <c r="AG37" i="3" s="1"/>
  <c r="CM69" i="2"/>
  <c r="CK37" i="3" s="1"/>
  <c r="AY69" i="2"/>
  <c r="AW37" i="3" s="1"/>
  <c r="S69" i="2"/>
  <c r="Q37" i="3" s="1"/>
  <c r="AQ69" i="2"/>
  <c r="AX20" i="2"/>
  <c r="AV9" i="3" s="1"/>
  <c r="S20" i="2"/>
  <c r="Q9" i="3" s="1"/>
  <c r="CE20" i="2"/>
  <c r="CC9" i="3" s="1"/>
  <c r="BH20" i="2"/>
  <c r="BF9" i="3" s="1"/>
  <c r="AK20" i="2"/>
  <c r="AI9" i="3" s="1"/>
  <c r="AO20" i="2"/>
  <c r="AM9" i="3" s="1"/>
  <c r="BR20" i="2"/>
  <c r="BP9" i="3" s="1"/>
  <c r="AM20" i="2"/>
  <c r="AK9" i="3" s="1"/>
  <c r="X20" i="2"/>
  <c r="V9" i="3" s="1"/>
  <c r="CJ20" i="2"/>
  <c r="CH9" i="3" s="1"/>
  <c r="CB62" i="2"/>
  <c r="BZ30" i="3" s="1"/>
  <c r="AU62" i="2"/>
  <c r="AS30" i="3" s="1"/>
  <c r="CI62" i="2"/>
  <c r="CG30" i="3" s="1"/>
  <c r="CQ62" i="2"/>
  <c r="AE62" i="2"/>
  <c r="AC30" i="3" s="1"/>
  <c r="CA62" i="2"/>
  <c r="BY30" i="3" s="1"/>
  <c r="BL62" i="2"/>
  <c r="BJ30" i="3" s="1"/>
  <c r="BK62" i="2"/>
  <c r="BI30" i="3" s="1"/>
  <c r="AF62" i="2"/>
  <c r="AD30" i="3" s="1"/>
  <c r="BC62" i="2"/>
  <c r="BA30" i="3" s="1"/>
  <c r="W62" i="2"/>
  <c r="U30" i="3" s="1"/>
  <c r="O120" i="2"/>
  <c r="M68" i="3" s="1"/>
  <c r="P120" i="2"/>
  <c r="L120" i="2"/>
  <c r="J68" i="3" s="1"/>
  <c r="F55" i="3"/>
  <c r="CQ107" i="2"/>
  <c r="BW107" i="2"/>
  <c r="BU55" i="3" s="1"/>
  <c r="AZ107" i="2"/>
  <c r="AX55" i="3" s="1"/>
  <c r="AE107" i="2"/>
  <c r="AC55" i="3" s="1"/>
  <c r="AB107" i="2"/>
  <c r="Z55" i="3" s="1"/>
  <c r="CI107" i="2"/>
  <c r="CG55" i="3" s="1"/>
  <c r="CM107" i="2"/>
  <c r="CK55" i="3" s="1"/>
  <c r="BP107" i="2"/>
  <c r="AU107" i="2"/>
  <c r="AS55" i="3" s="1"/>
  <c r="AA107" i="2"/>
  <c r="Y55" i="3" s="1"/>
  <c r="CF107" i="2"/>
  <c r="CD55" i="3" s="1"/>
  <c r="BK107" i="2"/>
  <c r="BI55" i="3" s="1"/>
  <c r="AQ107" i="2"/>
  <c r="T107" i="2"/>
  <c r="R55" i="3" s="1"/>
  <c r="AY107" i="2"/>
  <c r="AW55" i="3" s="1"/>
  <c r="AR107" i="2"/>
  <c r="AP55" i="3" s="1"/>
  <c r="CE107" i="2"/>
  <c r="CC55" i="3" s="1"/>
  <c r="BH107" i="2"/>
  <c r="BF55" i="3" s="1"/>
  <c r="AM107" i="2"/>
  <c r="AK55" i="3" s="1"/>
  <c r="S107" i="2"/>
  <c r="Q55" i="3" s="1"/>
  <c r="CN107" i="2"/>
  <c r="CL55" i="3" s="1"/>
  <c r="BO107" i="2"/>
  <c r="BM55" i="3" s="1"/>
  <c r="CA107" i="2"/>
  <c r="BY55" i="3" s="1"/>
  <c r="BG107" i="2"/>
  <c r="BE55" i="3" s="1"/>
  <c r="AJ107" i="2"/>
  <c r="AH55" i="3" s="1"/>
  <c r="BX107" i="2"/>
  <c r="BV55" i="3" s="1"/>
  <c r="BC107" i="2"/>
  <c r="BA55" i="3" s="1"/>
  <c r="AI107" i="2"/>
  <c r="AG55" i="3" s="1"/>
  <c r="BS107" i="2"/>
  <c r="BQ55" i="3" s="1"/>
  <c r="W107" i="2"/>
  <c r="U55" i="3" s="1"/>
  <c r="BF20" i="2"/>
  <c r="BD9" i="3" s="1"/>
  <c r="AA20" i="2"/>
  <c r="Y9" i="3" s="1"/>
  <c r="CM20" i="2"/>
  <c r="CK9" i="3" s="1"/>
  <c r="BP20" i="2"/>
  <c r="AS20" i="2"/>
  <c r="AQ9" i="3" s="1"/>
  <c r="CK20" i="2"/>
  <c r="CI9" i="3" s="1"/>
  <c r="BZ20" i="2"/>
  <c r="BX9" i="3" s="1"/>
  <c r="AU20" i="2"/>
  <c r="AS9" i="3" s="1"/>
  <c r="AF20" i="2"/>
  <c r="AD9" i="3" s="1"/>
  <c r="F9" i="3"/>
  <c r="CD193" i="2"/>
  <c r="CB101" i="3" s="1"/>
  <c r="BV193" i="2"/>
  <c r="BT101" i="3" s="1"/>
  <c r="BB193" i="2"/>
  <c r="AZ101" i="3" s="1"/>
  <c r="AF193" i="2"/>
  <c r="AD101" i="3" s="1"/>
  <c r="L156" i="2"/>
  <c r="J84" i="3" s="1"/>
  <c r="P156" i="2"/>
  <c r="L164" i="2"/>
  <c r="J92" i="3" s="1"/>
  <c r="P164" i="2"/>
  <c r="J20" i="2"/>
  <c r="H9" i="3" s="1"/>
  <c r="BV20" i="2"/>
  <c r="BT9" i="3" s="1"/>
  <c r="AQ20" i="2"/>
  <c r="T20" i="2"/>
  <c r="R9" i="3" s="1"/>
  <c r="CF20" i="2"/>
  <c r="CD9" i="3" s="1"/>
  <c r="BI20" i="2"/>
  <c r="BG9" i="3" s="1"/>
  <c r="AD20" i="2"/>
  <c r="AB9" i="3" s="1"/>
  <c r="CP20" i="2"/>
  <c r="BK20" i="2"/>
  <c r="BI9" i="3" s="1"/>
  <c r="AV20" i="2"/>
  <c r="AT9" i="3" s="1"/>
  <c r="CB190" i="2"/>
  <c r="BZ98" i="3" s="1"/>
  <c r="BP190" i="2"/>
  <c r="AZ190" i="2"/>
  <c r="AX98" i="3" s="1"/>
  <c r="AJ190" i="2"/>
  <c r="AH98" i="3" s="1"/>
  <c r="T190" i="2"/>
  <c r="R98" i="3" s="1"/>
  <c r="CF190" i="2"/>
  <c r="CD98" i="3" s="1"/>
  <c r="O78" i="2"/>
  <c r="M46" i="3" s="1"/>
  <c r="L78" i="2"/>
  <c r="J46" i="3" s="1"/>
  <c r="P78" i="2"/>
  <c r="F32" i="3"/>
  <c r="BN64" i="2"/>
  <c r="BL32" i="3" s="1"/>
  <c r="AH64" i="2"/>
  <c r="AF32" i="3" s="1"/>
  <c r="J64" i="2"/>
  <c r="H32" i="3" s="1"/>
  <c r="AG64" i="2"/>
  <c r="AE32" i="3" s="1"/>
  <c r="CL64" i="2"/>
  <c r="CJ32" i="3" s="1"/>
  <c r="BF64" i="2"/>
  <c r="BD32" i="3" s="1"/>
  <c r="Z64" i="2"/>
  <c r="X32" i="3" s="1"/>
  <c r="Y64" i="2"/>
  <c r="W32" i="3" s="1"/>
  <c r="CD64" i="2"/>
  <c r="CB32" i="3" s="1"/>
  <c r="AX64" i="2"/>
  <c r="AV32" i="3" s="1"/>
  <c r="R64" i="2"/>
  <c r="P32" i="3" s="1"/>
  <c r="CC64" i="2"/>
  <c r="CA32" i="3" s="1"/>
  <c r="AW64" i="2"/>
  <c r="AU32" i="3" s="1"/>
  <c r="BE64" i="2"/>
  <c r="BC32" i="3" s="1"/>
  <c r="BV64" i="2"/>
  <c r="BT32" i="3" s="1"/>
  <c r="AP64" i="2"/>
  <c r="BM64" i="2"/>
  <c r="BK32" i="3" s="1"/>
  <c r="CK64" i="2"/>
  <c r="CI32" i="3" s="1"/>
  <c r="BU64" i="2"/>
  <c r="BS32" i="3" s="1"/>
  <c r="AO64" i="2"/>
  <c r="AM32" i="3" s="1"/>
  <c r="R20" i="2"/>
  <c r="P9" i="3" s="1"/>
  <c r="CD20" i="2"/>
  <c r="CB9" i="3" s="1"/>
  <c r="AY20" i="2"/>
  <c r="AW9" i="3" s="1"/>
  <c r="AB20" i="2"/>
  <c r="Z9" i="3" s="1"/>
  <c r="CN20" i="2"/>
  <c r="CL9" i="3" s="1"/>
  <c r="BQ20" i="2"/>
  <c r="AL20" i="2"/>
  <c r="AJ9" i="3" s="1"/>
  <c r="BE20" i="2"/>
  <c r="BC9" i="3" s="1"/>
  <c r="BS20" i="2"/>
  <c r="BQ9" i="3" s="1"/>
  <c r="BS109" i="2"/>
  <c r="BQ57" i="3" s="1"/>
  <c r="AR109" i="2"/>
  <c r="AP57" i="3" s="1"/>
  <c r="AB109" i="2"/>
  <c r="Z57" i="3" s="1"/>
  <c r="AM109" i="2"/>
  <c r="AK57" i="3" s="1"/>
  <c r="CI109" i="2"/>
  <c r="CG57" i="3" s="1"/>
  <c r="CC109" i="2"/>
  <c r="CA57" i="3" s="1"/>
  <c r="CQ78" i="2"/>
  <c r="CN78" i="2"/>
  <c r="CL46" i="3" s="1"/>
  <c r="BO78" i="2"/>
  <c r="BM46" i="3" s="1"/>
  <c r="AO78" i="2"/>
  <c r="AM46" i="3" s="1"/>
  <c r="CM78" i="2"/>
  <c r="CK46" i="3" s="1"/>
  <c r="AJ78" i="2"/>
  <c r="AH46" i="3" s="1"/>
  <c r="CK78" i="2"/>
  <c r="CI46" i="3" s="1"/>
  <c r="BL78" i="2"/>
  <c r="BJ46" i="3" s="1"/>
  <c r="AM78" i="2"/>
  <c r="AK46" i="3" s="1"/>
  <c r="CB78" i="2"/>
  <c r="BZ46" i="3" s="1"/>
  <c r="BC78" i="2"/>
  <c r="BA46" i="3" s="1"/>
  <c r="AB78" i="2"/>
  <c r="Z46" i="3" s="1"/>
  <c r="CA78" i="2"/>
  <c r="BY46" i="3" s="1"/>
  <c r="AZ78" i="2"/>
  <c r="AX46" i="3" s="1"/>
  <c r="AA78" i="2"/>
  <c r="Y46" i="3" s="1"/>
  <c r="BM78" i="2"/>
  <c r="BK46" i="3" s="1"/>
  <c r="BK78" i="2"/>
  <c r="BI46" i="3" s="1"/>
  <c r="BX78" i="2"/>
  <c r="BV46" i="3" s="1"/>
  <c r="AY78" i="2"/>
  <c r="AW46" i="3" s="1"/>
  <c r="Y78" i="2"/>
  <c r="W46" i="3" s="1"/>
  <c r="CJ78" i="2"/>
  <c r="CH46" i="3" s="1"/>
  <c r="BW78" i="2"/>
  <c r="BU46" i="3" s="1"/>
  <c r="AW78" i="2"/>
  <c r="AU46" i="3" s="1"/>
  <c r="X78" i="2"/>
  <c r="V46" i="3" s="1"/>
  <c r="AN78" i="2"/>
  <c r="AL46" i="3" s="1"/>
  <c r="CN118" i="3"/>
  <c r="CO118" i="3"/>
  <c r="CO88" i="3"/>
  <c r="CN88" i="3"/>
  <c r="F97" i="3"/>
  <c r="CO189" i="2"/>
  <c r="CG189" i="2"/>
  <c r="BY189" i="2"/>
  <c r="BQ189" i="2"/>
  <c r="BI189" i="2"/>
  <c r="BA189" i="2"/>
  <c r="AS189" i="2"/>
  <c r="AK189" i="2"/>
  <c r="AC189" i="2"/>
  <c r="U189" i="2"/>
  <c r="CM189" i="2"/>
  <c r="CE189" i="2"/>
  <c r="BW189" i="2"/>
  <c r="BO189" i="2"/>
  <c r="BG189" i="2"/>
  <c r="AY189" i="2"/>
  <c r="AQ189" i="2"/>
  <c r="AI189" i="2"/>
  <c r="AA189" i="2"/>
  <c r="S189" i="2"/>
  <c r="CK189" i="2"/>
  <c r="CC189" i="2"/>
  <c r="BU189" i="2"/>
  <c r="BM189" i="2"/>
  <c r="BE189" i="2"/>
  <c r="AW189" i="2"/>
  <c r="AO189" i="2"/>
  <c r="AG189" i="2"/>
  <c r="Y189" i="2"/>
  <c r="CQ189" i="2"/>
  <c r="CI189" i="2"/>
  <c r="CA189" i="2"/>
  <c r="BS189" i="2"/>
  <c r="BK189" i="2"/>
  <c r="BC189" i="2"/>
  <c r="AU189" i="2"/>
  <c r="AM189" i="2"/>
  <c r="AE189" i="2"/>
  <c r="W189" i="2"/>
  <c r="CP189" i="2"/>
  <c r="BZ189" i="2"/>
  <c r="BJ189" i="2"/>
  <c r="AT189" i="2"/>
  <c r="AD189" i="2"/>
  <c r="CN189" i="2"/>
  <c r="BX189" i="2"/>
  <c r="BH189" i="2"/>
  <c r="AR189" i="2"/>
  <c r="AB189" i="2"/>
  <c r="CL189" i="2"/>
  <c r="BV189" i="2"/>
  <c r="BF189" i="2"/>
  <c r="AP189" i="2"/>
  <c r="Z189" i="2"/>
  <c r="CJ189" i="2"/>
  <c r="BT189" i="2"/>
  <c r="BD189" i="2"/>
  <c r="AN189" i="2"/>
  <c r="X189" i="2"/>
  <c r="CH189" i="2"/>
  <c r="BR189" i="2"/>
  <c r="BB189" i="2"/>
  <c r="AL189" i="2"/>
  <c r="V189" i="2"/>
  <c r="J189" i="2"/>
  <c r="CF189" i="2"/>
  <c r="BP189" i="2"/>
  <c r="AZ189" i="2"/>
  <c r="AJ189" i="2"/>
  <c r="T189" i="2"/>
  <c r="CD189" i="2"/>
  <c r="BN189" i="2"/>
  <c r="AX189" i="2"/>
  <c r="AH189" i="2"/>
  <c r="R189" i="2"/>
  <c r="CB189" i="2"/>
  <c r="BL189" i="2"/>
  <c r="AV189" i="2"/>
  <c r="AF189" i="2"/>
  <c r="F45" i="3"/>
  <c r="CO77" i="2"/>
  <c r="CM45" i="3" s="1"/>
  <c r="CG77" i="2"/>
  <c r="CE45" i="3" s="1"/>
  <c r="BY77" i="2"/>
  <c r="BW45" i="3" s="1"/>
  <c r="BQ77" i="2"/>
  <c r="BI77" i="2"/>
  <c r="BG45" i="3" s="1"/>
  <c r="BA77" i="2"/>
  <c r="AY45" i="3" s="1"/>
  <c r="AS77" i="2"/>
  <c r="AQ45" i="3" s="1"/>
  <c r="AK77" i="2"/>
  <c r="AI45" i="3" s="1"/>
  <c r="AC77" i="2"/>
  <c r="AA45" i="3" s="1"/>
  <c r="U77" i="2"/>
  <c r="S45" i="3" s="1"/>
  <c r="CK77" i="2"/>
  <c r="CI45" i="3" s="1"/>
  <c r="CC77" i="2"/>
  <c r="CA45" i="3" s="1"/>
  <c r="BU77" i="2"/>
  <c r="BS45" i="3" s="1"/>
  <c r="BM77" i="2"/>
  <c r="BK45" i="3" s="1"/>
  <c r="BE77" i="2"/>
  <c r="BC45" i="3" s="1"/>
  <c r="AW77" i="2"/>
  <c r="AU45" i="3" s="1"/>
  <c r="AO77" i="2"/>
  <c r="AM45" i="3" s="1"/>
  <c r="AG77" i="2"/>
  <c r="AE45" i="3" s="1"/>
  <c r="Y77" i="2"/>
  <c r="W45" i="3" s="1"/>
  <c r="CJ77" i="2"/>
  <c r="CH45" i="3" s="1"/>
  <c r="CB77" i="2"/>
  <c r="BZ45" i="3" s="1"/>
  <c r="BT77" i="2"/>
  <c r="BR45" i="3" s="1"/>
  <c r="BL77" i="2"/>
  <c r="BJ45" i="3" s="1"/>
  <c r="BD77" i="2"/>
  <c r="BB45" i="3" s="1"/>
  <c r="AV77" i="2"/>
  <c r="AT45" i="3" s="1"/>
  <c r="AN77" i="2"/>
  <c r="AL45" i="3" s="1"/>
  <c r="AF77" i="2"/>
  <c r="AD45" i="3" s="1"/>
  <c r="X77" i="2"/>
  <c r="V45" i="3" s="1"/>
  <c r="CM77" i="2"/>
  <c r="CK45" i="3" s="1"/>
  <c r="BZ77" i="2"/>
  <c r="BX45" i="3" s="1"/>
  <c r="BN77" i="2"/>
  <c r="BL45" i="3" s="1"/>
  <c r="AZ77" i="2"/>
  <c r="AX45" i="3" s="1"/>
  <c r="AM77" i="2"/>
  <c r="AK45" i="3" s="1"/>
  <c r="AA77" i="2"/>
  <c r="Y45" i="3" s="1"/>
  <c r="CL77" i="2"/>
  <c r="CJ45" i="3" s="1"/>
  <c r="BX77" i="2"/>
  <c r="BV45" i="3" s="1"/>
  <c r="BK77" i="2"/>
  <c r="BI45" i="3" s="1"/>
  <c r="AY77" i="2"/>
  <c r="AW45" i="3" s="1"/>
  <c r="AL77" i="2"/>
  <c r="AJ45" i="3" s="1"/>
  <c r="Z77" i="2"/>
  <c r="X45" i="3" s="1"/>
  <c r="CI77" i="2"/>
  <c r="CG45" i="3" s="1"/>
  <c r="BW77" i="2"/>
  <c r="BU45" i="3" s="1"/>
  <c r="BJ77" i="2"/>
  <c r="BH45" i="3" s="1"/>
  <c r="AX77" i="2"/>
  <c r="AV45" i="3" s="1"/>
  <c r="AJ77" i="2"/>
  <c r="AH45" i="3" s="1"/>
  <c r="W77" i="2"/>
  <c r="U45" i="3" s="1"/>
  <c r="CH77" i="2"/>
  <c r="CF45" i="3" s="1"/>
  <c r="BV77" i="2"/>
  <c r="BT45" i="3" s="1"/>
  <c r="BH77" i="2"/>
  <c r="BF45" i="3" s="1"/>
  <c r="AU77" i="2"/>
  <c r="AS45" i="3" s="1"/>
  <c r="AI77" i="2"/>
  <c r="AG45" i="3" s="1"/>
  <c r="V77" i="2"/>
  <c r="T45" i="3" s="1"/>
  <c r="CF77" i="2"/>
  <c r="CD45" i="3" s="1"/>
  <c r="BS77" i="2"/>
  <c r="BQ45" i="3" s="1"/>
  <c r="BG77" i="2"/>
  <c r="BE45" i="3" s="1"/>
  <c r="AT77" i="2"/>
  <c r="AR45" i="3" s="1"/>
  <c r="AH77" i="2"/>
  <c r="AF45" i="3" s="1"/>
  <c r="T77" i="2"/>
  <c r="R45" i="3" s="1"/>
  <c r="J77" i="2"/>
  <c r="H45" i="3" s="1"/>
  <c r="CQ77" i="2"/>
  <c r="CE77" i="2"/>
  <c r="CC45" i="3" s="1"/>
  <c r="BR77" i="2"/>
  <c r="BP45" i="3" s="1"/>
  <c r="BF77" i="2"/>
  <c r="BD45" i="3" s="1"/>
  <c r="AR77" i="2"/>
  <c r="AP45" i="3" s="1"/>
  <c r="AE77" i="2"/>
  <c r="AC45" i="3" s="1"/>
  <c r="S77" i="2"/>
  <c r="Q45" i="3" s="1"/>
  <c r="CP77" i="2"/>
  <c r="CD77" i="2"/>
  <c r="CB45" i="3" s="1"/>
  <c r="BP77" i="2"/>
  <c r="BC77" i="2"/>
  <c r="BA45" i="3" s="1"/>
  <c r="AQ77" i="2"/>
  <c r="AD77" i="2"/>
  <c r="AB45" i="3" s="1"/>
  <c r="R77" i="2"/>
  <c r="P45" i="3" s="1"/>
  <c r="CN77" i="2"/>
  <c r="CL45" i="3" s="1"/>
  <c r="CA77" i="2"/>
  <c r="BY45" i="3" s="1"/>
  <c r="BO77" i="2"/>
  <c r="BM45" i="3" s="1"/>
  <c r="BB77" i="2"/>
  <c r="AZ45" i="3" s="1"/>
  <c r="AP77" i="2"/>
  <c r="AB77" i="2"/>
  <c r="Z45" i="3" s="1"/>
  <c r="AO65" i="3"/>
  <c r="AN65" i="3"/>
  <c r="BJ51" i="3"/>
  <c r="Z51" i="3"/>
  <c r="E108" i="3"/>
  <c r="O200" i="2"/>
  <c r="M108" i="3" s="1"/>
  <c r="P200" i="2"/>
  <c r="M200" i="2"/>
  <c r="K108" i="3" s="1"/>
  <c r="L200" i="2"/>
  <c r="J108" i="3" s="1"/>
  <c r="O119" i="3"/>
  <c r="N119" i="3"/>
  <c r="E114" i="3"/>
  <c r="O206" i="2"/>
  <c r="M114" i="3" s="1"/>
  <c r="M206" i="2"/>
  <c r="K114" i="3" s="1"/>
  <c r="L206" i="2"/>
  <c r="J114" i="3" s="1"/>
  <c r="P206" i="2"/>
  <c r="BO118" i="3"/>
  <c r="BN118" i="3"/>
  <c r="F111" i="3"/>
  <c r="CM203" i="2"/>
  <c r="CK111" i="3" s="1"/>
  <c r="CE203" i="2"/>
  <c r="CC111" i="3" s="1"/>
  <c r="BW203" i="2"/>
  <c r="BU111" i="3" s="1"/>
  <c r="BO203" i="2"/>
  <c r="BM111" i="3" s="1"/>
  <c r="BG203" i="2"/>
  <c r="BE111" i="3" s="1"/>
  <c r="AY203" i="2"/>
  <c r="AW111" i="3" s="1"/>
  <c r="AQ203" i="2"/>
  <c r="AI203" i="2"/>
  <c r="AG111" i="3" s="1"/>
  <c r="AA203" i="2"/>
  <c r="Y111" i="3" s="1"/>
  <c r="S203" i="2"/>
  <c r="Q111" i="3" s="1"/>
  <c r="CQ203" i="2"/>
  <c r="CI203" i="2"/>
  <c r="CG111" i="3" s="1"/>
  <c r="CA203" i="2"/>
  <c r="BY111" i="3" s="1"/>
  <c r="BS203" i="2"/>
  <c r="BQ111" i="3" s="1"/>
  <c r="BK203" i="2"/>
  <c r="BI111" i="3" s="1"/>
  <c r="BC203" i="2"/>
  <c r="BA111" i="3" s="1"/>
  <c r="AU203" i="2"/>
  <c r="AS111" i="3" s="1"/>
  <c r="AM203" i="2"/>
  <c r="AK111" i="3" s="1"/>
  <c r="AE203" i="2"/>
  <c r="AC111" i="3" s="1"/>
  <c r="W203" i="2"/>
  <c r="U111" i="3" s="1"/>
  <c r="CL203" i="2"/>
  <c r="CJ111" i="3" s="1"/>
  <c r="CB203" i="2"/>
  <c r="BZ111" i="3" s="1"/>
  <c r="BQ203" i="2"/>
  <c r="BF203" i="2"/>
  <c r="BD111" i="3" s="1"/>
  <c r="AV203" i="2"/>
  <c r="AT111" i="3" s="1"/>
  <c r="AK203" i="2"/>
  <c r="AI111" i="3" s="1"/>
  <c r="Z203" i="2"/>
  <c r="X111" i="3" s="1"/>
  <c r="CK203" i="2"/>
  <c r="CI111" i="3" s="1"/>
  <c r="BZ203" i="2"/>
  <c r="BX111" i="3" s="1"/>
  <c r="BP203" i="2"/>
  <c r="BE203" i="2"/>
  <c r="BC111" i="3" s="1"/>
  <c r="AT203" i="2"/>
  <c r="AR111" i="3" s="1"/>
  <c r="AJ203" i="2"/>
  <c r="AH111" i="3" s="1"/>
  <c r="Y203" i="2"/>
  <c r="W111" i="3" s="1"/>
  <c r="CJ203" i="2"/>
  <c r="CH111" i="3" s="1"/>
  <c r="BY203" i="2"/>
  <c r="BW111" i="3" s="1"/>
  <c r="BN203" i="2"/>
  <c r="BL111" i="3" s="1"/>
  <c r="BD203" i="2"/>
  <c r="BB111" i="3" s="1"/>
  <c r="AS203" i="2"/>
  <c r="AQ111" i="3" s="1"/>
  <c r="AH203" i="2"/>
  <c r="AF111" i="3" s="1"/>
  <c r="X203" i="2"/>
  <c r="V111" i="3" s="1"/>
  <c r="CH203" i="2"/>
  <c r="CF111" i="3" s="1"/>
  <c r="BX203" i="2"/>
  <c r="BV111" i="3" s="1"/>
  <c r="BM203" i="2"/>
  <c r="BK111" i="3" s="1"/>
  <c r="BB203" i="2"/>
  <c r="AZ111" i="3" s="1"/>
  <c r="AR203" i="2"/>
  <c r="AP111" i="3" s="1"/>
  <c r="AG203" i="2"/>
  <c r="AE111" i="3" s="1"/>
  <c r="V203" i="2"/>
  <c r="T111" i="3" s="1"/>
  <c r="CG203" i="2"/>
  <c r="CE111" i="3" s="1"/>
  <c r="BV203" i="2"/>
  <c r="BT111" i="3" s="1"/>
  <c r="BL203" i="2"/>
  <c r="BJ111" i="3" s="1"/>
  <c r="BA203" i="2"/>
  <c r="AY111" i="3" s="1"/>
  <c r="AP203" i="2"/>
  <c r="AF203" i="2"/>
  <c r="AD111" i="3" s="1"/>
  <c r="U203" i="2"/>
  <c r="S111" i="3" s="1"/>
  <c r="CP203" i="2"/>
  <c r="CF203" i="2"/>
  <c r="CD111" i="3" s="1"/>
  <c r="BU203" i="2"/>
  <c r="BS111" i="3" s="1"/>
  <c r="BJ203" i="2"/>
  <c r="BH111" i="3" s="1"/>
  <c r="AZ203" i="2"/>
  <c r="AX111" i="3" s="1"/>
  <c r="AO203" i="2"/>
  <c r="AM111" i="3" s="1"/>
  <c r="AD203" i="2"/>
  <c r="AB111" i="3" s="1"/>
  <c r="T203" i="2"/>
  <c r="R111" i="3" s="1"/>
  <c r="J203" i="2"/>
  <c r="H111" i="3" s="1"/>
  <c r="CO203" i="2"/>
  <c r="CM111" i="3" s="1"/>
  <c r="CD203" i="2"/>
  <c r="CB111" i="3" s="1"/>
  <c r="BT203" i="2"/>
  <c r="BR111" i="3" s="1"/>
  <c r="BI203" i="2"/>
  <c r="BG111" i="3" s="1"/>
  <c r="AX203" i="2"/>
  <c r="AV111" i="3" s="1"/>
  <c r="AN203" i="2"/>
  <c r="AL111" i="3" s="1"/>
  <c r="AC203" i="2"/>
  <c r="AA111" i="3" s="1"/>
  <c r="R203" i="2"/>
  <c r="P111" i="3" s="1"/>
  <c r="CN203" i="2"/>
  <c r="CL111" i="3" s="1"/>
  <c r="CC203" i="2"/>
  <c r="CA111" i="3" s="1"/>
  <c r="BR203" i="2"/>
  <c r="BP111" i="3" s="1"/>
  <c r="BH203" i="2"/>
  <c r="BF111" i="3" s="1"/>
  <c r="AW203" i="2"/>
  <c r="AU111" i="3" s="1"/>
  <c r="AL203" i="2"/>
  <c r="AJ111" i="3" s="1"/>
  <c r="AB203" i="2"/>
  <c r="Z111" i="3" s="1"/>
  <c r="AO103" i="3"/>
  <c r="AN103" i="3"/>
  <c r="BO101" i="3"/>
  <c r="BN101" i="3"/>
  <c r="F79" i="3"/>
  <c r="CJ151" i="2"/>
  <c r="CH79" i="3" s="1"/>
  <c r="CB151" i="2"/>
  <c r="BZ79" i="3" s="1"/>
  <c r="BT151" i="2"/>
  <c r="BR79" i="3" s="1"/>
  <c r="BL151" i="2"/>
  <c r="BJ79" i="3" s="1"/>
  <c r="BD151" i="2"/>
  <c r="BB79" i="3" s="1"/>
  <c r="AV151" i="2"/>
  <c r="AT79" i="3" s="1"/>
  <c r="AN151" i="2"/>
  <c r="AL79" i="3" s="1"/>
  <c r="AF151" i="2"/>
  <c r="AD79" i="3" s="1"/>
  <c r="X151" i="2"/>
  <c r="V79" i="3" s="1"/>
  <c r="CQ151" i="2"/>
  <c r="CI151" i="2"/>
  <c r="CG79" i="3" s="1"/>
  <c r="CA151" i="2"/>
  <c r="BY79" i="3" s="1"/>
  <c r="BS151" i="2"/>
  <c r="BQ79" i="3" s="1"/>
  <c r="BK151" i="2"/>
  <c r="BI79" i="3" s="1"/>
  <c r="BC151" i="2"/>
  <c r="BA79" i="3" s="1"/>
  <c r="AU151" i="2"/>
  <c r="AS79" i="3" s="1"/>
  <c r="AM151" i="2"/>
  <c r="AK79" i="3" s="1"/>
  <c r="AE151" i="2"/>
  <c r="AC79" i="3" s="1"/>
  <c r="W151" i="2"/>
  <c r="U79" i="3" s="1"/>
  <c r="CP151" i="2"/>
  <c r="CH151" i="2"/>
  <c r="CF79" i="3" s="1"/>
  <c r="BZ151" i="2"/>
  <c r="BX79" i="3" s="1"/>
  <c r="BR151" i="2"/>
  <c r="BP79" i="3" s="1"/>
  <c r="BJ151" i="2"/>
  <c r="BH79" i="3" s="1"/>
  <c r="BB151" i="2"/>
  <c r="AZ79" i="3" s="1"/>
  <c r="AT151" i="2"/>
  <c r="AR79" i="3" s="1"/>
  <c r="AL151" i="2"/>
  <c r="AJ79" i="3" s="1"/>
  <c r="AD151" i="2"/>
  <c r="AB79" i="3" s="1"/>
  <c r="V151" i="2"/>
  <c r="T79" i="3" s="1"/>
  <c r="CO151" i="2"/>
  <c r="CM79" i="3" s="1"/>
  <c r="CG151" i="2"/>
  <c r="CE79" i="3" s="1"/>
  <c r="BY151" i="2"/>
  <c r="BW79" i="3" s="1"/>
  <c r="BQ151" i="2"/>
  <c r="BI151" i="2"/>
  <c r="BG79" i="3" s="1"/>
  <c r="BA151" i="2"/>
  <c r="AY79" i="3" s="1"/>
  <c r="AS151" i="2"/>
  <c r="AQ79" i="3" s="1"/>
  <c r="AK151" i="2"/>
  <c r="AI79" i="3" s="1"/>
  <c r="AC151" i="2"/>
  <c r="AA79" i="3" s="1"/>
  <c r="U151" i="2"/>
  <c r="S79" i="3" s="1"/>
  <c r="CN151" i="2"/>
  <c r="CL79" i="3" s="1"/>
  <c r="CF151" i="2"/>
  <c r="CD79" i="3" s="1"/>
  <c r="BX151" i="2"/>
  <c r="BV79" i="3" s="1"/>
  <c r="BP151" i="2"/>
  <c r="BH151" i="2"/>
  <c r="BF79" i="3" s="1"/>
  <c r="AZ151" i="2"/>
  <c r="AX79" i="3" s="1"/>
  <c r="AR151" i="2"/>
  <c r="AP79" i="3" s="1"/>
  <c r="AJ151" i="2"/>
  <c r="AH79" i="3" s="1"/>
  <c r="AB151" i="2"/>
  <c r="Z79" i="3" s="1"/>
  <c r="T151" i="2"/>
  <c r="R79" i="3" s="1"/>
  <c r="CM151" i="2"/>
  <c r="CK79" i="3" s="1"/>
  <c r="CE151" i="2"/>
  <c r="CC79" i="3" s="1"/>
  <c r="BW151" i="2"/>
  <c r="BU79" i="3" s="1"/>
  <c r="BO151" i="2"/>
  <c r="BM79" i="3" s="1"/>
  <c r="BG151" i="2"/>
  <c r="BE79" i="3" s="1"/>
  <c r="AY151" i="2"/>
  <c r="AW79" i="3" s="1"/>
  <c r="AQ151" i="2"/>
  <c r="AI151" i="2"/>
  <c r="AG79" i="3" s="1"/>
  <c r="AA151" i="2"/>
  <c r="Y79" i="3" s="1"/>
  <c r="S151" i="2"/>
  <c r="Q79" i="3" s="1"/>
  <c r="CL151" i="2"/>
  <c r="CJ79" i="3" s="1"/>
  <c r="CD151" i="2"/>
  <c r="CB79" i="3" s="1"/>
  <c r="BV151" i="2"/>
  <c r="BT79" i="3" s="1"/>
  <c r="BN151" i="2"/>
  <c r="BL79" i="3" s="1"/>
  <c r="BF151" i="2"/>
  <c r="BD79" i="3" s="1"/>
  <c r="AX151" i="2"/>
  <c r="AV79" i="3" s="1"/>
  <c r="AP151" i="2"/>
  <c r="AH151" i="2"/>
  <c r="AF79" i="3" s="1"/>
  <c r="Z151" i="2"/>
  <c r="X79" i="3" s="1"/>
  <c r="R151" i="2"/>
  <c r="P79" i="3" s="1"/>
  <c r="J151" i="2"/>
  <c r="H79" i="3" s="1"/>
  <c r="CK151" i="2"/>
  <c r="CI79" i="3" s="1"/>
  <c r="CC151" i="2"/>
  <c r="CA79" i="3" s="1"/>
  <c r="BU151" i="2"/>
  <c r="BS79" i="3" s="1"/>
  <c r="BM151" i="2"/>
  <c r="BK79" i="3" s="1"/>
  <c r="BE151" i="2"/>
  <c r="BC79" i="3" s="1"/>
  <c r="AW151" i="2"/>
  <c r="AU79" i="3" s="1"/>
  <c r="AO151" i="2"/>
  <c r="AM79" i="3" s="1"/>
  <c r="AG151" i="2"/>
  <c r="AE79" i="3" s="1"/>
  <c r="Y151" i="2"/>
  <c r="W79" i="3" s="1"/>
  <c r="AO94" i="3"/>
  <c r="AN94" i="3"/>
  <c r="CO103" i="3"/>
  <c r="CN103" i="3"/>
  <c r="E96" i="3"/>
  <c r="O168" i="2"/>
  <c r="M96" i="3" s="1"/>
  <c r="M168" i="2"/>
  <c r="K96" i="3" s="1"/>
  <c r="P168" i="2"/>
  <c r="L168" i="2"/>
  <c r="J96" i="3" s="1"/>
  <c r="F93" i="3"/>
  <c r="CM165" i="2"/>
  <c r="CK93" i="3" s="1"/>
  <c r="CE165" i="2"/>
  <c r="CC93" i="3" s="1"/>
  <c r="BW165" i="2"/>
  <c r="BU93" i="3" s="1"/>
  <c r="BO165" i="2"/>
  <c r="BM93" i="3" s="1"/>
  <c r="BG165" i="2"/>
  <c r="BE93" i="3" s="1"/>
  <c r="AY165" i="2"/>
  <c r="AW93" i="3" s="1"/>
  <c r="AQ165" i="2"/>
  <c r="AI165" i="2"/>
  <c r="AG93" i="3" s="1"/>
  <c r="AA165" i="2"/>
  <c r="Y93" i="3" s="1"/>
  <c r="S165" i="2"/>
  <c r="Q93" i="3" s="1"/>
  <c r="CK165" i="2"/>
  <c r="CI93" i="3" s="1"/>
  <c r="CC165" i="2"/>
  <c r="CA93" i="3" s="1"/>
  <c r="BU165" i="2"/>
  <c r="BS93" i="3" s="1"/>
  <c r="BM165" i="2"/>
  <c r="BK93" i="3" s="1"/>
  <c r="BE165" i="2"/>
  <c r="BC93" i="3" s="1"/>
  <c r="AW165" i="2"/>
  <c r="AU93" i="3" s="1"/>
  <c r="AO165" i="2"/>
  <c r="AM93" i="3" s="1"/>
  <c r="AG165" i="2"/>
  <c r="AE93" i="3" s="1"/>
  <c r="Y165" i="2"/>
  <c r="W93" i="3" s="1"/>
  <c r="CQ165" i="2"/>
  <c r="CI165" i="2"/>
  <c r="CG93" i="3" s="1"/>
  <c r="CA165" i="2"/>
  <c r="BY93" i="3" s="1"/>
  <c r="BS165" i="2"/>
  <c r="BQ93" i="3" s="1"/>
  <c r="BK165" i="2"/>
  <c r="BI93" i="3" s="1"/>
  <c r="BC165" i="2"/>
  <c r="BA93" i="3" s="1"/>
  <c r="AU165" i="2"/>
  <c r="AS93" i="3" s="1"/>
  <c r="AM165" i="2"/>
  <c r="AK93" i="3" s="1"/>
  <c r="AE165" i="2"/>
  <c r="AC93" i="3" s="1"/>
  <c r="W165" i="2"/>
  <c r="U93" i="3" s="1"/>
  <c r="CO165" i="2"/>
  <c r="CM93" i="3" s="1"/>
  <c r="CG165" i="2"/>
  <c r="CE93" i="3" s="1"/>
  <c r="BY165" i="2"/>
  <c r="BW93" i="3" s="1"/>
  <c r="BQ165" i="2"/>
  <c r="BI165" i="2"/>
  <c r="BG93" i="3" s="1"/>
  <c r="BA165" i="2"/>
  <c r="AY93" i="3" s="1"/>
  <c r="AS165" i="2"/>
  <c r="AQ93" i="3" s="1"/>
  <c r="AK165" i="2"/>
  <c r="AI93" i="3" s="1"/>
  <c r="AC165" i="2"/>
  <c r="AA93" i="3" s="1"/>
  <c r="U165" i="2"/>
  <c r="S93" i="3" s="1"/>
  <c r="CP165" i="2"/>
  <c r="BZ165" i="2"/>
  <c r="BX93" i="3" s="1"/>
  <c r="BJ165" i="2"/>
  <c r="BH93" i="3" s="1"/>
  <c r="AT165" i="2"/>
  <c r="AR93" i="3" s="1"/>
  <c r="AD165" i="2"/>
  <c r="AB93" i="3" s="1"/>
  <c r="CN165" i="2"/>
  <c r="CL93" i="3" s="1"/>
  <c r="BX165" i="2"/>
  <c r="BV93" i="3" s="1"/>
  <c r="BH165" i="2"/>
  <c r="BF93" i="3" s="1"/>
  <c r="AR165" i="2"/>
  <c r="AP93" i="3" s="1"/>
  <c r="AB165" i="2"/>
  <c r="Z93" i="3" s="1"/>
  <c r="CL165" i="2"/>
  <c r="CJ93" i="3" s="1"/>
  <c r="BV165" i="2"/>
  <c r="BT93" i="3" s="1"/>
  <c r="BF165" i="2"/>
  <c r="BD93" i="3" s="1"/>
  <c r="AP165" i="2"/>
  <c r="Z165" i="2"/>
  <c r="X93" i="3" s="1"/>
  <c r="CJ165" i="2"/>
  <c r="CH93" i="3" s="1"/>
  <c r="BT165" i="2"/>
  <c r="BR93" i="3" s="1"/>
  <c r="BD165" i="2"/>
  <c r="BB93" i="3" s="1"/>
  <c r="AN165" i="2"/>
  <c r="AL93" i="3" s="1"/>
  <c r="X165" i="2"/>
  <c r="V93" i="3" s="1"/>
  <c r="CH165" i="2"/>
  <c r="CF93" i="3" s="1"/>
  <c r="BR165" i="2"/>
  <c r="BP93" i="3" s="1"/>
  <c r="BB165" i="2"/>
  <c r="AZ93" i="3" s="1"/>
  <c r="AL165" i="2"/>
  <c r="AJ93" i="3" s="1"/>
  <c r="V165" i="2"/>
  <c r="T93" i="3" s="1"/>
  <c r="J165" i="2"/>
  <c r="H93" i="3" s="1"/>
  <c r="CF165" i="2"/>
  <c r="CD93" i="3" s="1"/>
  <c r="BP165" i="2"/>
  <c r="AZ165" i="2"/>
  <c r="AX93" i="3" s="1"/>
  <c r="AJ165" i="2"/>
  <c r="AH93" i="3" s="1"/>
  <c r="T165" i="2"/>
  <c r="R93" i="3" s="1"/>
  <c r="CD165" i="2"/>
  <c r="CB93" i="3" s="1"/>
  <c r="BN165" i="2"/>
  <c r="BL93" i="3" s="1"/>
  <c r="AX165" i="2"/>
  <c r="AV93" i="3" s="1"/>
  <c r="AH165" i="2"/>
  <c r="AF93" i="3" s="1"/>
  <c r="R165" i="2"/>
  <c r="P93" i="3" s="1"/>
  <c r="CB165" i="2"/>
  <c r="BZ93" i="3" s="1"/>
  <c r="BL165" i="2"/>
  <c r="BJ93" i="3" s="1"/>
  <c r="AV165" i="2"/>
  <c r="AT93" i="3" s="1"/>
  <c r="AF165" i="2"/>
  <c r="AD93" i="3" s="1"/>
  <c r="E69" i="3"/>
  <c r="O121" i="2"/>
  <c r="M69" i="3" s="1"/>
  <c r="P121" i="2"/>
  <c r="M121" i="2"/>
  <c r="K69" i="3" s="1"/>
  <c r="L121" i="2"/>
  <c r="J69" i="3" s="1"/>
  <c r="E56" i="3"/>
  <c r="O108" i="2"/>
  <c r="M56" i="3" s="1"/>
  <c r="M108" i="2"/>
  <c r="K56" i="3" s="1"/>
  <c r="P108" i="2"/>
  <c r="L108" i="2"/>
  <c r="J56" i="3" s="1"/>
  <c r="E66" i="3"/>
  <c r="P118" i="2"/>
  <c r="O118" i="2"/>
  <c r="M66" i="3" s="1"/>
  <c r="L118" i="2"/>
  <c r="J66" i="3" s="1"/>
  <c r="M118" i="2"/>
  <c r="K66" i="3" s="1"/>
  <c r="E62" i="3"/>
  <c r="O114" i="2"/>
  <c r="M62" i="3" s="1"/>
  <c r="P114" i="2"/>
  <c r="L114" i="2"/>
  <c r="J62" i="3" s="1"/>
  <c r="M114" i="2"/>
  <c r="K62" i="3" s="1"/>
  <c r="F74" i="3"/>
  <c r="CM146" i="2"/>
  <c r="CE146" i="2"/>
  <c r="BW146" i="2"/>
  <c r="BO146" i="2"/>
  <c r="BG146" i="2"/>
  <c r="AY146" i="2"/>
  <c r="AQ146" i="2"/>
  <c r="AI146" i="2"/>
  <c r="AA146" i="2"/>
  <c r="S146" i="2"/>
  <c r="CL146" i="2"/>
  <c r="CD146" i="2"/>
  <c r="BV146" i="2"/>
  <c r="BN146" i="2"/>
  <c r="BF146" i="2"/>
  <c r="AX146" i="2"/>
  <c r="AP146" i="2"/>
  <c r="AH146" i="2"/>
  <c r="Z146" i="2"/>
  <c r="R146" i="2"/>
  <c r="J146" i="2"/>
  <c r="CK146" i="2"/>
  <c r="CC146" i="2"/>
  <c r="BU146" i="2"/>
  <c r="BM146" i="2"/>
  <c r="BE146" i="2"/>
  <c r="AW146" i="2"/>
  <c r="AO146" i="2"/>
  <c r="AG146" i="2"/>
  <c r="Y146" i="2"/>
  <c r="CP146" i="2"/>
  <c r="CH146" i="2"/>
  <c r="BZ146" i="2"/>
  <c r="BR146" i="2"/>
  <c r="BJ146" i="2"/>
  <c r="BB146" i="2"/>
  <c r="AT146" i="2"/>
  <c r="AL146" i="2"/>
  <c r="AD146" i="2"/>
  <c r="V146" i="2"/>
  <c r="CO146" i="2"/>
  <c r="CG146" i="2"/>
  <c r="BY146" i="2"/>
  <c r="BQ146" i="2"/>
  <c r="BI146" i="2"/>
  <c r="BA146" i="2"/>
  <c r="AS146" i="2"/>
  <c r="AK146" i="2"/>
  <c r="AC146" i="2"/>
  <c r="U146" i="2"/>
  <c r="CQ146" i="2"/>
  <c r="BT146" i="2"/>
  <c r="AZ146" i="2"/>
  <c r="AE146" i="2"/>
  <c r="CN146" i="2"/>
  <c r="BS146" i="2"/>
  <c r="AV146" i="2"/>
  <c r="AB146" i="2"/>
  <c r="CJ146" i="2"/>
  <c r="BP146" i="2"/>
  <c r="AU146" i="2"/>
  <c r="X146" i="2"/>
  <c r="CI146" i="2"/>
  <c r="BL146" i="2"/>
  <c r="AR146" i="2"/>
  <c r="W146" i="2"/>
  <c r="CF146" i="2"/>
  <c r="BK146" i="2"/>
  <c r="AN146" i="2"/>
  <c r="T146" i="2"/>
  <c r="CB146" i="2"/>
  <c r="BH146" i="2"/>
  <c r="AM146" i="2"/>
  <c r="CA146" i="2"/>
  <c r="BD146" i="2"/>
  <c r="AJ146" i="2"/>
  <c r="BX146" i="2"/>
  <c r="BC146" i="2"/>
  <c r="AF146" i="2"/>
  <c r="E57" i="3"/>
  <c r="L109" i="2"/>
  <c r="J57" i="3" s="1"/>
  <c r="P109" i="2"/>
  <c r="O109" i="2"/>
  <c r="M57" i="3" s="1"/>
  <c r="M109" i="2"/>
  <c r="K57" i="3" s="1"/>
  <c r="AO72" i="3"/>
  <c r="AN72" i="3"/>
  <c r="BN69" i="3"/>
  <c r="BO69" i="3"/>
  <c r="AN69" i="3"/>
  <c r="AO69" i="3"/>
  <c r="E39" i="3"/>
  <c r="P71" i="2"/>
  <c r="O71" i="2"/>
  <c r="M39" i="3" s="1"/>
  <c r="M71" i="2"/>
  <c r="K39" i="3" s="1"/>
  <c r="L71" i="2"/>
  <c r="J39" i="3" s="1"/>
  <c r="W51" i="3"/>
  <c r="CI51" i="3"/>
  <c r="BL51" i="3"/>
  <c r="AX51" i="3"/>
  <c r="AI51" i="3"/>
  <c r="T51" i="3"/>
  <c r="CF51" i="3"/>
  <c r="F48" i="3"/>
  <c r="CN80" i="2"/>
  <c r="CL48" i="3" s="1"/>
  <c r="CF80" i="2"/>
  <c r="CD48" i="3" s="1"/>
  <c r="BX80" i="2"/>
  <c r="BV48" i="3" s="1"/>
  <c r="BP80" i="2"/>
  <c r="BH80" i="2"/>
  <c r="BF48" i="3" s="1"/>
  <c r="AZ80" i="2"/>
  <c r="AX48" i="3" s="1"/>
  <c r="AR80" i="2"/>
  <c r="AP48" i="3" s="1"/>
  <c r="AJ80" i="2"/>
  <c r="AH48" i="3" s="1"/>
  <c r="AB80" i="2"/>
  <c r="Z48" i="3" s="1"/>
  <c r="T80" i="2"/>
  <c r="R48" i="3" s="1"/>
  <c r="CM80" i="2"/>
  <c r="CK48" i="3" s="1"/>
  <c r="CE80" i="2"/>
  <c r="CC48" i="3" s="1"/>
  <c r="BW80" i="2"/>
  <c r="BU48" i="3" s="1"/>
  <c r="BO80" i="2"/>
  <c r="BM48" i="3" s="1"/>
  <c r="BG80" i="2"/>
  <c r="BE48" i="3" s="1"/>
  <c r="AY80" i="2"/>
  <c r="AW48" i="3" s="1"/>
  <c r="AQ80" i="2"/>
  <c r="AI80" i="2"/>
  <c r="AG48" i="3" s="1"/>
  <c r="AA80" i="2"/>
  <c r="Y48" i="3" s="1"/>
  <c r="S80" i="2"/>
  <c r="Q48" i="3" s="1"/>
  <c r="CJ80" i="2"/>
  <c r="CH48" i="3" s="1"/>
  <c r="CB80" i="2"/>
  <c r="BZ48" i="3" s="1"/>
  <c r="BT80" i="2"/>
  <c r="BR48" i="3" s="1"/>
  <c r="BL80" i="2"/>
  <c r="BJ48" i="3" s="1"/>
  <c r="BD80" i="2"/>
  <c r="BB48" i="3" s="1"/>
  <c r="AV80" i="2"/>
  <c r="AT48" i="3" s="1"/>
  <c r="AN80" i="2"/>
  <c r="AL48" i="3" s="1"/>
  <c r="AF80" i="2"/>
  <c r="AD48" i="3" s="1"/>
  <c r="X80" i="2"/>
  <c r="V48" i="3" s="1"/>
  <c r="CQ80" i="2"/>
  <c r="CI80" i="2"/>
  <c r="CG48" i="3" s="1"/>
  <c r="CA80" i="2"/>
  <c r="BY48" i="3" s="1"/>
  <c r="BS80" i="2"/>
  <c r="BQ48" i="3" s="1"/>
  <c r="BK80" i="2"/>
  <c r="BI48" i="3" s="1"/>
  <c r="BC80" i="2"/>
  <c r="BA48" i="3" s="1"/>
  <c r="AU80" i="2"/>
  <c r="AS48" i="3" s="1"/>
  <c r="AM80" i="2"/>
  <c r="AK48" i="3" s="1"/>
  <c r="AE80" i="2"/>
  <c r="AC48" i="3" s="1"/>
  <c r="W80" i="2"/>
  <c r="U48" i="3" s="1"/>
  <c r="CG80" i="2"/>
  <c r="CE48" i="3" s="1"/>
  <c r="BQ80" i="2"/>
  <c r="BA80" i="2"/>
  <c r="AY48" i="3" s="1"/>
  <c r="AK80" i="2"/>
  <c r="AI48" i="3" s="1"/>
  <c r="U80" i="2"/>
  <c r="S48" i="3" s="1"/>
  <c r="CD80" i="2"/>
  <c r="CB48" i="3" s="1"/>
  <c r="BN80" i="2"/>
  <c r="BL48" i="3" s="1"/>
  <c r="AX80" i="2"/>
  <c r="AV48" i="3" s="1"/>
  <c r="AH80" i="2"/>
  <c r="AF48" i="3" s="1"/>
  <c r="R80" i="2"/>
  <c r="P48" i="3" s="1"/>
  <c r="CC80" i="2"/>
  <c r="CA48" i="3" s="1"/>
  <c r="BM80" i="2"/>
  <c r="BK48" i="3" s="1"/>
  <c r="AW80" i="2"/>
  <c r="AU48" i="3" s="1"/>
  <c r="AG80" i="2"/>
  <c r="AE48" i="3" s="1"/>
  <c r="CP80" i="2"/>
  <c r="BZ80" i="2"/>
  <c r="BX48" i="3" s="1"/>
  <c r="BJ80" i="2"/>
  <c r="BH48" i="3" s="1"/>
  <c r="AT80" i="2"/>
  <c r="AR48" i="3" s="1"/>
  <c r="AD80" i="2"/>
  <c r="AB48" i="3" s="1"/>
  <c r="CO80" i="2"/>
  <c r="CM48" i="3" s="1"/>
  <c r="BY80" i="2"/>
  <c r="BW48" i="3" s="1"/>
  <c r="BI80" i="2"/>
  <c r="BG48" i="3" s="1"/>
  <c r="AS80" i="2"/>
  <c r="AQ48" i="3" s="1"/>
  <c r="AC80" i="2"/>
  <c r="AA48" i="3" s="1"/>
  <c r="CL80" i="2"/>
  <c r="CJ48" i="3" s="1"/>
  <c r="BV80" i="2"/>
  <c r="BT48" i="3" s="1"/>
  <c r="BF80" i="2"/>
  <c r="BD48" i="3" s="1"/>
  <c r="AP80" i="2"/>
  <c r="Z80" i="2"/>
  <c r="X48" i="3" s="1"/>
  <c r="CK80" i="2"/>
  <c r="CI48" i="3" s="1"/>
  <c r="BU80" i="2"/>
  <c r="BS48" i="3" s="1"/>
  <c r="BE80" i="2"/>
  <c r="BC48" i="3" s="1"/>
  <c r="AO80" i="2"/>
  <c r="AM48" i="3" s="1"/>
  <c r="Y80" i="2"/>
  <c r="W48" i="3" s="1"/>
  <c r="J80" i="2"/>
  <c r="H48" i="3" s="1"/>
  <c r="CH80" i="2"/>
  <c r="CF48" i="3" s="1"/>
  <c r="BR80" i="2"/>
  <c r="BP48" i="3" s="1"/>
  <c r="BB80" i="2"/>
  <c r="AZ48" i="3" s="1"/>
  <c r="AL80" i="2"/>
  <c r="AJ48" i="3" s="1"/>
  <c r="V80" i="2"/>
  <c r="T48" i="3" s="1"/>
  <c r="E44" i="3"/>
  <c r="P76" i="2"/>
  <c r="L76" i="2"/>
  <c r="J44" i="3" s="1"/>
  <c r="O76" i="2"/>
  <c r="M44" i="3" s="1"/>
  <c r="M76" i="2"/>
  <c r="K44" i="3" s="1"/>
  <c r="BO35" i="3"/>
  <c r="BN35" i="3"/>
  <c r="E34" i="3"/>
  <c r="P66" i="2"/>
  <c r="O66" i="2"/>
  <c r="M34" i="3" s="1"/>
  <c r="M66" i="2"/>
  <c r="K34" i="3" s="1"/>
  <c r="L66" i="2"/>
  <c r="J34" i="3" s="1"/>
  <c r="BO41" i="3"/>
  <c r="BN41" i="3"/>
  <c r="AO41" i="3"/>
  <c r="AN41" i="3"/>
  <c r="F52" i="3"/>
  <c r="CM104" i="2"/>
  <c r="CE104" i="2"/>
  <c r="BW104" i="2"/>
  <c r="BO104" i="2"/>
  <c r="BM52" i="3" s="1"/>
  <c r="BG104" i="2"/>
  <c r="AY104" i="2"/>
  <c r="AQ104" i="2"/>
  <c r="AI104" i="2"/>
  <c r="AA104" i="2"/>
  <c r="S104" i="2"/>
  <c r="CL104" i="2"/>
  <c r="CJ52" i="3" s="1"/>
  <c r="CD104" i="2"/>
  <c r="CB52" i="3" s="1"/>
  <c r="BV104" i="2"/>
  <c r="BT52" i="3" s="1"/>
  <c r="BN104" i="2"/>
  <c r="BL52" i="3" s="1"/>
  <c r="BF104" i="2"/>
  <c r="BD52" i="3" s="1"/>
  <c r="AX104" i="2"/>
  <c r="AV52" i="3" s="1"/>
  <c r="AP104" i="2"/>
  <c r="AH104" i="2"/>
  <c r="AF52" i="3" s="1"/>
  <c r="Z104" i="2"/>
  <c r="X52" i="3" s="1"/>
  <c r="R104" i="2"/>
  <c r="P52" i="3" s="1"/>
  <c r="J104" i="2"/>
  <c r="H52" i="3" s="1"/>
  <c r="CK104" i="2"/>
  <c r="CI52" i="3" s="1"/>
  <c r="CC104" i="2"/>
  <c r="CA52" i="3" s="1"/>
  <c r="BU104" i="2"/>
  <c r="BS52" i="3" s="1"/>
  <c r="BM104" i="2"/>
  <c r="BK52" i="3" s="1"/>
  <c r="BE104" i="2"/>
  <c r="BC52" i="3" s="1"/>
  <c r="AW104" i="2"/>
  <c r="AU52" i="3" s="1"/>
  <c r="AO104" i="2"/>
  <c r="AM52" i="3" s="1"/>
  <c r="AG104" i="2"/>
  <c r="AE52" i="3" s="1"/>
  <c r="Y104" i="2"/>
  <c r="W52" i="3" s="1"/>
  <c r="CQ104" i="2"/>
  <c r="CI104" i="2"/>
  <c r="CG52" i="3" s="1"/>
  <c r="CA104" i="2"/>
  <c r="BS104" i="2"/>
  <c r="BK104" i="2"/>
  <c r="BC104" i="2"/>
  <c r="AU104" i="2"/>
  <c r="AS52" i="3" s="1"/>
  <c r="AM104" i="2"/>
  <c r="AE104" i="2"/>
  <c r="W104" i="2"/>
  <c r="U52" i="3" s="1"/>
  <c r="CP104" i="2"/>
  <c r="CH104" i="2"/>
  <c r="CF52" i="3" s="1"/>
  <c r="BZ104" i="2"/>
  <c r="BX52" i="3" s="1"/>
  <c r="BR104" i="2"/>
  <c r="BP52" i="3" s="1"/>
  <c r="BJ104" i="2"/>
  <c r="BH52" i="3" s="1"/>
  <c r="BB104" i="2"/>
  <c r="AZ52" i="3" s="1"/>
  <c r="AT104" i="2"/>
  <c r="AR52" i="3" s="1"/>
  <c r="AL104" i="2"/>
  <c r="AJ52" i="3" s="1"/>
  <c r="AD104" i="2"/>
  <c r="AB52" i="3" s="1"/>
  <c r="V104" i="2"/>
  <c r="T52" i="3" s="1"/>
  <c r="CO104" i="2"/>
  <c r="CM52" i="3" s="1"/>
  <c r="BT104" i="2"/>
  <c r="AZ104" i="2"/>
  <c r="AX52" i="3" s="1"/>
  <c r="AC104" i="2"/>
  <c r="AA52" i="3" s="1"/>
  <c r="CN104" i="2"/>
  <c r="CL52" i="3" s="1"/>
  <c r="BQ104" i="2"/>
  <c r="AV104" i="2"/>
  <c r="AB104" i="2"/>
  <c r="Z52" i="3" s="1"/>
  <c r="CJ104" i="2"/>
  <c r="CH52" i="3" s="1"/>
  <c r="BP104" i="2"/>
  <c r="AS104" i="2"/>
  <c r="AQ52" i="3" s="1"/>
  <c r="X104" i="2"/>
  <c r="V52" i="3" s="1"/>
  <c r="CG104" i="2"/>
  <c r="CE52" i="3" s="1"/>
  <c r="BL104" i="2"/>
  <c r="BJ52" i="3" s="1"/>
  <c r="AR104" i="2"/>
  <c r="AP52" i="3" s="1"/>
  <c r="U104" i="2"/>
  <c r="S52" i="3" s="1"/>
  <c r="CF104" i="2"/>
  <c r="CD52" i="3" s="1"/>
  <c r="BI104" i="2"/>
  <c r="BG52" i="3" s="1"/>
  <c r="AN104" i="2"/>
  <c r="T104" i="2"/>
  <c r="R52" i="3" s="1"/>
  <c r="CB104" i="2"/>
  <c r="BZ52" i="3" s="1"/>
  <c r="BH104" i="2"/>
  <c r="BF52" i="3" s="1"/>
  <c r="AK104" i="2"/>
  <c r="AI52" i="3" s="1"/>
  <c r="BY104" i="2"/>
  <c r="BW52" i="3" s="1"/>
  <c r="BD104" i="2"/>
  <c r="AJ104" i="2"/>
  <c r="AH52" i="3" s="1"/>
  <c r="BX104" i="2"/>
  <c r="BV52" i="3" s="1"/>
  <c r="BA104" i="2"/>
  <c r="AY52" i="3" s="1"/>
  <c r="AF104" i="2"/>
  <c r="BO57" i="3"/>
  <c r="BN57" i="3"/>
  <c r="BO50" i="3"/>
  <c r="BN50" i="3"/>
  <c r="E40" i="3"/>
  <c r="L72" i="2"/>
  <c r="J40" i="3" s="1"/>
  <c r="P72" i="2"/>
  <c r="O72" i="2"/>
  <c r="M40" i="3" s="1"/>
  <c r="M72" i="2"/>
  <c r="K40" i="3" s="1"/>
  <c r="O38" i="3"/>
  <c r="N38" i="3"/>
  <c r="F53" i="3"/>
  <c r="CJ105" i="2"/>
  <c r="CH53" i="3" s="1"/>
  <c r="CB105" i="2"/>
  <c r="BZ53" i="3" s="1"/>
  <c r="BT105" i="2"/>
  <c r="BR53" i="3" s="1"/>
  <c r="BL105" i="2"/>
  <c r="BJ53" i="3" s="1"/>
  <c r="BD105" i="2"/>
  <c r="BB53" i="3" s="1"/>
  <c r="AV105" i="2"/>
  <c r="AT53" i="3" s="1"/>
  <c r="AN105" i="2"/>
  <c r="AL53" i="3" s="1"/>
  <c r="AF105" i="2"/>
  <c r="AD53" i="3" s="1"/>
  <c r="X105" i="2"/>
  <c r="V53" i="3" s="1"/>
  <c r="CQ105" i="2"/>
  <c r="CI105" i="2"/>
  <c r="CG53" i="3" s="1"/>
  <c r="CA105" i="2"/>
  <c r="BY53" i="3" s="1"/>
  <c r="BS105" i="2"/>
  <c r="BQ53" i="3" s="1"/>
  <c r="BK105" i="2"/>
  <c r="BI53" i="3" s="1"/>
  <c r="BC105" i="2"/>
  <c r="BA53" i="3" s="1"/>
  <c r="AU105" i="2"/>
  <c r="AS53" i="3" s="1"/>
  <c r="AM105" i="2"/>
  <c r="AK53" i="3" s="1"/>
  <c r="AE105" i="2"/>
  <c r="AC53" i="3" s="1"/>
  <c r="W105" i="2"/>
  <c r="U53" i="3" s="1"/>
  <c r="CP105" i="2"/>
  <c r="CH105" i="2"/>
  <c r="CF53" i="3" s="1"/>
  <c r="BZ105" i="2"/>
  <c r="BX53" i="3" s="1"/>
  <c r="BR105" i="2"/>
  <c r="BP53" i="3" s="1"/>
  <c r="BJ105" i="2"/>
  <c r="BH53" i="3" s="1"/>
  <c r="BB105" i="2"/>
  <c r="AZ53" i="3" s="1"/>
  <c r="AT105" i="2"/>
  <c r="AR53" i="3" s="1"/>
  <c r="AL105" i="2"/>
  <c r="AJ53" i="3" s="1"/>
  <c r="AD105" i="2"/>
  <c r="AB53" i="3" s="1"/>
  <c r="V105" i="2"/>
  <c r="T53" i="3" s="1"/>
  <c r="CN105" i="2"/>
  <c r="CL53" i="3" s="1"/>
  <c r="CF105" i="2"/>
  <c r="CD53" i="3" s="1"/>
  <c r="BX105" i="2"/>
  <c r="BV53" i="3" s="1"/>
  <c r="BP105" i="2"/>
  <c r="BH105" i="2"/>
  <c r="BF53" i="3" s="1"/>
  <c r="AZ105" i="2"/>
  <c r="AX53" i="3" s="1"/>
  <c r="AR105" i="2"/>
  <c r="AP53" i="3" s="1"/>
  <c r="AJ105" i="2"/>
  <c r="AH53" i="3" s="1"/>
  <c r="AB105" i="2"/>
  <c r="Z53" i="3" s="1"/>
  <c r="T105" i="2"/>
  <c r="R53" i="3" s="1"/>
  <c r="CM105" i="2"/>
  <c r="CK53" i="3" s="1"/>
  <c r="CE105" i="2"/>
  <c r="CC53" i="3" s="1"/>
  <c r="BW105" i="2"/>
  <c r="BU53" i="3" s="1"/>
  <c r="BO105" i="2"/>
  <c r="BM53" i="3" s="1"/>
  <c r="BG105" i="2"/>
  <c r="BE53" i="3" s="1"/>
  <c r="AY105" i="2"/>
  <c r="AW53" i="3" s="1"/>
  <c r="AQ105" i="2"/>
  <c r="AI105" i="2"/>
  <c r="AG53" i="3" s="1"/>
  <c r="AA105" i="2"/>
  <c r="Y53" i="3" s="1"/>
  <c r="S105" i="2"/>
  <c r="Q53" i="3" s="1"/>
  <c r="CD105" i="2"/>
  <c r="CB53" i="3" s="1"/>
  <c r="BI105" i="2"/>
  <c r="BG53" i="3" s="1"/>
  <c r="AO105" i="2"/>
  <c r="AM53" i="3" s="1"/>
  <c r="R105" i="2"/>
  <c r="P53" i="3" s="1"/>
  <c r="CC105" i="2"/>
  <c r="CA53" i="3" s="1"/>
  <c r="BF105" i="2"/>
  <c r="BD53" i="3" s="1"/>
  <c r="AK105" i="2"/>
  <c r="AI53" i="3" s="1"/>
  <c r="BY105" i="2"/>
  <c r="BW53" i="3" s="1"/>
  <c r="BE105" i="2"/>
  <c r="BC53" i="3" s="1"/>
  <c r="AH105" i="2"/>
  <c r="AF53" i="3" s="1"/>
  <c r="BV105" i="2"/>
  <c r="BT53" i="3" s="1"/>
  <c r="BA105" i="2"/>
  <c r="AY53" i="3" s="1"/>
  <c r="AG105" i="2"/>
  <c r="AE53" i="3" s="1"/>
  <c r="CO105" i="2"/>
  <c r="CM53" i="3" s="1"/>
  <c r="BU105" i="2"/>
  <c r="BS53" i="3" s="1"/>
  <c r="AX105" i="2"/>
  <c r="AV53" i="3" s="1"/>
  <c r="AC105" i="2"/>
  <c r="AA53" i="3" s="1"/>
  <c r="CL105" i="2"/>
  <c r="CJ53" i="3" s="1"/>
  <c r="BQ105" i="2"/>
  <c r="AW105" i="2"/>
  <c r="AU53" i="3" s="1"/>
  <c r="Z105" i="2"/>
  <c r="X53" i="3" s="1"/>
  <c r="J105" i="2"/>
  <c r="H53" i="3" s="1"/>
  <c r="CK105" i="2"/>
  <c r="CI53" i="3" s="1"/>
  <c r="BN105" i="2"/>
  <c r="BL53" i="3" s="1"/>
  <c r="AS105" i="2"/>
  <c r="AQ53" i="3" s="1"/>
  <c r="Y105" i="2"/>
  <c r="W53" i="3" s="1"/>
  <c r="CG105" i="2"/>
  <c r="CE53" i="3" s="1"/>
  <c r="BM105" i="2"/>
  <c r="BK53" i="3" s="1"/>
  <c r="AP105" i="2"/>
  <c r="U105" i="2"/>
  <c r="S53" i="3" s="1"/>
  <c r="AO39" i="3"/>
  <c r="AN39" i="3"/>
  <c r="BZ5" i="3"/>
  <c r="AK5" i="3"/>
  <c r="AN22" i="3"/>
  <c r="AO22" i="3"/>
  <c r="AR5" i="3"/>
  <c r="BW5" i="3"/>
  <c r="K5" i="3"/>
  <c r="K120" i="3" s="1"/>
  <c r="M39" i="2"/>
  <c r="F12" i="3"/>
  <c r="CN23" i="2"/>
  <c r="CL12" i="3" s="1"/>
  <c r="CF23" i="2"/>
  <c r="CD12" i="3" s="1"/>
  <c r="BX23" i="2"/>
  <c r="BV12" i="3" s="1"/>
  <c r="BP23" i="2"/>
  <c r="BH23" i="2"/>
  <c r="BF12" i="3" s="1"/>
  <c r="AZ23" i="2"/>
  <c r="AX12" i="3" s="1"/>
  <c r="AR23" i="2"/>
  <c r="AP12" i="3" s="1"/>
  <c r="AJ23" i="2"/>
  <c r="AH12" i="3" s="1"/>
  <c r="AB23" i="2"/>
  <c r="Z12" i="3" s="1"/>
  <c r="T23" i="2"/>
  <c r="R12" i="3" s="1"/>
  <c r="CM23" i="2"/>
  <c r="CK12" i="3" s="1"/>
  <c r="CE23" i="2"/>
  <c r="CC12" i="3" s="1"/>
  <c r="BW23" i="2"/>
  <c r="BU12" i="3" s="1"/>
  <c r="BO23" i="2"/>
  <c r="BM12" i="3" s="1"/>
  <c r="BG23" i="2"/>
  <c r="BE12" i="3" s="1"/>
  <c r="AY23" i="2"/>
  <c r="AW12" i="3" s="1"/>
  <c r="AQ23" i="2"/>
  <c r="AI23" i="2"/>
  <c r="AG12" i="3" s="1"/>
  <c r="AA23" i="2"/>
  <c r="Y12" i="3" s="1"/>
  <c r="S23" i="2"/>
  <c r="Q12" i="3" s="1"/>
  <c r="BQ23" i="2"/>
  <c r="CL23" i="2"/>
  <c r="CJ12" i="3" s="1"/>
  <c r="CD23" i="2"/>
  <c r="CB12" i="3" s="1"/>
  <c r="BV23" i="2"/>
  <c r="BT12" i="3" s="1"/>
  <c r="BN23" i="2"/>
  <c r="BL12" i="3" s="1"/>
  <c r="BF23" i="2"/>
  <c r="BD12" i="3" s="1"/>
  <c r="AX23" i="2"/>
  <c r="AV12" i="3" s="1"/>
  <c r="AP23" i="2"/>
  <c r="AH23" i="2"/>
  <c r="AF12" i="3" s="1"/>
  <c r="Z23" i="2"/>
  <c r="X12" i="3" s="1"/>
  <c r="R23" i="2"/>
  <c r="P12" i="3" s="1"/>
  <c r="J23" i="2"/>
  <c r="H12" i="3" s="1"/>
  <c r="CG23" i="2"/>
  <c r="CE12" i="3" s="1"/>
  <c r="AS23" i="2"/>
  <c r="AQ12" i="3" s="1"/>
  <c r="CK23" i="2"/>
  <c r="CI12" i="3" s="1"/>
  <c r="CC23" i="2"/>
  <c r="CA12" i="3" s="1"/>
  <c r="BU23" i="2"/>
  <c r="BS12" i="3" s="1"/>
  <c r="BM23" i="2"/>
  <c r="BK12" i="3" s="1"/>
  <c r="BE23" i="2"/>
  <c r="BC12" i="3" s="1"/>
  <c r="AW23" i="2"/>
  <c r="AU12" i="3" s="1"/>
  <c r="AO23" i="2"/>
  <c r="AM12" i="3" s="1"/>
  <c r="AG23" i="2"/>
  <c r="AE12" i="3" s="1"/>
  <c r="Y23" i="2"/>
  <c r="W12" i="3" s="1"/>
  <c r="CO23" i="2"/>
  <c r="CM12" i="3" s="1"/>
  <c r="BY23" i="2"/>
  <c r="BW12" i="3" s="1"/>
  <c r="BA23" i="2"/>
  <c r="AY12" i="3" s="1"/>
  <c r="AK23" i="2"/>
  <c r="AI12" i="3" s="1"/>
  <c r="U23" i="2"/>
  <c r="S12" i="3" s="1"/>
  <c r="CJ23" i="2"/>
  <c r="CH12" i="3" s="1"/>
  <c r="CB23" i="2"/>
  <c r="BZ12" i="3" s="1"/>
  <c r="BT23" i="2"/>
  <c r="BR12" i="3" s="1"/>
  <c r="BL23" i="2"/>
  <c r="BJ12" i="3" s="1"/>
  <c r="BD23" i="2"/>
  <c r="BB12" i="3" s="1"/>
  <c r="AV23" i="2"/>
  <c r="AT12" i="3" s="1"/>
  <c r="AN23" i="2"/>
  <c r="AL12" i="3" s="1"/>
  <c r="AF23" i="2"/>
  <c r="AD12" i="3" s="1"/>
  <c r="X23" i="2"/>
  <c r="V12" i="3" s="1"/>
  <c r="CQ23" i="2"/>
  <c r="CI23" i="2"/>
  <c r="CG12" i="3" s="1"/>
  <c r="CA23" i="2"/>
  <c r="BY12" i="3" s="1"/>
  <c r="BS23" i="2"/>
  <c r="BQ12" i="3" s="1"/>
  <c r="BK23" i="2"/>
  <c r="BI12" i="3" s="1"/>
  <c r="BC23" i="2"/>
  <c r="BA12" i="3" s="1"/>
  <c r="AU23" i="2"/>
  <c r="AS12" i="3" s="1"/>
  <c r="AM23" i="2"/>
  <c r="AK12" i="3" s="1"/>
  <c r="AE23" i="2"/>
  <c r="AC12" i="3" s="1"/>
  <c r="W23" i="2"/>
  <c r="U12" i="3" s="1"/>
  <c r="CP23" i="2"/>
  <c r="CH23" i="2"/>
  <c r="CF12" i="3" s="1"/>
  <c r="BZ23" i="2"/>
  <c r="BX12" i="3" s="1"/>
  <c r="BR23" i="2"/>
  <c r="BP12" i="3" s="1"/>
  <c r="BJ23" i="2"/>
  <c r="BH12" i="3" s="1"/>
  <c r="BB23" i="2"/>
  <c r="AZ12" i="3" s="1"/>
  <c r="AT23" i="2"/>
  <c r="AR12" i="3" s="1"/>
  <c r="AL23" i="2"/>
  <c r="AJ12" i="3" s="1"/>
  <c r="AD23" i="2"/>
  <c r="AB12" i="3" s="1"/>
  <c r="V23" i="2"/>
  <c r="T12" i="3" s="1"/>
  <c r="BI23" i="2"/>
  <c r="BG12" i="3" s="1"/>
  <c r="AC23" i="2"/>
  <c r="AA12" i="3" s="1"/>
  <c r="BF5" i="3"/>
  <c r="F31" i="3"/>
  <c r="CK63" i="2"/>
  <c r="CI31" i="3" s="1"/>
  <c r="CC63" i="2"/>
  <c r="CA31" i="3" s="1"/>
  <c r="BU63" i="2"/>
  <c r="BS31" i="3" s="1"/>
  <c r="BM63" i="2"/>
  <c r="BK31" i="3" s="1"/>
  <c r="BE63" i="2"/>
  <c r="BC31" i="3" s="1"/>
  <c r="AW63" i="2"/>
  <c r="AU31" i="3" s="1"/>
  <c r="AO63" i="2"/>
  <c r="AM31" i="3" s="1"/>
  <c r="AG63" i="2"/>
  <c r="AE31" i="3" s="1"/>
  <c r="Y63" i="2"/>
  <c r="W31" i="3" s="1"/>
  <c r="CJ63" i="2"/>
  <c r="CH31" i="3" s="1"/>
  <c r="CB63" i="2"/>
  <c r="BZ31" i="3" s="1"/>
  <c r="BT63" i="2"/>
  <c r="BR31" i="3" s="1"/>
  <c r="BL63" i="2"/>
  <c r="BJ31" i="3" s="1"/>
  <c r="BD63" i="2"/>
  <c r="BB31" i="3" s="1"/>
  <c r="AV63" i="2"/>
  <c r="AT31" i="3" s="1"/>
  <c r="AN63" i="2"/>
  <c r="AL31" i="3" s="1"/>
  <c r="AF63" i="2"/>
  <c r="AD31" i="3" s="1"/>
  <c r="X63" i="2"/>
  <c r="V31" i="3" s="1"/>
  <c r="CQ63" i="2"/>
  <c r="CI63" i="2"/>
  <c r="CG31" i="3" s="1"/>
  <c r="CA63" i="2"/>
  <c r="BY31" i="3" s="1"/>
  <c r="BS63" i="2"/>
  <c r="BQ31" i="3" s="1"/>
  <c r="BK63" i="2"/>
  <c r="BI31" i="3" s="1"/>
  <c r="BC63" i="2"/>
  <c r="BA31" i="3" s="1"/>
  <c r="AU63" i="2"/>
  <c r="AS31" i="3" s="1"/>
  <c r="AM63" i="2"/>
  <c r="AK31" i="3" s="1"/>
  <c r="AE63" i="2"/>
  <c r="AC31" i="3" s="1"/>
  <c r="W63" i="2"/>
  <c r="U31" i="3" s="1"/>
  <c r="CP63" i="2"/>
  <c r="CH63" i="2"/>
  <c r="CF31" i="3" s="1"/>
  <c r="BZ63" i="2"/>
  <c r="BX31" i="3" s="1"/>
  <c r="BR63" i="2"/>
  <c r="BP31" i="3" s="1"/>
  <c r="BJ63" i="2"/>
  <c r="BH31" i="3" s="1"/>
  <c r="BB63" i="2"/>
  <c r="AZ31" i="3" s="1"/>
  <c r="AT63" i="2"/>
  <c r="AR31" i="3" s="1"/>
  <c r="AL63" i="2"/>
  <c r="AJ31" i="3" s="1"/>
  <c r="AD63" i="2"/>
  <c r="AB31" i="3" s="1"/>
  <c r="V63" i="2"/>
  <c r="T31" i="3" s="1"/>
  <c r="CM63" i="2"/>
  <c r="CK31" i="3" s="1"/>
  <c r="CE63" i="2"/>
  <c r="CC31" i="3" s="1"/>
  <c r="BW63" i="2"/>
  <c r="BU31" i="3" s="1"/>
  <c r="BO63" i="2"/>
  <c r="BM31" i="3" s="1"/>
  <c r="BG63" i="2"/>
  <c r="BE31" i="3" s="1"/>
  <c r="AY63" i="2"/>
  <c r="AW31" i="3" s="1"/>
  <c r="AQ63" i="2"/>
  <c r="AI63" i="2"/>
  <c r="AG31" i="3" s="1"/>
  <c r="AA63" i="2"/>
  <c r="Y31" i="3" s="1"/>
  <c r="S63" i="2"/>
  <c r="Q31" i="3" s="1"/>
  <c r="CL63" i="2"/>
  <c r="CJ31" i="3" s="1"/>
  <c r="CD63" i="2"/>
  <c r="CB31" i="3" s="1"/>
  <c r="BV63" i="2"/>
  <c r="BT31" i="3" s="1"/>
  <c r="BN63" i="2"/>
  <c r="BL31" i="3" s="1"/>
  <c r="BF63" i="2"/>
  <c r="BD31" i="3" s="1"/>
  <c r="AX63" i="2"/>
  <c r="AV31" i="3" s="1"/>
  <c r="AP63" i="2"/>
  <c r="AH63" i="2"/>
  <c r="AF31" i="3" s="1"/>
  <c r="Z63" i="2"/>
  <c r="X31" i="3" s="1"/>
  <c r="R63" i="2"/>
  <c r="P31" i="3" s="1"/>
  <c r="J63" i="2"/>
  <c r="H31" i="3" s="1"/>
  <c r="CF63" i="2"/>
  <c r="CD31" i="3" s="1"/>
  <c r="AZ63" i="2"/>
  <c r="AX31" i="3" s="1"/>
  <c r="T63" i="2"/>
  <c r="R31" i="3" s="1"/>
  <c r="BY63" i="2"/>
  <c r="BW31" i="3" s="1"/>
  <c r="AS63" i="2"/>
  <c r="AQ31" i="3" s="1"/>
  <c r="BX63" i="2"/>
  <c r="BV31" i="3" s="1"/>
  <c r="AR63" i="2"/>
  <c r="AP31" i="3" s="1"/>
  <c r="BQ63" i="2"/>
  <c r="AK63" i="2"/>
  <c r="AI31" i="3" s="1"/>
  <c r="CG63" i="2"/>
  <c r="CE31" i="3" s="1"/>
  <c r="BA63" i="2"/>
  <c r="AY31" i="3" s="1"/>
  <c r="U63" i="2"/>
  <c r="S31" i="3" s="1"/>
  <c r="BP63" i="2"/>
  <c r="AJ63" i="2"/>
  <c r="AH31" i="3" s="1"/>
  <c r="CO63" i="2"/>
  <c r="CM31" i="3" s="1"/>
  <c r="BI63" i="2"/>
  <c r="BG31" i="3" s="1"/>
  <c r="AC63" i="2"/>
  <c r="AA31" i="3" s="1"/>
  <c r="CN63" i="2"/>
  <c r="CL31" i="3" s="1"/>
  <c r="BH63" i="2"/>
  <c r="BF31" i="3" s="1"/>
  <c r="AB63" i="2"/>
  <c r="Z31" i="3" s="1"/>
  <c r="BO24" i="3"/>
  <c r="BN24" i="3"/>
  <c r="BU5" i="3"/>
  <c r="E6" i="3"/>
  <c r="L17" i="2"/>
  <c r="J6" i="3" s="1"/>
  <c r="M17" i="2"/>
  <c r="K6" i="3" s="1"/>
  <c r="P17" i="2"/>
  <c r="O17" i="2"/>
  <c r="M6" i="3" s="1"/>
  <c r="AF5" i="3"/>
  <c r="BN26" i="3"/>
  <c r="BO26" i="3"/>
  <c r="N15" i="3"/>
  <c r="O15" i="3"/>
  <c r="AE51" i="3"/>
  <c r="H51" i="3"/>
  <c r="BT51" i="3"/>
  <c r="BF51" i="3"/>
  <c r="AQ51" i="3"/>
  <c r="AB51" i="3"/>
  <c r="CO51" i="3"/>
  <c r="CN51" i="3"/>
  <c r="O54" i="3"/>
  <c r="N54" i="3"/>
  <c r="E52" i="3"/>
  <c r="O104" i="2"/>
  <c r="M52" i="3" s="1"/>
  <c r="M104" i="2"/>
  <c r="K52" i="3" s="1"/>
  <c r="L104" i="2"/>
  <c r="J52" i="3" s="1"/>
  <c r="P104" i="2"/>
  <c r="O55" i="3"/>
  <c r="N55" i="3"/>
  <c r="F40" i="3"/>
  <c r="CN72" i="2"/>
  <c r="CL40" i="3" s="1"/>
  <c r="CF72" i="2"/>
  <c r="CD40" i="3" s="1"/>
  <c r="BX72" i="2"/>
  <c r="BV40" i="3" s="1"/>
  <c r="BP72" i="2"/>
  <c r="BH72" i="2"/>
  <c r="BF40" i="3" s="1"/>
  <c r="AZ72" i="2"/>
  <c r="AX40" i="3" s="1"/>
  <c r="AR72" i="2"/>
  <c r="AP40" i="3" s="1"/>
  <c r="AJ72" i="2"/>
  <c r="AH40" i="3" s="1"/>
  <c r="AB72" i="2"/>
  <c r="Z40" i="3" s="1"/>
  <c r="T72" i="2"/>
  <c r="R40" i="3" s="1"/>
  <c r="CJ72" i="2"/>
  <c r="CH40" i="3" s="1"/>
  <c r="CB72" i="2"/>
  <c r="BZ40" i="3" s="1"/>
  <c r="BT72" i="2"/>
  <c r="BR40" i="3" s="1"/>
  <c r="BL72" i="2"/>
  <c r="BJ40" i="3" s="1"/>
  <c r="BD72" i="2"/>
  <c r="BB40" i="3" s="1"/>
  <c r="AV72" i="2"/>
  <c r="AT40" i="3" s="1"/>
  <c r="AN72" i="2"/>
  <c r="AL40" i="3" s="1"/>
  <c r="AF72" i="2"/>
  <c r="AD40" i="3" s="1"/>
  <c r="X72" i="2"/>
  <c r="V40" i="3" s="1"/>
  <c r="CQ72" i="2"/>
  <c r="CI72" i="2"/>
  <c r="CG40" i="3" s="1"/>
  <c r="CA72" i="2"/>
  <c r="BY40" i="3" s="1"/>
  <c r="BS72" i="2"/>
  <c r="BQ40" i="3" s="1"/>
  <c r="BK72" i="2"/>
  <c r="BI40" i="3" s="1"/>
  <c r="BC72" i="2"/>
  <c r="BA40" i="3" s="1"/>
  <c r="AU72" i="2"/>
  <c r="AS40" i="3" s="1"/>
  <c r="AM72" i="2"/>
  <c r="AK40" i="3" s="1"/>
  <c r="AE72" i="2"/>
  <c r="AC40" i="3" s="1"/>
  <c r="W72" i="2"/>
  <c r="U40" i="3" s="1"/>
  <c r="CM72" i="2"/>
  <c r="CK40" i="3" s="1"/>
  <c r="BZ72" i="2"/>
  <c r="BX40" i="3" s="1"/>
  <c r="BN72" i="2"/>
  <c r="BL40" i="3" s="1"/>
  <c r="BA72" i="2"/>
  <c r="AY40" i="3" s="1"/>
  <c r="AO72" i="2"/>
  <c r="AM40" i="3" s="1"/>
  <c r="AA72" i="2"/>
  <c r="Y40" i="3" s="1"/>
  <c r="CL72" i="2"/>
  <c r="CJ40" i="3" s="1"/>
  <c r="BY72" i="2"/>
  <c r="BW40" i="3" s="1"/>
  <c r="BM72" i="2"/>
  <c r="BK40" i="3" s="1"/>
  <c r="AY72" i="2"/>
  <c r="AW40" i="3" s="1"/>
  <c r="AL72" i="2"/>
  <c r="AJ40" i="3" s="1"/>
  <c r="Z72" i="2"/>
  <c r="X40" i="3" s="1"/>
  <c r="CK72" i="2"/>
  <c r="CI40" i="3" s="1"/>
  <c r="BW72" i="2"/>
  <c r="BU40" i="3" s="1"/>
  <c r="BJ72" i="2"/>
  <c r="BH40" i="3" s="1"/>
  <c r="AX72" i="2"/>
  <c r="AV40" i="3" s="1"/>
  <c r="AK72" i="2"/>
  <c r="AI40" i="3" s="1"/>
  <c r="Y72" i="2"/>
  <c r="W40" i="3" s="1"/>
  <c r="CH72" i="2"/>
  <c r="CF40" i="3" s="1"/>
  <c r="BV72" i="2"/>
  <c r="BT40" i="3" s="1"/>
  <c r="BI72" i="2"/>
  <c r="BG40" i="3" s="1"/>
  <c r="AW72" i="2"/>
  <c r="AU40" i="3" s="1"/>
  <c r="AI72" i="2"/>
  <c r="AG40" i="3" s="1"/>
  <c r="V72" i="2"/>
  <c r="T40" i="3" s="1"/>
  <c r="J72" i="2"/>
  <c r="H40" i="3" s="1"/>
  <c r="CG72" i="2"/>
  <c r="CE40" i="3" s="1"/>
  <c r="BU72" i="2"/>
  <c r="BS40" i="3" s="1"/>
  <c r="BG72" i="2"/>
  <c r="BE40" i="3" s="1"/>
  <c r="AT72" i="2"/>
  <c r="AR40" i="3" s="1"/>
  <c r="AH72" i="2"/>
  <c r="AF40" i="3" s="1"/>
  <c r="U72" i="2"/>
  <c r="S40" i="3" s="1"/>
  <c r="CE72" i="2"/>
  <c r="CC40" i="3" s="1"/>
  <c r="BR72" i="2"/>
  <c r="BP40" i="3" s="1"/>
  <c r="BF72" i="2"/>
  <c r="BD40" i="3" s="1"/>
  <c r="AS72" i="2"/>
  <c r="AQ40" i="3" s="1"/>
  <c r="AG72" i="2"/>
  <c r="AE40" i="3" s="1"/>
  <c r="S72" i="2"/>
  <c r="Q40" i="3" s="1"/>
  <c r="CP72" i="2"/>
  <c r="CD72" i="2"/>
  <c r="CB40" i="3" s="1"/>
  <c r="BQ72" i="2"/>
  <c r="BE72" i="2"/>
  <c r="BC40" i="3" s="1"/>
  <c r="AQ72" i="2"/>
  <c r="AD72" i="2"/>
  <c r="AB40" i="3" s="1"/>
  <c r="R72" i="2"/>
  <c r="P40" i="3" s="1"/>
  <c r="CO72" i="2"/>
  <c r="CM40" i="3" s="1"/>
  <c r="CC72" i="2"/>
  <c r="CA40" i="3" s="1"/>
  <c r="BO72" i="2"/>
  <c r="BM40" i="3" s="1"/>
  <c r="BB72" i="2"/>
  <c r="AZ40" i="3" s="1"/>
  <c r="AP72" i="2"/>
  <c r="AC72" i="2"/>
  <c r="AA40" i="3" s="1"/>
  <c r="F23" i="3"/>
  <c r="CL34" i="2"/>
  <c r="CJ23" i="3" s="1"/>
  <c r="CD34" i="2"/>
  <c r="CB23" i="3" s="1"/>
  <c r="BV34" i="2"/>
  <c r="BT23" i="3" s="1"/>
  <c r="BN34" i="2"/>
  <c r="BL23" i="3" s="1"/>
  <c r="BF34" i="2"/>
  <c r="BD23" i="3" s="1"/>
  <c r="AX34" i="2"/>
  <c r="AV23" i="3" s="1"/>
  <c r="AP34" i="2"/>
  <c r="AH34" i="2"/>
  <c r="AF23" i="3" s="1"/>
  <c r="Z34" i="2"/>
  <c r="X23" i="3" s="1"/>
  <c r="R34" i="2"/>
  <c r="P23" i="3" s="1"/>
  <c r="J34" i="2"/>
  <c r="H23" i="3" s="1"/>
  <c r="CK34" i="2"/>
  <c r="CI23" i="3" s="1"/>
  <c r="CC34" i="2"/>
  <c r="CA23" i="3" s="1"/>
  <c r="BU34" i="2"/>
  <c r="BS23" i="3" s="1"/>
  <c r="BM34" i="2"/>
  <c r="BK23" i="3" s="1"/>
  <c r="BE34" i="2"/>
  <c r="BC23" i="3" s="1"/>
  <c r="AW34" i="2"/>
  <c r="AU23" i="3" s="1"/>
  <c r="AO34" i="2"/>
  <c r="AM23" i="3" s="1"/>
  <c r="AG34" i="2"/>
  <c r="AE23" i="3" s="1"/>
  <c r="Y34" i="2"/>
  <c r="W23" i="3" s="1"/>
  <c r="CJ34" i="2"/>
  <c r="CH23" i="3" s="1"/>
  <c r="CB34" i="2"/>
  <c r="BZ23" i="3" s="1"/>
  <c r="BT34" i="2"/>
  <c r="BR23" i="3" s="1"/>
  <c r="BL34" i="2"/>
  <c r="BJ23" i="3" s="1"/>
  <c r="BD34" i="2"/>
  <c r="BB23" i="3" s="1"/>
  <c r="AV34" i="2"/>
  <c r="AT23" i="3" s="1"/>
  <c r="AN34" i="2"/>
  <c r="AL23" i="3" s="1"/>
  <c r="AF34" i="2"/>
  <c r="AD23" i="3" s="1"/>
  <c r="X34" i="2"/>
  <c r="V23" i="3" s="1"/>
  <c r="CQ34" i="2"/>
  <c r="CI34" i="2"/>
  <c r="CG23" i="3" s="1"/>
  <c r="CA34" i="2"/>
  <c r="BY23" i="3" s="1"/>
  <c r="BS34" i="2"/>
  <c r="BQ23" i="3" s="1"/>
  <c r="BK34" i="2"/>
  <c r="BI23" i="3" s="1"/>
  <c r="BC34" i="2"/>
  <c r="BA23" i="3" s="1"/>
  <c r="AU34" i="2"/>
  <c r="AS23" i="3" s="1"/>
  <c r="AM34" i="2"/>
  <c r="AK23" i="3" s="1"/>
  <c r="AE34" i="2"/>
  <c r="AC23" i="3" s="1"/>
  <c r="W34" i="2"/>
  <c r="U23" i="3" s="1"/>
  <c r="CM34" i="2"/>
  <c r="CK23" i="3" s="1"/>
  <c r="CE34" i="2"/>
  <c r="CC23" i="3" s="1"/>
  <c r="BW34" i="2"/>
  <c r="BU23" i="3" s="1"/>
  <c r="BO34" i="2"/>
  <c r="BM23" i="3" s="1"/>
  <c r="BG34" i="2"/>
  <c r="BE23" i="3" s="1"/>
  <c r="AY34" i="2"/>
  <c r="AW23" i="3" s="1"/>
  <c r="AQ34" i="2"/>
  <c r="CO34" i="2"/>
  <c r="CM23" i="3" s="1"/>
  <c r="BR34" i="2"/>
  <c r="BP23" i="3" s="1"/>
  <c r="AZ34" i="2"/>
  <c r="AX23" i="3" s="1"/>
  <c r="AD34" i="2"/>
  <c r="AB23" i="3" s="1"/>
  <c r="CN34" i="2"/>
  <c r="CL23" i="3" s="1"/>
  <c r="BQ34" i="2"/>
  <c r="AT34" i="2"/>
  <c r="AR23" i="3" s="1"/>
  <c r="AC34" i="2"/>
  <c r="AA23" i="3" s="1"/>
  <c r="CH34" i="2"/>
  <c r="CF23" i="3" s="1"/>
  <c r="BP34" i="2"/>
  <c r="AS34" i="2"/>
  <c r="AQ23" i="3" s="1"/>
  <c r="AB34" i="2"/>
  <c r="Z23" i="3" s="1"/>
  <c r="AI34" i="2"/>
  <c r="AG23" i="3" s="1"/>
  <c r="CG34" i="2"/>
  <c r="CE23" i="3" s="1"/>
  <c r="BJ34" i="2"/>
  <c r="BH23" i="3" s="1"/>
  <c r="AR34" i="2"/>
  <c r="AP23" i="3" s="1"/>
  <c r="AA34" i="2"/>
  <c r="Y23" i="3" s="1"/>
  <c r="BX34" i="2"/>
  <c r="BV23" i="3" s="1"/>
  <c r="CF34" i="2"/>
  <c r="CD23" i="3" s="1"/>
  <c r="BI34" i="2"/>
  <c r="BG23" i="3" s="1"/>
  <c r="AL34" i="2"/>
  <c r="AJ23" i="3" s="1"/>
  <c r="V34" i="2"/>
  <c r="T23" i="3" s="1"/>
  <c r="BZ34" i="2"/>
  <c r="BX23" i="3" s="1"/>
  <c r="BH34" i="2"/>
  <c r="BF23" i="3" s="1"/>
  <c r="AK34" i="2"/>
  <c r="AI23" i="3" s="1"/>
  <c r="U34" i="2"/>
  <c r="S23" i="3" s="1"/>
  <c r="BA34" i="2"/>
  <c r="AY23" i="3" s="1"/>
  <c r="BY34" i="2"/>
  <c r="BW23" i="3" s="1"/>
  <c r="BB34" i="2"/>
  <c r="AZ23" i="3" s="1"/>
  <c r="AJ34" i="2"/>
  <c r="AH23" i="3" s="1"/>
  <c r="T34" i="2"/>
  <c r="R23" i="3" s="1"/>
  <c r="CP34" i="2"/>
  <c r="S34" i="2"/>
  <c r="Q23" i="3" s="1"/>
  <c r="BR5" i="3"/>
  <c r="E28" i="3"/>
  <c r="P60" i="2"/>
  <c r="O60" i="2"/>
  <c r="L60" i="2"/>
  <c r="M60" i="2"/>
  <c r="AC5" i="3"/>
  <c r="AJ5" i="3"/>
  <c r="F10" i="3"/>
  <c r="CN21" i="2"/>
  <c r="CL10" i="3" s="1"/>
  <c r="CF21" i="2"/>
  <c r="CD10" i="3" s="1"/>
  <c r="BX21" i="2"/>
  <c r="BV10" i="3" s="1"/>
  <c r="BP21" i="2"/>
  <c r="BH21" i="2"/>
  <c r="BF10" i="3" s="1"/>
  <c r="AZ21" i="2"/>
  <c r="AX10" i="3" s="1"/>
  <c r="AR21" i="2"/>
  <c r="AP10" i="3" s="1"/>
  <c r="AJ21" i="2"/>
  <c r="AH10" i="3" s="1"/>
  <c r="AB21" i="2"/>
  <c r="Z10" i="3" s="1"/>
  <c r="T21" i="2"/>
  <c r="R10" i="3" s="1"/>
  <c r="BA21" i="2"/>
  <c r="AY10" i="3" s="1"/>
  <c r="CM21" i="2"/>
  <c r="CK10" i="3" s="1"/>
  <c r="CE21" i="2"/>
  <c r="CC10" i="3" s="1"/>
  <c r="BW21" i="2"/>
  <c r="BU10" i="3" s="1"/>
  <c r="BO21" i="2"/>
  <c r="BM10" i="3" s="1"/>
  <c r="BG21" i="2"/>
  <c r="BE10" i="3" s="1"/>
  <c r="AY21" i="2"/>
  <c r="AW10" i="3" s="1"/>
  <c r="AQ21" i="2"/>
  <c r="AI21" i="2"/>
  <c r="AG10" i="3" s="1"/>
  <c r="AA21" i="2"/>
  <c r="Y10" i="3" s="1"/>
  <c r="S21" i="2"/>
  <c r="Q10" i="3" s="1"/>
  <c r="BY21" i="2"/>
  <c r="BW10" i="3" s="1"/>
  <c r="AK21" i="2"/>
  <c r="AI10" i="3" s="1"/>
  <c r="CL21" i="2"/>
  <c r="CJ10" i="3" s="1"/>
  <c r="CD21" i="2"/>
  <c r="CB10" i="3" s="1"/>
  <c r="BV21" i="2"/>
  <c r="BT10" i="3" s="1"/>
  <c r="BN21" i="2"/>
  <c r="BL10" i="3" s="1"/>
  <c r="BF21" i="2"/>
  <c r="BD10" i="3" s="1"/>
  <c r="AX21" i="2"/>
  <c r="AV10" i="3" s="1"/>
  <c r="AP21" i="2"/>
  <c r="AH21" i="2"/>
  <c r="AF10" i="3" s="1"/>
  <c r="Z21" i="2"/>
  <c r="X10" i="3" s="1"/>
  <c r="R21" i="2"/>
  <c r="P10" i="3" s="1"/>
  <c r="J21" i="2"/>
  <c r="H10" i="3" s="1"/>
  <c r="CG21" i="2"/>
  <c r="CE10" i="3" s="1"/>
  <c r="AS21" i="2"/>
  <c r="AQ10" i="3" s="1"/>
  <c r="CK21" i="2"/>
  <c r="CI10" i="3" s="1"/>
  <c r="CC21" i="2"/>
  <c r="CA10" i="3" s="1"/>
  <c r="BU21" i="2"/>
  <c r="BS10" i="3" s="1"/>
  <c r="BM21" i="2"/>
  <c r="BK10" i="3" s="1"/>
  <c r="BE21" i="2"/>
  <c r="BC10" i="3" s="1"/>
  <c r="AW21" i="2"/>
  <c r="AU10" i="3" s="1"/>
  <c r="AO21" i="2"/>
  <c r="AM10" i="3" s="1"/>
  <c r="AG21" i="2"/>
  <c r="AE10" i="3" s="1"/>
  <c r="Y21" i="2"/>
  <c r="W10" i="3" s="1"/>
  <c r="CJ21" i="2"/>
  <c r="CH10" i="3" s="1"/>
  <c r="CB21" i="2"/>
  <c r="BZ10" i="3" s="1"/>
  <c r="BT21" i="2"/>
  <c r="BR10" i="3" s="1"/>
  <c r="BL21" i="2"/>
  <c r="BJ10" i="3" s="1"/>
  <c r="BD21" i="2"/>
  <c r="BB10" i="3" s="1"/>
  <c r="AV21" i="2"/>
  <c r="AT10" i="3" s="1"/>
  <c r="AN21" i="2"/>
  <c r="AL10" i="3" s="1"/>
  <c r="AF21" i="2"/>
  <c r="AD10" i="3" s="1"/>
  <c r="X21" i="2"/>
  <c r="V10" i="3" s="1"/>
  <c r="CQ21" i="2"/>
  <c r="CI21" i="2"/>
  <c r="CG10" i="3" s="1"/>
  <c r="CA21" i="2"/>
  <c r="BY10" i="3" s="1"/>
  <c r="BS21" i="2"/>
  <c r="BQ10" i="3" s="1"/>
  <c r="BK21" i="2"/>
  <c r="BI10" i="3" s="1"/>
  <c r="BC21" i="2"/>
  <c r="BA10" i="3" s="1"/>
  <c r="AU21" i="2"/>
  <c r="AS10" i="3" s="1"/>
  <c r="AM21" i="2"/>
  <c r="AK10" i="3" s="1"/>
  <c r="AE21" i="2"/>
  <c r="AC10" i="3" s="1"/>
  <c r="W21" i="2"/>
  <c r="U10" i="3" s="1"/>
  <c r="BI21" i="2"/>
  <c r="BG10" i="3" s="1"/>
  <c r="U21" i="2"/>
  <c r="S10" i="3" s="1"/>
  <c r="CP21" i="2"/>
  <c r="CH21" i="2"/>
  <c r="CF10" i="3" s="1"/>
  <c r="BZ21" i="2"/>
  <c r="BX10" i="3" s="1"/>
  <c r="BR21" i="2"/>
  <c r="BP10" i="3" s="1"/>
  <c r="BJ21" i="2"/>
  <c r="BH10" i="3" s="1"/>
  <c r="BB21" i="2"/>
  <c r="AZ10" i="3" s="1"/>
  <c r="AT21" i="2"/>
  <c r="AR10" i="3" s="1"/>
  <c r="AL21" i="2"/>
  <c r="AJ10" i="3" s="1"/>
  <c r="AD21" i="2"/>
  <c r="AB10" i="3" s="1"/>
  <c r="V21" i="2"/>
  <c r="T10" i="3" s="1"/>
  <c r="CO21" i="2"/>
  <c r="CM10" i="3" s="1"/>
  <c r="BQ21" i="2"/>
  <c r="AC21" i="2"/>
  <c r="AA10" i="3" s="1"/>
  <c r="AX5" i="3"/>
  <c r="BM5" i="3"/>
  <c r="CJ5" i="3"/>
  <c r="X5" i="3"/>
  <c r="CN22" i="3"/>
  <c r="CO22" i="3"/>
  <c r="CO15" i="3"/>
  <c r="CN15" i="3"/>
  <c r="N21" i="3"/>
  <c r="O21" i="3"/>
  <c r="O9" i="3"/>
  <c r="N9" i="3"/>
  <c r="BN17" i="3"/>
  <c r="BO17" i="3"/>
  <c r="CO9" i="3"/>
  <c r="CN9" i="3"/>
  <c r="F116" i="3"/>
  <c r="CQ208" i="2"/>
  <c r="CI208" i="2"/>
  <c r="CG116" i="3" s="1"/>
  <c r="CA208" i="2"/>
  <c r="BY116" i="3" s="1"/>
  <c r="BS208" i="2"/>
  <c r="BQ116" i="3" s="1"/>
  <c r="BK208" i="2"/>
  <c r="BI116" i="3" s="1"/>
  <c r="BC208" i="2"/>
  <c r="BA116" i="3" s="1"/>
  <c r="AU208" i="2"/>
  <c r="AS116" i="3" s="1"/>
  <c r="AM208" i="2"/>
  <c r="AK116" i="3" s="1"/>
  <c r="AE208" i="2"/>
  <c r="AC116" i="3" s="1"/>
  <c r="W208" i="2"/>
  <c r="U116" i="3" s="1"/>
  <c r="CN208" i="2"/>
  <c r="CL116" i="3" s="1"/>
  <c r="CF208" i="2"/>
  <c r="CD116" i="3" s="1"/>
  <c r="BX208" i="2"/>
  <c r="BV116" i="3" s="1"/>
  <c r="BP208" i="2"/>
  <c r="BH208" i="2"/>
  <c r="BF116" i="3" s="1"/>
  <c r="AZ208" i="2"/>
  <c r="AX116" i="3" s="1"/>
  <c r="CM208" i="2"/>
  <c r="CK116" i="3" s="1"/>
  <c r="CE208" i="2"/>
  <c r="CC116" i="3" s="1"/>
  <c r="BW208" i="2"/>
  <c r="BU116" i="3" s="1"/>
  <c r="BO208" i="2"/>
  <c r="BM116" i="3" s="1"/>
  <c r="BG208" i="2"/>
  <c r="BE116" i="3" s="1"/>
  <c r="AY208" i="2"/>
  <c r="AW116" i="3" s="1"/>
  <c r="AQ208" i="2"/>
  <c r="AI208" i="2"/>
  <c r="AG116" i="3" s="1"/>
  <c r="AA208" i="2"/>
  <c r="Y116" i="3" s="1"/>
  <c r="S208" i="2"/>
  <c r="Q116" i="3" s="1"/>
  <c r="CK208" i="2"/>
  <c r="CI116" i="3" s="1"/>
  <c r="BY208" i="2"/>
  <c r="BW116" i="3" s="1"/>
  <c r="BL208" i="2"/>
  <c r="BJ116" i="3" s="1"/>
  <c r="AX208" i="2"/>
  <c r="AV116" i="3" s="1"/>
  <c r="AN208" i="2"/>
  <c r="AL116" i="3" s="1"/>
  <c r="AC208" i="2"/>
  <c r="AA116" i="3" s="1"/>
  <c r="R208" i="2"/>
  <c r="P116" i="3" s="1"/>
  <c r="CJ208" i="2"/>
  <c r="CH116" i="3" s="1"/>
  <c r="BV208" i="2"/>
  <c r="BT116" i="3" s="1"/>
  <c r="BJ208" i="2"/>
  <c r="BH116" i="3" s="1"/>
  <c r="AW208" i="2"/>
  <c r="AU116" i="3" s="1"/>
  <c r="AL208" i="2"/>
  <c r="AJ116" i="3" s="1"/>
  <c r="AB208" i="2"/>
  <c r="Z116" i="3" s="1"/>
  <c r="CH208" i="2"/>
  <c r="CF116" i="3" s="1"/>
  <c r="BU208" i="2"/>
  <c r="BS116" i="3" s="1"/>
  <c r="BI208" i="2"/>
  <c r="BG116" i="3" s="1"/>
  <c r="AV208" i="2"/>
  <c r="AT116" i="3" s="1"/>
  <c r="AK208" i="2"/>
  <c r="AI116" i="3" s="1"/>
  <c r="Z208" i="2"/>
  <c r="X116" i="3" s="1"/>
  <c r="CG208" i="2"/>
  <c r="CE116" i="3" s="1"/>
  <c r="BT208" i="2"/>
  <c r="BR116" i="3" s="1"/>
  <c r="BF208" i="2"/>
  <c r="BD116" i="3" s="1"/>
  <c r="AT208" i="2"/>
  <c r="AR116" i="3" s="1"/>
  <c r="AJ208" i="2"/>
  <c r="AH116" i="3" s="1"/>
  <c r="Y208" i="2"/>
  <c r="W116" i="3" s="1"/>
  <c r="CD208" i="2"/>
  <c r="CB116" i="3" s="1"/>
  <c r="BR208" i="2"/>
  <c r="BP116" i="3" s="1"/>
  <c r="BE208" i="2"/>
  <c r="BC116" i="3" s="1"/>
  <c r="AS208" i="2"/>
  <c r="AQ116" i="3" s="1"/>
  <c r="AH208" i="2"/>
  <c r="AF116" i="3" s="1"/>
  <c r="X208" i="2"/>
  <c r="V116" i="3" s="1"/>
  <c r="CP208" i="2"/>
  <c r="CC208" i="2"/>
  <c r="CA116" i="3" s="1"/>
  <c r="BQ208" i="2"/>
  <c r="BD208" i="2"/>
  <c r="BB116" i="3" s="1"/>
  <c r="AR208" i="2"/>
  <c r="AP116" i="3" s="1"/>
  <c r="AG208" i="2"/>
  <c r="AE116" i="3" s="1"/>
  <c r="V208" i="2"/>
  <c r="T116" i="3" s="1"/>
  <c r="CO208" i="2"/>
  <c r="CM116" i="3" s="1"/>
  <c r="CB208" i="2"/>
  <c r="BZ116" i="3" s="1"/>
  <c r="BN208" i="2"/>
  <c r="BL116" i="3" s="1"/>
  <c r="BB208" i="2"/>
  <c r="AZ116" i="3" s="1"/>
  <c r="AP208" i="2"/>
  <c r="AF208" i="2"/>
  <c r="AD116" i="3" s="1"/>
  <c r="U208" i="2"/>
  <c r="S116" i="3" s="1"/>
  <c r="CL208" i="2"/>
  <c r="CJ116" i="3" s="1"/>
  <c r="BZ208" i="2"/>
  <c r="BX116" i="3" s="1"/>
  <c r="BM208" i="2"/>
  <c r="BK116" i="3" s="1"/>
  <c r="BA208" i="2"/>
  <c r="AY116" i="3" s="1"/>
  <c r="AO208" i="2"/>
  <c r="AM116" i="3" s="1"/>
  <c r="AD208" i="2"/>
  <c r="AB116" i="3" s="1"/>
  <c r="T208" i="2"/>
  <c r="R116" i="3" s="1"/>
  <c r="J208" i="2"/>
  <c r="H116" i="3" s="1"/>
  <c r="F66" i="3"/>
  <c r="CJ118" i="2"/>
  <c r="CH66" i="3" s="1"/>
  <c r="CB118" i="2"/>
  <c r="BZ66" i="3" s="1"/>
  <c r="BT118" i="2"/>
  <c r="BR66" i="3" s="1"/>
  <c r="BL118" i="2"/>
  <c r="BJ66" i="3" s="1"/>
  <c r="BD118" i="2"/>
  <c r="BB66" i="3" s="1"/>
  <c r="AV118" i="2"/>
  <c r="AT66" i="3" s="1"/>
  <c r="AN118" i="2"/>
  <c r="AL66" i="3" s="1"/>
  <c r="AF118" i="2"/>
  <c r="AD66" i="3" s="1"/>
  <c r="X118" i="2"/>
  <c r="V66" i="3" s="1"/>
  <c r="CQ118" i="2"/>
  <c r="CI118" i="2"/>
  <c r="CG66" i="3" s="1"/>
  <c r="CA118" i="2"/>
  <c r="BY66" i="3" s="1"/>
  <c r="BS118" i="2"/>
  <c r="BQ66" i="3" s="1"/>
  <c r="BK118" i="2"/>
  <c r="BI66" i="3" s="1"/>
  <c r="BC118" i="2"/>
  <c r="BA66" i="3" s="1"/>
  <c r="AU118" i="2"/>
  <c r="AS66" i="3" s="1"/>
  <c r="AM118" i="2"/>
  <c r="AK66" i="3" s="1"/>
  <c r="AE118" i="2"/>
  <c r="AC66" i="3" s="1"/>
  <c r="W118" i="2"/>
  <c r="U66" i="3" s="1"/>
  <c r="CN118" i="2"/>
  <c r="CL66" i="3" s="1"/>
  <c r="CF118" i="2"/>
  <c r="CD66" i="3" s="1"/>
  <c r="BX118" i="2"/>
  <c r="BV66" i="3" s="1"/>
  <c r="BP118" i="2"/>
  <c r="BH118" i="2"/>
  <c r="BF66" i="3" s="1"/>
  <c r="AZ118" i="2"/>
  <c r="AX66" i="3" s="1"/>
  <c r="AR118" i="2"/>
  <c r="AP66" i="3" s="1"/>
  <c r="AJ118" i="2"/>
  <c r="AH66" i="3" s="1"/>
  <c r="AB118" i="2"/>
  <c r="Z66" i="3" s="1"/>
  <c r="T118" i="2"/>
  <c r="R66" i="3" s="1"/>
  <c r="CM118" i="2"/>
  <c r="CK66" i="3" s="1"/>
  <c r="CE118" i="2"/>
  <c r="CC66" i="3" s="1"/>
  <c r="BW118" i="2"/>
  <c r="BU66" i="3" s="1"/>
  <c r="BO118" i="2"/>
  <c r="BM66" i="3" s="1"/>
  <c r="BG118" i="2"/>
  <c r="BE66" i="3" s="1"/>
  <c r="AY118" i="2"/>
  <c r="AW66" i="3" s="1"/>
  <c r="AQ118" i="2"/>
  <c r="AI118" i="2"/>
  <c r="AG66" i="3" s="1"/>
  <c r="AA118" i="2"/>
  <c r="Y66" i="3" s="1"/>
  <c r="S118" i="2"/>
  <c r="Q66" i="3" s="1"/>
  <c r="CG118" i="2"/>
  <c r="CE66" i="3" s="1"/>
  <c r="BQ118" i="2"/>
  <c r="BA118" i="2"/>
  <c r="AY66" i="3" s="1"/>
  <c r="AK118" i="2"/>
  <c r="AI66" i="3" s="1"/>
  <c r="U118" i="2"/>
  <c r="S66" i="3" s="1"/>
  <c r="CD118" i="2"/>
  <c r="CB66" i="3" s="1"/>
  <c r="BN118" i="2"/>
  <c r="BL66" i="3" s="1"/>
  <c r="AX118" i="2"/>
  <c r="AV66" i="3" s="1"/>
  <c r="AH118" i="2"/>
  <c r="AF66" i="3" s="1"/>
  <c r="R118" i="2"/>
  <c r="P66" i="3" s="1"/>
  <c r="CC118" i="2"/>
  <c r="CA66" i="3" s="1"/>
  <c r="BM118" i="2"/>
  <c r="BK66" i="3" s="1"/>
  <c r="AW118" i="2"/>
  <c r="AU66" i="3" s="1"/>
  <c r="AG118" i="2"/>
  <c r="AE66" i="3" s="1"/>
  <c r="CP118" i="2"/>
  <c r="BZ118" i="2"/>
  <c r="BX66" i="3" s="1"/>
  <c r="BJ118" i="2"/>
  <c r="BH66" i="3" s="1"/>
  <c r="AT118" i="2"/>
  <c r="AR66" i="3" s="1"/>
  <c r="AD118" i="2"/>
  <c r="AB66" i="3" s="1"/>
  <c r="CO118" i="2"/>
  <c r="CM66" i="3" s="1"/>
  <c r="BY118" i="2"/>
  <c r="BW66" i="3" s="1"/>
  <c r="BI118" i="2"/>
  <c r="BG66" i="3" s="1"/>
  <c r="AS118" i="2"/>
  <c r="AQ66" i="3" s="1"/>
  <c r="AC118" i="2"/>
  <c r="AA66" i="3" s="1"/>
  <c r="CL118" i="2"/>
  <c r="CJ66" i="3" s="1"/>
  <c r="BV118" i="2"/>
  <c r="BT66" i="3" s="1"/>
  <c r="BF118" i="2"/>
  <c r="BD66" i="3" s="1"/>
  <c r="AP118" i="2"/>
  <c r="Z118" i="2"/>
  <c r="X66" i="3" s="1"/>
  <c r="CK118" i="2"/>
  <c r="CI66" i="3" s="1"/>
  <c r="BU118" i="2"/>
  <c r="BS66" i="3" s="1"/>
  <c r="BE118" i="2"/>
  <c r="BC66" i="3" s="1"/>
  <c r="AO118" i="2"/>
  <c r="AM66" i="3" s="1"/>
  <c r="Y118" i="2"/>
  <c r="W66" i="3" s="1"/>
  <c r="J118" i="2"/>
  <c r="H66" i="3" s="1"/>
  <c r="CH118" i="2"/>
  <c r="CF66" i="3" s="1"/>
  <c r="BR118" i="2"/>
  <c r="BP66" i="3" s="1"/>
  <c r="BB118" i="2"/>
  <c r="AZ66" i="3" s="1"/>
  <c r="AL118" i="2"/>
  <c r="AJ66" i="3" s="1"/>
  <c r="V118" i="2"/>
  <c r="T66" i="3" s="1"/>
  <c r="BN65" i="3"/>
  <c r="BO65" i="3"/>
  <c r="O100" i="3"/>
  <c r="N100" i="3"/>
  <c r="E42" i="3"/>
  <c r="P74" i="2"/>
  <c r="O74" i="2"/>
  <c r="M42" i="3" s="1"/>
  <c r="M74" i="2"/>
  <c r="K42" i="3" s="1"/>
  <c r="L74" i="2"/>
  <c r="J42" i="3" s="1"/>
  <c r="E37" i="3"/>
  <c r="O69" i="2"/>
  <c r="M37" i="3" s="1"/>
  <c r="M69" i="2"/>
  <c r="K37" i="3" s="1"/>
  <c r="L69" i="2"/>
  <c r="J37" i="3" s="1"/>
  <c r="P69" i="2"/>
  <c r="F117" i="3"/>
  <c r="CP209" i="2"/>
  <c r="CH209" i="2"/>
  <c r="CF117" i="3" s="1"/>
  <c r="BZ209" i="2"/>
  <c r="BX117" i="3" s="1"/>
  <c r="BR209" i="2"/>
  <c r="BP117" i="3" s="1"/>
  <c r="BJ209" i="2"/>
  <c r="BH117" i="3" s="1"/>
  <c r="BB209" i="2"/>
  <c r="AZ117" i="3" s="1"/>
  <c r="AT209" i="2"/>
  <c r="AR117" i="3" s="1"/>
  <c r="CM209" i="2"/>
  <c r="CK117" i="3" s="1"/>
  <c r="CE209" i="2"/>
  <c r="CC117" i="3" s="1"/>
  <c r="BW209" i="2"/>
  <c r="BU117" i="3" s="1"/>
  <c r="BO209" i="2"/>
  <c r="BM117" i="3" s="1"/>
  <c r="BG209" i="2"/>
  <c r="BE117" i="3" s="1"/>
  <c r="AY209" i="2"/>
  <c r="AW117" i="3" s="1"/>
  <c r="AQ209" i="2"/>
  <c r="AI209" i="2"/>
  <c r="AG117" i="3" s="1"/>
  <c r="AA209" i="2"/>
  <c r="Y117" i="3" s="1"/>
  <c r="S209" i="2"/>
  <c r="Q117" i="3" s="1"/>
  <c r="CK209" i="2"/>
  <c r="CI117" i="3" s="1"/>
  <c r="CC209" i="2"/>
  <c r="CA117" i="3" s="1"/>
  <c r="BU209" i="2"/>
  <c r="BS117" i="3" s="1"/>
  <c r="BM209" i="2"/>
  <c r="BK117" i="3" s="1"/>
  <c r="BE209" i="2"/>
  <c r="BC117" i="3" s="1"/>
  <c r="AW209" i="2"/>
  <c r="AU117" i="3" s="1"/>
  <c r="AO209" i="2"/>
  <c r="AM117" i="3" s="1"/>
  <c r="AG209" i="2"/>
  <c r="AE117" i="3" s="1"/>
  <c r="Y209" i="2"/>
  <c r="W117" i="3" s="1"/>
  <c r="CJ209" i="2"/>
  <c r="CH117" i="3" s="1"/>
  <c r="CB209" i="2"/>
  <c r="BZ117" i="3" s="1"/>
  <c r="BT209" i="2"/>
  <c r="BR117" i="3" s="1"/>
  <c r="BL209" i="2"/>
  <c r="BJ117" i="3" s="1"/>
  <c r="BD209" i="2"/>
  <c r="BB117" i="3" s="1"/>
  <c r="AV209" i="2"/>
  <c r="AT117" i="3" s="1"/>
  <c r="AN209" i="2"/>
  <c r="AL117" i="3" s="1"/>
  <c r="AF209" i="2"/>
  <c r="AD117" i="3" s="1"/>
  <c r="X209" i="2"/>
  <c r="V117" i="3" s="1"/>
  <c r="CQ209" i="2"/>
  <c r="CI209" i="2"/>
  <c r="CG117" i="3" s="1"/>
  <c r="CA209" i="2"/>
  <c r="BY117" i="3" s="1"/>
  <c r="BS209" i="2"/>
  <c r="BQ117" i="3" s="1"/>
  <c r="BK209" i="2"/>
  <c r="BI117" i="3" s="1"/>
  <c r="BC209" i="2"/>
  <c r="BA117" i="3" s="1"/>
  <c r="AU209" i="2"/>
  <c r="AS117" i="3" s="1"/>
  <c r="AM209" i="2"/>
  <c r="AK117" i="3" s="1"/>
  <c r="AE209" i="2"/>
  <c r="AC117" i="3" s="1"/>
  <c r="W209" i="2"/>
  <c r="U117" i="3" s="1"/>
  <c r="BY209" i="2"/>
  <c r="BW117" i="3" s="1"/>
  <c r="BF209" i="2"/>
  <c r="BD117" i="3" s="1"/>
  <c r="AK209" i="2"/>
  <c r="AI117" i="3" s="1"/>
  <c r="U209" i="2"/>
  <c r="S117" i="3" s="1"/>
  <c r="J209" i="2"/>
  <c r="H117" i="3" s="1"/>
  <c r="BX209" i="2"/>
  <c r="BV117" i="3" s="1"/>
  <c r="BA209" i="2"/>
  <c r="AY117" i="3" s="1"/>
  <c r="AJ209" i="2"/>
  <c r="AH117" i="3" s="1"/>
  <c r="T209" i="2"/>
  <c r="R117" i="3" s="1"/>
  <c r="CO209" i="2"/>
  <c r="CM117" i="3" s="1"/>
  <c r="BV209" i="2"/>
  <c r="BT117" i="3" s="1"/>
  <c r="AZ209" i="2"/>
  <c r="AX117" i="3" s="1"/>
  <c r="AH209" i="2"/>
  <c r="AF117" i="3" s="1"/>
  <c r="R209" i="2"/>
  <c r="P117" i="3" s="1"/>
  <c r="CN209" i="2"/>
  <c r="CL117" i="3" s="1"/>
  <c r="BQ209" i="2"/>
  <c r="AX209" i="2"/>
  <c r="AV117" i="3" s="1"/>
  <c r="AD209" i="2"/>
  <c r="AB117" i="3" s="1"/>
  <c r="CL209" i="2"/>
  <c r="CJ117" i="3" s="1"/>
  <c r="BP209" i="2"/>
  <c r="AS209" i="2"/>
  <c r="AQ117" i="3" s="1"/>
  <c r="AC209" i="2"/>
  <c r="AA117" i="3" s="1"/>
  <c r="CG209" i="2"/>
  <c r="CE117" i="3" s="1"/>
  <c r="BN209" i="2"/>
  <c r="BL117" i="3" s="1"/>
  <c r="AR209" i="2"/>
  <c r="AP117" i="3" s="1"/>
  <c r="AB209" i="2"/>
  <c r="Z117" i="3" s="1"/>
  <c r="CF209" i="2"/>
  <c r="CD117" i="3" s="1"/>
  <c r="BI209" i="2"/>
  <c r="BG117" i="3" s="1"/>
  <c r="AP209" i="2"/>
  <c r="Z209" i="2"/>
  <c r="X117" i="3" s="1"/>
  <c r="CD209" i="2"/>
  <c r="CB117" i="3" s="1"/>
  <c r="BH209" i="2"/>
  <c r="BF117" i="3" s="1"/>
  <c r="AL209" i="2"/>
  <c r="AJ117" i="3" s="1"/>
  <c r="V209" i="2"/>
  <c r="T117" i="3" s="1"/>
  <c r="F75" i="3"/>
  <c r="CJ147" i="2"/>
  <c r="CH75" i="3" s="1"/>
  <c r="CB147" i="2"/>
  <c r="BZ75" i="3" s="1"/>
  <c r="BT147" i="2"/>
  <c r="BR75" i="3" s="1"/>
  <c r="BL147" i="2"/>
  <c r="BJ75" i="3" s="1"/>
  <c r="BD147" i="2"/>
  <c r="BB75" i="3" s="1"/>
  <c r="AV147" i="2"/>
  <c r="AT75" i="3" s="1"/>
  <c r="AN147" i="2"/>
  <c r="AL75" i="3" s="1"/>
  <c r="AF147" i="2"/>
  <c r="AD75" i="3" s="1"/>
  <c r="X147" i="2"/>
  <c r="V75" i="3" s="1"/>
  <c r="CQ147" i="2"/>
  <c r="CI147" i="2"/>
  <c r="CG75" i="3" s="1"/>
  <c r="CA147" i="2"/>
  <c r="BY75" i="3" s="1"/>
  <c r="BS147" i="2"/>
  <c r="BQ75" i="3" s="1"/>
  <c r="BK147" i="2"/>
  <c r="BI75" i="3" s="1"/>
  <c r="BC147" i="2"/>
  <c r="BA75" i="3" s="1"/>
  <c r="AU147" i="2"/>
  <c r="AS75" i="3" s="1"/>
  <c r="AM147" i="2"/>
  <c r="AK75" i="3" s="1"/>
  <c r="AE147" i="2"/>
  <c r="AC75" i="3" s="1"/>
  <c r="W147" i="2"/>
  <c r="U75" i="3" s="1"/>
  <c r="CP147" i="2"/>
  <c r="CH147" i="2"/>
  <c r="CF75" i="3" s="1"/>
  <c r="BZ147" i="2"/>
  <c r="BX75" i="3" s="1"/>
  <c r="BR147" i="2"/>
  <c r="BP75" i="3" s="1"/>
  <c r="BJ147" i="2"/>
  <c r="BH75" i="3" s="1"/>
  <c r="BB147" i="2"/>
  <c r="AZ75" i="3" s="1"/>
  <c r="AT147" i="2"/>
  <c r="AR75" i="3" s="1"/>
  <c r="AL147" i="2"/>
  <c r="AJ75" i="3" s="1"/>
  <c r="AD147" i="2"/>
  <c r="AB75" i="3" s="1"/>
  <c r="V147" i="2"/>
  <c r="T75" i="3" s="1"/>
  <c r="CO147" i="2"/>
  <c r="CM75" i="3" s="1"/>
  <c r="CG147" i="2"/>
  <c r="CE75" i="3" s="1"/>
  <c r="BY147" i="2"/>
  <c r="BW75" i="3" s="1"/>
  <c r="BQ147" i="2"/>
  <c r="BI147" i="2"/>
  <c r="BG75" i="3" s="1"/>
  <c r="BA147" i="2"/>
  <c r="AY75" i="3" s="1"/>
  <c r="AS147" i="2"/>
  <c r="AQ75" i="3" s="1"/>
  <c r="AK147" i="2"/>
  <c r="AI75" i="3" s="1"/>
  <c r="AC147" i="2"/>
  <c r="AA75" i="3" s="1"/>
  <c r="U147" i="2"/>
  <c r="S75" i="3" s="1"/>
  <c r="CN147" i="2"/>
  <c r="CL75" i="3" s="1"/>
  <c r="CF147" i="2"/>
  <c r="CD75" i="3" s="1"/>
  <c r="BX147" i="2"/>
  <c r="BV75" i="3" s="1"/>
  <c r="BP147" i="2"/>
  <c r="BH147" i="2"/>
  <c r="BF75" i="3" s="1"/>
  <c r="AZ147" i="2"/>
  <c r="AX75" i="3" s="1"/>
  <c r="AR147" i="2"/>
  <c r="AP75" i="3" s="1"/>
  <c r="AJ147" i="2"/>
  <c r="AH75" i="3" s="1"/>
  <c r="AB147" i="2"/>
  <c r="Z75" i="3" s="1"/>
  <c r="T147" i="2"/>
  <c r="R75" i="3" s="1"/>
  <c r="CM147" i="2"/>
  <c r="CK75" i="3" s="1"/>
  <c r="CE147" i="2"/>
  <c r="CC75" i="3" s="1"/>
  <c r="BW147" i="2"/>
  <c r="BU75" i="3" s="1"/>
  <c r="BO147" i="2"/>
  <c r="BM75" i="3" s="1"/>
  <c r="BG147" i="2"/>
  <c r="BE75" i="3" s="1"/>
  <c r="AY147" i="2"/>
  <c r="AW75" i="3" s="1"/>
  <c r="AQ147" i="2"/>
  <c r="AI147" i="2"/>
  <c r="AG75" i="3" s="1"/>
  <c r="AA147" i="2"/>
  <c r="Y75" i="3" s="1"/>
  <c r="S147" i="2"/>
  <c r="Q75" i="3" s="1"/>
  <c r="CL147" i="2"/>
  <c r="CJ75" i="3" s="1"/>
  <c r="CD147" i="2"/>
  <c r="CB75" i="3" s="1"/>
  <c r="BV147" i="2"/>
  <c r="BT75" i="3" s="1"/>
  <c r="BN147" i="2"/>
  <c r="BL75" i="3" s="1"/>
  <c r="BF147" i="2"/>
  <c r="BD75" i="3" s="1"/>
  <c r="AX147" i="2"/>
  <c r="AV75" i="3" s="1"/>
  <c r="AP147" i="2"/>
  <c r="AH147" i="2"/>
  <c r="AF75" i="3" s="1"/>
  <c r="Z147" i="2"/>
  <c r="X75" i="3" s="1"/>
  <c r="R147" i="2"/>
  <c r="P75" i="3" s="1"/>
  <c r="J147" i="2"/>
  <c r="H75" i="3" s="1"/>
  <c r="CK147" i="2"/>
  <c r="CI75" i="3" s="1"/>
  <c r="CC147" i="2"/>
  <c r="CA75" i="3" s="1"/>
  <c r="BU147" i="2"/>
  <c r="BS75" i="3" s="1"/>
  <c r="BM147" i="2"/>
  <c r="BK75" i="3" s="1"/>
  <c r="BE147" i="2"/>
  <c r="BC75" i="3" s="1"/>
  <c r="AW147" i="2"/>
  <c r="AU75" i="3" s="1"/>
  <c r="AO147" i="2"/>
  <c r="AM75" i="3" s="1"/>
  <c r="AG147" i="2"/>
  <c r="AE75" i="3" s="1"/>
  <c r="Y147" i="2"/>
  <c r="W75" i="3" s="1"/>
  <c r="E83" i="3"/>
  <c r="P155" i="2"/>
  <c r="O155" i="2"/>
  <c r="M83" i="3" s="1"/>
  <c r="M155" i="2"/>
  <c r="K83" i="3" s="1"/>
  <c r="L155" i="2"/>
  <c r="J83" i="3" s="1"/>
  <c r="AO99" i="3"/>
  <c r="AN99" i="3"/>
  <c r="N87" i="3"/>
  <c r="O87" i="3"/>
  <c r="N115" i="3"/>
  <c r="O115" i="3"/>
  <c r="CO101" i="3"/>
  <c r="CN101" i="3"/>
  <c r="F91" i="3"/>
  <c r="CK163" i="2"/>
  <c r="CI91" i="3" s="1"/>
  <c r="CC163" i="2"/>
  <c r="CA91" i="3" s="1"/>
  <c r="BU163" i="2"/>
  <c r="BS91" i="3" s="1"/>
  <c r="BM163" i="2"/>
  <c r="BK91" i="3" s="1"/>
  <c r="BE163" i="2"/>
  <c r="BC91" i="3" s="1"/>
  <c r="AW163" i="2"/>
  <c r="AU91" i="3" s="1"/>
  <c r="AO163" i="2"/>
  <c r="AM91" i="3" s="1"/>
  <c r="AG163" i="2"/>
  <c r="AE91" i="3" s="1"/>
  <c r="Y163" i="2"/>
  <c r="W91" i="3" s="1"/>
  <c r="CO163" i="2"/>
  <c r="CM91" i="3" s="1"/>
  <c r="CG163" i="2"/>
  <c r="CE91" i="3" s="1"/>
  <c r="BY163" i="2"/>
  <c r="BW91" i="3" s="1"/>
  <c r="BQ163" i="2"/>
  <c r="BI163" i="2"/>
  <c r="BG91" i="3" s="1"/>
  <c r="BA163" i="2"/>
  <c r="AY91" i="3" s="1"/>
  <c r="AS163" i="2"/>
  <c r="AQ91" i="3" s="1"/>
  <c r="AK163" i="2"/>
  <c r="AI91" i="3" s="1"/>
  <c r="AC163" i="2"/>
  <c r="AA91" i="3" s="1"/>
  <c r="U163" i="2"/>
  <c r="S91" i="3" s="1"/>
  <c r="CL163" i="2"/>
  <c r="CJ91" i="3" s="1"/>
  <c r="CA163" i="2"/>
  <c r="BY91" i="3" s="1"/>
  <c r="BP163" i="2"/>
  <c r="BF163" i="2"/>
  <c r="BD91" i="3" s="1"/>
  <c r="AU163" i="2"/>
  <c r="AS91" i="3" s="1"/>
  <c r="AJ163" i="2"/>
  <c r="AH91" i="3" s="1"/>
  <c r="Z163" i="2"/>
  <c r="X91" i="3" s="1"/>
  <c r="CJ163" i="2"/>
  <c r="CH91" i="3" s="1"/>
  <c r="BZ163" i="2"/>
  <c r="BX91" i="3" s="1"/>
  <c r="BO163" i="2"/>
  <c r="BM91" i="3" s="1"/>
  <c r="BD163" i="2"/>
  <c r="BB91" i="3" s="1"/>
  <c r="AT163" i="2"/>
  <c r="AR91" i="3" s="1"/>
  <c r="AI163" i="2"/>
  <c r="AG91" i="3" s="1"/>
  <c r="X163" i="2"/>
  <c r="V91" i="3" s="1"/>
  <c r="CI163" i="2"/>
  <c r="CG91" i="3" s="1"/>
  <c r="BX163" i="2"/>
  <c r="BV91" i="3" s="1"/>
  <c r="BN163" i="2"/>
  <c r="BL91" i="3" s="1"/>
  <c r="BC163" i="2"/>
  <c r="BA91" i="3" s="1"/>
  <c r="AR163" i="2"/>
  <c r="AP91" i="3" s="1"/>
  <c r="AH163" i="2"/>
  <c r="AF91" i="3" s="1"/>
  <c r="W163" i="2"/>
  <c r="U91" i="3" s="1"/>
  <c r="CH163" i="2"/>
  <c r="CF91" i="3" s="1"/>
  <c r="BW163" i="2"/>
  <c r="BU91" i="3" s="1"/>
  <c r="BL163" i="2"/>
  <c r="BJ91" i="3" s="1"/>
  <c r="BB163" i="2"/>
  <c r="AZ91" i="3" s="1"/>
  <c r="AQ163" i="2"/>
  <c r="AF163" i="2"/>
  <c r="AD91" i="3" s="1"/>
  <c r="V163" i="2"/>
  <c r="T91" i="3" s="1"/>
  <c r="CQ163" i="2"/>
  <c r="CF163" i="2"/>
  <c r="CD91" i="3" s="1"/>
  <c r="BV163" i="2"/>
  <c r="BT91" i="3" s="1"/>
  <c r="BK163" i="2"/>
  <c r="BI91" i="3" s="1"/>
  <c r="AZ163" i="2"/>
  <c r="AX91" i="3" s="1"/>
  <c r="AP163" i="2"/>
  <c r="AE163" i="2"/>
  <c r="AC91" i="3" s="1"/>
  <c r="T163" i="2"/>
  <c r="R91" i="3" s="1"/>
  <c r="CP163" i="2"/>
  <c r="CE163" i="2"/>
  <c r="CC91" i="3" s="1"/>
  <c r="BT163" i="2"/>
  <c r="BR91" i="3" s="1"/>
  <c r="BJ163" i="2"/>
  <c r="BH91" i="3" s="1"/>
  <c r="AY163" i="2"/>
  <c r="AW91" i="3" s="1"/>
  <c r="AN163" i="2"/>
  <c r="AL91" i="3" s="1"/>
  <c r="AD163" i="2"/>
  <c r="AB91" i="3" s="1"/>
  <c r="S163" i="2"/>
  <c r="Q91" i="3" s="1"/>
  <c r="J163" i="2"/>
  <c r="H91" i="3" s="1"/>
  <c r="CN163" i="2"/>
  <c r="CL91" i="3" s="1"/>
  <c r="CD163" i="2"/>
  <c r="CB91" i="3" s="1"/>
  <c r="BS163" i="2"/>
  <c r="BQ91" i="3" s="1"/>
  <c r="BH163" i="2"/>
  <c r="BF91" i="3" s="1"/>
  <c r="AX163" i="2"/>
  <c r="AV91" i="3" s="1"/>
  <c r="AM163" i="2"/>
  <c r="AK91" i="3" s="1"/>
  <c r="AB163" i="2"/>
  <c r="Z91" i="3" s="1"/>
  <c r="R163" i="2"/>
  <c r="P91" i="3" s="1"/>
  <c r="CM163" i="2"/>
  <c r="CK91" i="3" s="1"/>
  <c r="CB163" i="2"/>
  <c r="BZ91" i="3" s="1"/>
  <c r="BR163" i="2"/>
  <c r="BP91" i="3" s="1"/>
  <c r="BG163" i="2"/>
  <c r="BE91" i="3" s="1"/>
  <c r="AV163" i="2"/>
  <c r="AT91" i="3" s="1"/>
  <c r="AL163" i="2"/>
  <c r="AJ91" i="3" s="1"/>
  <c r="AA163" i="2"/>
  <c r="Y91" i="3" s="1"/>
  <c r="AN84" i="3"/>
  <c r="AO84" i="3"/>
  <c r="CN72" i="3"/>
  <c r="CO72" i="3"/>
  <c r="F63" i="3"/>
  <c r="CJ115" i="2"/>
  <c r="CH63" i="3" s="1"/>
  <c r="CB115" i="2"/>
  <c r="BZ63" i="3" s="1"/>
  <c r="BT115" i="2"/>
  <c r="BR63" i="3" s="1"/>
  <c r="BL115" i="2"/>
  <c r="BJ63" i="3" s="1"/>
  <c r="BD115" i="2"/>
  <c r="BB63" i="3" s="1"/>
  <c r="AV115" i="2"/>
  <c r="AT63" i="3" s="1"/>
  <c r="AN115" i="2"/>
  <c r="AL63" i="3" s="1"/>
  <c r="AF115" i="2"/>
  <c r="AD63" i="3" s="1"/>
  <c r="X115" i="2"/>
  <c r="V63" i="3" s="1"/>
  <c r="CN115" i="2"/>
  <c r="CL63" i="3" s="1"/>
  <c r="CF115" i="2"/>
  <c r="CD63" i="3" s="1"/>
  <c r="BX115" i="2"/>
  <c r="BV63" i="3" s="1"/>
  <c r="BP115" i="2"/>
  <c r="BH115" i="2"/>
  <c r="BF63" i="3" s="1"/>
  <c r="AZ115" i="2"/>
  <c r="AX63" i="3" s="1"/>
  <c r="AR115" i="2"/>
  <c r="AP63" i="3" s="1"/>
  <c r="AJ115" i="2"/>
  <c r="AH63" i="3" s="1"/>
  <c r="AB115" i="2"/>
  <c r="Z63" i="3" s="1"/>
  <c r="T115" i="2"/>
  <c r="R63" i="3" s="1"/>
  <c r="CH115" i="2"/>
  <c r="CF63" i="3" s="1"/>
  <c r="BW115" i="2"/>
  <c r="BU63" i="3" s="1"/>
  <c r="BM115" i="2"/>
  <c r="BK63" i="3" s="1"/>
  <c r="BB115" i="2"/>
  <c r="AZ63" i="3" s="1"/>
  <c r="AQ115" i="2"/>
  <c r="AG115" i="2"/>
  <c r="AE63" i="3" s="1"/>
  <c r="V115" i="2"/>
  <c r="T63" i="3" s="1"/>
  <c r="CQ115" i="2"/>
  <c r="CG115" i="2"/>
  <c r="CE63" i="3" s="1"/>
  <c r="BV115" i="2"/>
  <c r="BT63" i="3" s="1"/>
  <c r="BK115" i="2"/>
  <c r="BI63" i="3" s="1"/>
  <c r="BA115" i="2"/>
  <c r="AY63" i="3" s="1"/>
  <c r="AP115" i="2"/>
  <c r="AE115" i="2"/>
  <c r="AC63" i="3" s="1"/>
  <c r="U115" i="2"/>
  <c r="S63" i="3" s="1"/>
  <c r="J115" i="2"/>
  <c r="H63" i="3" s="1"/>
  <c r="CP115" i="2"/>
  <c r="CE115" i="2"/>
  <c r="CC63" i="3" s="1"/>
  <c r="BU115" i="2"/>
  <c r="BS63" i="3" s="1"/>
  <c r="BJ115" i="2"/>
  <c r="BH63" i="3" s="1"/>
  <c r="AY115" i="2"/>
  <c r="AW63" i="3" s="1"/>
  <c r="AO115" i="2"/>
  <c r="AM63" i="3" s="1"/>
  <c r="AD115" i="2"/>
  <c r="AB63" i="3" s="1"/>
  <c r="S115" i="2"/>
  <c r="Q63" i="3" s="1"/>
  <c r="CM115" i="2"/>
  <c r="CK63" i="3" s="1"/>
  <c r="CC115" i="2"/>
  <c r="CA63" i="3" s="1"/>
  <c r="BR115" i="2"/>
  <c r="BP63" i="3" s="1"/>
  <c r="BG115" i="2"/>
  <c r="BE63" i="3" s="1"/>
  <c r="AW115" i="2"/>
  <c r="AU63" i="3" s="1"/>
  <c r="AL115" i="2"/>
  <c r="AJ63" i="3" s="1"/>
  <c r="AA115" i="2"/>
  <c r="Y63" i="3" s="1"/>
  <c r="CL115" i="2"/>
  <c r="CJ63" i="3" s="1"/>
  <c r="CA115" i="2"/>
  <c r="BY63" i="3" s="1"/>
  <c r="BQ115" i="2"/>
  <c r="BF115" i="2"/>
  <c r="BD63" i="3" s="1"/>
  <c r="AU115" i="2"/>
  <c r="AS63" i="3" s="1"/>
  <c r="AK115" i="2"/>
  <c r="AI63" i="3" s="1"/>
  <c r="Z115" i="2"/>
  <c r="X63" i="3" s="1"/>
  <c r="CK115" i="2"/>
  <c r="CI63" i="3" s="1"/>
  <c r="BZ115" i="2"/>
  <c r="BX63" i="3" s="1"/>
  <c r="BO115" i="2"/>
  <c r="BM63" i="3" s="1"/>
  <c r="BE115" i="2"/>
  <c r="BC63" i="3" s="1"/>
  <c r="AT115" i="2"/>
  <c r="AR63" i="3" s="1"/>
  <c r="AI115" i="2"/>
  <c r="AG63" i="3" s="1"/>
  <c r="Y115" i="2"/>
  <c r="W63" i="3" s="1"/>
  <c r="CI115" i="2"/>
  <c r="CG63" i="3" s="1"/>
  <c r="BY115" i="2"/>
  <c r="BW63" i="3" s="1"/>
  <c r="BN115" i="2"/>
  <c r="BL63" i="3" s="1"/>
  <c r="BC115" i="2"/>
  <c r="BA63" i="3" s="1"/>
  <c r="AS115" i="2"/>
  <c r="AQ63" i="3" s="1"/>
  <c r="AH115" i="2"/>
  <c r="AF63" i="3" s="1"/>
  <c r="W115" i="2"/>
  <c r="U63" i="3" s="1"/>
  <c r="AM115" i="2"/>
  <c r="AK63" i="3" s="1"/>
  <c r="AC115" i="2"/>
  <c r="AA63" i="3" s="1"/>
  <c r="R115" i="2"/>
  <c r="P63" i="3" s="1"/>
  <c r="CO115" i="2"/>
  <c r="CM63" i="3" s="1"/>
  <c r="CD115" i="2"/>
  <c r="CB63" i="3" s="1"/>
  <c r="BS115" i="2"/>
  <c r="BQ63" i="3" s="1"/>
  <c r="BI115" i="2"/>
  <c r="BG63" i="3" s="1"/>
  <c r="AX115" i="2"/>
  <c r="AV63" i="3" s="1"/>
  <c r="F54" i="3"/>
  <c r="CO106" i="2"/>
  <c r="CM54" i="3" s="1"/>
  <c r="CG106" i="2"/>
  <c r="CE54" i="3" s="1"/>
  <c r="BY106" i="2"/>
  <c r="BW54" i="3" s="1"/>
  <c r="BQ106" i="2"/>
  <c r="BI106" i="2"/>
  <c r="BG54" i="3" s="1"/>
  <c r="BA106" i="2"/>
  <c r="AY54" i="3" s="1"/>
  <c r="AS106" i="2"/>
  <c r="AQ54" i="3" s="1"/>
  <c r="AK106" i="2"/>
  <c r="AI54" i="3" s="1"/>
  <c r="AC106" i="2"/>
  <c r="AA54" i="3" s="1"/>
  <c r="U106" i="2"/>
  <c r="S54" i="3" s="1"/>
  <c r="CN106" i="2"/>
  <c r="CL54" i="3" s="1"/>
  <c r="CF106" i="2"/>
  <c r="CD54" i="3" s="1"/>
  <c r="BX106" i="2"/>
  <c r="BV54" i="3" s="1"/>
  <c r="BP106" i="2"/>
  <c r="BH106" i="2"/>
  <c r="BF54" i="3" s="1"/>
  <c r="AZ106" i="2"/>
  <c r="AX54" i="3" s="1"/>
  <c r="AR106" i="2"/>
  <c r="AP54" i="3" s="1"/>
  <c r="AJ106" i="2"/>
  <c r="AH54" i="3" s="1"/>
  <c r="AB106" i="2"/>
  <c r="Z54" i="3" s="1"/>
  <c r="T106" i="2"/>
  <c r="R54" i="3" s="1"/>
  <c r="CM106" i="2"/>
  <c r="CK54" i="3" s="1"/>
  <c r="CE106" i="2"/>
  <c r="CC54" i="3" s="1"/>
  <c r="BW106" i="2"/>
  <c r="BU54" i="3" s="1"/>
  <c r="BO106" i="2"/>
  <c r="BM54" i="3" s="1"/>
  <c r="BG106" i="2"/>
  <c r="BE54" i="3" s="1"/>
  <c r="AY106" i="2"/>
  <c r="AW54" i="3" s="1"/>
  <c r="AQ106" i="2"/>
  <c r="AI106" i="2"/>
  <c r="AG54" i="3" s="1"/>
  <c r="AA106" i="2"/>
  <c r="Y54" i="3" s="1"/>
  <c r="S106" i="2"/>
  <c r="Q54" i="3" s="1"/>
  <c r="CK106" i="2"/>
  <c r="CI54" i="3" s="1"/>
  <c r="CC106" i="2"/>
  <c r="CA54" i="3" s="1"/>
  <c r="BU106" i="2"/>
  <c r="BS54" i="3" s="1"/>
  <c r="BM106" i="2"/>
  <c r="BK54" i="3" s="1"/>
  <c r="BE106" i="2"/>
  <c r="BC54" i="3" s="1"/>
  <c r="AW106" i="2"/>
  <c r="AU54" i="3" s="1"/>
  <c r="AO106" i="2"/>
  <c r="AM54" i="3" s="1"/>
  <c r="AG106" i="2"/>
  <c r="AE54" i="3" s="1"/>
  <c r="Y106" i="2"/>
  <c r="W54" i="3" s="1"/>
  <c r="CJ106" i="2"/>
  <c r="CH54" i="3" s="1"/>
  <c r="CB106" i="2"/>
  <c r="BZ54" i="3" s="1"/>
  <c r="BT106" i="2"/>
  <c r="BR54" i="3" s="1"/>
  <c r="BL106" i="2"/>
  <c r="BJ54" i="3" s="1"/>
  <c r="BD106" i="2"/>
  <c r="BB54" i="3" s="1"/>
  <c r="AV106" i="2"/>
  <c r="AT54" i="3" s="1"/>
  <c r="AN106" i="2"/>
  <c r="AL54" i="3" s="1"/>
  <c r="AF106" i="2"/>
  <c r="AD54" i="3" s="1"/>
  <c r="X106" i="2"/>
  <c r="V54" i="3" s="1"/>
  <c r="CQ106" i="2"/>
  <c r="CI106" i="2"/>
  <c r="CG54" i="3" s="1"/>
  <c r="CA106" i="2"/>
  <c r="BY54" i="3" s="1"/>
  <c r="BS106" i="2"/>
  <c r="BQ54" i="3" s="1"/>
  <c r="BK106" i="2"/>
  <c r="BI54" i="3" s="1"/>
  <c r="BC106" i="2"/>
  <c r="BA54" i="3" s="1"/>
  <c r="AU106" i="2"/>
  <c r="AS54" i="3" s="1"/>
  <c r="AM106" i="2"/>
  <c r="AK54" i="3" s="1"/>
  <c r="AE106" i="2"/>
  <c r="AC54" i="3" s="1"/>
  <c r="W106" i="2"/>
  <c r="U54" i="3" s="1"/>
  <c r="CP106" i="2"/>
  <c r="BJ106" i="2"/>
  <c r="BH54" i="3" s="1"/>
  <c r="AD106" i="2"/>
  <c r="AB54" i="3" s="1"/>
  <c r="CL106" i="2"/>
  <c r="CJ54" i="3" s="1"/>
  <c r="BF106" i="2"/>
  <c r="BD54" i="3" s="1"/>
  <c r="Z106" i="2"/>
  <c r="X54" i="3" s="1"/>
  <c r="CH106" i="2"/>
  <c r="CF54" i="3" s="1"/>
  <c r="BB106" i="2"/>
  <c r="AZ54" i="3" s="1"/>
  <c r="V106" i="2"/>
  <c r="T54" i="3" s="1"/>
  <c r="CD106" i="2"/>
  <c r="CB54" i="3" s="1"/>
  <c r="AX106" i="2"/>
  <c r="AV54" i="3" s="1"/>
  <c r="R106" i="2"/>
  <c r="P54" i="3" s="1"/>
  <c r="BZ106" i="2"/>
  <c r="BX54" i="3" s="1"/>
  <c r="AT106" i="2"/>
  <c r="AR54" i="3" s="1"/>
  <c r="BV106" i="2"/>
  <c r="BT54" i="3" s="1"/>
  <c r="AP106" i="2"/>
  <c r="BR106" i="2"/>
  <c r="BP54" i="3" s="1"/>
  <c r="AL106" i="2"/>
  <c r="AJ54" i="3" s="1"/>
  <c r="BN106" i="2"/>
  <c r="BL54" i="3" s="1"/>
  <c r="AH106" i="2"/>
  <c r="AF54" i="3" s="1"/>
  <c r="J106" i="2"/>
  <c r="H54" i="3" s="1"/>
  <c r="CO69" i="3"/>
  <c r="CN69" i="3"/>
  <c r="AO56" i="3"/>
  <c r="AN56" i="3"/>
  <c r="E29" i="3"/>
  <c r="O61" i="2"/>
  <c r="M29" i="3" s="1"/>
  <c r="M61" i="2"/>
  <c r="K29" i="3" s="1"/>
  <c r="L61" i="2"/>
  <c r="J29" i="3" s="1"/>
  <c r="P61" i="2"/>
  <c r="AM51" i="3"/>
  <c r="P51" i="3"/>
  <c r="CB51" i="3"/>
  <c r="BO51" i="3"/>
  <c r="BN51" i="3"/>
  <c r="AY51" i="3"/>
  <c r="AJ51" i="3"/>
  <c r="BO39" i="3"/>
  <c r="BN39" i="3"/>
  <c r="AN35" i="3"/>
  <c r="AO35" i="3"/>
  <c r="CO57" i="3"/>
  <c r="CN57" i="3"/>
  <c r="CO60" i="3"/>
  <c r="CN60" i="3"/>
  <c r="BO42" i="3"/>
  <c r="BN42" i="3"/>
  <c r="BJ5" i="3"/>
  <c r="BN30" i="3"/>
  <c r="BO30" i="3"/>
  <c r="F28" i="3"/>
  <c r="CL60" i="2"/>
  <c r="CD60" i="2"/>
  <c r="BV60" i="2"/>
  <c r="BN60" i="2"/>
  <c r="BF60" i="2"/>
  <c r="AX60" i="2"/>
  <c r="AP60" i="2"/>
  <c r="AH60" i="2"/>
  <c r="Z60" i="2"/>
  <c r="R60" i="2"/>
  <c r="J60" i="2"/>
  <c r="CK60" i="2"/>
  <c r="CC60" i="2"/>
  <c r="BU60" i="2"/>
  <c r="BM60" i="2"/>
  <c r="BE60" i="2"/>
  <c r="AW60" i="2"/>
  <c r="AO60" i="2"/>
  <c r="AG60" i="2"/>
  <c r="Y60" i="2"/>
  <c r="CJ60" i="2"/>
  <c r="CB60" i="2"/>
  <c r="BT60" i="2"/>
  <c r="BL60" i="2"/>
  <c r="BD60" i="2"/>
  <c r="AV60" i="2"/>
  <c r="AN60" i="2"/>
  <c r="AF60" i="2"/>
  <c r="X60" i="2"/>
  <c r="CQ60" i="2"/>
  <c r="CI60" i="2"/>
  <c r="CA60" i="2"/>
  <c r="BS60" i="2"/>
  <c r="BK60" i="2"/>
  <c r="BC60" i="2"/>
  <c r="AU60" i="2"/>
  <c r="AM60" i="2"/>
  <c r="AE60" i="2"/>
  <c r="W60" i="2"/>
  <c r="CN60" i="2"/>
  <c r="CF60" i="2"/>
  <c r="BX60" i="2"/>
  <c r="BP60" i="2"/>
  <c r="BH60" i="2"/>
  <c r="AZ60" i="2"/>
  <c r="AR60" i="2"/>
  <c r="AJ60" i="2"/>
  <c r="AB60" i="2"/>
  <c r="T60" i="2"/>
  <c r="CM60" i="2"/>
  <c r="CE60" i="2"/>
  <c r="BW60" i="2"/>
  <c r="BO60" i="2"/>
  <c r="BG60" i="2"/>
  <c r="AY60" i="2"/>
  <c r="AQ60" i="2"/>
  <c r="AI60" i="2"/>
  <c r="AA60" i="2"/>
  <c r="S60" i="2"/>
  <c r="CO60" i="2"/>
  <c r="BI60" i="2"/>
  <c r="AC60" i="2"/>
  <c r="CH60" i="2"/>
  <c r="BB60" i="2"/>
  <c r="V60" i="2"/>
  <c r="CG60" i="2"/>
  <c r="BA60" i="2"/>
  <c r="U60" i="2"/>
  <c r="BZ60" i="2"/>
  <c r="AT60" i="2"/>
  <c r="CP60" i="2"/>
  <c r="AD60" i="2"/>
  <c r="BY60" i="2"/>
  <c r="AS60" i="2"/>
  <c r="BR60" i="2"/>
  <c r="AL60" i="2"/>
  <c r="BQ60" i="2"/>
  <c r="AK60" i="2"/>
  <c r="BJ60" i="2"/>
  <c r="CG5" i="3"/>
  <c r="U5" i="3"/>
  <c r="CO5" i="3"/>
  <c r="CN5" i="3"/>
  <c r="AB5" i="3"/>
  <c r="BG5" i="3"/>
  <c r="F8" i="3"/>
  <c r="CN19" i="2"/>
  <c r="CL8" i="3" s="1"/>
  <c r="CF19" i="2"/>
  <c r="CD8" i="3" s="1"/>
  <c r="BX19" i="2"/>
  <c r="BV8" i="3" s="1"/>
  <c r="BP19" i="2"/>
  <c r="BH19" i="2"/>
  <c r="BF8" i="3" s="1"/>
  <c r="AZ19" i="2"/>
  <c r="AX8" i="3" s="1"/>
  <c r="AR19" i="2"/>
  <c r="AP8" i="3" s="1"/>
  <c r="AJ19" i="2"/>
  <c r="AH8" i="3" s="1"/>
  <c r="AB19" i="2"/>
  <c r="Z8" i="3" s="1"/>
  <c r="T19" i="2"/>
  <c r="R8" i="3" s="1"/>
  <c r="CM19" i="2"/>
  <c r="CK8" i="3" s="1"/>
  <c r="CE19" i="2"/>
  <c r="CC8" i="3" s="1"/>
  <c r="BW19" i="2"/>
  <c r="BU8" i="3" s="1"/>
  <c r="BO19" i="2"/>
  <c r="BM8" i="3" s="1"/>
  <c r="BG19" i="2"/>
  <c r="BE8" i="3" s="1"/>
  <c r="AY19" i="2"/>
  <c r="AW8" i="3" s="1"/>
  <c r="AQ19" i="2"/>
  <c r="AI19" i="2"/>
  <c r="AG8" i="3" s="1"/>
  <c r="AA19" i="2"/>
  <c r="Y8" i="3" s="1"/>
  <c r="S19" i="2"/>
  <c r="Q8" i="3" s="1"/>
  <c r="BA19" i="2"/>
  <c r="AY8" i="3" s="1"/>
  <c r="CL19" i="2"/>
  <c r="CJ8" i="3" s="1"/>
  <c r="CD19" i="2"/>
  <c r="CB8" i="3" s="1"/>
  <c r="BV19" i="2"/>
  <c r="BT8" i="3" s="1"/>
  <c r="BN19" i="2"/>
  <c r="BL8" i="3" s="1"/>
  <c r="BF19" i="2"/>
  <c r="BD8" i="3" s="1"/>
  <c r="AX19" i="2"/>
  <c r="AV8" i="3" s="1"/>
  <c r="AP19" i="2"/>
  <c r="AH19" i="2"/>
  <c r="AF8" i="3" s="1"/>
  <c r="Z19" i="2"/>
  <c r="X8" i="3" s="1"/>
  <c r="R19" i="2"/>
  <c r="P8" i="3" s="1"/>
  <c r="J19" i="2"/>
  <c r="H8" i="3" s="1"/>
  <c r="CG19" i="2"/>
  <c r="CE8" i="3" s="1"/>
  <c r="BI19" i="2"/>
  <c r="BG8" i="3" s="1"/>
  <c r="AK19" i="2"/>
  <c r="AI8" i="3" s="1"/>
  <c r="CK19" i="2"/>
  <c r="CI8" i="3" s="1"/>
  <c r="CC19" i="2"/>
  <c r="CA8" i="3" s="1"/>
  <c r="BU19" i="2"/>
  <c r="BS8" i="3" s="1"/>
  <c r="BM19" i="2"/>
  <c r="BK8" i="3" s="1"/>
  <c r="BE19" i="2"/>
  <c r="BC8" i="3" s="1"/>
  <c r="AW19" i="2"/>
  <c r="AU8" i="3" s="1"/>
  <c r="AO19" i="2"/>
  <c r="AM8" i="3" s="1"/>
  <c r="AG19" i="2"/>
  <c r="AE8" i="3" s="1"/>
  <c r="Y19" i="2"/>
  <c r="W8" i="3" s="1"/>
  <c r="BY19" i="2"/>
  <c r="BW8" i="3" s="1"/>
  <c r="AC19" i="2"/>
  <c r="AA8" i="3" s="1"/>
  <c r="CJ19" i="2"/>
  <c r="CH8" i="3" s="1"/>
  <c r="CB19" i="2"/>
  <c r="BZ8" i="3" s="1"/>
  <c r="BT19" i="2"/>
  <c r="BR8" i="3" s="1"/>
  <c r="BL19" i="2"/>
  <c r="BJ8" i="3" s="1"/>
  <c r="BD19" i="2"/>
  <c r="BB8" i="3" s="1"/>
  <c r="AV19" i="2"/>
  <c r="AT8" i="3" s="1"/>
  <c r="AN19" i="2"/>
  <c r="AL8" i="3" s="1"/>
  <c r="AF19" i="2"/>
  <c r="AD8" i="3" s="1"/>
  <c r="X19" i="2"/>
  <c r="V8" i="3" s="1"/>
  <c r="CQ19" i="2"/>
  <c r="CI19" i="2"/>
  <c r="CG8" i="3" s="1"/>
  <c r="CA19" i="2"/>
  <c r="BY8" i="3" s="1"/>
  <c r="BS19" i="2"/>
  <c r="BQ8" i="3" s="1"/>
  <c r="BK19" i="2"/>
  <c r="BI8" i="3" s="1"/>
  <c r="BC19" i="2"/>
  <c r="BA8" i="3" s="1"/>
  <c r="AU19" i="2"/>
  <c r="AS8" i="3" s="1"/>
  <c r="AM19" i="2"/>
  <c r="AK8" i="3" s="1"/>
  <c r="AE19" i="2"/>
  <c r="AC8" i="3" s="1"/>
  <c r="W19" i="2"/>
  <c r="U8" i="3" s="1"/>
  <c r="BQ19" i="2"/>
  <c r="U19" i="2"/>
  <c r="S8" i="3" s="1"/>
  <c r="CP19" i="2"/>
  <c r="CH19" i="2"/>
  <c r="CF8" i="3" s="1"/>
  <c r="BZ19" i="2"/>
  <c r="BX8" i="3" s="1"/>
  <c r="BR19" i="2"/>
  <c r="BP8" i="3" s="1"/>
  <c r="BJ19" i="2"/>
  <c r="BH8" i="3" s="1"/>
  <c r="BB19" i="2"/>
  <c r="AZ8" i="3" s="1"/>
  <c r="AT19" i="2"/>
  <c r="AR8" i="3" s="1"/>
  <c r="AL19" i="2"/>
  <c r="AJ8" i="3" s="1"/>
  <c r="AD19" i="2"/>
  <c r="AB8" i="3" s="1"/>
  <c r="V19" i="2"/>
  <c r="T8" i="3" s="1"/>
  <c r="CO19" i="2"/>
  <c r="CM8" i="3" s="1"/>
  <c r="AS19" i="2"/>
  <c r="AQ8" i="3" s="1"/>
  <c r="AP5" i="3"/>
  <c r="BE5" i="3"/>
  <c r="F19" i="3"/>
  <c r="CL30" i="2"/>
  <c r="CJ19" i="3" s="1"/>
  <c r="CD30" i="2"/>
  <c r="CB19" i="3" s="1"/>
  <c r="BV30" i="2"/>
  <c r="BT19" i="3" s="1"/>
  <c r="BN30" i="2"/>
  <c r="BL19" i="3" s="1"/>
  <c r="BF30" i="2"/>
  <c r="BD19" i="3" s="1"/>
  <c r="AX30" i="2"/>
  <c r="AV19" i="3" s="1"/>
  <c r="AP30" i="2"/>
  <c r="AH30" i="2"/>
  <c r="AF19" i="3" s="1"/>
  <c r="Z30" i="2"/>
  <c r="X19" i="3" s="1"/>
  <c r="R30" i="2"/>
  <c r="P19" i="3" s="1"/>
  <c r="J30" i="2"/>
  <c r="H19" i="3" s="1"/>
  <c r="CK30" i="2"/>
  <c r="CI19" i="3" s="1"/>
  <c r="CC30" i="2"/>
  <c r="CA19" i="3" s="1"/>
  <c r="BU30" i="2"/>
  <c r="BS19" i="3" s="1"/>
  <c r="BM30" i="2"/>
  <c r="BK19" i="3" s="1"/>
  <c r="BE30" i="2"/>
  <c r="BC19" i="3" s="1"/>
  <c r="AW30" i="2"/>
  <c r="AU19" i="3" s="1"/>
  <c r="AO30" i="2"/>
  <c r="AM19" i="3" s="1"/>
  <c r="AG30" i="2"/>
  <c r="AE19" i="3" s="1"/>
  <c r="Y30" i="2"/>
  <c r="W19" i="3" s="1"/>
  <c r="CJ30" i="2"/>
  <c r="CH19" i="3" s="1"/>
  <c r="CB30" i="2"/>
  <c r="BZ19" i="3" s="1"/>
  <c r="BT30" i="2"/>
  <c r="BR19" i="3" s="1"/>
  <c r="BL30" i="2"/>
  <c r="BJ19" i="3" s="1"/>
  <c r="CQ30" i="2"/>
  <c r="CI30" i="2"/>
  <c r="CG19" i="3" s="1"/>
  <c r="CA30" i="2"/>
  <c r="BY19" i="3" s="1"/>
  <c r="BS30" i="2"/>
  <c r="BQ19" i="3" s="1"/>
  <c r="BK30" i="2"/>
  <c r="BI19" i="3" s="1"/>
  <c r="BC30" i="2"/>
  <c r="BA19" i="3" s="1"/>
  <c r="AU30" i="2"/>
  <c r="AS19" i="3" s="1"/>
  <c r="AM30" i="2"/>
  <c r="AK19" i="3" s="1"/>
  <c r="AE30" i="2"/>
  <c r="AC19" i="3" s="1"/>
  <c r="W30" i="2"/>
  <c r="U19" i="3" s="1"/>
  <c r="CF30" i="2"/>
  <c r="CD19" i="3" s="1"/>
  <c r="BP30" i="2"/>
  <c r="BA30" i="2"/>
  <c r="AY19" i="3" s="1"/>
  <c r="AN30" i="2"/>
  <c r="AL19" i="3" s="1"/>
  <c r="AB30" i="2"/>
  <c r="Z19" i="3" s="1"/>
  <c r="CE30" i="2"/>
  <c r="CC19" i="3" s="1"/>
  <c r="BO30" i="2"/>
  <c r="BM19" i="3" s="1"/>
  <c r="AZ30" i="2"/>
  <c r="AX19" i="3" s="1"/>
  <c r="AL30" i="2"/>
  <c r="AJ19" i="3" s="1"/>
  <c r="AA30" i="2"/>
  <c r="Y19" i="3" s="1"/>
  <c r="CP30" i="2"/>
  <c r="BZ30" i="2"/>
  <c r="BX19" i="3" s="1"/>
  <c r="BJ30" i="2"/>
  <c r="BH19" i="3" s="1"/>
  <c r="AY30" i="2"/>
  <c r="AW19" i="3" s="1"/>
  <c r="AK30" i="2"/>
  <c r="AI19" i="3" s="1"/>
  <c r="X30" i="2"/>
  <c r="V19" i="3" s="1"/>
  <c r="CO30" i="2"/>
  <c r="CM19" i="3" s="1"/>
  <c r="BY30" i="2"/>
  <c r="BW19" i="3" s="1"/>
  <c r="BI30" i="2"/>
  <c r="BG19" i="3" s="1"/>
  <c r="AV30" i="2"/>
  <c r="AT19" i="3" s="1"/>
  <c r="AJ30" i="2"/>
  <c r="AH19" i="3" s="1"/>
  <c r="V30" i="2"/>
  <c r="T19" i="3" s="1"/>
  <c r="CN30" i="2"/>
  <c r="CL19" i="3" s="1"/>
  <c r="BX30" i="2"/>
  <c r="BV19" i="3" s="1"/>
  <c r="BH30" i="2"/>
  <c r="BF19" i="3" s="1"/>
  <c r="AT30" i="2"/>
  <c r="AR19" i="3" s="1"/>
  <c r="AI30" i="2"/>
  <c r="AG19" i="3" s="1"/>
  <c r="U30" i="2"/>
  <c r="S19" i="3" s="1"/>
  <c r="CM30" i="2"/>
  <c r="CK19" i="3" s="1"/>
  <c r="BW30" i="2"/>
  <c r="BU19" i="3" s="1"/>
  <c r="BG30" i="2"/>
  <c r="BE19" i="3" s="1"/>
  <c r="AS30" i="2"/>
  <c r="AQ19" i="3" s="1"/>
  <c r="AF30" i="2"/>
  <c r="AD19" i="3" s="1"/>
  <c r="T30" i="2"/>
  <c r="R19" i="3" s="1"/>
  <c r="CG30" i="2"/>
  <c r="CE19" i="3" s="1"/>
  <c r="BQ30" i="2"/>
  <c r="BB30" i="2"/>
  <c r="AZ19" i="3" s="1"/>
  <c r="AQ30" i="2"/>
  <c r="CH30" i="2"/>
  <c r="CF19" i="3" s="1"/>
  <c r="BR30" i="2"/>
  <c r="BP19" i="3" s="1"/>
  <c r="BD30" i="2"/>
  <c r="BB19" i="3" s="1"/>
  <c r="AR30" i="2"/>
  <c r="AP19" i="3" s="1"/>
  <c r="AD30" i="2"/>
  <c r="AB19" i="3" s="1"/>
  <c r="S30" i="2"/>
  <c r="Q19" i="3" s="1"/>
  <c r="AC30" i="2"/>
  <c r="AA19" i="3" s="1"/>
  <c r="CB5" i="3"/>
  <c r="P5" i="3"/>
  <c r="BN22" i="3"/>
  <c r="BO22" i="3"/>
  <c r="O27" i="3"/>
  <c r="N27" i="3"/>
  <c r="BN18" i="3"/>
  <c r="BO18" i="3"/>
  <c r="CN18" i="3"/>
  <c r="CO18" i="3"/>
  <c r="N19" i="3"/>
  <c r="O19" i="3"/>
  <c r="N7" i="3"/>
  <c r="O7" i="3"/>
  <c r="CN13" i="3"/>
  <c r="CO13" i="3"/>
  <c r="F104" i="3"/>
  <c r="CQ196" i="2"/>
  <c r="CI196" i="2"/>
  <c r="CG104" i="3" s="1"/>
  <c r="CA196" i="2"/>
  <c r="BY104" i="3" s="1"/>
  <c r="BS196" i="2"/>
  <c r="BQ104" i="3" s="1"/>
  <c r="BK196" i="2"/>
  <c r="BI104" i="3" s="1"/>
  <c r="BC196" i="2"/>
  <c r="BA104" i="3" s="1"/>
  <c r="AU196" i="2"/>
  <c r="AS104" i="3" s="1"/>
  <c r="AM196" i="2"/>
  <c r="AK104" i="3" s="1"/>
  <c r="AE196" i="2"/>
  <c r="AC104" i="3" s="1"/>
  <c r="W196" i="2"/>
  <c r="U104" i="3" s="1"/>
  <c r="CM196" i="2"/>
  <c r="CK104" i="3" s="1"/>
  <c r="CE196" i="2"/>
  <c r="CC104" i="3" s="1"/>
  <c r="BW196" i="2"/>
  <c r="BU104" i="3" s="1"/>
  <c r="BO196" i="2"/>
  <c r="BM104" i="3" s="1"/>
  <c r="BG196" i="2"/>
  <c r="BE104" i="3" s="1"/>
  <c r="AY196" i="2"/>
  <c r="AW104" i="3" s="1"/>
  <c r="AQ196" i="2"/>
  <c r="AI196" i="2"/>
  <c r="AG104" i="3" s="1"/>
  <c r="AA196" i="2"/>
  <c r="Y104" i="3" s="1"/>
  <c r="S196" i="2"/>
  <c r="Q104" i="3" s="1"/>
  <c r="CN196" i="2"/>
  <c r="CL104" i="3" s="1"/>
  <c r="CC196" i="2"/>
  <c r="CA104" i="3" s="1"/>
  <c r="BR196" i="2"/>
  <c r="BP104" i="3" s="1"/>
  <c r="BH196" i="2"/>
  <c r="BF104" i="3" s="1"/>
  <c r="AW196" i="2"/>
  <c r="AU104" i="3" s="1"/>
  <c r="AL196" i="2"/>
  <c r="AJ104" i="3" s="1"/>
  <c r="AB196" i="2"/>
  <c r="Z104" i="3" s="1"/>
  <c r="CL196" i="2"/>
  <c r="CJ104" i="3" s="1"/>
  <c r="CB196" i="2"/>
  <c r="BZ104" i="3" s="1"/>
  <c r="BQ196" i="2"/>
  <c r="BF196" i="2"/>
  <c r="BD104" i="3" s="1"/>
  <c r="AV196" i="2"/>
  <c r="AT104" i="3" s="1"/>
  <c r="AK196" i="2"/>
  <c r="AI104" i="3" s="1"/>
  <c r="Z196" i="2"/>
  <c r="X104" i="3" s="1"/>
  <c r="CK196" i="2"/>
  <c r="CI104" i="3" s="1"/>
  <c r="BZ196" i="2"/>
  <c r="BX104" i="3" s="1"/>
  <c r="BP196" i="2"/>
  <c r="BE196" i="2"/>
  <c r="BC104" i="3" s="1"/>
  <c r="AT196" i="2"/>
  <c r="AR104" i="3" s="1"/>
  <c r="AJ196" i="2"/>
  <c r="AH104" i="3" s="1"/>
  <c r="Y196" i="2"/>
  <c r="W104" i="3" s="1"/>
  <c r="CH196" i="2"/>
  <c r="CF104" i="3" s="1"/>
  <c r="BX196" i="2"/>
  <c r="BV104" i="3" s="1"/>
  <c r="BM196" i="2"/>
  <c r="BK104" i="3" s="1"/>
  <c r="BB196" i="2"/>
  <c r="AZ104" i="3" s="1"/>
  <c r="AR196" i="2"/>
  <c r="AP104" i="3" s="1"/>
  <c r="AG196" i="2"/>
  <c r="AE104" i="3" s="1"/>
  <c r="V196" i="2"/>
  <c r="T104" i="3" s="1"/>
  <c r="CG196" i="2"/>
  <c r="CE104" i="3" s="1"/>
  <c r="BV196" i="2"/>
  <c r="BT104" i="3" s="1"/>
  <c r="BL196" i="2"/>
  <c r="BJ104" i="3" s="1"/>
  <c r="BA196" i="2"/>
  <c r="AY104" i="3" s="1"/>
  <c r="AP196" i="2"/>
  <c r="AF196" i="2"/>
  <c r="AD104" i="3" s="1"/>
  <c r="U196" i="2"/>
  <c r="S104" i="3" s="1"/>
  <c r="CP196" i="2"/>
  <c r="CF196" i="2"/>
  <c r="CD104" i="3" s="1"/>
  <c r="BU196" i="2"/>
  <c r="BS104" i="3" s="1"/>
  <c r="BJ196" i="2"/>
  <c r="BH104" i="3" s="1"/>
  <c r="AZ196" i="2"/>
  <c r="AX104" i="3" s="1"/>
  <c r="AO196" i="2"/>
  <c r="AM104" i="3" s="1"/>
  <c r="AD196" i="2"/>
  <c r="AB104" i="3" s="1"/>
  <c r="T196" i="2"/>
  <c r="R104" i="3" s="1"/>
  <c r="BY196" i="2"/>
  <c r="BW104" i="3" s="1"/>
  <c r="AH196" i="2"/>
  <c r="AF104" i="3" s="1"/>
  <c r="BT196" i="2"/>
  <c r="BR104" i="3" s="1"/>
  <c r="AC196" i="2"/>
  <c r="AA104" i="3" s="1"/>
  <c r="BN196" i="2"/>
  <c r="BL104" i="3" s="1"/>
  <c r="X196" i="2"/>
  <c r="V104" i="3" s="1"/>
  <c r="BI196" i="2"/>
  <c r="BG104" i="3" s="1"/>
  <c r="R196" i="2"/>
  <c r="P104" i="3" s="1"/>
  <c r="BD196" i="2"/>
  <c r="BB104" i="3" s="1"/>
  <c r="CO196" i="2"/>
  <c r="CM104" i="3" s="1"/>
  <c r="AX196" i="2"/>
  <c r="AV104" i="3" s="1"/>
  <c r="CJ196" i="2"/>
  <c r="CH104" i="3" s="1"/>
  <c r="AS196" i="2"/>
  <c r="AQ104" i="3" s="1"/>
  <c r="CD196" i="2"/>
  <c r="CB104" i="3" s="1"/>
  <c r="AN196" i="2"/>
  <c r="AL104" i="3" s="1"/>
  <c r="J196" i="2"/>
  <c r="H104" i="3" s="1"/>
  <c r="F77" i="3"/>
  <c r="CJ149" i="2"/>
  <c r="CH77" i="3" s="1"/>
  <c r="CB149" i="2"/>
  <c r="BZ77" i="3" s="1"/>
  <c r="BT149" i="2"/>
  <c r="BR77" i="3" s="1"/>
  <c r="BL149" i="2"/>
  <c r="BJ77" i="3" s="1"/>
  <c r="BD149" i="2"/>
  <c r="BB77" i="3" s="1"/>
  <c r="AV149" i="2"/>
  <c r="AT77" i="3" s="1"/>
  <c r="AN149" i="2"/>
  <c r="AL77" i="3" s="1"/>
  <c r="AF149" i="2"/>
  <c r="AD77" i="3" s="1"/>
  <c r="X149" i="2"/>
  <c r="V77" i="3" s="1"/>
  <c r="CQ149" i="2"/>
  <c r="CI149" i="2"/>
  <c r="CG77" i="3" s="1"/>
  <c r="CA149" i="2"/>
  <c r="BY77" i="3" s="1"/>
  <c r="BS149" i="2"/>
  <c r="BQ77" i="3" s="1"/>
  <c r="BK149" i="2"/>
  <c r="BI77" i="3" s="1"/>
  <c r="BC149" i="2"/>
  <c r="BA77" i="3" s="1"/>
  <c r="AU149" i="2"/>
  <c r="AS77" i="3" s="1"/>
  <c r="AM149" i="2"/>
  <c r="AK77" i="3" s="1"/>
  <c r="AE149" i="2"/>
  <c r="AC77" i="3" s="1"/>
  <c r="W149" i="2"/>
  <c r="U77" i="3" s="1"/>
  <c r="CP149" i="2"/>
  <c r="CH149" i="2"/>
  <c r="CF77" i="3" s="1"/>
  <c r="BZ149" i="2"/>
  <c r="BX77" i="3" s="1"/>
  <c r="BR149" i="2"/>
  <c r="BP77" i="3" s="1"/>
  <c r="BJ149" i="2"/>
  <c r="BH77" i="3" s="1"/>
  <c r="BB149" i="2"/>
  <c r="AZ77" i="3" s="1"/>
  <c r="AT149" i="2"/>
  <c r="AR77" i="3" s="1"/>
  <c r="AL149" i="2"/>
  <c r="AJ77" i="3" s="1"/>
  <c r="AD149" i="2"/>
  <c r="AB77" i="3" s="1"/>
  <c r="V149" i="2"/>
  <c r="T77" i="3" s="1"/>
  <c r="CO149" i="2"/>
  <c r="CM77" i="3" s="1"/>
  <c r="CG149" i="2"/>
  <c r="CE77" i="3" s="1"/>
  <c r="BY149" i="2"/>
  <c r="BW77" i="3" s="1"/>
  <c r="BQ149" i="2"/>
  <c r="BI149" i="2"/>
  <c r="BG77" i="3" s="1"/>
  <c r="BA149" i="2"/>
  <c r="AY77" i="3" s="1"/>
  <c r="AS149" i="2"/>
  <c r="AQ77" i="3" s="1"/>
  <c r="AK149" i="2"/>
  <c r="AI77" i="3" s="1"/>
  <c r="AC149" i="2"/>
  <c r="AA77" i="3" s="1"/>
  <c r="U149" i="2"/>
  <c r="S77" i="3" s="1"/>
  <c r="CN149" i="2"/>
  <c r="CL77" i="3" s="1"/>
  <c r="CF149" i="2"/>
  <c r="CD77" i="3" s="1"/>
  <c r="BX149" i="2"/>
  <c r="BV77" i="3" s="1"/>
  <c r="BP149" i="2"/>
  <c r="BH149" i="2"/>
  <c r="BF77" i="3" s="1"/>
  <c r="AZ149" i="2"/>
  <c r="AX77" i="3" s="1"/>
  <c r="AR149" i="2"/>
  <c r="AP77" i="3" s="1"/>
  <c r="AJ149" i="2"/>
  <c r="AH77" i="3" s="1"/>
  <c r="AB149" i="2"/>
  <c r="Z77" i="3" s="1"/>
  <c r="T149" i="2"/>
  <c r="R77" i="3" s="1"/>
  <c r="CM149" i="2"/>
  <c r="CK77" i="3" s="1"/>
  <c r="CE149" i="2"/>
  <c r="CC77" i="3" s="1"/>
  <c r="BW149" i="2"/>
  <c r="BU77" i="3" s="1"/>
  <c r="BO149" i="2"/>
  <c r="BM77" i="3" s="1"/>
  <c r="BG149" i="2"/>
  <c r="BE77" i="3" s="1"/>
  <c r="AY149" i="2"/>
  <c r="AW77" i="3" s="1"/>
  <c r="AQ149" i="2"/>
  <c r="AI149" i="2"/>
  <c r="AG77" i="3" s="1"/>
  <c r="AA149" i="2"/>
  <c r="Y77" i="3" s="1"/>
  <c r="S149" i="2"/>
  <c r="Q77" i="3" s="1"/>
  <c r="CL149" i="2"/>
  <c r="CJ77" i="3" s="1"/>
  <c r="CD149" i="2"/>
  <c r="CB77" i="3" s="1"/>
  <c r="BV149" i="2"/>
  <c r="BT77" i="3" s="1"/>
  <c r="BN149" i="2"/>
  <c r="BL77" i="3" s="1"/>
  <c r="BF149" i="2"/>
  <c r="BD77" i="3" s="1"/>
  <c r="AX149" i="2"/>
  <c r="AV77" i="3" s="1"/>
  <c r="AP149" i="2"/>
  <c r="AH149" i="2"/>
  <c r="AF77" i="3" s="1"/>
  <c r="Z149" i="2"/>
  <c r="X77" i="3" s="1"/>
  <c r="R149" i="2"/>
  <c r="P77" i="3" s="1"/>
  <c r="J149" i="2"/>
  <c r="H77" i="3" s="1"/>
  <c r="CK149" i="2"/>
  <c r="CI77" i="3" s="1"/>
  <c r="CC149" i="2"/>
  <c r="CA77" i="3" s="1"/>
  <c r="BU149" i="2"/>
  <c r="BS77" i="3" s="1"/>
  <c r="BM149" i="2"/>
  <c r="BK77" i="3" s="1"/>
  <c r="BE149" i="2"/>
  <c r="BC77" i="3" s="1"/>
  <c r="AW149" i="2"/>
  <c r="AU77" i="3" s="1"/>
  <c r="AO149" i="2"/>
  <c r="AM77" i="3" s="1"/>
  <c r="AG149" i="2"/>
  <c r="AE77" i="3" s="1"/>
  <c r="Y149" i="2"/>
  <c r="W77" i="3" s="1"/>
  <c r="O111" i="3"/>
  <c r="N111" i="3"/>
  <c r="F90" i="3"/>
  <c r="CO162" i="2"/>
  <c r="CM90" i="3" s="1"/>
  <c r="CG162" i="2"/>
  <c r="CE90" i="3" s="1"/>
  <c r="BY162" i="2"/>
  <c r="BW90" i="3" s="1"/>
  <c r="BQ162" i="2"/>
  <c r="BI162" i="2"/>
  <c r="BG90" i="3" s="1"/>
  <c r="BA162" i="2"/>
  <c r="AY90" i="3" s="1"/>
  <c r="AS162" i="2"/>
  <c r="AQ90" i="3" s="1"/>
  <c r="AK162" i="2"/>
  <c r="AI90" i="3" s="1"/>
  <c r="AC162" i="2"/>
  <c r="AA90" i="3" s="1"/>
  <c r="U162" i="2"/>
  <c r="S90" i="3" s="1"/>
  <c r="CK162" i="2"/>
  <c r="CI90" i="3" s="1"/>
  <c r="CC162" i="2"/>
  <c r="CA90" i="3" s="1"/>
  <c r="BU162" i="2"/>
  <c r="BS90" i="3" s="1"/>
  <c r="BM162" i="2"/>
  <c r="BK90" i="3" s="1"/>
  <c r="BE162" i="2"/>
  <c r="BC90" i="3" s="1"/>
  <c r="AW162" i="2"/>
  <c r="AU90" i="3" s="1"/>
  <c r="AO162" i="2"/>
  <c r="AM90" i="3" s="1"/>
  <c r="AG162" i="2"/>
  <c r="AE90" i="3" s="1"/>
  <c r="Y162" i="2"/>
  <c r="W90" i="3" s="1"/>
  <c r="CJ162" i="2"/>
  <c r="CH90" i="3" s="1"/>
  <c r="BZ162" i="2"/>
  <c r="BX90" i="3" s="1"/>
  <c r="BO162" i="2"/>
  <c r="BM90" i="3" s="1"/>
  <c r="BD162" i="2"/>
  <c r="BB90" i="3" s="1"/>
  <c r="AT162" i="2"/>
  <c r="AR90" i="3" s="1"/>
  <c r="AI162" i="2"/>
  <c r="AG90" i="3" s="1"/>
  <c r="X162" i="2"/>
  <c r="V90" i="3" s="1"/>
  <c r="CI162" i="2"/>
  <c r="CG90" i="3" s="1"/>
  <c r="BX162" i="2"/>
  <c r="BV90" i="3" s="1"/>
  <c r="BN162" i="2"/>
  <c r="BL90" i="3" s="1"/>
  <c r="BC162" i="2"/>
  <c r="BA90" i="3" s="1"/>
  <c r="AR162" i="2"/>
  <c r="AP90" i="3" s="1"/>
  <c r="AH162" i="2"/>
  <c r="AF90" i="3" s="1"/>
  <c r="W162" i="2"/>
  <c r="U90" i="3" s="1"/>
  <c r="CH162" i="2"/>
  <c r="CF90" i="3" s="1"/>
  <c r="BW162" i="2"/>
  <c r="BU90" i="3" s="1"/>
  <c r="BL162" i="2"/>
  <c r="BJ90" i="3" s="1"/>
  <c r="BB162" i="2"/>
  <c r="AZ90" i="3" s="1"/>
  <c r="AQ162" i="2"/>
  <c r="AF162" i="2"/>
  <c r="AD90" i="3" s="1"/>
  <c r="V162" i="2"/>
  <c r="T90" i="3" s="1"/>
  <c r="CQ162" i="2"/>
  <c r="CF162" i="2"/>
  <c r="CD90" i="3" s="1"/>
  <c r="BV162" i="2"/>
  <c r="BT90" i="3" s="1"/>
  <c r="BK162" i="2"/>
  <c r="BI90" i="3" s="1"/>
  <c r="AZ162" i="2"/>
  <c r="AX90" i="3" s="1"/>
  <c r="AP162" i="2"/>
  <c r="AE162" i="2"/>
  <c r="AC90" i="3" s="1"/>
  <c r="T162" i="2"/>
  <c r="R90" i="3" s="1"/>
  <c r="CP162" i="2"/>
  <c r="CE162" i="2"/>
  <c r="CC90" i="3" s="1"/>
  <c r="BT162" i="2"/>
  <c r="BR90" i="3" s="1"/>
  <c r="BJ162" i="2"/>
  <c r="BH90" i="3" s="1"/>
  <c r="AY162" i="2"/>
  <c r="AW90" i="3" s="1"/>
  <c r="AN162" i="2"/>
  <c r="AL90" i="3" s="1"/>
  <c r="AD162" i="2"/>
  <c r="AB90" i="3" s="1"/>
  <c r="S162" i="2"/>
  <c r="Q90" i="3" s="1"/>
  <c r="J162" i="2"/>
  <c r="H90" i="3" s="1"/>
  <c r="CN162" i="2"/>
  <c r="CL90" i="3" s="1"/>
  <c r="CD162" i="2"/>
  <c r="CB90" i="3" s="1"/>
  <c r="BS162" i="2"/>
  <c r="BQ90" i="3" s="1"/>
  <c r="BH162" i="2"/>
  <c r="BF90" i="3" s="1"/>
  <c r="AX162" i="2"/>
  <c r="AV90" i="3" s="1"/>
  <c r="AM162" i="2"/>
  <c r="AK90" i="3" s="1"/>
  <c r="AB162" i="2"/>
  <c r="Z90" i="3" s="1"/>
  <c r="R162" i="2"/>
  <c r="P90" i="3" s="1"/>
  <c r="CM162" i="2"/>
  <c r="CK90" i="3" s="1"/>
  <c r="CB162" i="2"/>
  <c r="BZ90" i="3" s="1"/>
  <c r="BR162" i="2"/>
  <c r="BP90" i="3" s="1"/>
  <c r="BG162" i="2"/>
  <c r="BE90" i="3" s="1"/>
  <c r="AV162" i="2"/>
  <c r="AT90" i="3" s="1"/>
  <c r="AL162" i="2"/>
  <c r="AJ90" i="3" s="1"/>
  <c r="AA162" i="2"/>
  <c r="Y90" i="3" s="1"/>
  <c r="CL162" i="2"/>
  <c r="CJ90" i="3" s="1"/>
  <c r="CA162" i="2"/>
  <c r="BY90" i="3" s="1"/>
  <c r="BP162" i="2"/>
  <c r="BF162" i="2"/>
  <c r="BD90" i="3" s="1"/>
  <c r="AU162" i="2"/>
  <c r="AS90" i="3" s="1"/>
  <c r="AJ162" i="2"/>
  <c r="AH90" i="3" s="1"/>
  <c r="Z162" i="2"/>
  <c r="X90" i="3" s="1"/>
  <c r="CN98" i="3"/>
  <c r="CO98" i="3"/>
  <c r="E93" i="3"/>
  <c r="O165" i="2"/>
  <c r="M93" i="3" s="1"/>
  <c r="M165" i="2"/>
  <c r="K93" i="3" s="1"/>
  <c r="P165" i="2"/>
  <c r="L165" i="2"/>
  <c r="J93" i="3" s="1"/>
  <c r="BO84" i="3"/>
  <c r="BN84" i="3"/>
  <c r="E73" i="3"/>
  <c r="L125" i="2"/>
  <c r="J73" i="3" s="1"/>
  <c r="O125" i="2"/>
  <c r="M73" i="3" s="1"/>
  <c r="P125" i="2"/>
  <c r="M125" i="2"/>
  <c r="K73" i="3" s="1"/>
  <c r="CO55" i="3"/>
  <c r="CN55" i="3"/>
  <c r="BN68" i="3"/>
  <c r="BO68" i="3"/>
  <c r="F112" i="3"/>
  <c r="CQ204" i="2"/>
  <c r="CI204" i="2"/>
  <c r="CG112" i="3" s="1"/>
  <c r="CA204" i="2"/>
  <c r="BY112" i="3" s="1"/>
  <c r="BS204" i="2"/>
  <c r="BQ112" i="3" s="1"/>
  <c r="BK204" i="2"/>
  <c r="BI112" i="3" s="1"/>
  <c r="BC204" i="2"/>
  <c r="BA112" i="3" s="1"/>
  <c r="AU204" i="2"/>
  <c r="AS112" i="3" s="1"/>
  <c r="AM204" i="2"/>
  <c r="AK112" i="3" s="1"/>
  <c r="AE204" i="2"/>
  <c r="AC112" i="3" s="1"/>
  <c r="W204" i="2"/>
  <c r="U112" i="3" s="1"/>
  <c r="CM204" i="2"/>
  <c r="CK112" i="3" s="1"/>
  <c r="CE204" i="2"/>
  <c r="CC112" i="3" s="1"/>
  <c r="BW204" i="2"/>
  <c r="BU112" i="3" s="1"/>
  <c r="BO204" i="2"/>
  <c r="BM112" i="3" s="1"/>
  <c r="BG204" i="2"/>
  <c r="BE112" i="3" s="1"/>
  <c r="AY204" i="2"/>
  <c r="AW112" i="3" s="1"/>
  <c r="AQ204" i="2"/>
  <c r="AI204" i="2"/>
  <c r="AG112" i="3" s="1"/>
  <c r="AA204" i="2"/>
  <c r="Y112" i="3" s="1"/>
  <c r="S204" i="2"/>
  <c r="Q112" i="3" s="1"/>
  <c r="CO204" i="2"/>
  <c r="CM112" i="3" s="1"/>
  <c r="CD204" i="2"/>
  <c r="CB112" i="3" s="1"/>
  <c r="BT204" i="2"/>
  <c r="BR112" i="3" s="1"/>
  <c r="BI204" i="2"/>
  <c r="BG112" i="3" s="1"/>
  <c r="AX204" i="2"/>
  <c r="AV112" i="3" s="1"/>
  <c r="AN204" i="2"/>
  <c r="AL112" i="3" s="1"/>
  <c r="AC204" i="2"/>
  <c r="AA112" i="3" s="1"/>
  <c r="R204" i="2"/>
  <c r="P112" i="3" s="1"/>
  <c r="CN204" i="2"/>
  <c r="CL112" i="3" s="1"/>
  <c r="CC204" i="2"/>
  <c r="CA112" i="3" s="1"/>
  <c r="BR204" i="2"/>
  <c r="BP112" i="3" s="1"/>
  <c r="BH204" i="2"/>
  <c r="BF112" i="3" s="1"/>
  <c r="AW204" i="2"/>
  <c r="AU112" i="3" s="1"/>
  <c r="AL204" i="2"/>
  <c r="AJ112" i="3" s="1"/>
  <c r="AB204" i="2"/>
  <c r="Z112" i="3" s="1"/>
  <c r="CL204" i="2"/>
  <c r="CJ112" i="3" s="1"/>
  <c r="CB204" i="2"/>
  <c r="BZ112" i="3" s="1"/>
  <c r="BQ204" i="2"/>
  <c r="BF204" i="2"/>
  <c r="BD112" i="3" s="1"/>
  <c r="AV204" i="2"/>
  <c r="AT112" i="3" s="1"/>
  <c r="AK204" i="2"/>
  <c r="AI112" i="3" s="1"/>
  <c r="Z204" i="2"/>
  <c r="X112" i="3" s="1"/>
  <c r="CK204" i="2"/>
  <c r="CI112" i="3" s="1"/>
  <c r="BZ204" i="2"/>
  <c r="BX112" i="3" s="1"/>
  <c r="BP204" i="2"/>
  <c r="BE204" i="2"/>
  <c r="BC112" i="3" s="1"/>
  <c r="AT204" i="2"/>
  <c r="AR112" i="3" s="1"/>
  <c r="AJ204" i="2"/>
  <c r="AH112" i="3" s="1"/>
  <c r="Y204" i="2"/>
  <c r="W112" i="3" s="1"/>
  <c r="CJ204" i="2"/>
  <c r="CH112" i="3" s="1"/>
  <c r="BY204" i="2"/>
  <c r="BW112" i="3" s="1"/>
  <c r="BN204" i="2"/>
  <c r="BL112" i="3" s="1"/>
  <c r="BD204" i="2"/>
  <c r="BB112" i="3" s="1"/>
  <c r="AS204" i="2"/>
  <c r="AQ112" i="3" s="1"/>
  <c r="AH204" i="2"/>
  <c r="AF112" i="3" s="1"/>
  <c r="X204" i="2"/>
  <c r="V112" i="3" s="1"/>
  <c r="CH204" i="2"/>
  <c r="CF112" i="3" s="1"/>
  <c r="BX204" i="2"/>
  <c r="BV112" i="3" s="1"/>
  <c r="BM204" i="2"/>
  <c r="BK112" i="3" s="1"/>
  <c r="BB204" i="2"/>
  <c r="AZ112" i="3" s="1"/>
  <c r="AR204" i="2"/>
  <c r="AP112" i="3" s="1"/>
  <c r="AG204" i="2"/>
  <c r="AE112" i="3" s="1"/>
  <c r="V204" i="2"/>
  <c r="T112" i="3" s="1"/>
  <c r="CG204" i="2"/>
  <c r="CE112" i="3" s="1"/>
  <c r="BV204" i="2"/>
  <c r="BT112" i="3" s="1"/>
  <c r="BL204" i="2"/>
  <c r="BJ112" i="3" s="1"/>
  <c r="BA204" i="2"/>
  <c r="AY112" i="3" s="1"/>
  <c r="AP204" i="2"/>
  <c r="AF204" i="2"/>
  <c r="AD112" i="3" s="1"/>
  <c r="U204" i="2"/>
  <c r="S112" i="3" s="1"/>
  <c r="CP204" i="2"/>
  <c r="CF204" i="2"/>
  <c r="CD112" i="3" s="1"/>
  <c r="BU204" i="2"/>
  <c r="BS112" i="3" s="1"/>
  <c r="BJ204" i="2"/>
  <c r="BH112" i="3" s="1"/>
  <c r="AZ204" i="2"/>
  <c r="AX112" i="3" s="1"/>
  <c r="AO204" i="2"/>
  <c r="AM112" i="3" s="1"/>
  <c r="AD204" i="2"/>
  <c r="AB112" i="3" s="1"/>
  <c r="T204" i="2"/>
  <c r="R112" i="3" s="1"/>
  <c r="J204" i="2"/>
  <c r="H112" i="3" s="1"/>
  <c r="F119" i="3"/>
  <c r="CL211" i="2"/>
  <c r="CJ119" i="3" s="1"/>
  <c r="CD211" i="2"/>
  <c r="CB119" i="3" s="1"/>
  <c r="BV211" i="2"/>
  <c r="BT119" i="3" s="1"/>
  <c r="BN211" i="2"/>
  <c r="BL119" i="3" s="1"/>
  <c r="BF211" i="2"/>
  <c r="BD119" i="3" s="1"/>
  <c r="AX211" i="2"/>
  <c r="AV119" i="3" s="1"/>
  <c r="AP211" i="2"/>
  <c r="AH211" i="2"/>
  <c r="AF119" i="3" s="1"/>
  <c r="Z211" i="2"/>
  <c r="X119" i="3" s="1"/>
  <c r="R211" i="2"/>
  <c r="P119" i="3" s="1"/>
  <c r="J211" i="2"/>
  <c r="H119" i="3" s="1"/>
  <c r="CK211" i="2"/>
  <c r="CI119" i="3" s="1"/>
  <c r="CC211" i="2"/>
  <c r="CA119" i="3" s="1"/>
  <c r="BU211" i="2"/>
  <c r="BS119" i="3" s="1"/>
  <c r="BM211" i="2"/>
  <c r="BK119" i="3" s="1"/>
  <c r="BE211" i="2"/>
  <c r="BC119" i="3" s="1"/>
  <c r="AW211" i="2"/>
  <c r="AU119" i="3" s="1"/>
  <c r="AO211" i="2"/>
  <c r="AM119" i="3" s="1"/>
  <c r="AG211" i="2"/>
  <c r="AE119" i="3" s="1"/>
  <c r="Y211" i="2"/>
  <c r="W119" i="3" s="1"/>
  <c r="CJ211" i="2"/>
  <c r="CH119" i="3" s="1"/>
  <c r="CB211" i="2"/>
  <c r="BZ119" i="3" s="1"/>
  <c r="BT211" i="2"/>
  <c r="BR119" i="3" s="1"/>
  <c r="BL211" i="2"/>
  <c r="BJ119" i="3" s="1"/>
  <c r="BD211" i="2"/>
  <c r="BB119" i="3" s="1"/>
  <c r="AV211" i="2"/>
  <c r="AT119" i="3" s="1"/>
  <c r="AN211" i="2"/>
  <c r="AL119" i="3" s="1"/>
  <c r="AF211" i="2"/>
  <c r="AD119" i="3" s="1"/>
  <c r="X211" i="2"/>
  <c r="V119" i="3" s="1"/>
  <c r="CQ211" i="2"/>
  <c r="CI211" i="2"/>
  <c r="CG119" i="3" s="1"/>
  <c r="CA211" i="2"/>
  <c r="BY119" i="3" s="1"/>
  <c r="BS211" i="2"/>
  <c r="BQ119" i="3" s="1"/>
  <c r="BK211" i="2"/>
  <c r="BI119" i="3" s="1"/>
  <c r="BC211" i="2"/>
  <c r="BA119" i="3" s="1"/>
  <c r="AU211" i="2"/>
  <c r="AS119" i="3" s="1"/>
  <c r="AM211" i="2"/>
  <c r="AK119" i="3" s="1"/>
  <c r="AE211" i="2"/>
  <c r="AC119" i="3" s="1"/>
  <c r="W211" i="2"/>
  <c r="U119" i="3" s="1"/>
  <c r="CP211" i="2"/>
  <c r="CH211" i="2"/>
  <c r="CF119" i="3" s="1"/>
  <c r="BZ211" i="2"/>
  <c r="BX119" i="3" s="1"/>
  <c r="BR211" i="2"/>
  <c r="BP119" i="3" s="1"/>
  <c r="BJ211" i="2"/>
  <c r="BH119" i="3" s="1"/>
  <c r="BB211" i="2"/>
  <c r="AZ119" i="3" s="1"/>
  <c r="AT211" i="2"/>
  <c r="AR119" i="3" s="1"/>
  <c r="AL211" i="2"/>
  <c r="AJ119" i="3" s="1"/>
  <c r="AD211" i="2"/>
  <c r="AB119" i="3" s="1"/>
  <c r="V211" i="2"/>
  <c r="T119" i="3" s="1"/>
  <c r="CO211" i="2"/>
  <c r="CM119" i="3" s="1"/>
  <c r="CG211" i="2"/>
  <c r="CE119" i="3" s="1"/>
  <c r="BY211" i="2"/>
  <c r="BW119" i="3" s="1"/>
  <c r="BQ211" i="2"/>
  <c r="BI211" i="2"/>
  <c r="BG119" i="3" s="1"/>
  <c r="BA211" i="2"/>
  <c r="AY119" i="3" s="1"/>
  <c r="AS211" i="2"/>
  <c r="AQ119" i="3" s="1"/>
  <c r="AK211" i="2"/>
  <c r="AI119" i="3" s="1"/>
  <c r="AC211" i="2"/>
  <c r="AA119" i="3" s="1"/>
  <c r="U211" i="2"/>
  <c r="S119" i="3" s="1"/>
  <c r="CN211" i="2"/>
  <c r="CL119" i="3" s="1"/>
  <c r="CF211" i="2"/>
  <c r="CD119" i="3" s="1"/>
  <c r="BX211" i="2"/>
  <c r="BV119" i="3" s="1"/>
  <c r="BP211" i="2"/>
  <c r="BH211" i="2"/>
  <c r="BF119" i="3" s="1"/>
  <c r="AZ211" i="2"/>
  <c r="AX119" i="3" s="1"/>
  <c r="AR211" i="2"/>
  <c r="AP119" i="3" s="1"/>
  <c r="AJ211" i="2"/>
  <c r="AH119" i="3" s="1"/>
  <c r="AB211" i="2"/>
  <c r="Z119" i="3" s="1"/>
  <c r="T211" i="2"/>
  <c r="R119" i="3" s="1"/>
  <c r="AY211" i="2"/>
  <c r="AW119" i="3" s="1"/>
  <c r="AQ211" i="2"/>
  <c r="AI211" i="2"/>
  <c r="AG119" i="3" s="1"/>
  <c r="CM211" i="2"/>
  <c r="CK119" i="3" s="1"/>
  <c r="AA211" i="2"/>
  <c r="Y119" i="3" s="1"/>
  <c r="CE211" i="2"/>
  <c r="CC119" i="3" s="1"/>
  <c r="S211" i="2"/>
  <c r="Q119" i="3" s="1"/>
  <c r="BW211" i="2"/>
  <c r="BU119" i="3" s="1"/>
  <c r="BO211" i="2"/>
  <c r="BM119" i="3" s="1"/>
  <c r="BG211" i="2"/>
  <c r="BE119" i="3" s="1"/>
  <c r="F108" i="3"/>
  <c r="CQ200" i="2"/>
  <c r="CI200" i="2"/>
  <c r="CG108" i="3" s="1"/>
  <c r="CA200" i="2"/>
  <c r="BY108" i="3" s="1"/>
  <c r="BS200" i="2"/>
  <c r="BQ108" i="3" s="1"/>
  <c r="BK200" i="2"/>
  <c r="BI108" i="3" s="1"/>
  <c r="BC200" i="2"/>
  <c r="BA108" i="3" s="1"/>
  <c r="AU200" i="2"/>
  <c r="AS108" i="3" s="1"/>
  <c r="AM200" i="2"/>
  <c r="AK108" i="3" s="1"/>
  <c r="AE200" i="2"/>
  <c r="AC108" i="3" s="1"/>
  <c r="W200" i="2"/>
  <c r="U108" i="3" s="1"/>
  <c r="CM200" i="2"/>
  <c r="CK108" i="3" s="1"/>
  <c r="CE200" i="2"/>
  <c r="CC108" i="3" s="1"/>
  <c r="BW200" i="2"/>
  <c r="BU108" i="3" s="1"/>
  <c r="BO200" i="2"/>
  <c r="BM108" i="3" s="1"/>
  <c r="BG200" i="2"/>
  <c r="BE108" i="3" s="1"/>
  <c r="AY200" i="2"/>
  <c r="AW108" i="3" s="1"/>
  <c r="AQ200" i="2"/>
  <c r="AI200" i="2"/>
  <c r="AG108" i="3" s="1"/>
  <c r="AA200" i="2"/>
  <c r="Y108" i="3" s="1"/>
  <c r="S200" i="2"/>
  <c r="Q108" i="3" s="1"/>
  <c r="CO200" i="2"/>
  <c r="CM108" i="3" s="1"/>
  <c r="CD200" i="2"/>
  <c r="CB108" i="3" s="1"/>
  <c r="BT200" i="2"/>
  <c r="BR108" i="3" s="1"/>
  <c r="BI200" i="2"/>
  <c r="BG108" i="3" s="1"/>
  <c r="AX200" i="2"/>
  <c r="AV108" i="3" s="1"/>
  <c r="AN200" i="2"/>
  <c r="AL108" i="3" s="1"/>
  <c r="AC200" i="2"/>
  <c r="AA108" i="3" s="1"/>
  <c r="R200" i="2"/>
  <c r="P108" i="3" s="1"/>
  <c r="CN200" i="2"/>
  <c r="CL108" i="3" s="1"/>
  <c r="CC200" i="2"/>
  <c r="CA108" i="3" s="1"/>
  <c r="BR200" i="2"/>
  <c r="BP108" i="3" s="1"/>
  <c r="BH200" i="2"/>
  <c r="BF108" i="3" s="1"/>
  <c r="AW200" i="2"/>
  <c r="AU108" i="3" s="1"/>
  <c r="AL200" i="2"/>
  <c r="AJ108" i="3" s="1"/>
  <c r="AB200" i="2"/>
  <c r="Z108" i="3" s="1"/>
  <c r="CL200" i="2"/>
  <c r="CJ108" i="3" s="1"/>
  <c r="CB200" i="2"/>
  <c r="BZ108" i="3" s="1"/>
  <c r="BQ200" i="2"/>
  <c r="BF200" i="2"/>
  <c r="BD108" i="3" s="1"/>
  <c r="AV200" i="2"/>
  <c r="AT108" i="3" s="1"/>
  <c r="AK200" i="2"/>
  <c r="AI108" i="3" s="1"/>
  <c r="Z200" i="2"/>
  <c r="X108" i="3" s="1"/>
  <c r="CK200" i="2"/>
  <c r="CI108" i="3" s="1"/>
  <c r="BZ200" i="2"/>
  <c r="BX108" i="3" s="1"/>
  <c r="BP200" i="2"/>
  <c r="BE200" i="2"/>
  <c r="BC108" i="3" s="1"/>
  <c r="AT200" i="2"/>
  <c r="AR108" i="3" s="1"/>
  <c r="AJ200" i="2"/>
  <c r="AH108" i="3" s="1"/>
  <c r="Y200" i="2"/>
  <c r="W108" i="3" s="1"/>
  <c r="CJ200" i="2"/>
  <c r="CH108" i="3" s="1"/>
  <c r="BY200" i="2"/>
  <c r="BW108" i="3" s="1"/>
  <c r="BN200" i="2"/>
  <c r="BL108" i="3" s="1"/>
  <c r="BD200" i="2"/>
  <c r="BB108" i="3" s="1"/>
  <c r="AS200" i="2"/>
  <c r="AQ108" i="3" s="1"/>
  <c r="AH200" i="2"/>
  <c r="AF108" i="3" s="1"/>
  <c r="X200" i="2"/>
  <c r="V108" i="3" s="1"/>
  <c r="CH200" i="2"/>
  <c r="CF108" i="3" s="1"/>
  <c r="BX200" i="2"/>
  <c r="BV108" i="3" s="1"/>
  <c r="BM200" i="2"/>
  <c r="BK108" i="3" s="1"/>
  <c r="BB200" i="2"/>
  <c r="AZ108" i="3" s="1"/>
  <c r="AR200" i="2"/>
  <c r="AP108" i="3" s="1"/>
  <c r="AG200" i="2"/>
  <c r="AE108" i="3" s="1"/>
  <c r="V200" i="2"/>
  <c r="T108" i="3" s="1"/>
  <c r="CG200" i="2"/>
  <c r="CE108" i="3" s="1"/>
  <c r="BV200" i="2"/>
  <c r="BT108" i="3" s="1"/>
  <c r="BL200" i="2"/>
  <c r="BJ108" i="3" s="1"/>
  <c r="BA200" i="2"/>
  <c r="AY108" i="3" s="1"/>
  <c r="AP200" i="2"/>
  <c r="AF200" i="2"/>
  <c r="AD108" i="3" s="1"/>
  <c r="U200" i="2"/>
  <c r="S108" i="3" s="1"/>
  <c r="CP200" i="2"/>
  <c r="CF200" i="2"/>
  <c r="CD108" i="3" s="1"/>
  <c r="BU200" i="2"/>
  <c r="BS108" i="3" s="1"/>
  <c r="BJ200" i="2"/>
  <c r="BH108" i="3" s="1"/>
  <c r="AZ200" i="2"/>
  <c r="AX108" i="3" s="1"/>
  <c r="AO200" i="2"/>
  <c r="AM108" i="3" s="1"/>
  <c r="AD200" i="2"/>
  <c r="AB108" i="3" s="1"/>
  <c r="T200" i="2"/>
  <c r="R108" i="3" s="1"/>
  <c r="J200" i="2"/>
  <c r="H108" i="3" s="1"/>
  <c r="AO101" i="3"/>
  <c r="AN101" i="3"/>
  <c r="O104" i="3"/>
  <c r="N104" i="3"/>
  <c r="AO88" i="3"/>
  <c r="AN88" i="3"/>
  <c r="E81" i="3"/>
  <c r="P153" i="2"/>
  <c r="O153" i="2"/>
  <c r="M81" i="3" s="1"/>
  <c r="M153" i="2"/>
  <c r="K81" i="3" s="1"/>
  <c r="L153" i="2"/>
  <c r="J81" i="3" s="1"/>
  <c r="E102" i="3"/>
  <c r="P194" i="2"/>
  <c r="O194" i="2"/>
  <c r="M102" i="3" s="1"/>
  <c r="M194" i="2"/>
  <c r="K102" i="3" s="1"/>
  <c r="L194" i="2"/>
  <c r="J102" i="3" s="1"/>
  <c r="BO95" i="3"/>
  <c r="BN95" i="3"/>
  <c r="E86" i="3"/>
  <c r="M158" i="2"/>
  <c r="K86" i="3" s="1"/>
  <c r="P158" i="2"/>
  <c r="O158" i="2"/>
  <c r="M86" i="3" s="1"/>
  <c r="L158" i="2"/>
  <c r="J86" i="3" s="1"/>
  <c r="E82" i="3"/>
  <c r="L154" i="2"/>
  <c r="J82" i="3" s="1"/>
  <c r="P154" i="2"/>
  <c r="O154" i="2"/>
  <c r="M82" i="3" s="1"/>
  <c r="M154" i="2"/>
  <c r="K82" i="3" s="1"/>
  <c r="N90" i="3"/>
  <c r="O90" i="3"/>
  <c r="O72" i="3"/>
  <c r="N72" i="3"/>
  <c r="CN89" i="3"/>
  <c r="CO89" i="3"/>
  <c r="CO65" i="3"/>
  <c r="CN65" i="3"/>
  <c r="BO56" i="3"/>
  <c r="BN56" i="3"/>
  <c r="CO56" i="3"/>
  <c r="CN56" i="3"/>
  <c r="F47" i="3"/>
  <c r="CQ79" i="2"/>
  <c r="CI79" i="2"/>
  <c r="CG47" i="3" s="1"/>
  <c r="CA79" i="2"/>
  <c r="BY47" i="3" s="1"/>
  <c r="BS79" i="2"/>
  <c r="BQ47" i="3" s="1"/>
  <c r="BK79" i="2"/>
  <c r="BI47" i="3" s="1"/>
  <c r="BC79" i="2"/>
  <c r="BA47" i="3" s="1"/>
  <c r="AU79" i="2"/>
  <c r="AS47" i="3" s="1"/>
  <c r="AM79" i="2"/>
  <c r="AK47" i="3" s="1"/>
  <c r="AE79" i="2"/>
  <c r="AC47" i="3" s="1"/>
  <c r="W79" i="2"/>
  <c r="U47" i="3" s="1"/>
  <c r="CP79" i="2"/>
  <c r="CH79" i="2"/>
  <c r="CF47" i="3" s="1"/>
  <c r="BZ79" i="2"/>
  <c r="BX47" i="3" s="1"/>
  <c r="BR79" i="2"/>
  <c r="BP47" i="3" s="1"/>
  <c r="BJ79" i="2"/>
  <c r="BH47" i="3" s="1"/>
  <c r="BB79" i="2"/>
  <c r="AZ47" i="3" s="1"/>
  <c r="AT79" i="2"/>
  <c r="AR47" i="3" s="1"/>
  <c r="AL79" i="2"/>
  <c r="AJ47" i="3" s="1"/>
  <c r="AD79" i="2"/>
  <c r="AB47" i="3" s="1"/>
  <c r="CM79" i="2"/>
  <c r="CK47" i="3" s="1"/>
  <c r="CE79" i="2"/>
  <c r="CC47" i="3" s="1"/>
  <c r="BW79" i="2"/>
  <c r="BU47" i="3" s="1"/>
  <c r="BO79" i="2"/>
  <c r="BM47" i="3" s="1"/>
  <c r="BG79" i="2"/>
  <c r="BE47" i="3" s="1"/>
  <c r="AY79" i="2"/>
  <c r="AW47" i="3" s="1"/>
  <c r="AQ79" i="2"/>
  <c r="AI79" i="2"/>
  <c r="AG47" i="3" s="1"/>
  <c r="AA79" i="2"/>
  <c r="Y47" i="3" s="1"/>
  <c r="S79" i="2"/>
  <c r="Q47" i="3" s="1"/>
  <c r="CL79" i="2"/>
  <c r="CJ47" i="3" s="1"/>
  <c r="CD79" i="2"/>
  <c r="CB47" i="3" s="1"/>
  <c r="BV79" i="2"/>
  <c r="BT47" i="3" s="1"/>
  <c r="BN79" i="2"/>
  <c r="BL47" i="3" s="1"/>
  <c r="BF79" i="2"/>
  <c r="BD47" i="3" s="1"/>
  <c r="AX79" i="2"/>
  <c r="AV47" i="3" s="1"/>
  <c r="AP79" i="2"/>
  <c r="AH79" i="2"/>
  <c r="AF47" i="3" s="1"/>
  <c r="Z79" i="2"/>
  <c r="X47" i="3" s="1"/>
  <c r="R79" i="2"/>
  <c r="P47" i="3" s="1"/>
  <c r="J79" i="2"/>
  <c r="H47" i="3" s="1"/>
  <c r="CC79" i="2"/>
  <c r="CA47" i="3" s="1"/>
  <c r="BM79" i="2"/>
  <c r="BK47" i="3" s="1"/>
  <c r="AW79" i="2"/>
  <c r="AU47" i="3" s="1"/>
  <c r="AG79" i="2"/>
  <c r="AE47" i="3" s="1"/>
  <c r="T79" i="2"/>
  <c r="R47" i="3" s="1"/>
  <c r="CB79" i="2"/>
  <c r="BZ47" i="3" s="1"/>
  <c r="BL79" i="2"/>
  <c r="BJ47" i="3" s="1"/>
  <c r="AV79" i="2"/>
  <c r="AT47" i="3" s="1"/>
  <c r="AF79" i="2"/>
  <c r="AD47" i="3" s="1"/>
  <c r="CO79" i="2"/>
  <c r="CM47" i="3" s="1"/>
  <c r="BY79" i="2"/>
  <c r="BW47" i="3" s="1"/>
  <c r="BI79" i="2"/>
  <c r="BG47" i="3" s="1"/>
  <c r="AS79" i="2"/>
  <c r="AQ47" i="3" s="1"/>
  <c r="AC79" i="2"/>
  <c r="AA47" i="3" s="1"/>
  <c r="CN79" i="2"/>
  <c r="CL47" i="3" s="1"/>
  <c r="BX79" i="2"/>
  <c r="BV47" i="3" s="1"/>
  <c r="BH79" i="2"/>
  <c r="BF47" i="3" s="1"/>
  <c r="AR79" i="2"/>
  <c r="AP47" i="3" s="1"/>
  <c r="AB79" i="2"/>
  <c r="Z47" i="3" s="1"/>
  <c r="CK79" i="2"/>
  <c r="CI47" i="3" s="1"/>
  <c r="BU79" i="2"/>
  <c r="BS47" i="3" s="1"/>
  <c r="BE79" i="2"/>
  <c r="BC47" i="3" s="1"/>
  <c r="AO79" i="2"/>
  <c r="AM47" i="3" s="1"/>
  <c r="Y79" i="2"/>
  <c r="W47" i="3" s="1"/>
  <c r="CJ79" i="2"/>
  <c r="CH47" i="3" s="1"/>
  <c r="BT79" i="2"/>
  <c r="BR47" i="3" s="1"/>
  <c r="BD79" i="2"/>
  <c r="BB47" i="3" s="1"/>
  <c r="AN79" i="2"/>
  <c r="AL47" i="3" s="1"/>
  <c r="X79" i="2"/>
  <c r="V47" i="3" s="1"/>
  <c r="CG79" i="2"/>
  <c r="CE47" i="3" s="1"/>
  <c r="BQ79" i="2"/>
  <c r="BA79" i="2"/>
  <c r="AY47" i="3" s="1"/>
  <c r="AK79" i="2"/>
  <c r="AI47" i="3" s="1"/>
  <c r="V79" i="2"/>
  <c r="T47" i="3" s="1"/>
  <c r="CF79" i="2"/>
  <c r="CD47" i="3" s="1"/>
  <c r="BP79" i="2"/>
  <c r="AZ79" i="2"/>
  <c r="AX47" i="3" s="1"/>
  <c r="AJ79" i="2"/>
  <c r="AH47" i="3" s="1"/>
  <c r="U79" i="2"/>
  <c r="S47" i="3" s="1"/>
  <c r="E26" i="3"/>
  <c r="M37" i="2"/>
  <c r="K26" i="3" s="1"/>
  <c r="L37" i="2"/>
  <c r="J26" i="3" s="1"/>
  <c r="P37" i="2"/>
  <c r="O37" i="2"/>
  <c r="M26" i="3" s="1"/>
  <c r="AU51" i="3"/>
  <c r="X51" i="3"/>
  <c r="CJ51" i="3"/>
  <c r="BV51" i="3"/>
  <c r="BG51" i="3"/>
  <c r="AR51" i="3"/>
  <c r="CN29" i="3"/>
  <c r="CO29" i="3"/>
  <c r="J51" i="3"/>
  <c r="L126" i="2"/>
  <c r="AO38" i="3"/>
  <c r="AN38" i="3"/>
  <c r="E36" i="3"/>
  <c r="P68" i="2"/>
  <c r="O68" i="2"/>
  <c r="M36" i="3" s="1"/>
  <c r="M68" i="2"/>
  <c r="K36" i="3" s="1"/>
  <c r="L68" i="2"/>
  <c r="J36" i="3" s="1"/>
  <c r="E43" i="3"/>
  <c r="O75" i="2"/>
  <c r="M43" i="3" s="1"/>
  <c r="L75" i="2"/>
  <c r="J43" i="3" s="1"/>
  <c r="P75" i="2"/>
  <c r="M75" i="2"/>
  <c r="K43" i="3" s="1"/>
  <c r="AO50" i="3"/>
  <c r="AN50" i="3"/>
  <c r="BO38" i="3"/>
  <c r="BN38" i="3"/>
  <c r="O63" i="3"/>
  <c r="N63" i="3"/>
  <c r="AO42" i="3"/>
  <c r="AN42" i="3"/>
  <c r="CO42" i="3"/>
  <c r="CN42" i="3"/>
  <c r="BB5" i="3"/>
  <c r="E18" i="3"/>
  <c r="M29" i="2"/>
  <c r="K18" i="3" s="1"/>
  <c r="L29" i="2"/>
  <c r="J18" i="3" s="1"/>
  <c r="O29" i="2"/>
  <c r="M18" i="3" s="1"/>
  <c r="P29" i="2"/>
  <c r="AO30" i="3"/>
  <c r="AN30" i="3"/>
  <c r="BY5" i="3"/>
  <c r="M5" i="3"/>
  <c r="M120" i="3" s="1"/>
  <c r="O39" i="2"/>
  <c r="CF5" i="3"/>
  <c r="T5" i="3"/>
  <c r="AY5" i="3"/>
  <c r="F6" i="3"/>
  <c r="CN17" i="2"/>
  <c r="CL6" i="3" s="1"/>
  <c r="CF17" i="2"/>
  <c r="CD6" i="3" s="1"/>
  <c r="BX17" i="2"/>
  <c r="BV6" i="3" s="1"/>
  <c r="BP17" i="2"/>
  <c r="BH17" i="2"/>
  <c r="BF6" i="3" s="1"/>
  <c r="AZ17" i="2"/>
  <c r="AX6" i="3" s="1"/>
  <c r="AR17" i="2"/>
  <c r="AP6" i="3" s="1"/>
  <c r="AJ17" i="2"/>
  <c r="AH6" i="3" s="1"/>
  <c r="AB17" i="2"/>
  <c r="Z6" i="3" s="1"/>
  <c r="T17" i="2"/>
  <c r="R6" i="3" s="1"/>
  <c r="CM17" i="2"/>
  <c r="CK6" i="3" s="1"/>
  <c r="CE17" i="2"/>
  <c r="CC6" i="3" s="1"/>
  <c r="BW17" i="2"/>
  <c r="BU6" i="3" s="1"/>
  <c r="BO17" i="2"/>
  <c r="BM6" i="3" s="1"/>
  <c r="BG17" i="2"/>
  <c r="BE6" i="3" s="1"/>
  <c r="AY17" i="2"/>
  <c r="AW6" i="3" s="1"/>
  <c r="AQ17" i="2"/>
  <c r="AI17" i="2"/>
  <c r="AG6" i="3" s="1"/>
  <c r="AA17" i="2"/>
  <c r="Y6" i="3" s="1"/>
  <c r="S17" i="2"/>
  <c r="Q6" i="3" s="1"/>
  <c r="BY17" i="2"/>
  <c r="BW6" i="3" s="1"/>
  <c r="AC17" i="2"/>
  <c r="AA6" i="3" s="1"/>
  <c r="CL17" i="2"/>
  <c r="CJ6" i="3" s="1"/>
  <c r="CD17" i="2"/>
  <c r="CB6" i="3" s="1"/>
  <c r="BV17" i="2"/>
  <c r="BT6" i="3" s="1"/>
  <c r="BN17" i="2"/>
  <c r="BL6" i="3" s="1"/>
  <c r="BF17" i="2"/>
  <c r="BD6" i="3" s="1"/>
  <c r="AX17" i="2"/>
  <c r="AV6" i="3" s="1"/>
  <c r="AP17" i="2"/>
  <c r="AH17" i="2"/>
  <c r="AF6" i="3" s="1"/>
  <c r="Z17" i="2"/>
  <c r="X6" i="3" s="1"/>
  <c r="R17" i="2"/>
  <c r="P6" i="3" s="1"/>
  <c r="J17" i="2"/>
  <c r="H6" i="3" s="1"/>
  <c r="CK17" i="2"/>
  <c r="CC17" i="2"/>
  <c r="BU17" i="2"/>
  <c r="BM17" i="2"/>
  <c r="BE17" i="2"/>
  <c r="AW17" i="2"/>
  <c r="AO17" i="2"/>
  <c r="AG17" i="2"/>
  <c r="Y17" i="2"/>
  <c r="CG17" i="2"/>
  <c r="CE6" i="3" s="1"/>
  <c r="BI17" i="2"/>
  <c r="BG6" i="3" s="1"/>
  <c r="AK17" i="2"/>
  <c r="AI6" i="3" s="1"/>
  <c r="CJ17" i="2"/>
  <c r="CH6" i="3" s="1"/>
  <c r="CB17" i="2"/>
  <c r="BZ6" i="3" s="1"/>
  <c r="BT17" i="2"/>
  <c r="BR6" i="3" s="1"/>
  <c r="BL17" i="2"/>
  <c r="BJ6" i="3" s="1"/>
  <c r="BD17" i="2"/>
  <c r="BB6" i="3" s="1"/>
  <c r="AV17" i="2"/>
  <c r="AT6" i="3" s="1"/>
  <c r="AN17" i="2"/>
  <c r="AL6" i="3" s="1"/>
  <c r="AF17" i="2"/>
  <c r="AD6" i="3" s="1"/>
  <c r="X17" i="2"/>
  <c r="V6" i="3" s="1"/>
  <c r="BA17" i="2"/>
  <c r="AY6" i="3" s="1"/>
  <c r="CQ17" i="2"/>
  <c r="CI17" i="2"/>
  <c r="CG6" i="3" s="1"/>
  <c r="CA17" i="2"/>
  <c r="BY6" i="3" s="1"/>
  <c r="BS17" i="2"/>
  <c r="BQ6" i="3" s="1"/>
  <c r="BK17" i="2"/>
  <c r="BI6" i="3" s="1"/>
  <c r="BC17" i="2"/>
  <c r="BA6" i="3" s="1"/>
  <c r="AU17" i="2"/>
  <c r="AS6" i="3" s="1"/>
  <c r="AM17" i="2"/>
  <c r="AK6" i="3" s="1"/>
  <c r="AE17" i="2"/>
  <c r="AC6" i="3" s="1"/>
  <c r="W17" i="2"/>
  <c r="U6" i="3" s="1"/>
  <c r="CP17" i="2"/>
  <c r="CH17" i="2"/>
  <c r="CF6" i="3" s="1"/>
  <c r="BZ17" i="2"/>
  <c r="BX6" i="3" s="1"/>
  <c r="BR17" i="2"/>
  <c r="BP6" i="3" s="1"/>
  <c r="BJ17" i="2"/>
  <c r="BH6" i="3" s="1"/>
  <c r="BB17" i="2"/>
  <c r="AZ6" i="3" s="1"/>
  <c r="AT17" i="2"/>
  <c r="AR6" i="3" s="1"/>
  <c r="AL17" i="2"/>
  <c r="AJ6" i="3" s="1"/>
  <c r="AD17" i="2"/>
  <c r="AB6" i="3" s="1"/>
  <c r="V17" i="2"/>
  <c r="T6" i="3" s="1"/>
  <c r="CO17" i="2"/>
  <c r="CM6" i="3" s="1"/>
  <c r="BQ17" i="2"/>
  <c r="AS17" i="2"/>
  <c r="AQ6" i="3" s="1"/>
  <c r="U17" i="2"/>
  <c r="S6" i="3" s="1"/>
  <c r="AH5" i="3"/>
  <c r="AW5" i="3"/>
  <c r="E16" i="3"/>
  <c r="L27" i="2"/>
  <c r="J16" i="3" s="1"/>
  <c r="P27" i="2"/>
  <c r="O27" i="2"/>
  <c r="M16" i="3" s="1"/>
  <c r="M27" i="2"/>
  <c r="K16" i="3" s="1"/>
  <c r="BT5" i="3"/>
  <c r="H5" i="3"/>
  <c r="F96" i="3"/>
  <c r="CQ168" i="2"/>
  <c r="CI168" i="2"/>
  <c r="CG96" i="3" s="1"/>
  <c r="CA168" i="2"/>
  <c r="BY96" i="3" s="1"/>
  <c r="BS168" i="2"/>
  <c r="BQ96" i="3" s="1"/>
  <c r="BK168" i="2"/>
  <c r="BI96" i="3" s="1"/>
  <c r="BC168" i="2"/>
  <c r="BA96" i="3" s="1"/>
  <c r="AU168" i="2"/>
  <c r="AS96" i="3" s="1"/>
  <c r="AM168" i="2"/>
  <c r="AK96" i="3" s="1"/>
  <c r="AE168" i="2"/>
  <c r="AC96" i="3" s="1"/>
  <c r="W168" i="2"/>
  <c r="U96" i="3" s="1"/>
  <c r="CO168" i="2"/>
  <c r="CM96" i="3" s="1"/>
  <c r="CG168" i="2"/>
  <c r="CE96" i="3" s="1"/>
  <c r="BY168" i="2"/>
  <c r="BW96" i="3" s="1"/>
  <c r="BQ168" i="2"/>
  <c r="BI168" i="2"/>
  <c r="BG96" i="3" s="1"/>
  <c r="BA168" i="2"/>
  <c r="AY96" i="3" s="1"/>
  <c r="AS168" i="2"/>
  <c r="AQ96" i="3" s="1"/>
  <c r="AK168" i="2"/>
  <c r="AI96" i="3" s="1"/>
  <c r="AC168" i="2"/>
  <c r="AA96" i="3" s="1"/>
  <c r="U168" i="2"/>
  <c r="S96" i="3" s="1"/>
  <c r="CM168" i="2"/>
  <c r="CK96" i="3" s="1"/>
  <c r="CE168" i="2"/>
  <c r="CC96" i="3" s="1"/>
  <c r="BW168" i="2"/>
  <c r="BU96" i="3" s="1"/>
  <c r="BO168" i="2"/>
  <c r="BM96" i="3" s="1"/>
  <c r="BG168" i="2"/>
  <c r="BE96" i="3" s="1"/>
  <c r="AY168" i="2"/>
  <c r="AW96" i="3" s="1"/>
  <c r="AQ168" i="2"/>
  <c r="AI168" i="2"/>
  <c r="AG96" i="3" s="1"/>
  <c r="AA168" i="2"/>
  <c r="Y96" i="3" s="1"/>
  <c r="S168" i="2"/>
  <c r="Q96" i="3" s="1"/>
  <c r="CK168" i="2"/>
  <c r="CI96" i="3" s="1"/>
  <c r="CC168" i="2"/>
  <c r="CA96" i="3" s="1"/>
  <c r="BU168" i="2"/>
  <c r="BS96" i="3" s="1"/>
  <c r="BM168" i="2"/>
  <c r="BK96" i="3" s="1"/>
  <c r="BE168" i="2"/>
  <c r="BC96" i="3" s="1"/>
  <c r="AW168" i="2"/>
  <c r="AU96" i="3" s="1"/>
  <c r="AO168" i="2"/>
  <c r="AM96" i="3" s="1"/>
  <c r="AG168" i="2"/>
  <c r="AE96" i="3" s="1"/>
  <c r="Y168" i="2"/>
  <c r="W96" i="3" s="1"/>
  <c r="CJ168" i="2"/>
  <c r="CH96" i="3" s="1"/>
  <c r="BT168" i="2"/>
  <c r="BR96" i="3" s="1"/>
  <c r="BD168" i="2"/>
  <c r="BB96" i="3" s="1"/>
  <c r="AN168" i="2"/>
  <c r="AL96" i="3" s="1"/>
  <c r="X168" i="2"/>
  <c r="V96" i="3" s="1"/>
  <c r="CH168" i="2"/>
  <c r="CF96" i="3" s="1"/>
  <c r="BR168" i="2"/>
  <c r="BP96" i="3" s="1"/>
  <c r="BB168" i="2"/>
  <c r="AZ96" i="3" s="1"/>
  <c r="AL168" i="2"/>
  <c r="AJ96" i="3" s="1"/>
  <c r="V168" i="2"/>
  <c r="T96" i="3" s="1"/>
  <c r="J168" i="2"/>
  <c r="H96" i="3" s="1"/>
  <c r="CF168" i="2"/>
  <c r="CD96" i="3" s="1"/>
  <c r="BP168" i="2"/>
  <c r="AZ168" i="2"/>
  <c r="AX96" i="3" s="1"/>
  <c r="AJ168" i="2"/>
  <c r="AH96" i="3" s="1"/>
  <c r="T168" i="2"/>
  <c r="R96" i="3" s="1"/>
  <c r="CD168" i="2"/>
  <c r="CB96" i="3" s="1"/>
  <c r="BN168" i="2"/>
  <c r="BL96" i="3" s="1"/>
  <c r="AX168" i="2"/>
  <c r="AV96" i="3" s="1"/>
  <c r="AH168" i="2"/>
  <c r="AF96" i="3" s="1"/>
  <c r="R168" i="2"/>
  <c r="P96" i="3" s="1"/>
  <c r="CB168" i="2"/>
  <c r="BZ96" i="3" s="1"/>
  <c r="BL168" i="2"/>
  <c r="BJ96" i="3" s="1"/>
  <c r="AV168" i="2"/>
  <c r="AT96" i="3" s="1"/>
  <c r="AF168" i="2"/>
  <c r="AD96" i="3" s="1"/>
  <c r="CP168" i="2"/>
  <c r="BZ168" i="2"/>
  <c r="BX96" i="3" s="1"/>
  <c r="BJ168" i="2"/>
  <c r="BH96" i="3" s="1"/>
  <c r="AT168" i="2"/>
  <c r="AR96" i="3" s="1"/>
  <c r="AD168" i="2"/>
  <c r="AB96" i="3" s="1"/>
  <c r="CN168" i="2"/>
  <c r="CL96" i="3" s="1"/>
  <c r="BX168" i="2"/>
  <c r="BV96" i="3" s="1"/>
  <c r="BH168" i="2"/>
  <c r="BF96" i="3" s="1"/>
  <c r="AR168" i="2"/>
  <c r="AP96" i="3" s="1"/>
  <c r="AB168" i="2"/>
  <c r="Z96" i="3" s="1"/>
  <c r="CL168" i="2"/>
  <c r="CJ96" i="3" s="1"/>
  <c r="BV168" i="2"/>
  <c r="BT96" i="3" s="1"/>
  <c r="BF168" i="2"/>
  <c r="BD96" i="3" s="1"/>
  <c r="AP168" i="2"/>
  <c r="Z168" i="2"/>
  <c r="X96" i="3" s="1"/>
  <c r="BO58" i="3"/>
  <c r="BN58" i="3"/>
  <c r="AO92" i="3"/>
  <c r="AN92" i="3"/>
  <c r="CO92" i="3"/>
  <c r="CN92" i="3"/>
  <c r="BO89" i="3"/>
  <c r="BN89" i="3"/>
  <c r="F113" i="3"/>
  <c r="CM205" i="2"/>
  <c r="CK113" i="3" s="1"/>
  <c r="CE205" i="2"/>
  <c r="CC113" i="3" s="1"/>
  <c r="BW205" i="2"/>
  <c r="BU113" i="3" s="1"/>
  <c r="BO205" i="2"/>
  <c r="BM113" i="3" s="1"/>
  <c r="BG205" i="2"/>
  <c r="BE113" i="3" s="1"/>
  <c r="AY205" i="2"/>
  <c r="AW113" i="3" s="1"/>
  <c r="AQ205" i="2"/>
  <c r="AI205" i="2"/>
  <c r="AG113" i="3" s="1"/>
  <c r="AA205" i="2"/>
  <c r="Y113" i="3" s="1"/>
  <c r="S205" i="2"/>
  <c r="Q113" i="3" s="1"/>
  <c r="CQ205" i="2"/>
  <c r="CI205" i="2"/>
  <c r="CG113" i="3" s="1"/>
  <c r="CA205" i="2"/>
  <c r="BY113" i="3" s="1"/>
  <c r="BS205" i="2"/>
  <c r="BQ113" i="3" s="1"/>
  <c r="BK205" i="2"/>
  <c r="BI113" i="3" s="1"/>
  <c r="BC205" i="2"/>
  <c r="BA113" i="3" s="1"/>
  <c r="AU205" i="2"/>
  <c r="AS113" i="3" s="1"/>
  <c r="AM205" i="2"/>
  <c r="AK113" i="3" s="1"/>
  <c r="AE205" i="2"/>
  <c r="AC113" i="3" s="1"/>
  <c r="W205" i="2"/>
  <c r="U113" i="3" s="1"/>
  <c r="CG205" i="2"/>
  <c r="CE113" i="3" s="1"/>
  <c r="BV205" i="2"/>
  <c r="BT113" i="3" s="1"/>
  <c r="BL205" i="2"/>
  <c r="BJ113" i="3" s="1"/>
  <c r="BA205" i="2"/>
  <c r="AY113" i="3" s="1"/>
  <c r="AP205" i="2"/>
  <c r="AF205" i="2"/>
  <c r="AD113" i="3" s="1"/>
  <c r="U205" i="2"/>
  <c r="S113" i="3" s="1"/>
  <c r="CP205" i="2"/>
  <c r="CF205" i="2"/>
  <c r="CD113" i="3" s="1"/>
  <c r="BU205" i="2"/>
  <c r="BS113" i="3" s="1"/>
  <c r="BJ205" i="2"/>
  <c r="BH113" i="3" s="1"/>
  <c r="AZ205" i="2"/>
  <c r="AX113" i="3" s="1"/>
  <c r="AO205" i="2"/>
  <c r="AM113" i="3" s="1"/>
  <c r="AD205" i="2"/>
  <c r="AB113" i="3" s="1"/>
  <c r="T205" i="2"/>
  <c r="R113" i="3" s="1"/>
  <c r="J205" i="2"/>
  <c r="H113" i="3" s="1"/>
  <c r="CO205" i="2"/>
  <c r="CM113" i="3" s="1"/>
  <c r="CD205" i="2"/>
  <c r="CB113" i="3" s="1"/>
  <c r="BT205" i="2"/>
  <c r="BR113" i="3" s="1"/>
  <c r="BI205" i="2"/>
  <c r="BG113" i="3" s="1"/>
  <c r="AX205" i="2"/>
  <c r="AV113" i="3" s="1"/>
  <c r="AN205" i="2"/>
  <c r="AL113" i="3" s="1"/>
  <c r="AC205" i="2"/>
  <c r="AA113" i="3" s="1"/>
  <c r="R205" i="2"/>
  <c r="P113" i="3" s="1"/>
  <c r="CN205" i="2"/>
  <c r="CL113" i="3" s="1"/>
  <c r="CC205" i="2"/>
  <c r="CA113" i="3" s="1"/>
  <c r="BR205" i="2"/>
  <c r="BP113" i="3" s="1"/>
  <c r="BH205" i="2"/>
  <c r="BF113" i="3" s="1"/>
  <c r="AW205" i="2"/>
  <c r="AU113" i="3" s="1"/>
  <c r="AL205" i="2"/>
  <c r="AJ113" i="3" s="1"/>
  <c r="AB205" i="2"/>
  <c r="Z113" i="3" s="1"/>
  <c r="CL205" i="2"/>
  <c r="CJ113" i="3" s="1"/>
  <c r="CB205" i="2"/>
  <c r="BZ113" i="3" s="1"/>
  <c r="BQ205" i="2"/>
  <c r="BF205" i="2"/>
  <c r="BD113" i="3" s="1"/>
  <c r="AV205" i="2"/>
  <c r="AT113" i="3" s="1"/>
  <c r="AK205" i="2"/>
  <c r="AI113" i="3" s="1"/>
  <c r="Z205" i="2"/>
  <c r="X113" i="3" s="1"/>
  <c r="CK205" i="2"/>
  <c r="CI113" i="3" s="1"/>
  <c r="BZ205" i="2"/>
  <c r="BX113" i="3" s="1"/>
  <c r="BP205" i="2"/>
  <c r="BE205" i="2"/>
  <c r="BC113" i="3" s="1"/>
  <c r="AT205" i="2"/>
  <c r="AR113" i="3" s="1"/>
  <c r="AJ205" i="2"/>
  <c r="AH113" i="3" s="1"/>
  <c r="Y205" i="2"/>
  <c r="W113" i="3" s="1"/>
  <c r="CJ205" i="2"/>
  <c r="CH113" i="3" s="1"/>
  <c r="BY205" i="2"/>
  <c r="BW113" i="3" s="1"/>
  <c r="BN205" i="2"/>
  <c r="BL113" i="3" s="1"/>
  <c r="BD205" i="2"/>
  <c r="BB113" i="3" s="1"/>
  <c r="AS205" i="2"/>
  <c r="AQ113" i="3" s="1"/>
  <c r="AH205" i="2"/>
  <c r="AF113" i="3" s="1"/>
  <c r="X205" i="2"/>
  <c r="V113" i="3" s="1"/>
  <c r="CH205" i="2"/>
  <c r="CF113" i="3" s="1"/>
  <c r="BX205" i="2"/>
  <c r="BV113" i="3" s="1"/>
  <c r="BM205" i="2"/>
  <c r="BK113" i="3" s="1"/>
  <c r="BB205" i="2"/>
  <c r="AZ113" i="3" s="1"/>
  <c r="AR205" i="2"/>
  <c r="AP113" i="3" s="1"/>
  <c r="AG205" i="2"/>
  <c r="AE113" i="3" s="1"/>
  <c r="V205" i="2"/>
  <c r="T113" i="3" s="1"/>
  <c r="E106" i="3"/>
  <c r="O198" i="2"/>
  <c r="M106" i="3" s="1"/>
  <c r="M198" i="2"/>
  <c r="K106" i="3" s="1"/>
  <c r="L198" i="2"/>
  <c r="J106" i="3" s="1"/>
  <c r="P198" i="2"/>
  <c r="F109" i="3"/>
  <c r="CM201" i="2"/>
  <c r="CK109" i="3" s="1"/>
  <c r="CE201" i="2"/>
  <c r="CC109" i="3" s="1"/>
  <c r="BW201" i="2"/>
  <c r="BU109" i="3" s="1"/>
  <c r="BO201" i="2"/>
  <c r="BM109" i="3" s="1"/>
  <c r="BG201" i="2"/>
  <c r="BE109" i="3" s="1"/>
  <c r="AY201" i="2"/>
  <c r="AW109" i="3" s="1"/>
  <c r="AQ201" i="2"/>
  <c r="AI201" i="2"/>
  <c r="AG109" i="3" s="1"/>
  <c r="AA201" i="2"/>
  <c r="Y109" i="3" s="1"/>
  <c r="S201" i="2"/>
  <c r="Q109" i="3" s="1"/>
  <c r="CQ201" i="2"/>
  <c r="CI201" i="2"/>
  <c r="CG109" i="3" s="1"/>
  <c r="CA201" i="2"/>
  <c r="BY109" i="3" s="1"/>
  <c r="BS201" i="2"/>
  <c r="BQ109" i="3" s="1"/>
  <c r="BK201" i="2"/>
  <c r="BI109" i="3" s="1"/>
  <c r="BC201" i="2"/>
  <c r="BA109" i="3" s="1"/>
  <c r="AU201" i="2"/>
  <c r="AS109" i="3" s="1"/>
  <c r="AM201" i="2"/>
  <c r="AK109" i="3" s="1"/>
  <c r="AE201" i="2"/>
  <c r="AC109" i="3" s="1"/>
  <c r="W201" i="2"/>
  <c r="U109" i="3" s="1"/>
  <c r="CG201" i="2"/>
  <c r="CE109" i="3" s="1"/>
  <c r="BV201" i="2"/>
  <c r="BT109" i="3" s="1"/>
  <c r="BL201" i="2"/>
  <c r="BJ109" i="3" s="1"/>
  <c r="BA201" i="2"/>
  <c r="AY109" i="3" s="1"/>
  <c r="AP201" i="2"/>
  <c r="AF201" i="2"/>
  <c r="AD109" i="3" s="1"/>
  <c r="U201" i="2"/>
  <c r="S109" i="3" s="1"/>
  <c r="CP201" i="2"/>
  <c r="CF201" i="2"/>
  <c r="CD109" i="3" s="1"/>
  <c r="BU201" i="2"/>
  <c r="BS109" i="3" s="1"/>
  <c r="BJ201" i="2"/>
  <c r="BH109" i="3" s="1"/>
  <c r="AZ201" i="2"/>
  <c r="AX109" i="3" s="1"/>
  <c r="AO201" i="2"/>
  <c r="AM109" i="3" s="1"/>
  <c r="AD201" i="2"/>
  <c r="AB109" i="3" s="1"/>
  <c r="T201" i="2"/>
  <c r="R109" i="3" s="1"/>
  <c r="J201" i="2"/>
  <c r="H109" i="3" s="1"/>
  <c r="CO201" i="2"/>
  <c r="CM109" i="3" s="1"/>
  <c r="CD201" i="2"/>
  <c r="CB109" i="3" s="1"/>
  <c r="BT201" i="2"/>
  <c r="BR109" i="3" s="1"/>
  <c r="BI201" i="2"/>
  <c r="BG109" i="3" s="1"/>
  <c r="AX201" i="2"/>
  <c r="AV109" i="3" s="1"/>
  <c r="AN201" i="2"/>
  <c r="AL109" i="3" s="1"/>
  <c r="AC201" i="2"/>
  <c r="AA109" i="3" s="1"/>
  <c r="R201" i="2"/>
  <c r="P109" i="3" s="1"/>
  <c r="CN201" i="2"/>
  <c r="CL109" i="3" s="1"/>
  <c r="CC201" i="2"/>
  <c r="CA109" i="3" s="1"/>
  <c r="BR201" i="2"/>
  <c r="BP109" i="3" s="1"/>
  <c r="BH201" i="2"/>
  <c r="BF109" i="3" s="1"/>
  <c r="AW201" i="2"/>
  <c r="AU109" i="3" s="1"/>
  <c r="AL201" i="2"/>
  <c r="AJ109" i="3" s="1"/>
  <c r="AB201" i="2"/>
  <c r="Z109" i="3" s="1"/>
  <c r="CL201" i="2"/>
  <c r="CJ109" i="3" s="1"/>
  <c r="CB201" i="2"/>
  <c r="BZ109" i="3" s="1"/>
  <c r="BQ201" i="2"/>
  <c r="BF201" i="2"/>
  <c r="BD109" i="3" s="1"/>
  <c r="AV201" i="2"/>
  <c r="AT109" i="3" s="1"/>
  <c r="AK201" i="2"/>
  <c r="AI109" i="3" s="1"/>
  <c r="Z201" i="2"/>
  <c r="X109" i="3" s="1"/>
  <c r="CK201" i="2"/>
  <c r="CI109" i="3" s="1"/>
  <c r="BZ201" i="2"/>
  <c r="BX109" i="3" s="1"/>
  <c r="BP201" i="2"/>
  <c r="BE201" i="2"/>
  <c r="BC109" i="3" s="1"/>
  <c r="AT201" i="2"/>
  <c r="AR109" i="3" s="1"/>
  <c r="AJ201" i="2"/>
  <c r="AH109" i="3" s="1"/>
  <c r="Y201" i="2"/>
  <c r="W109" i="3" s="1"/>
  <c r="CJ201" i="2"/>
  <c r="CH109" i="3" s="1"/>
  <c r="BY201" i="2"/>
  <c r="BW109" i="3" s="1"/>
  <c r="BN201" i="2"/>
  <c r="BL109" i="3" s="1"/>
  <c r="BD201" i="2"/>
  <c r="BB109" i="3" s="1"/>
  <c r="AS201" i="2"/>
  <c r="AQ109" i="3" s="1"/>
  <c r="AH201" i="2"/>
  <c r="AF109" i="3" s="1"/>
  <c r="X201" i="2"/>
  <c r="V109" i="3" s="1"/>
  <c r="CH201" i="2"/>
  <c r="CF109" i="3" s="1"/>
  <c r="BX201" i="2"/>
  <c r="BV109" i="3" s="1"/>
  <c r="BM201" i="2"/>
  <c r="BK109" i="3" s="1"/>
  <c r="BB201" i="2"/>
  <c r="AZ109" i="3" s="1"/>
  <c r="AR201" i="2"/>
  <c r="AP109" i="3" s="1"/>
  <c r="AG201" i="2"/>
  <c r="AE109" i="3" s="1"/>
  <c r="V201" i="2"/>
  <c r="T109" i="3" s="1"/>
  <c r="F105" i="3"/>
  <c r="CM197" i="2"/>
  <c r="CK105" i="3" s="1"/>
  <c r="CE197" i="2"/>
  <c r="CC105" i="3" s="1"/>
  <c r="BW197" i="2"/>
  <c r="BU105" i="3" s="1"/>
  <c r="BO197" i="2"/>
  <c r="BM105" i="3" s="1"/>
  <c r="BG197" i="2"/>
  <c r="BE105" i="3" s="1"/>
  <c r="AY197" i="2"/>
  <c r="AW105" i="3" s="1"/>
  <c r="AQ197" i="2"/>
  <c r="AI197" i="2"/>
  <c r="AG105" i="3" s="1"/>
  <c r="AA197" i="2"/>
  <c r="Y105" i="3" s="1"/>
  <c r="S197" i="2"/>
  <c r="Q105" i="3" s="1"/>
  <c r="CQ197" i="2"/>
  <c r="CI197" i="2"/>
  <c r="CG105" i="3" s="1"/>
  <c r="CA197" i="2"/>
  <c r="BY105" i="3" s="1"/>
  <c r="BS197" i="2"/>
  <c r="BQ105" i="3" s="1"/>
  <c r="BK197" i="2"/>
  <c r="BI105" i="3" s="1"/>
  <c r="BC197" i="2"/>
  <c r="BA105" i="3" s="1"/>
  <c r="AU197" i="2"/>
  <c r="AS105" i="3" s="1"/>
  <c r="AM197" i="2"/>
  <c r="AK105" i="3" s="1"/>
  <c r="AE197" i="2"/>
  <c r="AC105" i="3" s="1"/>
  <c r="W197" i="2"/>
  <c r="U105" i="3" s="1"/>
  <c r="CP197" i="2"/>
  <c r="CF197" i="2"/>
  <c r="CD105" i="3" s="1"/>
  <c r="BU197" i="2"/>
  <c r="BS105" i="3" s="1"/>
  <c r="BJ197" i="2"/>
  <c r="BH105" i="3" s="1"/>
  <c r="AZ197" i="2"/>
  <c r="AX105" i="3" s="1"/>
  <c r="AO197" i="2"/>
  <c r="AM105" i="3" s="1"/>
  <c r="AD197" i="2"/>
  <c r="AB105" i="3" s="1"/>
  <c r="T197" i="2"/>
  <c r="R105" i="3" s="1"/>
  <c r="J197" i="2"/>
  <c r="H105" i="3" s="1"/>
  <c r="CO197" i="2"/>
  <c r="CM105" i="3" s="1"/>
  <c r="CD197" i="2"/>
  <c r="CB105" i="3" s="1"/>
  <c r="BT197" i="2"/>
  <c r="BR105" i="3" s="1"/>
  <c r="BI197" i="2"/>
  <c r="BG105" i="3" s="1"/>
  <c r="AX197" i="2"/>
  <c r="AV105" i="3" s="1"/>
  <c r="AN197" i="2"/>
  <c r="AL105" i="3" s="1"/>
  <c r="AC197" i="2"/>
  <c r="AA105" i="3" s="1"/>
  <c r="R197" i="2"/>
  <c r="P105" i="3" s="1"/>
  <c r="CN197" i="2"/>
  <c r="CL105" i="3" s="1"/>
  <c r="CC197" i="2"/>
  <c r="CA105" i="3" s="1"/>
  <c r="BR197" i="2"/>
  <c r="BP105" i="3" s="1"/>
  <c r="BH197" i="2"/>
  <c r="BF105" i="3" s="1"/>
  <c r="AW197" i="2"/>
  <c r="AU105" i="3" s="1"/>
  <c r="AL197" i="2"/>
  <c r="AJ105" i="3" s="1"/>
  <c r="AB197" i="2"/>
  <c r="Z105" i="3" s="1"/>
  <c r="CK197" i="2"/>
  <c r="CI105" i="3" s="1"/>
  <c r="BZ197" i="2"/>
  <c r="BX105" i="3" s="1"/>
  <c r="BP197" i="2"/>
  <c r="BE197" i="2"/>
  <c r="BC105" i="3" s="1"/>
  <c r="AT197" i="2"/>
  <c r="AR105" i="3" s="1"/>
  <c r="AJ197" i="2"/>
  <c r="AH105" i="3" s="1"/>
  <c r="Y197" i="2"/>
  <c r="W105" i="3" s="1"/>
  <c r="CJ197" i="2"/>
  <c r="CH105" i="3" s="1"/>
  <c r="BY197" i="2"/>
  <c r="BW105" i="3" s="1"/>
  <c r="BN197" i="2"/>
  <c r="BL105" i="3" s="1"/>
  <c r="BD197" i="2"/>
  <c r="BB105" i="3" s="1"/>
  <c r="AS197" i="2"/>
  <c r="AQ105" i="3" s="1"/>
  <c r="AH197" i="2"/>
  <c r="AF105" i="3" s="1"/>
  <c r="X197" i="2"/>
  <c r="V105" i="3" s="1"/>
  <c r="CH197" i="2"/>
  <c r="CF105" i="3" s="1"/>
  <c r="BX197" i="2"/>
  <c r="BV105" i="3" s="1"/>
  <c r="BM197" i="2"/>
  <c r="BK105" i="3" s="1"/>
  <c r="BB197" i="2"/>
  <c r="AZ105" i="3" s="1"/>
  <c r="AR197" i="2"/>
  <c r="AP105" i="3" s="1"/>
  <c r="AG197" i="2"/>
  <c r="AE105" i="3" s="1"/>
  <c r="V197" i="2"/>
  <c r="T105" i="3" s="1"/>
  <c r="CL197" i="2"/>
  <c r="CJ105" i="3" s="1"/>
  <c r="AV197" i="2"/>
  <c r="AT105" i="3" s="1"/>
  <c r="CG197" i="2"/>
  <c r="CE105" i="3" s="1"/>
  <c r="AP197" i="2"/>
  <c r="CB197" i="2"/>
  <c r="BZ105" i="3" s="1"/>
  <c r="AK197" i="2"/>
  <c r="AI105" i="3" s="1"/>
  <c r="BV197" i="2"/>
  <c r="BT105" i="3" s="1"/>
  <c r="AF197" i="2"/>
  <c r="AD105" i="3" s="1"/>
  <c r="BQ197" i="2"/>
  <c r="Z197" i="2"/>
  <c r="X105" i="3" s="1"/>
  <c r="BL197" i="2"/>
  <c r="BJ105" i="3" s="1"/>
  <c r="U197" i="2"/>
  <c r="S105" i="3" s="1"/>
  <c r="BF197" i="2"/>
  <c r="BD105" i="3" s="1"/>
  <c r="BA197" i="2"/>
  <c r="AY105" i="3" s="1"/>
  <c r="F114" i="3"/>
  <c r="CQ206" i="2"/>
  <c r="CI206" i="2"/>
  <c r="CG114" i="3" s="1"/>
  <c r="CA206" i="2"/>
  <c r="BY114" i="3" s="1"/>
  <c r="BS206" i="2"/>
  <c r="BQ114" i="3" s="1"/>
  <c r="BK206" i="2"/>
  <c r="BI114" i="3" s="1"/>
  <c r="BC206" i="2"/>
  <c r="BA114" i="3" s="1"/>
  <c r="AU206" i="2"/>
  <c r="AS114" i="3" s="1"/>
  <c r="AM206" i="2"/>
  <c r="AK114" i="3" s="1"/>
  <c r="AE206" i="2"/>
  <c r="AC114" i="3" s="1"/>
  <c r="W206" i="2"/>
  <c r="U114" i="3" s="1"/>
  <c r="CM206" i="2"/>
  <c r="CK114" i="3" s="1"/>
  <c r="CE206" i="2"/>
  <c r="CC114" i="3" s="1"/>
  <c r="BW206" i="2"/>
  <c r="BU114" i="3" s="1"/>
  <c r="BO206" i="2"/>
  <c r="BM114" i="3" s="1"/>
  <c r="BG206" i="2"/>
  <c r="BE114" i="3" s="1"/>
  <c r="AY206" i="2"/>
  <c r="AW114" i="3" s="1"/>
  <c r="AQ206" i="2"/>
  <c r="AI206" i="2"/>
  <c r="AG114" i="3" s="1"/>
  <c r="AA206" i="2"/>
  <c r="Y114" i="3" s="1"/>
  <c r="S206" i="2"/>
  <c r="Q114" i="3" s="1"/>
  <c r="CJ206" i="2"/>
  <c r="CH114" i="3" s="1"/>
  <c r="BY206" i="2"/>
  <c r="BW114" i="3" s="1"/>
  <c r="BN206" i="2"/>
  <c r="BL114" i="3" s="1"/>
  <c r="BD206" i="2"/>
  <c r="BB114" i="3" s="1"/>
  <c r="AS206" i="2"/>
  <c r="AQ114" i="3" s="1"/>
  <c r="AH206" i="2"/>
  <c r="AF114" i="3" s="1"/>
  <c r="X206" i="2"/>
  <c r="V114" i="3" s="1"/>
  <c r="CH206" i="2"/>
  <c r="CF114" i="3" s="1"/>
  <c r="BX206" i="2"/>
  <c r="BV114" i="3" s="1"/>
  <c r="BM206" i="2"/>
  <c r="BK114" i="3" s="1"/>
  <c r="BB206" i="2"/>
  <c r="AZ114" i="3" s="1"/>
  <c r="AR206" i="2"/>
  <c r="AP114" i="3" s="1"/>
  <c r="AG206" i="2"/>
  <c r="AE114" i="3" s="1"/>
  <c r="V206" i="2"/>
  <c r="T114" i="3" s="1"/>
  <c r="CG206" i="2"/>
  <c r="CE114" i="3" s="1"/>
  <c r="BV206" i="2"/>
  <c r="BT114" i="3" s="1"/>
  <c r="BL206" i="2"/>
  <c r="BJ114" i="3" s="1"/>
  <c r="BA206" i="2"/>
  <c r="AY114" i="3" s="1"/>
  <c r="AP206" i="2"/>
  <c r="AF206" i="2"/>
  <c r="AD114" i="3" s="1"/>
  <c r="U206" i="2"/>
  <c r="S114" i="3" s="1"/>
  <c r="CP206" i="2"/>
  <c r="CF206" i="2"/>
  <c r="CD114" i="3" s="1"/>
  <c r="BU206" i="2"/>
  <c r="BS114" i="3" s="1"/>
  <c r="BJ206" i="2"/>
  <c r="BH114" i="3" s="1"/>
  <c r="AZ206" i="2"/>
  <c r="AX114" i="3" s="1"/>
  <c r="AO206" i="2"/>
  <c r="AM114" i="3" s="1"/>
  <c r="AD206" i="2"/>
  <c r="AB114" i="3" s="1"/>
  <c r="T206" i="2"/>
  <c r="R114" i="3" s="1"/>
  <c r="J206" i="2"/>
  <c r="H114" i="3" s="1"/>
  <c r="CO206" i="2"/>
  <c r="CM114" i="3" s="1"/>
  <c r="CD206" i="2"/>
  <c r="CB114" i="3" s="1"/>
  <c r="BT206" i="2"/>
  <c r="BR114" i="3" s="1"/>
  <c r="BI206" i="2"/>
  <c r="BG114" i="3" s="1"/>
  <c r="AX206" i="2"/>
  <c r="AV114" i="3" s="1"/>
  <c r="AN206" i="2"/>
  <c r="AL114" i="3" s="1"/>
  <c r="AC206" i="2"/>
  <c r="AA114" i="3" s="1"/>
  <c r="R206" i="2"/>
  <c r="P114" i="3" s="1"/>
  <c r="CN206" i="2"/>
  <c r="CL114" i="3" s="1"/>
  <c r="CC206" i="2"/>
  <c r="CA114" i="3" s="1"/>
  <c r="BR206" i="2"/>
  <c r="BP114" i="3" s="1"/>
  <c r="BH206" i="2"/>
  <c r="BF114" i="3" s="1"/>
  <c r="AW206" i="2"/>
  <c r="AU114" i="3" s="1"/>
  <c r="AL206" i="2"/>
  <c r="AJ114" i="3" s="1"/>
  <c r="AB206" i="2"/>
  <c r="Z114" i="3" s="1"/>
  <c r="CL206" i="2"/>
  <c r="CJ114" i="3" s="1"/>
  <c r="CB206" i="2"/>
  <c r="BZ114" i="3" s="1"/>
  <c r="BQ206" i="2"/>
  <c r="BF206" i="2"/>
  <c r="BD114" i="3" s="1"/>
  <c r="AV206" i="2"/>
  <c r="AT114" i="3" s="1"/>
  <c r="AK206" i="2"/>
  <c r="AI114" i="3" s="1"/>
  <c r="Z206" i="2"/>
  <c r="X114" i="3" s="1"/>
  <c r="CK206" i="2"/>
  <c r="CI114" i="3" s="1"/>
  <c r="BZ206" i="2"/>
  <c r="BX114" i="3" s="1"/>
  <c r="BP206" i="2"/>
  <c r="BE206" i="2"/>
  <c r="BC114" i="3" s="1"/>
  <c r="AT206" i="2"/>
  <c r="AR114" i="3" s="1"/>
  <c r="AJ206" i="2"/>
  <c r="AH114" i="3" s="1"/>
  <c r="Y206" i="2"/>
  <c r="W114" i="3" s="1"/>
  <c r="O113" i="3"/>
  <c r="N113" i="3"/>
  <c r="AO95" i="3"/>
  <c r="AN95" i="3"/>
  <c r="E79" i="3"/>
  <c r="P151" i="2"/>
  <c r="O151" i="2"/>
  <c r="M79" i="3" s="1"/>
  <c r="M151" i="2"/>
  <c r="K79" i="3" s="1"/>
  <c r="L151" i="2"/>
  <c r="J79" i="3" s="1"/>
  <c r="F82" i="3"/>
  <c r="CN154" i="2"/>
  <c r="CL82" i="3" s="1"/>
  <c r="CF154" i="2"/>
  <c r="CD82" i="3" s="1"/>
  <c r="BX154" i="2"/>
  <c r="BV82" i="3" s="1"/>
  <c r="BP154" i="2"/>
  <c r="BH154" i="2"/>
  <c r="BF82" i="3" s="1"/>
  <c r="AZ154" i="2"/>
  <c r="AX82" i="3" s="1"/>
  <c r="AR154" i="2"/>
  <c r="AP82" i="3" s="1"/>
  <c r="AJ154" i="2"/>
  <c r="AH82" i="3" s="1"/>
  <c r="AB154" i="2"/>
  <c r="Z82" i="3" s="1"/>
  <c r="T154" i="2"/>
  <c r="R82" i="3" s="1"/>
  <c r="CM154" i="2"/>
  <c r="CK82" i="3" s="1"/>
  <c r="CE154" i="2"/>
  <c r="CC82" i="3" s="1"/>
  <c r="BW154" i="2"/>
  <c r="BU82" i="3" s="1"/>
  <c r="BO154" i="2"/>
  <c r="BM82" i="3" s="1"/>
  <c r="BG154" i="2"/>
  <c r="BE82" i="3" s="1"/>
  <c r="AY154" i="2"/>
  <c r="AW82" i="3" s="1"/>
  <c r="AQ154" i="2"/>
  <c r="AI154" i="2"/>
  <c r="AG82" i="3" s="1"/>
  <c r="AA154" i="2"/>
  <c r="Y82" i="3" s="1"/>
  <c r="S154" i="2"/>
  <c r="Q82" i="3" s="1"/>
  <c r="CL154" i="2"/>
  <c r="CJ82" i="3" s="1"/>
  <c r="CD154" i="2"/>
  <c r="CB82" i="3" s="1"/>
  <c r="BV154" i="2"/>
  <c r="BT82" i="3" s="1"/>
  <c r="BN154" i="2"/>
  <c r="BL82" i="3" s="1"/>
  <c r="BF154" i="2"/>
  <c r="BD82" i="3" s="1"/>
  <c r="AX154" i="2"/>
  <c r="AV82" i="3" s="1"/>
  <c r="AP154" i="2"/>
  <c r="AH154" i="2"/>
  <c r="AF82" i="3" s="1"/>
  <c r="Z154" i="2"/>
  <c r="X82" i="3" s="1"/>
  <c r="R154" i="2"/>
  <c r="P82" i="3" s="1"/>
  <c r="J154" i="2"/>
  <c r="H82" i="3" s="1"/>
  <c r="CK154" i="2"/>
  <c r="CI82" i="3" s="1"/>
  <c r="CC154" i="2"/>
  <c r="CA82" i="3" s="1"/>
  <c r="BU154" i="2"/>
  <c r="BS82" i="3" s="1"/>
  <c r="BM154" i="2"/>
  <c r="BK82" i="3" s="1"/>
  <c r="BE154" i="2"/>
  <c r="BC82" i="3" s="1"/>
  <c r="AW154" i="2"/>
  <c r="AU82" i="3" s="1"/>
  <c r="AO154" i="2"/>
  <c r="AM82" i="3" s="1"/>
  <c r="AG154" i="2"/>
  <c r="AE82" i="3" s="1"/>
  <c r="Y154" i="2"/>
  <c r="W82" i="3" s="1"/>
  <c r="CJ154" i="2"/>
  <c r="CH82" i="3" s="1"/>
  <c r="CB154" i="2"/>
  <c r="BZ82" i="3" s="1"/>
  <c r="BT154" i="2"/>
  <c r="BR82" i="3" s="1"/>
  <c r="BL154" i="2"/>
  <c r="BJ82" i="3" s="1"/>
  <c r="BD154" i="2"/>
  <c r="BB82" i="3" s="1"/>
  <c r="AV154" i="2"/>
  <c r="AT82" i="3" s="1"/>
  <c r="AN154" i="2"/>
  <c r="AL82" i="3" s="1"/>
  <c r="AF154" i="2"/>
  <c r="AD82" i="3" s="1"/>
  <c r="X154" i="2"/>
  <c r="V82" i="3" s="1"/>
  <c r="CQ154" i="2"/>
  <c r="CI154" i="2"/>
  <c r="CG82" i="3" s="1"/>
  <c r="CA154" i="2"/>
  <c r="BY82" i="3" s="1"/>
  <c r="BS154" i="2"/>
  <c r="BQ82" i="3" s="1"/>
  <c r="BK154" i="2"/>
  <c r="BI82" i="3" s="1"/>
  <c r="BC154" i="2"/>
  <c r="BA82" i="3" s="1"/>
  <c r="AU154" i="2"/>
  <c r="AS82" i="3" s="1"/>
  <c r="AM154" i="2"/>
  <c r="AK82" i="3" s="1"/>
  <c r="AE154" i="2"/>
  <c r="AC82" i="3" s="1"/>
  <c r="W154" i="2"/>
  <c r="U82" i="3" s="1"/>
  <c r="CP154" i="2"/>
  <c r="CH154" i="2"/>
  <c r="CF82" i="3" s="1"/>
  <c r="BZ154" i="2"/>
  <c r="BX82" i="3" s="1"/>
  <c r="BR154" i="2"/>
  <c r="BP82" i="3" s="1"/>
  <c r="BJ154" i="2"/>
  <c r="BH82" i="3" s="1"/>
  <c r="BB154" i="2"/>
  <c r="AZ82" i="3" s="1"/>
  <c r="AT154" i="2"/>
  <c r="AR82" i="3" s="1"/>
  <c r="AL154" i="2"/>
  <c r="AJ82" i="3" s="1"/>
  <c r="AD154" i="2"/>
  <c r="AB82" i="3" s="1"/>
  <c r="V154" i="2"/>
  <c r="T82" i="3" s="1"/>
  <c r="CO154" i="2"/>
  <c r="CM82" i="3" s="1"/>
  <c r="CG154" i="2"/>
  <c r="CE82" i="3" s="1"/>
  <c r="BY154" i="2"/>
  <c r="BW82" i="3" s="1"/>
  <c r="BQ154" i="2"/>
  <c r="BI154" i="2"/>
  <c r="BG82" i="3" s="1"/>
  <c r="BA154" i="2"/>
  <c r="AY82" i="3" s="1"/>
  <c r="AS154" i="2"/>
  <c r="AQ82" i="3" s="1"/>
  <c r="AK154" i="2"/>
  <c r="AI82" i="3" s="1"/>
  <c r="AC154" i="2"/>
  <c r="AA82" i="3" s="1"/>
  <c r="U154" i="2"/>
  <c r="S82" i="3" s="1"/>
  <c r="BN88" i="3"/>
  <c r="BO88" i="3"/>
  <c r="N109" i="3"/>
  <c r="O109" i="3"/>
  <c r="E80" i="3"/>
  <c r="L152" i="2"/>
  <c r="J80" i="3" s="1"/>
  <c r="P152" i="2"/>
  <c r="O152" i="2"/>
  <c r="M80" i="3" s="1"/>
  <c r="M152" i="2"/>
  <c r="K80" i="3" s="1"/>
  <c r="CO94" i="3"/>
  <c r="CN94" i="3"/>
  <c r="E89" i="3"/>
  <c r="M161" i="2"/>
  <c r="K89" i="3" s="1"/>
  <c r="L161" i="2"/>
  <c r="J89" i="3" s="1"/>
  <c r="P161" i="2"/>
  <c r="O161" i="2"/>
  <c r="M89" i="3" s="1"/>
  <c r="F67" i="3"/>
  <c r="CO119" i="2"/>
  <c r="CM67" i="3" s="1"/>
  <c r="CG119" i="2"/>
  <c r="CE67" i="3" s="1"/>
  <c r="BY119" i="2"/>
  <c r="BW67" i="3" s="1"/>
  <c r="BQ119" i="2"/>
  <c r="BI119" i="2"/>
  <c r="BG67" i="3" s="1"/>
  <c r="BA119" i="2"/>
  <c r="AY67" i="3" s="1"/>
  <c r="AS119" i="2"/>
  <c r="AQ67" i="3" s="1"/>
  <c r="AK119" i="2"/>
  <c r="AI67" i="3" s="1"/>
  <c r="AC119" i="2"/>
  <c r="AA67" i="3" s="1"/>
  <c r="U119" i="2"/>
  <c r="S67" i="3" s="1"/>
  <c r="CN119" i="2"/>
  <c r="CL67" i="3" s="1"/>
  <c r="CF119" i="2"/>
  <c r="CD67" i="3" s="1"/>
  <c r="BX119" i="2"/>
  <c r="BV67" i="3" s="1"/>
  <c r="BP119" i="2"/>
  <c r="BH119" i="2"/>
  <c r="BF67" i="3" s="1"/>
  <c r="AZ119" i="2"/>
  <c r="AX67" i="3" s="1"/>
  <c r="AR119" i="2"/>
  <c r="AP67" i="3" s="1"/>
  <c r="AJ119" i="2"/>
  <c r="AH67" i="3" s="1"/>
  <c r="AB119" i="2"/>
  <c r="Z67" i="3" s="1"/>
  <c r="T119" i="2"/>
  <c r="R67" i="3" s="1"/>
  <c r="CK119" i="2"/>
  <c r="CI67" i="3" s="1"/>
  <c r="CC119" i="2"/>
  <c r="CA67" i="3" s="1"/>
  <c r="BU119" i="2"/>
  <c r="BS67" i="3" s="1"/>
  <c r="BM119" i="2"/>
  <c r="BK67" i="3" s="1"/>
  <c r="BE119" i="2"/>
  <c r="BC67" i="3" s="1"/>
  <c r="AW119" i="2"/>
  <c r="AU67" i="3" s="1"/>
  <c r="AO119" i="2"/>
  <c r="AM67" i="3" s="1"/>
  <c r="AG119" i="2"/>
  <c r="AE67" i="3" s="1"/>
  <c r="Y119" i="2"/>
  <c r="W67" i="3" s="1"/>
  <c r="CJ119" i="2"/>
  <c r="CH67" i="3" s="1"/>
  <c r="CB119" i="2"/>
  <c r="BZ67" i="3" s="1"/>
  <c r="BT119" i="2"/>
  <c r="BR67" i="3" s="1"/>
  <c r="BL119" i="2"/>
  <c r="BJ67" i="3" s="1"/>
  <c r="BD119" i="2"/>
  <c r="BB67" i="3" s="1"/>
  <c r="AV119" i="2"/>
  <c r="AT67" i="3" s="1"/>
  <c r="AN119" i="2"/>
  <c r="AL67" i="3" s="1"/>
  <c r="AF119" i="2"/>
  <c r="AD67" i="3" s="1"/>
  <c r="X119" i="2"/>
  <c r="V67" i="3" s="1"/>
  <c r="CE119" i="2"/>
  <c r="CC67" i="3" s="1"/>
  <c r="BO119" i="2"/>
  <c r="BM67" i="3" s="1"/>
  <c r="AY119" i="2"/>
  <c r="AW67" i="3" s="1"/>
  <c r="AI119" i="2"/>
  <c r="AG67" i="3" s="1"/>
  <c r="S119" i="2"/>
  <c r="Q67" i="3" s="1"/>
  <c r="CD119" i="2"/>
  <c r="CB67" i="3" s="1"/>
  <c r="BN119" i="2"/>
  <c r="BL67" i="3" s="1"/>
  <c r="AX119" i="2"/>
  <c r="AV67" i="3" s="1"/>
  <c r="AH119" i="2"/>
  <c r="AF67" i="3" s="1"/>
  <c r="R119" i="2"/>
  <c r="P67" i="3" s="1"/>
  <c r="CQ119" i="2"/>
  <c r="CA119" i="2"/>
  <c r="BY67" i="3" s="1"/>
  <c r="BK119" i="2"/>
  <c r="BI67" i="3" s="1"/>
  <c r="AU119" i="2"/>
  <c r="AS67" i="3" s="1"/>
  <c r="AE119" i="2"/>
  <c r="AC67" i="3" s="1"/>
  <c r="CP119" i="2"/>
  <c r="BZ119" i="2"/>
  <c r="BX67" i="3" s="1"/>
  <c r="BJ119" i="2"/>
  <c r="BH67" i="3" s="1"/>
  <c r="AT119" i="2"/>
  <c r="AR67" i="3" s="1"/>
  <c r="AD119" i="2"/>
  <c r="AB67" i="3" s="1"/>
  <c r="CM119" i="2"/>
  <c r="CK67" i="3" s="1"/>
  <c r="BW119" i="2"/>
  <c r="BU67" i="3" s="1"/>
  <c r="BG119" i="2"/>
  <c r="BE67" i="3" s="1"/>
  <c r="AQ119" i="2"/>
  <c r="AA119" i="2"/>
  <c r="Y67" i="3" s="1"/>
  <c r="CL119" i="2"/>
  <c r="CJ67" i="3" s="1"/>
  <c r="BV119" i="2"/>
  <c r="BT67" i="3" s="1"/>
  <c r="BF119" i="2"/>
  <c r="BD67" i="3" s="1"/>
  <c r="AP119" i="2"/>
  <c r="Z119" i="2"/>
  <c r="X67" i="3" s="1"/>
  <c r="CI119" i="2"/>
  <c r="CG67" i="3" s="1"/>
  <c r="BS119" i="2"/>
  <c r="BQ67" i="3" s="1"/>
  <c r="BC119" i="2"/>
  <c r="BA67" i="3" s="1"/>
  <c r="AM119" i="2"/>
  <c r="AK67" i="3" s="1"/>
  <c r="W119" i="2"/>
  <c r="U67" i="3" s="1"/>
  <c r="J119" i="2"/>
  <c r="H67" i="3" s="1"/>
  <c r="CH119" i="2"/>
  <c r="CF67" i="3" s="1"/>
  <c r="BR119" i="2"/>
  <c r="BP67" i="3" s="1"/>
  <c r="BB119" i="2"/>
  <c r="AZ67" i="3" s="1"/>
  <c r="AL119" i="2"/>
  <c r="AJ67" i="3" s="1"/>
  <c r="V119" i="2"/>
  <c r="T67" i="3" s="1"/>
  <c r="N67" i="3"/>
  <c r="O67" i="3"/>
  <c r="F61" i="3"/>
  <c r="CP113" i="2"/>
  <c r="CH113" i="2"/>
  <c r="CF61" i="3" s="1"/>
  <c r="BZ113" i="2"/>
  <c r="BX61" i="3" s="1"/>
  <c r="BR113" i="2"/>
  <c r="BP61" i="3" s="1"/>
  <c r="BJ113" i="2"/>
  <c r="BH61" i="3" s="1"/>
  <c r="BB113" i="2"/>
  <c r="AZ61" i="3" s="1"/>
  <c r="AT113" i="2"/>
  <c r="AR61" i="3" s="1"/>
  <c r="AL113" i="2"/>
  <c r="AJ61" i="3" s="1"/>
  <c r="AD113" i="2"/>
  <c r="AB61" i="3" s="1"/>
  <c r="V113" i="2"/>
  <c r="T61" i="3" s="1"/>
  <c r="CL113" i="2"/>
  <c r="CJ61" i="3" s="1"/>
  <c r="CD113" i="2"/>
  <c r="CB61" i="3" s="1"/>
  <c r="BV113" i="2"/>
  <c r="BT61" i="3" s="1"/>
  <c r="BN113" i="2"/>
  <c r="BL61" i="3" s="1"/>
  <c r="BF113" i="2"/>
  <c r="BD61" i="3" s="1"/>
  <c r="AX113" i="2"/>
  <c r="AV61" i="3" s="1"/>
  <c r="AP113" i="2"/>
  <c r="AH113" i="2"/>
  <c r="AF61" i="3" s="1"/>
  <c r="Z113" i="2"/>
  <c r="X61" i="3" s="1"/>
  <c r="R113" i="2"/>
  <c r="P61" i="3" s="1"/>
  <c r="J113" i="2"/>
  <c r="H61" i="3" s="1"/>
  <c r="CJ113" i="2"/>
  <c r="CH61" i="3" s="1"/>
  <c r="BY113" i="2"/>
  <c r="BW61" i="3" s="1"/>
  <c r="BO113" i="2"/>
  <c r="BM61" i="3" s="1"/>
  <c r="BD113" i="2"/>
  <c r="BB61" i="3" s="1"/>
  <c r="AS113" i="2"/>
  <c r="AQ61" i="3" s="1"/>
  <c r="AI113" i="2"/>
  <c r="AG61" i="3" s="1"/>
  <c r="X113" i="2"/>
  <c r="V61" i="3" s="1"/>
  <c r="CI113" i="2"/>
  <c r="CG61" i="3" s="1"/>
  <c r="BX113" i="2"/>
  <c r="BV61" i="3" s="1"/>
  <c r="BM113" i="2"/>
  <c r="BK61" i="3" s="1"/>
  <c r="BC113" i="2"/>
  <c r="BA61" i="3" s="1"/>
  <c r="AR113" i="2"/>
  <c r="AP61" i="3" s="1"/>
  <c r="AG113" i="2"/>
  <c r="AE61" i="3" s="1"/>
  <c r="W113" i="2"/>
  <c r="U61" i="3" s="1"/>
  <c r="CG113" i="2"/>
  <c r="CE61" i="3" s="1"/>
  <c r="BW113" i="2"/>
  <c r="BU61" i="3" s="1"/>
  <c r="BL113" i="2"/>
  <c r="BJ61" i="3" s="1"/>
  <c r="BA113" i="2"/>
  <c r="AY61" i="3" s="1"/>
  <c r="AQ113" i="2"/>
  <c r="AF113" i="2"/>
  <c r="AD61" i="3" s="1"/>
  <c r="U113" i="2"/>
  <c r="S61" i="3" s="1"/>
  <c r="CO113" i="2"/>
  <c r="CM61" i="3" s="1"/>
  <c r="CE113" i="2"/>
  <c r="CC61" i="3" s="1"/>
  <c r="BT113" i="2"/>
  <c r="BR61" i="3" s="1"/>
  <c r="BI113" i="2"/>
  <c r="BG61" i="3" s="1"/>
  <c r="AY113" i="2"/>
  <c r="AW61" i="3" s="1"/>
  <c r="AN113" i="2"/>
  <c r="AL61" i="3" s="1"/>
  <c r="AC113" i="2"/>
  <c r="AA61" i="3" s="1"/>
  <c r="S113" i="2"/>
  <c r="Q61" i="3" s="1"/>
  <c r="CN113" i="2"/>
  <c r="CL61" i="3" s="1"/>
  <c r="CC113" i="2"/>
  <c r="CA61" i="3" s="1"/>
  <c r="BS113" i="2"/>
  <c r="BQ61" i="3" s="1"/>
  <c r="BH113" i="2"/>
  <c r="BF61" i="3" s="1"/>
  <c r="AW113" i="2"/>
  <c r="AU61" i="3" s="1"/>
  <c r="AM113" i="2"/>
  <c r="AK61" i="3" s="1"/>
  <c r="AB113" i="2"/>
  <c r="Z61" i="3" s="1"/>
  <c r="CM113" i="2"/>
  <c r="CK61" i="3" s="1"/>
  <c r="CB113" i="2"/>
  <c r="BZ61" i="3" s="1"/>
  <c r="BQ113" i="2"/>
  <c r="BG113" i="2"/>
  <c r="BE61" i="3" s="1"/>
  <c r="AV113" i="2"/>
  <c r="AT61" i="3" s="1"/>
  <c r="AK113" i="2"/>
  <c r="AI61" i="3" s="1"/>
  <c r="AA113" i="2"/>
  <c r="Y61" i="3" s="1"/>
  <c r="CK113" i="2"/>
  <c r="CI61" i="3" s="1"/>
  <c r="CA113" i="2"/>
  <c r="BY61" i="3" s="1"/>
  <c r="BP113" i="2"/>
  <c r="BE113" i="2"/>
  <c r="BC61" i="3" s="1"/>
  <c r="AU113" i="2"/>
  <c r="AS61" i="3" s="1"/>
  <c r="AJ113" i="2"/>
  <c r="AH61" i="3" s="1"/>
  <c r="Y113" i="2"/>
  <c r="W61" i="3" s="1"/>
  <c r="BU113" i="2"/>
  <c r="BS61" i="3" s="1"/>
  <c r="BK113" i="2"/>
  <c r="BI61" i="3" s="1"/>
  <c r="AZ113" i="2"/>
  <c r="AX61" i="3" s="1"/>
  <c r="AO113" i="2"/>
  <c r="AM61" i="3" s="1"/>
  <c r="AE113" i="2"/>
  <c r="AC61" i="3" s="1"/>
  <c r="T113" i="2"/>
  <c r="R61" i="3" s="1"/>
  <c r="CQ113" i="2"/>
  <c r="CF113" i="2"/>
  <c r="CD61" i="3" s="1"/>
  <c r="AO68" i="3"/>
  <c r="AN68" i="3"/>
  <c r="CH51" i="3"/>
  <c r="E24" i="3"/>
  <c r="M35" i="2"/>
  <c r="K24" i="3" s="1"/>
  <c r="L35" i="2"/>
  <c r="J24" i="3" s="1"/>
  <c r="P35" i="2"/>
  <c r="O35" i="2"/>
  <c r="M24" i="3" s="1"/>
  <c r="CG51" i="3"/>
  <c r="BC51" i="3"/>
  <c r="AF51" i="3"/>
  <c r="R51" i="3"/>
  <c r="CD51" i="3"/>
  <c r="AZ51" i="3"/>
  <c r="CO37" i="3"/>
  <c r="CN37" i="3"/>
  <c r="K51" i="3"/>
  <c r="M126" i="2"/>
  <c r="E47" i="3"/>
  <c r="O79" i="2"/>
  <c r="M47" i="3" s="1"/>
  <c r="P79" i="2"/>
  <c r="M79" i="2"/>
  <c r="K47" i="3" s="1"/>
  <c r="L79" i="2"/>
  <c r="J47" i="3" s="1"/>
  <c r="AO46" i="3"/>
  <c r="AN46" i="3"/>
  <c r="CO35" i="3"/>
  <c r="CN35" i="3"/>
  <c r="O33" i="3"/>
  <c r="N33" i="3"/>
  <c r="AT5" i="3"/>
  <c r="BQ5" i="3"/>
  <c r="BX5" i="3"/>
  <c r="AQ5" i="3"/>
  <c r="O49" i="3"/>
  <c r="N49" i="3"/>
  <c r="CL5" i="3"/>
  <c r="Z5" i="3"/>
  <c r="E14" i="3"/>
  <c r="L25" i="2"/>
  <c r="J14" i="3" s="1"/>
  <c r="P25" i="2"/>
  <c r="O25" i="2"/>
  <c r="M14" i="3" s="1"/>
  <c r="M25" i="2"/>
  <c r="K14" i="3" s="1"/>
  <c r="BL5" i="3"/>
  <c r="AN18" i="3"/>
  <c r="AO18" i="3"/>
  <c r="AO11" i="3"/>
  <c r="AN11" i="3"/>
  <c r="AO7" i="3"/>
  <c r="AN7" i="3"/>
  <c r="N17" i="3"/>
  <c r="O17" i="3"/>
  <c r="AO98" i="3"/>
  <c r="AN98" i="3"/>
  <c r="E77" i="3"/>
  <c r="P149" i="2"/>
  <c r="O149" i="2"/>
  <c r="M77" i="3" s="1"/>
  <c r="M149" i="2"/>
  <c r="K77" i="3" s="1"/>
  <c r="L149" i="2"/>
  <c r="J77" i="3" s="1"/>
  <c r="E78" i="3"/>
  <c r="L150" i="2"/>
  <c r="J78" i="3" s="1"/>
  <c r="P150" i="2"/>
  <c r="O150" i="2"/>
  <c r="M78" i="3" s="1"/>
  <c r="M150" i="2"/>
  <c r="K78" i="3" s="1"/>
  <c r="BO32" i="3"/>
  <c r="BN32" i="3"/>
  <c r="BZ51" i="3"/>
  <c r="F44" i="3"/>
  <c r="CJ76" i="2"/>
  <c r="CH44" i="3" s="1"/>
  <c r="CB76" i="2"/>
  <c r="BZ44" i="3" s="1"/>
  <c r="BT76" i="2"/>
  <c r="BR44" i="3" s="1"/>
  <c r="BL76" i="2"/>
  <c r="BJ44" i="3" s="1"/>
  <c r="BD76" i="2"/>
  <c r="BB44" i="3" s="1"/>
  <c r="AV76" i="2"/>
  <c r="AT44" i="3" s="1"/>
  <c r="AN76" i="2"/>
  <c r="AL44" i="3" s="1"/>
  <c r="AF76" i="2"/>
  <c r="AD44" i="3" s="1"/>
  <c r="X76" i="2"/>
  <c r="V44" i="3" s="1"/>
  <c r="CN76" i="2"/>
  <c r="CL44" i="3" s="1"/>
  <c r="CF76" i="2"/>
  <c r="CD44" i="3" s="1"/>
  <c r="BX76" i="2"/>
  <c r="BV44" i="3" s="1"/>
  <c r="BP76" i="2"/>
  <c r="BH76" i="2"/>
  <c r="BF44" i="3" s="1"/>
  <c r="AZ76" i="2"/>
  <c r="AX44" i="3" s="1"/>
  <c r="AR76" i="2"/>
  <c r="AP44" i="3" s="1"/>
  <c r="AJ76" i="2"/>
  <c r="AH44" i="3" s="1"/>
  <c r="AB76" i="2"/>
  <c r="Z44" i="3" s="1"/>
  <c r="T76" i="2"/>
  <c r="R44" i="3" s="1"/>
  <c r="CM76" i="2"/>
  <c r="CK44" i="3" s="1"/>
  <c r="CE76" i="2"/>
  <c r="CC44" i="3" s="1"/>
  <c r="BW76" i="2"/>
  <c r="BU44" i="3" s="1"/>
  <c r="BO76" i="2"/>
  <c r="BM44" i="3" s="1"/>
  <c r="BG76" i="2"/>
  <c r="BE44" i="3" s="1"/>
  <c r="AY76" i="2"/>
  <c r="AW44" i="3" s="1"/>
  <c r="AQ76" i="2"/>
  <c r="AI76" i="2"/>
  <c r="AG44" i="3" s="1"/>
  <c r="AA76" i="2"/>
  <c r="Y44" i="3" s="1"/>
  <c r="S76" i="2"/>
  <c r="Q44" i="3" s="1"/>
  <c r="CG76" i="2"/>
  <c r="CE44" i="3" s="1"/>
  <c r="BS76" i="2"/>
  <c r="BQ44" i="3" s="1"/>
  <c r="BF76" i="2"/>
  <c r="BD44" i="3" s="1"/>
  <c r="AT76" i="2"/>
  <c r="AR44" i="3" s="1"/>
  <c r="AG76" i="2"/>
  <c r="AE44" i="3" s="1"/>
  <c r="U76" i="2"/>
  <c r="S44" i="3" s="1"/>
  <c r="CQ76" i="2"/>
  <c r="CD76" i="2"/>
  <c r="CB44" i="3" s="1"/>
  <c r="BR76" i="2"/>
  <c r="BP44" i="3" s="1"/>
  <c r="BE76" i="2"/>
  <c r="BC44" i="3" s="1"/>
  <c r="AS76" i="2"/>
  <c r="AQ44" i="3" s="1"/>
  <c r="AE76" i="2"/>
  <c r="AC44" i="3" s="1"/>
  <c r="R76" i="2"/>
  <c r="P44" i="3" s="1"/>
  <c r="CP76" i="2"/>
  <c r="CC76" i="2"/>
  <c r="CA44" i="3" s="1"/>
  <c r="BQ76" i="2"/>
  <c r="BC76" i="2"/>
  <c r="BA44" i="3" s="1"/>
  <c r="AP76" i="2"/>
  <c r="AD76" i="2"/>
  <c r="AB44" i="3" s="1"/>
  <c r="CO76" i="2"/>
  <c r="CM44" i="3" s="1"/>
  <c r="CA76" i="2"/>
  <c r="BY44" i="3" s="1"/>
  <c r="BN76" i="2"/>
  <c r="BL44" i="3" s="1"/>
  <c r="BB76" i="2"/>
  <c r="AZ44" i="3" s="1"/>
  <c r="AO76" i="2"/>
  <c r="AM44" i="3" s="1"/>
  <c r="AC76" i="2"/>
  <c r="AA44" i="3" s="1"/>
  <c r="CL76" i="2"/>
  <c r="CJ44" i="3" s="1"/>
  <c r="BZ76" i="2"/>
  <c r="BX44" i="3" s="1"/>
  <c r="BM76" i="2"/>
  <c r="BK44" i="3" s="1"/>
  <c r="BA76" i="2"/>
  <c r="AY44" i="3" s="1"/>
  <c r="AM76" i="2"/>
  <c r="AK44" i="3" s="1"/>
  <c r="Z76" i="2"/>
  <c r="X44" i="3" s="1"/>
  <c r="CK76" i="2"/>
  <c r="CI44" i="3" s="1"/>
  <c r="BY76" i="2"/>
  <c r="BW44" i="3" s="1"/>
  <c r="BK76" i="2"/>
  <c r="BI44" i="3" s="1"/>
  <c r="AX76" i="2"/>
  <c r="AV44" i="3" s="1"/>
  <c r="AL76" i="2"/>
  <c r="AJ44" i="3" s="1"/>
  <c r="Y76" i="2"/>
  <c r="W44" i="3" s="1"/>
  <c r="CI76" i="2"/>
  <c r="CG44" i="3" s="1"/>
  <c r="BV76" i="2"/>
  <c r="BT44" i="3" s="1"/>
  <c r="BJ76" i="2"/>
  <c r="BH44" i="3" s="1"/>
  <c r="AW76" i="2"/>
  <c r="AU44" i="3" s="1"/>
  <c r="AK76" i="2"/>
  <c r="AI44" i="3" s="1"/>
  <c r="W76" i="2"/>
  <c r="U44" i="3" s="1"/>
  <c r="CH76" i="2"/>
  <c r="CF44" i="3" s="1"/>
  <c r="BU76" i="2"/>
  <c r="BS44" i="3" s="1"/>
  <c r="BI76" i="2"/>
  <c r="BG44" i="3" s="1"/>
  <c r="AU76" i="2"/>
  <c r="AS44" i="3" s="1"/>
  <c r="AH76" i="2"/>
  <c r="AF44" i="3" s="1"/>
  <c r="V76" i="2"/>
  <c r="T44" i="3" s="1"/>
  <c r="J76" i="2"/>
  <c r="H44" i="3" s="1"/>
  <c r="BO29" i="3"/>
  <c r="BN29" i="3"/>
  <c r="E59" i="3"/>
  <c r="L111" i="2"/>
  <c r="J59" i="3" s="1"/>
  <c r="P111" i="2"/>
  <c r="M111" i="2"/>
  <c r="K59" i="3" s="1"/>
  <c r="O111" i="2"/>
  <c r="M59" i="3" s="1"/>
  <c r="AO60" i="3"/>
  <c r="AN60" i="3"/>
  <c r="O45" i="3"/>
  <c r="N45" i="3"/>
  <c r="CO39" i="3"/>
  <c r="CN39" i="3"/>
  <c r="AL5" i="3"/>
  <c r="CO30" i="3"/>
  <c r="CN30" i="3"/>
  <c r="BI5" i="3"/>
  <c r="BP5" i="3"/>
  <c r="AO26" i="3"/>
  <c r="AN26" i="3"/>
  <c r="AI5" i="3"/>
  <c r="CD5" i="3"/>
  <c r="R5" i="3"/>
  <c r="AG5" i="3"/>
  <c r="E12" i="3"/>
  <c r="L23" i="2"/>
  <c r="J12" i="3" s="1"/>
  <c r="M23" i="2"/>
  <c r="K12" i="3" s="1"/>
  <c r="P23" i="2"/>
  <c r="O23" i="2"/>
  <c r="M12" i="3" s="1"/>
  <c r="BD5" i="3"/>
  <c r="BN11" i="3"/>
  <c r="BO11" i="3"/>
  <c r="BO7" i="3"/>
  <c r="BN7" i="3"/>
  <c r="N11" i="3"/>
  <c r="O11" i="3"/>
  <c r="AN20" i="3"/>
  <c r="AO20" i="3"/>
  <c r="AO9" i="3"/>
  <c r="AN9" i="3"/>
  <c r="E117" i="3"/>
  <c r="P209" i="2"/>
  <c r="O209" i="2"/>
  <c r="M117" i="3" s="1"/>
  <c r="M209" i="2"/>
  <c r="K117" i="3" s="1"/>
  <c r="L209" i="2"/>
  <c r="J117" i="3" s="1"/>
  <c r="O107" i="3"/>
  <c r="N107" i="3"/>
  <c r="E91" i="3"/>
  <c r="M163" i="2"/>
  <c r="K91" i="3" s="1"/>
  <c r="P163" i="2"/>
  <c r="O163" i="2"/>
  <c r="M91" i="3" s="1"/>
  <c r="L163" i="2"/>
  <c r="J91" i="3" s="1"/>
  <c r="F80" i="3"/>
  <c r="CN152" i="2"/>
  <c r="CL80" i="3" s="1"/>
  <c r="CF152" i="2"/>
  <c r="CD80" i="3" s="1"/>
  <c r="BX152" i="2"/>
  <c r="BV80" i="3" s="1"/>
  <c r="BP152" i="2"/>
  <c r="BH152" i="2"/>
  <c r="BF80" i="3" s="1"/>
  <c r="AZ152" i="2"/>
  <c r="AX80" i="3" s="1"/>
  <c r="AR152" i="2"/>
  <c r="AP80" i="3" s="1"/>
  <c r="AJ152" i="2"/>
  <c r="AH80" i="3" s="1"/>
  <c r="AB152" i="2"/>
  <c r="Z80" i="3" s="1"/>
  <c r="T152" i="2"/>
  <c r="R80" i="3" s="1"/>
  <c r="CM152" i="2"/>
  <c r="CK80" i="3" s="1"/>
  <c r="CE152" i="2"/>
  <c r="CC80" i="3" s="1"/>
  <c r="BW152" i="2"/>
  <c r="BU80" i="3" s="1"/>
  <c r="BO152" i="2"/>
  <c r="BM80" i="3" s="1"/>
  <c r="BG152" i="2"/>
  <c r="BE80" i="3" s="1"/>
  <c r="AY152" i="2"/>
  <c r="AW80" i="3" s="1"/>
  <c r="AQ152" i="2"/>
  <c r="AI152" i="2"/>
  <c r="AG80" i="3" s="1"/>
  <c r="AA152" i="2"/>
  <c r="Y80" i="3" s="1"/>
  <c r="S152" i="2"/>
  <c r="Q80" i="3" s="1"/>
  <c r="CL152" i="2"/>
  <c r="CJ80" i="3" s="1"/>
  <c r="CD152" i="2"/>
  <c r="CB80" i="3" s="1"/>
  <c r="BV152" i="2"/>
  <c r="BT80" i="3" s="1"/>
  <c r="BN152" i="2"/>
  <c r="BL80" i="3" s="1"/>
  <c r="BF152" i="2"/>
  <c r="BD80" i="3" s="1"/>
  <c r="AX152" i="2"/>
  <c r="AV80" i="3" s="1"/>
  <c r="AP152" i="2"/>
  <c r="AH152" i="2"/>
  <c r="AF80" i="3" s="1"/>
  <c r="Z152" i="2"/>
  <c r="X80" i="3" s="1"/>
  <c r="R152" i="2"/>
  <c r="P80" i="3" s="1"/>
  <c r="J152" i="2"/>
  <c r="H80" i="3" s="1"/>
  <c r="CK152" i="2"/>
  <c r="CI80" i="3" s="1"/>
  <c r="CC152" i="2"/>
  <c r="CA80" i="3" s="1"/>
  <c r="BU152" i="2"/>
  <c r="BS80" i="3" s="1"/>
  <c r="BM152" i="2"/>
  <c r="BK80" i="3" s="1"/>
  <c r="BE152" i="2"/>
  <c r="BC80" i="3" s="1"/>
  <c r="AW152" i="2"/>
  <c r="AU80" i="3" s="1"/>
  <c r="AO152" i="2"/>
  <c r="AM80" i="3" s="1"/>
  <c r="AG152" i="2"/>
  <c r="AE80" i="3" s="1"/>
  <c r="Y152" i="2"/>
  <c r="W80" i="3" s="1"/>
  <c r="CJ152" i="2"/>
  <c r="CH80" i="3" s="1"/>
  <c r="CB152" i="2"/>
  <c r="BZ80" i="3" s="1"/>
  <c r="BT152" i="2"/>
  <c r="BR80" i="3" s="1"/>
  <c r="BL152" i="2"/>
  <c r="BJ80" i="3" s="1"/>
  <c r="BD152" i="2"/>
  <c r="BB80" i="3" s="1"/>
  <c r="AV152" i="2"/>
  <c r="AT80" i="3" s="1"/>
  <c r="AN152" i="2"/>
  <c r="AL80" i="3" s="1"/>
  <c r="AF152" i="2"/>
  <c r="AD80" i="3" s="1"/>
  <c r="X152" i="2"/>
  <c r="V80" i="3" s="1"/>
  <c r="CQ152" i="2"/>
  <c r="CI152" i="2"/>
  <c r="CG80" i="3" s="1"/>
  <c r="CA152" i="2"/>
  <c r="BY80" i="3" s="1"/>
  <c r="BS152" i="2"/>
  <c r="BQ80" i="3" s="1"/>
  <c r="BK152" i="2"/>
  <c r="BI80" i="3" s="1"/>
  <c r="BC152" i="2"/>
  <c r="BA80" i="3" s="1"/>
  <c r="AU152" i="2"/>
  <c r="AS80" i="3" s="1"/>
  <c r="AM152" i="2"/>
  <c r="AK80" i="3" s="1"/>
  <c r="AE152" i="2"/>
  <c r="AC80" i="3" s="1"/>
  <c r="W152" i="2"/>
  <c r="U80" i="3" s="1"/>
  <c r="CP152" i="2"/>
  <c r="CH152" i="2"/>
  <c r="CF80" i="3" s="1"/>
  <c r="BZ152" i="2"/>
  <c r="BX80" i="3" s="1"/>
  <c r="BR152" i="2"/>
  <c r="BP80" i="3" s="1"/>
  <c r="BJ152" i="2"/>
  <c r="BH80" i="3" s="1"/>
  <c r="BB152" i="2"/>
  <c r="AZ80" i="3" s="1"/>
  <c r="AT152" i="2"/>
  <c r="AR80" i="3" s="1"/>
  <c r="AL152" i="2"/>
  <c r="AJ80" i="3" s="1"/>
  <c r="AD152" i="2"/>
  <c r="AB80" i="3" s="1"/>
  <c r="V152" i="2"/>
  <c r="T80" i="3" s="1"/>
  <c r="CO152" i="2"/>
  <c r="CM80" i="3" s="1"/>
  <c r="CG152" i="2"/>
  <c r="CE80" i="3" s="1"/>
  <c r="BY152" i="2"/>
  <c r="BW80" i="3" s="1"/>
  <c r="BQ152" i="2"/>
  <c r="BI152" i="2"/>
  <c r="BG80" i="3" s="1"/>
  <c r="BA152" i="2"/>
  <c r="AY80" i="3" s="1"/>
  <c r="AS152" i="2"/>
  <c r="AQ80" i="3" s="1"/>
  <c r="AK152" i="2"/>
  <c r="AI80" i="3" s="1"/>
  <c r="AC152" i="2"/>
  <c r="AA80" i="3" s="1"/>
  <c r="U152" i="2"/>
  <c r="S80" i="3" s="1"/>
  <c r="F34" i="3"/>
  <c r="CJ66" i="2"/>
  <c r="CH34" i="3" s="1"/>
  <c r="CB66" i="2"/>
  <c r="BZ34" i="3" s="1"/>
  <c r="BT66" i="2"/>
  <c r="BR34" i="3" s="1"/>
  <c r="BL66" i="2"/>
  <c r="BJ34" i="3" s="1"/>
  <c r="BD66" i="2"/>
  <c r="BB34" i="3" s="1"/>
  <c r="AV66" i="2"/>
  <c r="AT34" i="3" s="1"/>
  <c r="AN66" i="2"/>
  <c r="AL34" i="3" s="1"/>
  <c r="AF66" i="2"/>
  <c r="AD34" i="3" s="1"/>
  <c r="X66" i="2"/>
  <c r="V34" i="3" s="1"/>
  <c r="CQ66" i="2"/>
  <c r="CI66" i="2"/>
  <c r="CG34" i="3" s="1"/>
  <c r="CA66" i="2"/>
  <c r="BY34" i="3" s="1"/>
  <c r="BS66" i="2"/>
  <c r="BQ34" i="3" s="1"/>
  <c r="BK66" i="2"/>
  <c r="BI34" i="3" s="1"/>
  <c r="BC66" i="2"/>
  <c r="BA34" i="3" s="1"/>
  <c r="AU66" i="2"/>
  <c r="AS34" i="3" s="1"/>
  <c r="AM66" i="2"/>
  <c r="AK34" i="3" s="1"/>
  <c r="AE66" i="2"/>
  <c r="AC34" i="3" s="1"/>
  <c r="W66" i="2"/>
  <c r="U34" i="3" s="1"/>
  <c r="CP66" i="2"/>
  <c r="CH66" i="2"/>
  <c r="CF34" i="3" s="1"/>
  <c r="BZ66" i="2"/>
  <c r="BX34" i="3" s="1"/>
  <c r="BR66" i="2"/>
  <c r="BP34" i="3" s="1"/>
  <c r="BJ66" i="2"/>
  <c r="BH34" i="3" s="1"/>
  <c r="BB66" i="2"/>
  <c r="AZ34" i="3" s="1"/>
  <c r="AT66" i="2"/>
  <c r="AR34" i="3" s="1"/>
  <c r="AL66" i="2"/>
  <c r="AJ34" i="3" s="1"/>
  <c r="AD66" i="2"/>
  <c r="AB34" i="3" s="1"/>
  <c r="V66" i="2"/>
  <c r="T34" i="3" s="1"/>
  <c r="CO66" i="2"/>
  <c r="CM34" i="3" s="1"/>
  <c r="CG66" i="2"/>
  <c r="CE34" i="3" s="1"/>
  <c r="BY66" i="2"/>
  <c r="BW34" i="3" s="1"/>
  <c r="BQ66" i="2"/>
  <c r="BI66" i="2"/>
  <c r="BG34" i="3" s="1"/>
  <c r="BA66" i="2"/>
  <c r="AY34" i="3" s="1"/>
  <c r="AS66" i="2"/>
  <c r="AQ34" i="3" s="1"/>
  <c r="AK66" i="2"/>
  <c r="AI34" i="3" s="1"/>
  <c r="AC66" i="2"/>
  <c r="AA34" i="3" s="1"/>
  <c r="U66" i="2"/>
  <c r="S34" i="3" s="1"/>
  <c r="CN66" i="2"/>
  <c r="CL34" i="3" s="1"/>
  <c r="CF66" i="2"/>
  <c r="CD34" i="3" s="1"/>
  <c r="BX66" i="2"/>
  <c r="BV34" i="3" s="1"/>
  <c r="BP66" i="2"/>
  <c r="BH66" i="2"/>
  <c r="BF34" i="3" s="1"/>
  <c r="AZ66" i="2"/>
  <c r="AX34" i="3" s="1"/>
  <c r="AR66" i="2"/>
  <c r="AP34" i="3" s="1"/>
  <c r="AJ66" i="2"/>
  <c r="AH34" i="3" s="1"/>
  <c r="AB66" i="2"/>
  <c r="Z34" i="3" s="1"/>
  <c r="T66" i="2"/>
  <c r="R34" i="3" s="1"/>
  <c r="CM66" i="2"/>
  <c r="CK34" i="3" s="1"/>
  <c r="CE66" i="2"/>
  <c r="CC34" i="3" s="1"/>
  <c r="BW66" i="2"/>
  <c r="BU34" i="3" s="1"/>
  <c r="BO66" i="2"/>
  <c r="BM34" i="3" s="1"/>
  <c r="BG66" i="2"/>
  <c r="BE34" i="3" s="1"/>
  <c r="AY66" i="2"/>
  <c r="AW34" i="3" s="1"/>
  <c r="AQ66" i="2"/>
  <c r="AI66" i="2"/>
  <c r="AG34" i="3" s="1"/>
  <c r="AA66" i="2"/>
  <c r="Y34" i="3" s="1"/>
  <c r="S66" i="2"/>
  <c r="Q34" i="3" s="1"/>
  <c r="CL66" i="2"/>
  <c r="CJ34" i="3" s="1"/>
  <c r="CD66" i="2"/>
  <c r="CB34" i="3" s="1"/>
  <c r="BV66" i="2"/>
  <c r="BT34" i="3" s="1"/>
  <c r="BN66" i="2"/>
  <c r="BL34" i="3" s="1"/>
  <c r="BF66" i="2"/>
  <c r="BD34" i="3" s="1"/>
  <c r="AX66" i="2"/>
  <c r="AV34" i="3" s="1"/>
  <c r="AP66" i="2"/>
  <c r="AH66" i="2"/>
  <c r="AF34" i="3" s="1"/>
  <c r="Z66" i="2"/>
  <c r="X34" i="3" s="1"/>
  <c r="R66" i="2"/>
  <c r="P34" i="3" s="1"/>
  <c r="J66" i="2"/>
  <c r="H34" i="3" s="1"/>
  <c r="CK66" i="2"/>
  <c r="CI34" i="3" s="1"/>
  <c r="CC66" i="2"/>
  <c r="CA34" i="3" s="1"/>
  <c r="BU66" i="2"/>
  <c r="BS34" i="3" s="1"/>
  <c r="BM66" i="2"/>
  <c r="BK34" i="3" s="1"/>
  <c r="BE66" i="2"/>
  <c r="BC34" i="3" s="1"/>
  <c r="AW66" i="2"/>
  <c r="AU34" i="3" s="1"/>
  <c r="AO66" i="2"/>
  <c r="AM34" i="3" s="1"/>
  <c r="AG66" i="2"/>
  <c r="AE34" i="3" s="1"/>
  <c r="Y66" i="2"/>
  <c r="W34" i="3" s="1"/>
  <c r="E22" i="3"/>
  <c r="M33" i="2"/>
  <c r="K22" i="3" s="1"/>
  <c r="L33" i="2"/>
  <c r="J22" i="3" s="1"/>
  <c r="P33" i="2"/>
  <c r="O33" i="2"/>
  <c r="M22" i="3" s="1"/>
  <c r="AO51" i="3"/>
  <c r="AN51" i="3"/>
  <c r="BW51" i="3"/>
  <c r="N118" i="3"/>
  <c r="O118" i="3"/>
  <c r="E116" i="3"/>
  <c r="O208" i="2"/>
  <c r="M116" i="3" s="1"/>
  <c r="P208" i="2"/>
  <c r="M208" i="2"/>
  <c r="K116" i="3" s="1"/>
  <c r="L208" i="2"/>
  <c r="J116" i="3" s="1"/>
  <c r="F106" i="3"/>
  <c r="CQ198" i="2"/>
  <c r="CI198" i="2"/>
  <c r="CG106" i="3" s="1"/>
  <c r="CA198" i="2"/>
  <c r="BY106" i="3" s="1"/>
  <c r="BS198" i="2"/>
  <c r="BQ106" i="3" s="1"/>
  <c r="BK198" i="2"/>
  <c r="BI106" i="3" s="1"/>
  <c r="BC198" i="2"/>
  <c r="BA106" i="3" s="1"/>
  <c r="AU198" i="2"/>
  <c r="AS106" i="3" s="1"/>
  <c r="AM198" i="2"/>
  <c r="AK106" i="3" s="1"/>
  <c r="AE198" i="2"/>
  <c r="AC106" i="3" s="1"/>
  <c r="W198" i="2"/>
  <c r="U106" i="3" s="1"/>
  <c r="CM198" i="2"/>
  <c r="CK106" i="3" s="1"/>
  <c r="CE198" i="2"/>
  <c r="CC106" i="3" s="1"/>
  <c r="BW198" i="2"/>
  <c r="BU106" i="3" s="1"/>
  <c r="BO198" i="2"/>
  <c r="BM106" i="3" s="1"/>
  <c r="BG198" i="2"/>
  <c r="BE106" i="3" s="1"/>
  <c r="AY198" i="2"/>
  <c r="AW106" i="3" s="1"/>
  <c r="AQ198" i="2"/>
  <c r="AI198" i="2"/>
  <c r="AG106" i="3" s="1"/>
  <c r="AA198" i="2"/>
  <c r="Y106" i="3" s="1"/>
  <c r="S198" i="2"/>
  <c r="Q106" i="3" s="1"/>
  <c r="CJ198" i="2"/>
  <c r="CH106" i="3" s="1"/>
  <c r="BY198" i="2"/>
  <c r="BW106" i="3" s="1"/>
  <c r="BN198" i="2"/>
  <c r="BL106" i="3" s="1"/>
  <c r="BD198" i="2"/>
  <c r="BB106" i="3" s="1"/>
  <c r="AS198" i="2"/>
  <c r="AQ106" i="3" s="1"/>
  <c r="AH198" i="2"/>
  <c r="AF106" i="3" s="1"/>
  <c r="X198" i="2"/>
  <c r="V106" i="3" s="1"/>
  <c r="CH198" i="2"/>
  <c r="CF106" i="3" s="1"/>
  <c r="BX198" i="2"/>
  <c r="BV106" i="3" s="1"/>
  <c r="BM198" i="2"/>
  <c r="BK106" i="3" s="1"/>
  <c r="BB198" i="2"/>
  <c r="AZ106" i="3" s="1"/>
  <c r="AR198" i="2"/>
  <c r="AP106" i="3" s="1"/>
  <c r="AG198" i="2"/>
  <c r="AE106" i="3" s="1"/>
  <c r="V198" i="2"/>
  <c r="T106" i="3" s="1"/>
  <c r="CG198" i="2"/>
  <c r="CE106" i="3" s="1"/>
  <c r="BV198" i="2"/>
  <c r="BT106" i="3" s="1"/>
  <c r="BL198" i="2"/>
  <c r="BJ106" i="3" s="1"/>
  <c r="BA198" i="2"/>
  <c r="AY106" i="3" s="1"/>
  <c r="AP198" i="2"/>
  <c r="AF198" i="2"/>
  <c r="AD106" i="3" s="1"/>
  <c r="U198" i="2"/>
  <c r="S106" i="3" s="1"/>
  <c r="CP198" i="2"/>
  <c r="CF198" i="2"/>
  <c r="CD106" i="3" s="1"/>
  <c r="BU198" i="2"/>
  <c r="BS106" i="3" s="1"/>
  <c r="BJ198" i="2"/>
  <c r="BH106" i="3" s="1"/>
  <c r="AZ198" i="2"/>
  <c r="AX106" i="3" s="1"/>
  <c r="AO198" i="2"/>
  <c r="AM106" i="3" s="1"/>
  <c r="AD198" i="2"/>
  <c r="AB106" i="3" s="1"/>
  <c r="T198" i="2"/>
  <c r="R106" i="3" s="1"/>
  <c r="J198" i="2"/>
  <c r="H106" i="3" s="1"/>
  <c r="CN198" i="2"/>
  <c r="CL106" i="3" s="1"/>
  <c r="CC198" i="2"/>
  <c r="CA106" i="3" s="1"/>
  <c r="BR198" i="2"/>
  <c r="BP106" i="3" s="1"/>
  <c r="BH198" i="2"/>
  <c r="BF106" i="3" s="1"/>
  <c r="AW198" i="2"/>
  <c r="AU106" i="3" s="1"/>
  <c r="AL198" i="2"/>
  <c r="AJ106" i="3" s="1"/>
  <c r="AB198" i="2"/>
  <c r="Z106" i="3" s="1"/>
  <c r="CL198" i="2"/>
  <c r="CJ106" i="3" s="1"/>
  <c r="CB198" i="2"/>
  <c r="BZ106" i="3" s="1"/>
  <c r="BQ198" i="2"/>
  <c r="BF198" i="2"/>
  <c r="BD106" i="3" s="1"/>
  <c r="AV198" i="2"/>
  <c r="AT106" i="3" s="1"/>
  <c r="AK198" i="2"/>
  <c r="AI106" i="3" s="1"/>
  <c r="Z198" i="2"/>
  <c r="X106" i="3" s="1"/>
  <c r="CK198" i="2"/>
  <c r="CI106" i="3" s="1"/>
  <c r="BZ198" i="2"/>
  <c r="BX106" i="3" s="1"/>
  <c r="BP198" i="2"/>
  <c r="BE198" i="2"/>
  <c r="BC106" i="3" s="1"/>
  <c r="AT198" i="2"/>
  <c r="AR106" i="3" s="1"/>
  <c r="AJ198" i="2"/>
  <c r="AH106" i="3" s="1"/>
  <c r="Y198" i="2"/>
  <c r="W106" i="3" s="1"/>
  <c r="AN198" i="2"/>
  <c r="AL106" i="3" s="1"/>
  <c r="AC198" i="2"/>
  <c r="AA106" i="3" s="1"/>
  <c r="R198" i="2"/>
  <c r="P106" i="3" s="1"/>
  <c r="CO198" i="2"/>
  <c r="CM106" i="3" s="1"/>
  <c r="CD198" i="2"/>
  <c r="CB106" i="3" s="1"/>
  <c r="BT198" i="2"/>
  <c r="BR106" i="3" s="1"/>
  <c r="BI198" i="2"/>
  <c r="BG106" i="3" s="1"/>
  <c r="AX198" i="2"/>
  <c r="AV106" i="3" s="1"/>
  <c r="F83" i="3"/>
  <c r="CK155" i="2"/>
  <c r="CI83" i="3" s="1"/>
  <c r="CC155" i="2"/>
  <c r="CA83" i="3" s="1"/>
  <c r="BU155" i="2"/>
  <c r="BS83" i="3" s="1"/>
  <c r="BM155" i="2"/>
  <c r="BK83" i="3" s="1"/>
  <c r="BE155" i="2"/>
  <c r="BC83" i="3" s="1"/>
  <c r="AW155" i="2"/>
  <c r="AU83" i="3" s="1"/>
  <c r="AO155" i="2"/>
  <c r="AM83" i="3" s="1"/>
  <c r="CO155" i="2"/>
  <c r="CM83" i="3" s="1"/>
  <c r="CG155" i="2"/>
  <c r="CE83" i="3" s="1"/>
  <c r="BY155" i="2"/>
  <c r="BW83" i="3" s="1"/>
  <c r="BQ155" i="2"/>
  <c r="CL155" i="2"/>
  <c r="CJ83" i="3" s="1"/>
  <c r="CA155" i="2"/>
  <c r="BY83" i="3" s="1"/>
  <c r="BP155" i="2"/>
  <c r="BG155" i="2"/>
  <c r="BE83" i="3" s="1"/>
  <c r="AX155" i="2"/>
  <c r="AV83" i="3" s="1"/>
  <c r="AN155" i="2"/>
  <c r="AL83" i="3" s="1"/>
  <c r="AF155" i="2"/>
  <c r="AD83" i="3" s="1"/>
  <c r="X155" i="2"/>
  <c r="V83" i="3" s="1"/>
  <c r="CJ155" i="2"/>
  <c r="CH83" i="3" s="1"/>
  <c r="BZ155" i="2"/>
  <c r="BX83" i="3" s="1"/>
  <c r="BO155" i="2"/>
  <c r="BM83" i="3" s="1"/>
  <c r="BF155" i="2"/>
  <c r="BD83" i="3" s="1"/>
  <c r="AV155" i="2"/>
  <c r="AT83" i="3" s="1"/>
  <c r="AM155" i="2"/>
  <c r="AK83" i="3" s="1"/>
  <c r="AE155" i="2"/>
  <c r="AC83" i="3" s="1"/>
  <c r="W155" i="2"/>
  <c r="U83" i="3" s="1"/>
  <c r="CI155" i="2"/>
  <c r="CG83" i="3" s="1"/>
  <c r="BX155" i="2"/>
  <c r="BV83" i="3" s="1"/>
  <c r="BN155" i="2"/>
  <c r="BL83" i="3" s="1"/>
  <c r="BD155" i="2"/>
  <c r="BB83" i="3" s="1"/>
  <c r="AU155" i="2"/>
  <c r="AS83" i="3" s="1"/>
  <c r="AL155" i="2"/>
  <c r="AJ83" i="3" s="1"/>
  <c r="AD155" i="2"/>
  <c r="AB83" i="3" s="1"/>
  <c r="V155" i="2"/>
  <c r="T83" i="3" s="1"/>
  <c r="CH155" i="2"/>
  <c r="CF83" i="3" s="1"/>
  <c r="BW155" i="2"/>
  <c r="BU83" i="3" s="1"/>
  <c r="BL155" i="2"/>
  <c r="BJ83" i="3" s="1"/>
  <c r="BC155" i="2"/>
  <c r="BA83" i="3" s="1"/>
  <c r="AT155" i="2"/>
  <c r="AR83" i="3" s="1"/>
  <c r="AK155" i="2"/>
  <c r="AI83" i="3" s="1"/>
  <c r="AC155" i="2"/>
  <c r="AA83" i="3" s="1"/>
  <c r="U155" i="2"/>
  <c r="S83" i="3" s="1"/>
  <c r="CQ155" i="2"/>
  <c r="CF155" i="2"/>
  <c r="CD83" i="3" s="1"/>
  <c r="BV155" i="2"/>
  <c r="BT83" i="3" s="1"/>
  <c r="BK155" i="2"/>
  <c r="BI83" i="3" s="1"/>
  <c r="BB155" i="2"/>
  <c r="AZ83" i="3" s="1"/>
  <c r="AS155" i="2"/>
  <c r="AQ83" i="3" s="1"/>
  <c r="AJ155" i="2"/>
  <c r="AH83" i="3" s="1"/>
  <c r="AB155" i="2"/>
  <c r="Z83" i="3" s="1"/>
  <c r="T155" i="2"/>
  <c r="R83" i="3" s="1"/>
  <c r="CP155" i="2"/>
  <c r="CE155" i="2"/>
  <c r="CC83" i="3" s="1"/>
  <c r="BT155" i="2"/>
  <c r="BR83" i="3" s="1"/>
  <c r="BJ155" i="2"/>
  <c r="BH83" i="3" s="1"/>
  <c r="BA155" i="2"/>
  <c r="AY83" i="3" s="1"/>
  <c r="AR155" i="2"/>
  <c r="AP83" i="3" s="1"/>
  <c r="AI155" i="2"/>
  <c r="AG83" i="3" s="1"/>
  <c r="AA155" i="2"/>
  <c r="Y83" i="3" s="1"/>
  <c r="S155" i="2"/>
  <c r="Q83" i="3" s="1"/>
  <c r="CN155" i="2"/>
  <c r="CL83" i="3" s="1"/>
  <c r="CD155" i="2"/>
  <c r="CB83" i="3" s="1"/>
  <c r="BS155" i="2"/>
  <c r="BQ83" i="3" s="1"/>
  <c r="BI155" i="2"/>
  <c r="BG83" i="3" s="1"/>
  <c r="AZ155" i="2"/>
  <c r="AX83" i="3" s="1"/>
  <c r="AQ155" i="2"/>
  <c r="AH155" i="2"/>
  <c r="AF83" i="3" s="1"/>
  <c r="Z155" i="2"/>
  <c r="X83" i="3" s="1"/>
  <c r="R155" i="2"/>
  <c r="P83" i="3" s="1"/>
  <c r="J155" i="2"/>
  <c r="H83" i="3" s="1"/>
  <c r="CM155" i="2"/>
  <c r="CK83" i="3" s="1"/>
  <c r="CB155" i="2"/>
  <c r="BZ83" i="3" s="1"/>
  <c r="BR155" i="2"/>
  <c r="BP83" i="3" s="1"/>
  <c r="BH155" i="2"/>
  <c r="BF83" i="3" s="1"/>
  <c r="AY155" i="2"/>
  <c r="AW83" i="3" s="1"/>
  <c r="AP155" i="2"/>
  <c r="AG155" i="2"/>
  <c r="AE83" i="3" s="1"/>
  <c r="Y155" i="2"/>
  <c r="W83" i="3" s="1"/>
  <c r="CO99" i="3"/>
  <c r="CN99" i="3"/>
  <c r="F85" i="3"/>
  <c r="CK157" i="2"/>
  <c r="CI85" i="3" s="1"/>
  <c r="CC157" i="2"/>
  <c r="CA85" i="3" s="1"/>
  <c r="BU157" i="2"/>
  <c r="BS85" i="3" s="1"/>
  <c r="BM157" i="2"/>
  <c r="BK85" i="3" s="1"/>
  <c r="BE157" i="2"/>
  <c r="BC85" i="3" s="1"/>
  <c r="AW157" i="2"/>
  <c r="AU85" i="3" s="1"/>
  <c r="AO157" i="2"/>
  <c r="AM85" i="3" s="1"/>
  <c r="AG157" i="2"/>
  <c r="AE85" i="3" s="1"/>
  <c r="Y157" i="2"/>
  <c r="W85" i="3" s="1"/>
  <c r="CO157" i="2"/>
  <c r="CM85" i="3" s="1"/>
  <c r="CG157" i="2"/>
  <c r="CE85" i="3" s="1"/>
  <c r="BY157" i="2"/>
  <c r="BW85" i="3" s="1"/>
  <c r="BQ157" i="2"/>
  <c r="BI157" i="2"/>
  <c r="BG85" i="3" s="1"/>
  <c r="BA157" i="2"/>
  <c r="AY85" i="3" s="1"/>
  <c r="AS157" i="2"/>
  <c r="AQ85" i="3" s="1"/>
  <c r="AK157" i="2"/>
  <c r="AI85" i="3" s="1"/>
  <c r="AC157" i="2"/>
  <c r="AA85" i="3" s="1"/>
  <c r="U157" i="2"/>
  <c r="S85" i="3" s="1"/>
  <c r="CN157" i="2"/>
  <c r="CL85" i="3" s="1"/>
  <c r="CD157" i="2"/>
  <c r="CB85" i="3" s="1"/>
  <c r="BS157" i="2"/>
  <c r="BQ85" i="3" s="1"/>
  <c r="BH157" i="2"/>
  <c r="BF85" i="3" s="1"/>
  <c r="AX157" i="2"/>
  <c r="AV85" i="3" s="1"/>
  <c r="AM157" i="2"/>
  <c r="AK85" i="3" s="1"/>
  <c r="AB157" i="2"/>
  <c r="Z85" i="3" s="1"/>
  <c r="R157" i="2"/>
  <c r="P85" i="3" s="1"/>
  <c r="CM157" i="2"/>
  <c r="CK85" i="3" s="1"/>
  <c r="CB157" i="2"/>
  <c r="BZ85" i="3" s="1"/>
  <c r="BR157" i="2"/>
  <c r="BP85" i="3" s="1"/>
  <c r="BG157" i="2"/>
  <c r="BE85" i="3" s="1"/>
  <c r="AV157" i="2"/>
  <c r="AT85" i="3" s="1"/>
  <c r="AL157" i="2"/>
  <c r="AJ85" i="3" s="1"/>
  <c r="AA157" i="2"/>
  <c r="Y85" i="3" s="1"/>
  <c r="CL157" i="2"/>
  <c r="CJ85" i="3" s="1"/>
  <c r="CA157" i="2"/>
  <c r="BY85" i="3" s="1"/>
  <c r="BP157" i="2"/>
  <c r="BF157" i="2"/>
  <c r="BD85" i="3" s="1"/>
  <c r="AU157" i="2"/>
  <c r="AS85" i="3" s="1"/>
  <c r="AJ157" i="2"/>
  <c r="AH85" i="3" s="1"/>
  <c r="Z157" i="2"/>
  <c r="X85" i="3" s="1"/>
  <c r="CJ157" i="2"/>
  <c r="CH85" i="3" s="1"/>
  <c r="BZ157" i="2"/>
  <c r="BX85" i="3" s="1"/>
  <c r="BO157" i="2"/>
  <c r="BM85" i="3" s="1"/>
  <c r="BD157" i="2"/>
  <c r="BB85" i="3" s="1"/>
  <c r="AT157" i="2"/>
  <c r="AR85" i="3" s="1"/>
  <c r="AI157" i="2"/>
  <c r="AG85" i="3" s="1"/>
  <c r="X157" i="2"/>
  <c r="V85" i="3" s="1"/>
  <c r="CI157" i="2"/>
  <c r="CG85" i="3" s="1"/>
  <c r="BX157" i="2"/>
  <c r="BV85" i="3" s="1"/>
  <c r="BN157" i="2"/>
  <c r="BL85" i="3" s="1"/>
  <c r="BC157" i="2"/>
  <c r="BA85" i="3" s="1"/>
  <c r="AR157" i="2"/>
  <c r="AP85" i="3" s="1"/>
  <c r="AH157" i="2"/>
  <c r="AF85" i="3" s="1"/>
  <c r="W157" i="2"/>
  <c r="U85" i="3" s="1"/>
  <c r="CH157" i="2"/>
  <c r="CF85" i="3" s="1"/>
  <c r="BW157" i="2"/>
  <c r="BU85" i="3" s="1"/>
  <c r="BL157" i="2"/>
  <c r="BJ85" i="3" s="1"/>
  <c r="BB157" i="2"/>
  <c r="AZ85" i="3" s="1"/>
  <c r="AQ157" i="2"/>
  <c r="AF157" i="2"/>
  <c r="AD85" i="3" s="1"/>
  <c r="V157" i="2"/>
  <c r="T85" i="3" s="1"/>
  <c r="CQ157" i="2"/>
  <c r="CF157" i="2"/>
  <c r="CD85" i="3" s="1"/>
  <c r="BV157" i="2"/>
  <c r="BT85" i="3" s="1"/>
  <c r="BK157" i="2"/>
  <c r="BI85" i="3" s="1"/>
  <c r="AZ157" i="2"/>
  <c r="AX85" i="3" s="1"/>
  <c r="AP157" i="2"/>
  <c r="AE157" i="2"/>
  <c r="AC85" i="3" s="1"/>
  <c r="T157" i="2"/>
  <c r="R85" i="3" s="1"/>
  <c r="CP157" i="2"/>
  <c r="CE157" i="2"/>
  <c r="CC85" i="3" s="1"/>
  <c r="BT157" i="2"/>
  <c r="BR85" i="3" s="1"/>
  <c r="BJ157" i="2"/>
  <c r="BH85" i="3" s="1"/>
  <c r="AY157" i="2"/>
  <c r="AW85" i="3" s="1"/>
  <c r="AN157" i="2"/>
  <c r="AL85" i="3" s="1"/>
  <c r="AD157" i="2"/>
  <c r="AB85" i="3" s="1"/>
  <c r="S157" i="2"/>
  <c r="Q85" i="3" s="1"/>
  <c r="J157" i="2"/>
  <c r="H85" i="3" s="1"/>
  <c r="F86" i="3"/>
  <c r="CO158" i="2"/>
  <c r="CM86" i="3" s="1"/>
  <c r="CG158" i="2"/>
  <c r="CE86" i="3" s="1"/>
  <c r="BY158" i="2"/>
  <c r="BW86" i="3" s="1"/>
  <c r="BQ158" i="2"/>
  <c r="BI158" i="2"/>
  <c r="BG86" i="3" s="1"/>
  <c r="BA158" i="2"/>
  <c r="AY86" i="3" s="1"/>
  <c r="AS158" i="2"/>
  <c r="AQ86" i="3" s="1"/>
  <c r="AK158" i="2"/>
  <c r="AI86" i="3" s="1"/>
  <c r="AC158" i="2"/>
  <c r="AA86" i="3" s="1"/>
  <c r="U158" i="2"/>
  <c r="S86" i="3" s="1"/>
  <c r="CK158" i="2"/>
  <c r="CI86" i="3" s="1"/>
  <c r="CC158" i="2"/>
  <c r="CA86" i="3" s="1"/>
  <c r="BU158" i="2"/>
  <c r="BS86" i="3" s="1"/>
  <c r="BM158" i="2"/>
  <c r="BK86" i="3" s="1"/>
  <c r="BE158" i="2"/>
  <c r="BC86" i="3" s="1"/>
  <c r="AW158" i="2"/>
  <c r="AU86" i="3" s="1"/>
  <c r="AO158" i="2"/>
  <c r="AM86" i="3" s="1"/>
  <c r="AG158" i="2"/>
  <c r="AE86" i="3" s="1"/>
  <c r="Y158" i="2"/>
  <c r="W86" i="3" s="1"/>
  <c r="CP158" i="2"/>
  <c r="CE158" i="2"/>
  <c r="CC86" i="3" s="1"/>
  <c r="BT158" i="2"/>
  <c r="BR86" i="3" s="1"/>
  <c r="BJ158" i="2"/>
  <c r="BH86" i="3" s="1"/>
  <c r="AY158" i="2"/>
  <c r="AW86" i="3" s="1"/>
  <c r="AN158" i="2"/>
  <c r="AL86" i="3" s="1"/>
  <c r="AD158" i="2"/>
  <c r="AB86" i="3" s="1"/>
  <c r="S158" i="2"/>
  <c r="Q86" i="3" s="1"/>
  <c r="J158" i="2"/>
  <c r="H86" i="3" s="1"/>
  <c r="CN158" i="2"/>
  <c r="CL86" i="3" s="1"/>
  <c r="CD158" i="2"/>
  <c r="CB86" i="3" s="1"/>
  <c r="BS158" i="2"/>
  <c r="BQ86" i="3" s="1"/>
  <c r="BH158" i="2"/>
  <c r="BF86" i="3" s="1"/>
  <c r="AX158" i="2"/>
  <c r="AV86" i="3" s="1"/>
  <c r="AM158" i="2"/>
  <c r="AK86" i="3" s="1"/>
  <c r="AB158" i="2"/>
  <c r="Z86" i="3" s="1"/>
  <c r="R158" i="2"/>
  <c r="P86" i="3" s="1"/>
  <c r="CM158" i="2"/>
  <c r="CK86" i="3" s="1"/>
  <c r="CB158" i="2"/>
  <c r="BZ86" i="3" s="1"/>
  <c r="BR158" i="2"/>
  <c r="BP86" i="3" s="1"/>
  <c r="BG158" i="2"/>
  <c r="BE86" i="3" s="1"/>
  <c r="AV158" i="2"/>
  <c r="AT86" i="3" s="1"/>
  <c r="AL158" i="2"/>
  <c r="AJ86" i="3" s="1"/>
  <c r="AA158" i="2"/>
  <c r="Y86" i="3" s="1"/>
  <c r="CL158" i="2"/>
  <c r="CJ86" i="3" s="1"/>
  <c r="CA158" i="2"/>
  <c r="BY86" i="3" s="1"/>
  <c r="BP158" i="2"/>
  <c r="BF158" i="2"/>
  <c r="BD86" i="3" s="1"/>
  <c r="AU158" i="2"/>
  <c r="AS86" i="3" s="1"/>
  <c r="AJ158" i="2"/>
  <c r="AH86" i="3" s="1"/>
  <c r="Z158" i="2"/>
  <c r="X86" i="3" s="1"/>
  <c r="CJ158" i="2"/>
  <c r="CH86" i="3" s="1"/>
  <c r="BZ158" i="2"/>
  <c r="BX86" i="3" s="1"/>
  <c r="BO158" i="2"/>
  <c r="BM86" i="3" s="1"/>
  <c r="BD158" i="2"/>
  <c r="BB86" i="3" s="1"/>
  <c r="AT158" i="2"/>
  <c r="AR86" i="3" s="1"/>
  <c r="AI158" i="2"/>
  <c r="AG86" i="3" s="1"/>
  <c r="X158" i="2"/>
  <c r="V86" i="3" s="1"/>
  <c r="CI158" i="2"/>
  <c r="CG86" i="3" s="1"/>
  <c r="BX158" i="2"/>
  <c r="BV86" i="3" s="1"/>
  <c r="BN158" i="2"/>
  <c r="BL86" i="3" s="1"/>
  <c r="BC158" i="2"/>
  <c r="BA86" i="3" s="1"/>
  <c r="AR158" i="2"/>
  <c r="AP86" i="3" s="1"/>
  <c r="AH158" i="2"/>
  <c r="AF86" i="3" s="1"/>
  <c r="W158" i="2"/>
  <c r="U86" i="3" s="1"/>
  <c r="CH158" i="2"/>
  <c r="CF86" i="3" s="1"/>
  <c r="BW158" i="2"/>
  <c r="BU86" i="3" s="1"/>
  <c r="BL158" i="2"/>
  <c r="BJ86" i="3" s="1"/>
  <c r="BB158" i="2"/>
  <c r="AZ86" i="3" s="1"/>
  <c r="AQ158" i="2"/>
  <c r="AF158" i="2"/>
  <c r="AD86" i="3" s="1"/>
  <c r="V158" i="2"/>
  <c r="T86" i="3" s="1"/>
  <c r="CQ158" i="2"/>
  <c r="CF158" i="2"/>
  <c r="CD86" i="3" s="1"/>
  <c r="BV158" i="2"/>
  <c r="BT86" i="3" s="1"/>
  <c r="BK158" i="2"/>
  <c r="BI86" i="3" s="1"/>
  <c r="AZ158" i="2"/>
  <c r="AX86" i="3" s="1"/>
  <c r="AP158" i="2"/>
  <c r="AE158" i="2"/>
  <c r="AC86" i="3" s="1"/>
  <c r="T158" i="2"/>
  <c r="R86" i="3" s="1"/>
  <c r="E75" i="3"/>
  <c r="P147" i="2"/>
  <c r="O147" i="2"/>
  <c r="M75" i="3" s="1"/>
  <c r="M147" i="2"/>
  <c r="K75" i="3" s="1"/>
  <c r="L147" i="2"/>
  <c r="J75" i="3" s="1"/>
  <c r="E85" i="3"/>
  <c r="M157" i="2"/>
  <c r="K85" i="3" s="1"/>
  <c r="P157" i="2"/>
  <c r="O157" i="2"/>
  <c r="M85" i="3" s="1"/>
  <c r="L157" i="2"/>
  <c r="J85" i="3" s="1"/>
  <c r="F102" i="3"/>
  <c r="CK194" i="2"/>
  <c r="CI102" i="3" s="1"/>
  <c r="CC194" i="2"/>
  <c r="CA102" i="3" s="1"/>
  <c r="BU194" i="2"/>
  <c r="BS102" i="3" s="1"/>
  <c r="BM194" i="2"/>
  <c r="BK102" i="3" s="1"/>
  <c r="BE194" i="2"/>
  <c r="BC102" i="3" s="1"/>
  <c r="AW194" i="2"/>
  <c r="AU102" i="3" s="1"/>
  <c r="AO194" i="2"/>
  <c r="AM102" i="3" s="1"/>
  <c r="AG194" i="2"/>
  <c r="AE102" i="3" s="1"/>
  <c r="Y194" i="2"/>
  <c r="W102" i="3" s="1"/>
  <c r="CJ194" i="2"/>
  <c r="CH102" i="3" s="1"/>
  <c r="CB194" i="2"/>
  <c r="BZ102" i="3" s="1"/>
  <c r="BT194" i="2"/>
  <c r="BR102" i="3" s="1"/>
  <c r="BL194" i="2"/>
  <c r="BJ102" i="3" s="1"/>
  <c r="BD194" i="2"/>
  <c r="BB102" i="3" s="1"/>
  <c r="AV194" i="2"/>
  <c r="AT102" i="3" s="1"/>
  <c r="AN194" i="2"/>
  <c r="AL102" i="3" s="1"/>
  <c r="AF194" i="2"/>
  <c r="AD102" i="3" s="1"/>
  <c r="X194" i="2"/>
  <c r="V102" i="3" s="1"/>
  <c r="CQ194" i="2"/>
  <c r="CI194" i="2"/>
  <c r="CG102" i="3" s="1"/>
  <c r="CA194" i="2"/>
  <c r="BY102" i="3" s="1"/>
  <c r="BS194" i="2"/>
  <c r="BQ102" i="3" s="1"/>
  <c r="BK194" i="2"/>
  <c r="BI102" i="3" s="1"/>
  <c r="BC194" i="2"/>
  <c r="BA102" i="3" s="1"/>
  <c r="AU194" i="2"/>
  <c r="AS102" i="3" s="1"/>
  <c r="AM194" i="2"/>
  <c r="AK102" i="3" s="1"/>
  <c r="AE194" i="2"/>
  <c r="AC102" i="3" s="1"/>
  <c r="W194" i="2"/>
  <c r="U102" i="3" s="1"/>
  <c r="CO194" i="2"/>
  <c r="CM102" i="3" s="1"/>
  <c r="CG194" i="2"/>
  <c r="CE102" i="3" s="1"/>
  <c r="BY194" i="2"/>
  <c r="BW102" i="3" s="1"/>
  <c r="BQ194" i="2"/>
  <c r="BI194" i="2"/>
  <c r="BG102" i="3" s="1"/>
  <c r="BA194" i="2"/>
  <c r="AY102" i="3" s="1"/>
  <c r="AS194" i="2"/>
  <c r="AQ102" i="3" s="1"/>
  <c r="AK194" i="2"/>
  <c r="AI102" i="3" s="1"/>
  <c r="AC194" i="2"/>
  <c r="AA102" i="3" s="1"/>
  <c r="U194" i="2"/>
  <c r="S102" i="3" s="1"/>
  <c r="CM194" i="2"/>
  <c r="CK102" i="3" s="1"/>
  <c r="CE194" i="2"/>
  <c r="CC102" i="3" s="1"/>
  <c r="BW194" i="2"/>
  <c r="BU102" i="3" s="1"/>
  <c r="BO194" i="2"/>
  <c r="BM102" i="3" s="1"/>
  <c r="BG194" i="2"/>
  <c r="BE102" i="3" s="1"/>
  <c r="AY194" i="2"/>
  <c r="AW102" i="3" s="1"/>
  <c r="AQ194" i="2"/>
  <c r="AI194" i="2"/>
  <c r="AG102" i="3" s="1"/>
  <c r="AA194" i="2"/>
  <c r="Y102" i="3" s="1"/>
  <c r="S194" i="2"/>
  <c r="Q102" i="3" s="1"/>
  <c r="CN194" i="2"/>
  <c r="CL102" i="3" s="1"/>
  <c r="BR194" i="2"/>
  <c r="BP102" i="3" s="1"/>
  <c r="AX194" i="2"/>
  <c r="AV102" i="3" s="1"/>
  <c r="AB194" i="2"/>
  <c r="Z102" i="3" s="1"/>
  <c r="CL194" i="2"/>
  <c r="CJ102" i="3" s="1"/>
  <c r="BP194" i="2"/>
  <c r="AT194" i="2"/>
  <c r="AR102" i="3" s="1"/>
  <c r="Z194" i="2"/>
  <c r="X102" i="3" s="1"/>
  <c r="J194" i="2"/>
  <c r="H102" i="3" s="1"/>
  <c r="CH194" i="2"/>
  <c r="CF102" i="3" s="1"/>
  <c r="BN194" i="2"/>
  <c r="BL102" i="3" s="1"/>
  <c r="AR194" i="2"/>
  <c r="AP102" i="3" s="1"/>
  <c r="V194" i="2"/>
  <c r="T102" i="3" s="1"/>
  <c r="CF194" i="2"/>
  <c r="CD102" i="3" s="1"/>
  <c r="BJ194" i="2"/>
  <c r="BH102" i="3" s="1"/>
  <c r="AP194" i="2"/>
  <c r="T194" i="2"/>
  <c r="R102" i="3" s="1"/>
  <c r="CD194" i="2"/>
  <c r="CB102" i="3" s="1"/>
  <c r="BH194" i="2"/>
  <c r="BF102" i="3" s="1"/>
  <c r="AL194" i="2"/>
  <c r="AJ102" i="3" s="1"/>
  <c r="R194" i="2"/>
  <c r="P102" i="3" s="1"/>
  <c r="BZ194" i="2"/>
  <c r="BX102" i="3" s="1"/>
  <c r="BF194" i="2"/>
  <c r="BD102" i="3" s="1"/>
  <c r="AJ194" i="2"/>
  <c r="AH102" i="3" s="1"/>
  <c r="BX194" i="2"/>
  <c r="BV102" i="3" s="1"/>
  <c r="BB194" i="2"/>
  <c r="AZ102" i="3" s="1"/>
  <c r="AH194" i="2"/>
  <c r="AF102" i="3" s="1"/>
  <c r="CP194" i="2"/>
  <c r="BV194" i="2"/>
  <c r="BT102" i="3" s="1"/>
  <c r="AZ194" i="2"/>
  <c r="AX102" i="3" s="1"/>
  <c r="AD194" i="2"/>
  <c r="AB102" i="3" s="1"/>
  <c r="F78" i="3"/>
  <c r="CN150" i="2"/>
  <c r="CL78" i="3" s="1"/>
  <c r="CF150" i="2"/>
  <c r="CD78" i="3" s="1"/>
  <c r="BX150" i="2"/>
  <c r="BV78" i="3" s="1"/>
  <c r="BP150" i="2"/>
  <c r="BH150" i="2"/>
  <c r="BF78" i="3" s="1"/>
  <c r="AZ150" i="2"/>
  <c r="AX78" i="3" s="1"/>
  <c r="AR150" i="2"/>
  <c r="AP78" i="3" s="1"/>
  <c r="AJ150" i="2"/>
  <c r="AH78" i="3" s="1"/>
  <c r="AB150" i="2"/>
  <c r="Z78" i="3" s="1"/>
  <c r="T150" i="2"/>
  <c r="R78" i="3" s="1"/>
  <c r="CM150" i="2"/>
  <c r="CK78" i="3" s="1"/>
  <c r="CE150" i="2"/>
  <c r="CC78" i="3" s="1"/>
  <c r="BW150" i="2"/>
  <c r="BU78" i="3" s="1"/>
  <c r="BO150" i="2"/>
  <c r="BM78" i="3" s="1"/>
  <c r="BG150" i="2"/>
  <c r="BE78" i="3" s="1"/>
  <c r="AY150" i="2"/>
  <c r="AW78" i="3" s="1"/>
  <c r="AQ150" i="2"/>
  <c r="AI150" i="2"/>
  <c r="AG78" i="3" s="1"/>
  <c r="AA150" i="2"/>
  <c r="Y78" i="3" s="1"/>
  <c r="S150" i="2"/>
  <c r="Q78" i="3" s="1"/>
  <c r="CL150" i="2"/>
  <c r="CJ78" i="3" s="1"/>
  <c r="CD150" i="2"/>
  <c r="CB78" i="3" s="1"/>
  <c r="BV150" i="2"/>
  <c r="BT78" i="3" s="1"/>
  <c r="BN150" i="2"/>
  <c r="BL78" i="3" s="1"/>
  <c r="BF150" i="2"/>
  <c r="BD78" i="3" s="1"/>
  <c r="AX150" i="2"/>
  <c r="AV78" i="3" s="1"/>
  <c r="AP150" i="2"/>
  <c r="AH150" i="2"/>
  <c r="AF78" i="3" s="1"/>
  <c r="Z150" i="2"/>
  <c r="X78" i="3" s="1"/>
  <c r="R150" i="2"/>
  <c r="P78" i="3" s="1"/>
  <c r="J150" i="2"/>
  <c r="H78" i="3" s="1"/>
  <c r="CK150" i="2"/>
  <c r="CI78" i="3" s="1"/>
  <c r="CC150" i="2"/>
  <c r="CA78" i="3" s="1"/>
  <c r="BU150" i="2"/>
  <c r="BS78" i="3" s="1"/>
  <c r="BM150" i="2"/>
  <c r="BK78" i="3" s="1"/>
  <c r="BE150" i="2"/>
  <c r="BC78" i="3" s="1"/>
  <c r="AW150" i="2"/>
  <c r="AU78" i="3" s="1"/>
  <c r="AO150" i="2"/>
  <c r="AM78" i="3" s="1"/>
  <c r="AG150" i="2"/>
  <c r="AE78" i="3" s="1"/>
  <c r="Y150" i="2"/>
  <c r="W78" i="3" s="1"/>
  <c r="CJ150" i="2"/>
  <c r="CH78" i="3" s="1"/>
  <c r="CB150" i="2"/>
  <c r="BZ78" i="3" s="1"/>
  <c r="BT150" i="2"/>
  <c r="BR78" i="3" s="1"/>
  <c r="BL150" i="2"/>
  <c r="BJ78" i="3" s="1"/>
  <c r="BD150" i="2"/>
  <c r="BB78" i="3" s="1"/>
  <c r="AV150" i="2"/>
  <c r="AT78" i="3" s="1"/>
  <c r="AN150" i="2"/>
  <c r="AL78" i="3" s="1"/>
  <c r="AF150" i="2"/>
  <c r="AD78" i="3" s="1"/>
  <c r="X150" i="2"/>
  <c r="V78" i="3" s="1"/>
  <c r="CQ150" i="2"/>
  <c r="CI150" i="2"/>
  <c r="CG78" i="3" s="1"/>
  <c r="CA150" i="2"/>
  <c r="BY78" i="3" s="1"/>
  <c r="BS150" i="2"/>
  <c r="BQ78" i="3" s="1"/>
  <c r="BK150" i="2"/>
  <c r="BI78" i="3" s="1"/>
  <c r="BC150" i="2"/>
  <c r="BA78" i="3" s="1"/>
  <c r="AU150" i="2"/>
  <c r="AS78" i="3" s="1"/>
  <c r="AM150" i="2"/>
  <c r="AK78" i="3" s="1"/>
  <c r="AE150" i="2"/>
  <c r="AC78" i="3" s="1"/>
  <c r="W150" i="2"/>
  <c r="U78" i="3" s="1"/>
  <c r="CP150" i="2"/>
  <c r="CH150" i="2"/>
  <c r="CF78" i="3" s="1"/>
  <c r="BZ150" i="2"/>
  <c r="BX78" i="3" s="1"/>
  <c r="BR150" i="2"/>
  <c r="BP78" i="3" s="1"/>
  <c r="BJ150" i="2"/>
  <c r="BH78" i="3" s="1"/>
  <c r="BB150" i="2"/>
  <c r="AZ78" i="3" s="1"/>
  <c r="AT150" i="2"/>
  <c r="AR78" i="3" s="1"/>
  <c r="AL150" i="2"/>
  <c r="AJ78" i="3" s="1"/>
  <c r="AD150" i="2"/>
  <c r="AB78" i="3" s="1"/>
  <c r="V150" i="2"/>
  <c r="T78" i="3" s="1"/>
  <c r="CO150" i="2"/>
  <c r="CM78" i="3" s="1"/>
  <c r="CG150" i="2"/>
  <c r="CE78" i="3" s="1"/>
  <c r="BY150" i="2"/>
  <c r="BW78" i="3" s="1"/>
  <c r="BQ150" i="2"/>
  <c r="BI150" i="2"/>
  <c r="BG78" i="3" s="1"/>
  <c r="BA150" i="2"/>
  <c r="AY78" i="3" s="1"/>
  <c r="AS150" i="2"/>
  <c r="AQ78" i="3" s="1"/>
  <c r="AK150" i="2"/>
  <c r="AI78" i="3" s="1"/>
  <c r="AC150" i="2"/>
  <c r="AA78" i="3" s="1"/>
  <c r="U150" i="2"/>
  <c r="S78" i="3" s="1"/>
  <c r="O103" i="3"/>
  <c r="N103" i="3"/>
  <c r="E76" i="3"/>
  <c r="L148" i="2"/>
  <c r="J76" i="3" s="1"/>
  <c r="P148" i="2"/>
  <c r="O148" i="2"/>
  <c r="M76" i="3" s="1"/>
  <c r="M148" i="2"/>
  <c r="K76" i="3" s="1"/>
  <c r="E97" i="3"/>
  <c r="M189" i="2"/>
  <c r="O189" i="2"/>
  <c r="P189" i="2"/>
  <c r="L189" i="2"/>
  <c r="E65" i="3"/>
  <c r="P117" i="2"/>
  <c r="O117" i="2"/>
  <c r="M65" i="3" s="1"/>
  <c r="M117" i="2"/>
  <c r="K65" i="3" s="1"/>
  <c r="L117" i="2"/>
  <c r="J65" i="3" s="1"/>
  <c r="F62" i="3"/>
  <c r="CM114" i="2"/>
  <c r="CK62" i="3" s="1"/>
  <c r="CE114" i="2"/>
  <c r="CC62" i="3" s="1"/>
  <c r="BW114" i="2"/>
  <c r="BU62" i="3" s="1"/>
  <c r="BO114" i="2"/>
  <c r="BM62" i="3" s="1"/>
  <c r="BG114" i="2"/>
  <c r="BE62" i="3" s="1"/>
  <c r="AY114" i="2"/>
  <c r="AW62" i="3" s="1"/>
  <c r="AQ114" i="2"/>
  <c r="AI114" i="2"/>
  <c r="AG62" i="3" s="1"/>
  <c r="AA114" i="2"/>
  <c r="Y62" i="3" s="1"/>
  <c r="S114" i="2"/>
  <c r="Q62" i="3" s="1"/>
  <c r="CQ114" i="2"/>
  <c r="CI114" i="2"/>
  <c r="CG62" i="3" s="1"/>
  <c r="CA114" i="2"/>
  <c r="BY62" i="3" s="1"/>
  <c r="BS114" i="2"/>
  <c r="BQ62" i="3" s="1"/>
  <c r="BK114" i="2"/>
  <c r="BI62" i="3" s="1"/>
  <c r="BC114" i="2"/>
  <c r="BA62" i="3" s="1"/>
  <c r="AU114" i="2"/>
  <c r="AS62" i="3" s="1"/>
  <c r="AM114" i="2"/>
  <c r="AK62" i="3" s="1"/>
  <c r="AE114" i="2"/>
  <c r="AC62" i="3" s="1"/>
  <c r="W114" i="2"/>
  <c r="U62" i="3" s="1"/>
  <c r="CN114" i="2"/>
  <c r="CL62" i="3" s="1"/>
  <c r="CC114" i="2"/>
  <c r="CA62" i="3" s="1"/>
  <c r="BR114" i="2"/>
  <c r="BP62" i="3" s="1"/>
  <c r="BH114" i="2"/>
  <c r="BF62" i="3" s="1"/>
  <c r="AW114" i="2"/>
  <c r="AU62" i="3" s="1"/>
  <c r="AL114" i="2"/>
  <c r="AJ62" i="3" s="1"/>
  <c r="AB114" i="2"/>
  <c r="Z62" i="3" s="1"/>
  <c r="CL114" i="2"/>
  <c r="CJ62" i="3" s="1"/>
  <c r="CB114" i="2"/>
  <c r="BZ62" i="3" s="1"/>
  <c r="BQ114" i="2"/>
  <c r="BF114" i="2"/>
  <c r="BD62" i="3" s="1"/>
  <c r="AV114" i="2"/>
  <c r="AT62" i="3" s="1"/>
  <c r="AK114" i="2"/>
  <c r="AI62" i="3" s="1"/>
  <c r="Z114" i="2"/>
  <c r="X62" i="3" s="1"/>
  <c r="CK114" i="2"/>
  <c r="CI62" i="3" s="1"/>
  <c r="BZ114" i="2"/>
  <c r="BX62" i="3" s="1"/>
  <c r="BP114" i="2"/>
  <c r="BE114" i="2"/>
  <c r="BC62" i="3" s="1"/>
  <c r="AT114" i="2"/>
  <c r="AR62" i="3" s="1"/>
  <c r="AJ114" i="2"/>
  <c r="AH62" i="3" s="1"/>
  <c r="Y114" i="2"/>
  <c r="W62" i="3" s="1"/>
  <c r="CH114" i="2"/>
  <c r="CF62" i="3" s="1"/>
  <c r="BX114" i="2"/>
  <c r="BV62" i="3" s="1"/>
  <c r="BM114" i="2"/>
  <c r="BK62" i="3" s="1"/>
  <c r="BB114" i="2"/>
  <c r="AZ62" i="3" s="1"/>
  <c r="AR114" i="2"/>
  <c r="AP62" i="3" s="1"/>
  <c r="AG114" i="2"/>
  <c r="AE62" i="3" s="1"/>
  <c r="V114" i="2"/>
  <c r="T62" i="3" s="1"/>
  <c r="CG114" i="2"/>
  <c r="CE62" i="3" s="1"/>
  <c r="BV114" i="2"/>
  <c r="BT62" i="3" s="1"/>
  <c r="BL114" i="2"/>
  <c r="BJ62" i="3" s="1"/>
  <c r="BA114" i="2"/>
  <c r="AY62" i="3" s="1"/>
  <c r="AP114" i="2"/>
  <c r="AF114" i="2"/>
  <c r="AD62" i="3" s="1"/>
  <c r="U114" i="2"/>
  <c r="S62" i="3" s="1"/>
  <c r="CP114" i="2"/>
  <c r="CF114" i="2"/>
  <c r="CD62" i="3" s="1"/>
  <c r="BU114" i="2"/>
  <c r="BS62" i="3" s="1"/>
  <c r="BJ114" i="2"/>
  <c r="BH62" i="3" s="1"/>
  <c r="AZ114" i="2"/>
  <c r="AX62" i="3" s="1"/>
  <c r="AO114" i="2"/>
  <c r="AM62" i="3" s="1"/>
  <c r="AD114" i="2"/>
  <c r="AB62" i="3" s="1"/>
  <c r="T114" i="2"/>
  <c r="R62" i="3" s="1"/>
  <c r="J114" i="2"/>
  <c r="H62" i="3" s="1"/>
  <c r="CO114" i="2"/>
  <c r="CM62" i="3" s="1"/>
  <c r="CD114" i="2"/>
  <c r="CB62" i="3" s="1"/>
  <c r="BT114" i="2"/>
  <c r="BR62" i="3" s="1"/>
  <c r="BI114" i="2"/>
  <c r="BG62" i="3" s="1"/>
  <c r="AX114" i="2"/>
  <c r="AV62" i="3" s="1"/>
  <c r="AN114" i="2"/>
  <c r="AL62" i="3" s="1"/>
  <c r="AC114" i="2"/>
  <c r="AA62" i="3" s="1"/>
  <c r="R114" i="2"/>
  <c r="P62" i="3" s="1"/>
  <c r="CJ114" i="2"/>
  <c r="CH62" i="3" s="1"/>
  <c r="BY114" i="2"/>
  <c r="BW62" i="3" s="1"/>
  <c r="BN114" i="2"/>
  <c r="BL62" i="3" s="1"/>
  <c r="BD114" i="2"/>
  <c r="BB62" i="3" s="1"/>
  <c r="AS114" i="2"/>
  <c r="AQ62" i="3" s="1"/>
  <c r="AH114" i="2"/>
  <c r="AF62" i="3" s="1"/>
  <c r="X114" i="2"/>
  <c r="V62" i="3" s="1"/>
  <c r="E58" i="3"/>
  <c r="O110" i="2"/>
  <c r="M58" i="3" s="1"/>
  <c r="M110" i="2"/>
  <c r="K58" i="3" s="1"/>
  <c r="L110" i="2"/>
  <c r="J58" i="3" s="1"/>
  <c r="P110" i="2"/>
  <c r="E70" i="3"/>
  <c r="M122" i="2"/>
  <c r="K70" i="3" s="1"/>
  <c r="L122" i="2"/>
  <c r="J70" i="3" s="1"/>
  <c r="P122" i="2"/>
  <c r="O122" i="2"/>
  <c r="M70" i="3" s="1"/>
  <c r="O60" i="3"/>
  <c r="N60" i="3"/>
  <c r="BO49" i="3"/>
  <c r="BN49" i="3"/>
  <c r="AN89" i="3"/>
  <c r="AO89" i="3"/>
  <c r="E74" i="3"/>
  <c r="M146" i="2"/>
  <c r="L146" i="2"/>
  <c r="P146" i="2"/>
  <c r="O146" i="2"/>
  <c r="O64" i="3"/>
  <c r="N64" i="3"/>
  <c r="CN68" i="3"/>
  <c r="CO68" i="3"/>
  <c r="AS51" i="3"/>
  <c r="CO32" i="3"/>
  <c r="CN32" i="3"/>
  <c r="E20" i="3"/>
  <c r="M31" i="2"/>
  <c r="K20" i="3" s="1"/>
  <c r="L31" i="2"/>
  <c r="J20" i="3" s="1"/>
  <c r="P31" i="2"/>
  <c r="O31" i="2"/>
  <c r="M20" i="3" s="1"/>
  <c r="BS51" i="3"/>
  <c r="AV51" i="3"/>
  <c r="AH51" i="3"/>
  <c r="S51" i="3"/>
  <c r="CE51" i="3"/>
  <c r="BP51" i="3"/>
  <c r="O50" i="3"/>
  <c r="N50" i="3"/>
  <c r="F27" i="3"/>
  <c r="CL38" i="2"/>
  <c r="CJ27" i="3" s="1"/>
  <c r="CD38" i="2"/>
  <c r="CB27" i="3" s="1"/>
  <c r="BV38" i="2"/>
  <c r="BT27" i="3" s="1"/>
  <c r="BN38" i="2"/>
  <c r="BL27" i="3" s="1"/>
  <c r="BF38" i="2"/>
  <c r="BD27" i="3" s="1"/>
  <c r="AX38" i="2"/>
  <c r="AV27" i="3" s="1"/>
  <c r="AP38" i="2"/>
  <c r="AH38" i="2"/>
  <c r="AF27" i="3" s="1"/>
  <c r="Z38" i="2"/>
  <c r="X27" i="3" s="1"/>
  <c r="R38" i="2"/>
  <c r="P27" i="3" s="1"/>
  <c r="J38" i="2"/>
  <c r="H27" i="3" s="1"/>
  <c r="CK38" i="2"/>
  <c r="CI27" i="3" s="1"/>
  <c r="CC38" i="2"/>
  <c r="CA27" i="3" s="1"/>
  <c r="BU38" i="2"/>
  <c r="BS27" i="3" s="1"/>
  <c r="BM38" i="2"/>
  <c r="BK27" i="3" s="1"/>
  <c r="BE38" i="2"/>
  <c r="BC27" i="3" s="1"/>
  <c r="AW38" i="2"/>
  <c r="AU27" i="3" s="1"/>
  <c r="AO38" i="2"/>
  <c r="AM27" i="3" s="1"/>
  <c r="AG38" i="2"/>
  <c r="AE27" i="3" s="1"/>
  <c r="Y38" i="2"/>
  <c r="W27" i="3" s="1"/>
  <c r="CJ38" i="2"/>
  <c r="CH27" i="3" s="1"/>
  <c r="CB38" i="2"/>
  <c r="BZ27" i="3" s="1"/>
  <c r="BT38" i="2"/>
  <c r="BR27" i="3" s="1"/>
  <c r="BL38" i="2"/>
  <c r="BJ27" i="3" s="1"/>
  <c r="BD38" i="2"/>
  <c r="BB27" i="3" s="1"/>
  <c r="AV38" i="2"/>
  <c r="AT27" i="3" s="1"/>
  <c r="AN38" i="2"/>
  <c r="AL27" i="3" s="1"/>
  <c r="AF38" i="2"/>
  <c r="AD27" i="3" s="1"/>
  <c r="X38" i="2"/>
  <c r="V27" i="3" s="1"/>
  <c r="CQ38" i="2"/>
  <c r="CI38" i="2"/>
  <c r="CG27" i="3" s="1"/>
  <c r="CA38" i="2"/>
  <c r="BY27" i="3" s="1"/>
  <c r="BS38" i="2"/>
  <c r="BQ27" i="3" s="1"/>
  <c r="BK38" i="2"/>
  <c r="BI27" i="3" s="1"/>
  <c r="BC38" i="2"/>
  <c r="BA27" i="3" s="1"/>
  <c r="AU38" i="2"/>
  <c r="AS27" i="3" s="1"/>
  <c r="AM38" i="2"/>
  <c r="AK27" i="3" s="1"/>
  <c r="AE38" i="2"/>
  <c r="AC27" i="3" s="1"/>
  <c r="W38" i="2"/>
  <c r="U27" i="3" s="1"/>
  <c r="CN38" i="2"/>
  <c r="CL27" i="3" s="1"/>
  <c r="CF38" i="2"/>
  <c r="CD27" i="3" s="1"/>
  <c r="BX38" i="2"/>
  <c r="BV27" i="3" s="1"/>
  <c r="BP38" i="2"/>
  <c r="BH38" i="2"/>
  <c r="BF27" i="3" s="1"/>
  <c r="AZ38" i="2"/>
  <c r="AX27" i="3" s="1"/>
  <c r="AR38" i="2"/>
  <c r="AP27" i="3" s="1"/>
  <c r="AJ38" i="2"/>
  <c r="AH27" i="3" s="1"/>
  <c r="AB38" i="2"/>
  <c r="Z27" i="3" s="1"/>
  <c r="T38" i="2"/>
  <c r="R27" i="3" s="1"/>
  <c r="CM38" i="2"/>
  <c r="CK27" i="3" s="1"/>
  <c r="CE38" i="2"/>
  <c r="CC27" i="3" s="1"/>
  <c r="BW38" i="2"/>
  <c r="BU27" i="3" s="1"/>
  <c r="BO38" i="2"/>
  <c r="BM27" i="3" s="1"/>
  <c r="BG38" i="2"/>
  <c r="BE27" i="3" s="1"/>
  <c r="AY38" i="2"/>
  <c r="AW27" i="3" s="1"/>
  <c r="AQ38" i="2"/>
  <c r="AI38" i="2"/>
  <c r="AG27" i="3" s="1"/>
  <c r="AA38" i="2"/>
  <c r="Y27" i="3" s="1"/>
  <c r="S38" i="2"/>
  <c r="Q27" i="3" s="1"/>
  <c r="BY38" i="2"/>
  <c r="BW27" i="3" s="1"/>
  <c r="AS38" i="2"/>
  <c r="AQ27" i="3" s="1"/>
  <c r="BR38" i="2"/>
  <c r="BP27" i="3" s="1"/>
  <c r="AL38" i="2"/>
  <c r="AJ27" i="3" s="1"/>
  <c r="BQ38" i="2"/>
  <c r="AK38" i="2"/>
  <c r="AI27" i="3" s="1"/>
  <c r="CP38" i="2"/>
  <c r="BJ38" i="2"/>
  <c r="BH27" i="3" s="1"/>
  <c r="AD38" i="2"/>
  <c r="AB27" i="3" s="1"/>
  <c r="AT38" i="2"/>
  <c r="AR27" i="3" s="1"/>
  <c r="CO38" i="2"/>
  <c r="CM27" i="3" s="1"/>
  <c r="BI38" i="2"/>
  <c r="BG27" i="3" s="1"/>
  <c r="AC38" i="2"/>
  <c r="AA27" i="3" s="1"/>
  <c r="CH38" i="2"/>
  <c r="CF27" i="3" s="1"/>
  <c r="BB38" i="2"/>
  <c r="AZ27" i="3" s="1"/>
  <c r="V38" i="2"/>
  <c r="T27" i="3" s="1"/>
  <c r="CG38" i="2"/>
  <c r="CE27" i="3" s="1"/>
  <c r="BA38" i="2"/>
  <c r="AY27" i="3" s="1"/>
  <c r="U38" i="2"/>
  <c r="S27" i="3" s="1"/>
  <c r="BZ38" i="2"/>
  <c r="BX27" i="3" s="1"/>
  <c r="F59" i="3"/>
  <c r="CN111" i="2"/>
  <c r="CL59" i="3" s="1"/>
  <c r="CF111" i="2"/>
  <c r="CD59" i="3" s="1"/>
  <c r="BX111" i="2"/>
  <c r="BV59" i="3" s="1"/>
  <c r="BP111" i="2"/>
  <c r="BH111" i="2"/>
  <c r="BF59" i="3" s="1"/>
  <c r="AZ111" i="2"/>
  <c r="AX59" i="3" s="1"/>
  <c r="AR111" i="2"/>
  <c r="AP59" i="3" s="1"/>
  <c r="AJ111" i="2"/>
  <c r="AH59" i="3" s="1"/>
  <c r="AB111" i="2"/>
  <c r="Z59" i="3" s="1"/>
  <c r="T111" i="2"/>
  <c r="R59" i="3" s="1"/>
  <c r="CJ111" i="2"/>
  <c r="CH59" i="3" s="1"/>
  <c r="CB111" i="2"/>
  <c r="BZ59" i="3" s="1"/>
  <c r="BT111" i="2"/>
  <c r="BR59" i="3" s="1"/>
  <c r="BL111" i="2"/>
  <c r="BJ59" i="3" s="1"/>
  <c r="BD111" i="2"/>
  <c r="BB59" i="3" s="1"/>
  <c r="AV111" i="2"/>
  <c r="AT59" i="3" s="1"/>
  <c r="AN111" i="2"/>
  <c r="AL59" i="3" s="1"/>
  <c r="AF111" i="2"/>
  <c r="AD59" i="3" s="1"/>
  <c r="X111" i="2"/>
  <c r="V59" i="3" s="1"/>
  <c r="CP111" i="2"/>
  <c r="CE111" i="2"/>
  <c r="CC59" i="3" s="1"/>
  <c r="BU111" i="2"/>
  <c r="BS59" i="3" s="1"/>
  <c r="BJ111" i="2"/>
  <c r="BH59" i="3" s="1"/>
  <c r="AY111" i="2"/>
  <c r="AW59" i="3" s="1"/>
  <c r="AO111" i="2"/>
  <c r="AM59" i="3" s="1"/>
  <c r="AD111" i="2"/>
  <c r="AB59" i="3" s="1"/>
  <c r="S111" i="2"/>
  <c r="Q59" i="3" s="1"/>
  <c r="CO111" i="2"/>
  <c r="CM59" i="3" s="1"/>
  <c r="CD111" i="2"/>
  <c r="CB59" i="3" s="1"/>
  <c r="BS111" i="2"/>
  <c r="BQ59" i="3" s="1"/>
  <c r="BI111" i="2"/>
  <c r="BG59" i="3" s="1"/>
  <c r="AX111" i="2"/>
  <c r="AV59" i="3" s="1"/>
  <c r="AM111" i="2"/>
  <c r="AK59" i="3" s="1"/>
  <c r="AC111" i="2"/>
  <c r="AA59" i="3" s="1"/>
  <c r="R111" i="2"/>
  <c r="P59" i="3" s="1"/>
  <c r="CM111" i="2"/>
  <c r="CK59" i="3" s="1"/>
  <c r="CC111" i="2"/>
  <c r="CA59" i="3" s="1"/>
  <c r="BR111" i="2"/>
  <c r="BP59" i="3" s="1"/>
  <c r="BG111" i="2"/>
  <c r="BE59" i="3" s="1"/>
  <c r="AW111" i="2"/>
  <c r="AU59" i="3" s="1"/>
  <c r="AL111" i="2"/>
  <c r="AJ59" i="3" s="1"/>
  <c r="AA111" i="2"/>
  <c r="Y59" i="3" s="1"/>
  <c r="CK111" i="2"/>
  <c r="CI59" i="3" s="1"/>
  <c r="BZ111" i="2"/>
  <c r="BX59" i="3" s="1"/>
  <c r="BO111" i="2"/>
  <c r="BM59" i="3" s="1"/>
  <c r="BE111" i="2"/>
  <c r="BC59" i="3" s="1"/>
  <c r="AT111" i="2"/>
  <c r="AR59" i="3" s="1"/>
  <c r="AI111" i="2"/>
  <c r="AG59" i="3" s="1"/>
  <c r="Y111" i="2"/>
  <c r="W59" i="3" s="1"/>
  <c r="CI111" i="2"/>
  <c r="CG59" i="3" s="1"/>
  <c r="BY111" i="2"/>
  <c r="BW59" i="3" s="1"/>
  <c r="BN111" i="2"/>
  <c r="BL59" i="3" s="1"/>
  <c r="BC111" i="2"/>
  <c r="BA59" i="3" s="1"/>
  <c r="AS111" i="2"/>
  <c r="AQ59" i="3" s="1"/>
  <c r="AH111" i="2"/>
  <c r="AF59" i="3" s="1"/>
  <c r="W111" i="2"/>
  <c r="U59" i="3" s="1"/>
  <c r="CH111" i="2"/>
  <c r="CF59" i="3" s="1"/>
  <c r="BW111" i="2"/>
  <c r="BU59" i="3" s="1"/>
  <c r="BM111" i="2"/>
  <c r="BK59" i="3" s="1"/>
  <c r="BB111" i="2"/>
  <c r="AZ59" i="3" s="1"/>
  <c r="AQ111" i="2"/>
  <c r="AG111" i="2"/>
  <c r="AE59" i="3" s="1"/>
  <c r="V111" i="2"/>
  <c r="T59" i="3" s="1"/>
  <c r="CQ111" i="2"/>
  <c r="CG111" i="2"/>
  <c r="CE59" i="3" s="1"/>
  <c r="BV111" i="2"/>
  <c r="BT59" i="3" s="1"/>
  <c r="BK111" i="2"/>
  <c r="BI59" i="3" s="1"/>
  <c r="AU111" i="2"/>
  <c r="AS59" i="3" s="1"/>
  <c r="AP111" i="2"/>
  <c r="AK111" i="2"/>
  <c r="AI59" i="3" s="1"/>
  <c r="J111" i="2"/>
  <c r="H59" i="3" s="1"/>
  <c r="CL111" i="2"/>
  <c r="CJ59" i="3" s="1"/>
  <c r="AE111" i="2"/>
  <c r="AC59" i="3" s="1"/>
  <c r="CA111" i="2"/>
  <c r="BY59" i="3" s="1"/>
  <c r="Z111" i="2"/>
  <c r="X59" i="3" s="1"/>
  <c r="BQ111" i="2"/>
  <c r="U111" i="2"/>
  <c r="S59" i="3" s="1"/>
  <c r="BF111" i="2"/>
  <c r="BD59" i="3" s="1"/>
  <c r="BA111" i="2"/>
  <c r="AY59" i="3" s="1"/>
  <c r="F43" i="3"/>
  <c r="CM75" i="2"/>
  <c r="CK43" i="3" s="1"/>
  <c r="CE75" i="2"/>
  <c r="CC43" i="3" s="1"/>
  <c r="BW75" i="2"/>
  <c r="BU43" i="3" s="1"/>
  <c r="BO75" i="2"/>
  <c r="BM43" i="3" s="1"/>
  <c r="BG75" i="2"/>
  <c r="BE43" i="3" s="1"/>
  <c r="AY75" i="2"/>
  <c r="AW43" i="3" s="1"/>
  <c r="AQ75" i="2"/>
  <c r="AI75" i="2"/>
  <c r="AG43" i="3" s="1"/>
  <c r="AA75" i="2"/>
  <c r="Y43" i="3" s="1"/>
  <c r="S75" i="2"/>
  <c r="Q43" i="3" s="1"/>
  <c r="CQ75" i="2"/>
  <c r="CI75" i="2"/>
  <c r="CG43" i="3" s="1"/>
  <c r="CA75" i="2"/>
  <c r="BY43" i="3" s="1"/>
  <c r="BS75" i="2"/>
  <c r="BQ43" i="3" s="1"/>
  <c r="BK75" i="2"/>
  <c r="BI43" i="3" s="1"/>
  <c r="BC75" i="2"/>
  <c r="BA43" i="3" s="1"/>
  <c r="AU75" i="2"/>
  <c r="AS43" i="3" s="1"/>
  <c r="AM75" i="2"/>
  <c r="AK43" i="3" s="1"/>
  <c r="AE75" i="2"/>
  <c r="AC43" i="3" s="1"/>
  <c r="W75" i="2"/>
  <c r="U43" i="3" s="1"/>
  <c r="CP75" i="2"/>
  <c r="CH75" i="2"/>
  <c r="CF43" i="3" s="1"/>
  <c r="BZ75" i="2"/>
  <c r="BX43" i="3" s="1"/>
  <c r="BR75" i="2"/>
  <c r="BP43" i="3" s="1"/>
  <c r="BJ75" i="2"/>
  <c r="BH43" i="3" s="1"/>
  <c r="BB75" i="2"/>
  <c r="AZ43" i="3" s="1"/>
  <c r="AT75" i="2"/>
  <c r="AR43" i="3" s="1"/>
  <c r="AL75" i="2"/>
  <c r="AJ43" i="3" s="1"/>
  <c r="AD75" i="2"/>
  <c r="AB43" i="3" s="1"/>
  <c r="V75" i="2"/>
  <c r="T43" i="3" s="1"/>
  <c r="CJ75" i="2"/>
  <c r="CH43" i="3" s="1"/>
  <c r="BV75" i="2"/>
  <c r="BT43" i="3" s="1"/>
  <c r="BI75" i="2"/>
  <c r="BG43" i="3" s="1"/>
  <c r="AW75" i="2"/>
  <c r="AU43" i="3" s="1"/>
  <c r="AJ75" i="2"/>
  <c r="AH43" i="3" s="1"/>
  <c r="X75" i="2"/>
  <c r="V43" i="3" s="1"/>
  <c r="CG75" i="2"/>
  <c r="CE43" i="3" s="1"/>
  <c r="BU75" i="2"/>
  <c r="BS43" i="3" s="1"/>
  <c r="BH75" i="2"/>
  <c r="BF43" i="3" s="1"/>
  <c r="AV75" i="2"/>
  <c r="AT43" i="3" s="1"/>
  <c r="AH75" i="2"/>
  <c r="AF43" i="3" s="1"/>
  <c r="U75" i="2"/>
  <c r="S43" i="3" s="1"/>
  <c r="CF75" i="2"/>
  <c r="CD43" i="3" s="1"/>
  <c r="BT75" i="2"/>
  <c r="BR43" i="3" s="1"/>
  <c r="BF75" i="2"/>
  <c r="BD43" i="3" s="1"/>
  <c r="AS75" i="2"/>
  <c r="AQ43" i="3" s="1"/>
  <c r="AG75" i="2"/>
  <c r="AE43" i="3" s="1"/>
  <c r="T75" i="2"/>
  <c r="R43" i="3" s="1"/>
  <c r="J75" i="2"/>
  <c r="H43" i="3" s="1"/>
  <c r="CD75" i="2"/>
  <c r="CB43" i="3" s="1"/>
  <c r="BQ75" i="2"/>
  <c r="BE75" i="2"/>
  <c r="BC43" i="3" s="1"/>
  <c r="AR75" i="2"/>
  <c r="AP43" i="3" s="1"/>
  <c r="AF75" i="2"/>
  <c r="AD43" i="3" s="1"/>
  <c r="R75" i="2"/>
  <c r="P43" i="3" s="1"/>
  <c r="CO75" i="2"/>
  <c r="CM43" i="3" s="1"/>
  <c r="CC75" i="2"/>
  <c r="CA43" i="3" s="1"/>
  <c r="BP75" i="2"/>
  <c r="BD75" i="2"/>
  <c r="BB43" i="3" s="1"/>
  <c r="AP75" i="2"/>
  <c r="AC75" i="2"/>
  <c r="AA43" i="3" s="1"/>
  <c r="CN75" i="2"/>
  <c r="CL43" i="3" s="1"/>
  <c r="CB75" i="2"/>
  <c r="BZ43" i="3" s="1"/>
  <c r="BN75" i="2"/>
  <c r="BL43" i="3" s="1"/>
  <c r="BA75" i="2"/>
  <c r="AY43" i="3" s="1"/>
  <c r="AO75" i="2"/>
  <c r="AM43" i="3" s="1"/>
  <c r="AB75" i="2"/>
  <c r="Z43" i="3" s="1"/>
  <c r="CL75" i="2"/>
  <c r="CJ43" i="3" s="1"/>
  <c r="BY75" i="2"/>
  <c r="BW43" i="3" s="1"/>
  <c r="BM75" i="2"/>
  <c r="BK43" i="3" s="1"/>
  <c r="AZ75" i="2"/>
  <c r="AX43" i="3" s="1"/>
  <c r="AN75" i="2"/>
  <c r="AL43" i="3" s="1"/>
  <c r="Z75" i="2"/>
  <c r="X43" i="3" s="1"/>
  <c r="CK75" i="2"/>
  <c r="CI43" i="3" s="1"/>
  <c r="BX75" i="2"/>
  <c r="BV43" i="3" s="1"/>
  <c r="BL75" i="2"/>
  <c r="BJ43" i="3" s="1"/>
  <c r="AX75" i="2"/>
  <c r="AV43" i="3" s="1"/>
  <c r="AK75" i="2"/>
  <c r="AI43" i="3" s="1"/>
  <c r="Y75" i="2"/>
  <c r="W43" i="3" s="1"/>
  <c r="AD5" i="3"/>
  <c r="BA5" i="3"/>
  <c r="BH5" i="3"/>
  <c r="CM5" i="3"/>
  <c r="AA5" i="3"/>
  <c r="F16" i="3"/>
  <c r="CN27" i="2"/>
  <c r="CL16" i="3" s="1"/>
  <c r="CF27" i="2"/>
  <c r="CD16" i="3" s="1"/>
  <c r="BX27" i="2"/>
  <c r="BV16" i="3" s="1"/>
  <c r="BP27" i="2"/>
  <c r="BH27" i="2"/>
  <c r="BF16" i="3" s="1"/>
  <c r="AZ27" i="2"/>
  <c r="AX16" i="3" s="1"/>
  <c r="AR27" i="2"/>
  <c r="AP16" i="3" s="1"/>
  <c r="AJ27" i="2"/>
  <c r="AH16" i="3" s="1"/>
  <c r="AB27" i="2"/>
  <c r="Z16" i="3" s="1"/>
  <c r="T27" i="2"/>
  <c r="R16" i="3" s="1"/>
  <c r="CM27" i="2"/>
  <c r="CK16" i="3" s="1"/>
  <c r="CE27" i="2"/>
  <c r="CC16" i="3" s="1"/>
  <c r="BW27" i="2"/>
  <c r="BU16" i="3" s="1"/>
  <c r="BO27" i="2"/>
  <c r="BM16" i="3" s="1"/>
  <c r="BG27" i="2"/>
  <c r="BE16" i="3" s="1"/>
  <c r="AY27" i="2"/>
  <c r="AW16" i="3" s="1"/>
  <c r="AQ27" i="2"/>
  <c r="AI27" i="2"/>
  <c r="AG16" i="3" s="1"/>
  <c r="AA27" i="2"/>
  <c r="Y16" i="3" s="1"/>
  <c r="S27" i="2"/>
  <c r="Q16" i="3" s="1"/>
  <c r="CL27" i="2"/>
  <c r="CJ16" i="3" s="1"/>
  <c r="CD27" i="2"/>
  <c r="CB16" i="3" s="1"/>
  <c r="BV27" i="2"/>
  <c r="BT16" i="3" s="1"/>
  <c r="BN27" i="2"/>
  <c r="BL16" i="3" s="1"/>
  <c r="BF27" i="2"/>
  <c r="BD16" i="3" s="1"/>
  <c r="AX27" i="2"/>
  <c r="AV16" i="3" s="1"/>
  <c r="AP27" i="2"/>
  <c r="AH27" i="2"/>
  <c r="AF16" i="3" s="1"/>
  <c r="Z27" i="2"/>
  <c r="X16" i="3" s="1"/>
  <c r="R27" i="2"/>
  <c r="P16" i="3" s="1"/>
  <c r="J27" i="2"/>
  <c r="H16" i="3" s="1"/>
  <c r="CO27" i="2"/>
  <c r="CM16" i="3" s="1"/>
  <c r="CK27" i="2"/>
  <c r="CI16" i="3" s="1"/>
  <c r="CC27" i="2"/>
  <c r="CA16" i="3" s="1"/>
  <c r="BU27" i="2"/>
  <c r="BS16" i="3" s="1"/>
  <c r="BM27" i="2"/>
  <c r="BK16" i="3" s="1"/>
  <c r="BE27" i="2"/>
  <c r="BC16" i="3" s="1"/>
  <c r="AW27" i="2"/>
  <c r="AU16" i="3" s="1"/>
  <c r="AO27" i="2"/>
  <c r="AM16" i="3" s="1"/>
  <c r="AG27" i="2"/>
  <c r="AE16" i="3" s="1"/>
  <c r="Y27" i="2"/>
  <c r="W16" i="3" s="1"/>
  <c r="CG27" i="2"/>
  <c r="CE16" i="3" s="1"/>
  <c r="BY27" i="2"/>
  <c r="BW16" i="3" s="1"/>
  <c r="BI27" i="2"/>
  <c r="BG16" i="3" s="1"/>
  <c r="AS27" i="2"/>
  <c r="AQ16" i="3" s="1"/>
  <c r="U27" i="2"/>
  <c r="S16" i="3" s="1"/>
  <c r="CJ27" i="2"/>
  <c r="CH16" i="3" s="1"/>
  <c r="CB27" i="2"/>
  <c r="BZ16" i="3" s="1"/>
  <c r="BT27" i="2"/>
  <c r="BR16" i="3" s="1"/>
  <c r="BL27" i="2"/>
  <c r="BJ16" i="3" s="1"/>
  <c r="BD27" i="2"/>
  <c r="BB16" i="3" s="1"/>
  <c r="AV27" i="2"/>
  <c r="AT16" i="3" s="1"/>
  <c r="AN27" i="2"/>
  <c r="AL16" i="3" s="1"/>
  <c r="AF27" i="2"/>
  <c r="AD16" i="3" s="1"/>
  <c r="X27" i="2"/>
  <c r="V16" i="3" s="1"/>
  <c r="CQ27" i="2"/>
  <c r="CI27" i="2"/>
  <c r="CG16" i="3" s="1"/>
  <c r="CA27" i="2"/>
  <c r="BY16" i="3" s="1"/>
  <c r="BS27" i="2"/>
  <c r="BQ16" i="3" s="1"/>
  <c r="BK27" i="2"/>
  <c r="BI16" i="3" s="1"/>
  <c r="BC27" i="2"/>
  <c r="BA16" i="3" s="1"/>
  <c r="AU27" i="2"/>
  <c r="AS16" i="3" s="1"/>
  <c r="AM27" i="2"/>
  <c r="AK16" i="3" s="1"/>
  <c r="AE27" i="2"/>
  <c r="AC16" i="3" s="1"/>
  <c r="W27" i="2"/>
  <c r="U16" i="3" s="1"/>
  <c r="AK27" i="2"/>
  <c r="AI16" i="3" s="1"/>
  <c r="CP27" i="2"/>
  <c r="CH27" i="2"/>
  <c r="CF16" i="3" s="1"/>
  <c r="BZ27" i="2"/>
  <c r="BX16" i="3" s="1"/>
  <c r="BR27" i="2"/>
  <c r="BP16" i="3" s="1"/>
  <c r="BJ27" i="2"/>
  <c r="BH16" i="3" s="1"/>
  <c r="BB27" i="2"/>
  <c r="AZ16" i="3" s="1"/>
  <c r="AT27" i="2"/>
  <c r="AR16" i="3" s="1"/>
  <c r="AL27" i="2"/>
  <c r="AJ16" i="3" s="1"/>
  <c r="AD27" i="2"/>
  <c r="AB16" i="3" s="1"/>
  <c r="V27" i="2"/>
  <c r="T16" i="3" s="1"/>
  <c r="BQ27" i="2"/>
  <c r="BA27" i="2"/>
  <c r="AY16" i="3" s="1"/>
  <c r="AC27" i="2"/>
  <c r="AA16" i="3" s="1"/>
  <c r="BV5" i="3"/>
  <c r="J5" i="3"/>
  <c r="J120" i="3" s="1"/>
  <c r="L39" i="2"/>
  <c r="CK5" i="3"/>
  <c r="Y5" i="3"/>
  <c r="E10" i="3"/>
  <c r="L21" i="2"/>
  <c r="J10" i="3" s="1"/>
  <c r="M21" i="2"/>
  <c r="K10" i="3" s="1"/>
  <c r="P21" i="2"/>
  <c r="O21" i="2"/>
  <c r="M10" i="3" s="1"/>
  <c r="AV5" i="3"/>
  <c r="AN15" i="3"/>
  <c r="AO15" i="3"/>
  <c r="BN15" i="3"/>
  <c r="BO15" i="3"/>
  <c r="N23" i="3"/>
  <c r="O23" i="3"/>
  <c r="O25" i="3"/>
  <c r="N25" i="3"/>
  <c r="CN20" i="3"/>
  <c r="CO20" i="3"/>
  <c r="AO17" i="3"/>
  <c r="AN17" i="3"/>
  <c r="CN17" i="3"/>
  <c r="CO17" i="3"/>
  <c r="AO13" i="3"/>
  <c r="AN13" i="3"/>
  <c r="E110" i="3"/>
  <c r="O202" i="2"/>
  <c r="M110" i="3" s="1"/>
  <c r="M202" i="2"/>
  <c r="K110" i="3" s="1"/>
  <c r="L202" i="2"/>
  <c r="J110" i="3" s="1"/>
  <c r="P202" i="2"/>
  <c r="F107" i="3"/>
  <c r="CM199" i="2"/>
  <c r="CK107" i="3" s="1"/>
  <c r="CE199" i="2"/>
  <c r="CC107" i="3" s="1"/>
  <c r="BW199" i="2"/>
  <c r="BU107" i="3" s="1"/>
  <c r="BO199" i="2"/>
  <c r="BM107" i="3" s="1"/>
  <c r="BG199" i="2"/>
  <c r="BE107" i="3" s="1"/>
  <c r="AY199" i="2"/>
  <c r="AW107" i="3" s="1"/>
  <c r="AQ199" i="2"/>
  <c r="AI199" i="2"/>
  <c r="AG107" i="3" s="1"/>
  <c r="AA199" i="2"/>
  <c r="Y107" i="3" s="1"/>
  <c r="S199" i="2"/>
  <c r="Q107" i="3" s="1"/>
  <c r="CQ199" i="2"/>
  <c r="CI199" i="2"/>
  <c r="CG107" i="3" s="1"/>
  <c r="CA199" i="2"/>
  <c r="BY107" i="3" s="1"/>
  <c r="BS199" i="2"/>
  <c r="BQ107" i="3" s="1"/>
  <c r="BK199" i="2"/>
  <c r="BI107" i="3" s="1"/>
  <c r="BC199" i="2"/>
  <c r="BA107" i="3" s="1"/>
  <c r="AU199" i="2"/>
  <c r="AS107" i="3" s="1"/>
  <c r="AM199" i="2"/>
  <c r="AK107" i="3" s="1"/>
  <c r="AE199" i="2"/>
  <c r="AC107" i="3" s="1"/>
  <c r="W199" i="2"/>
  <c r="U107" i="3" s="1"/>
  <c r="CL199" i="2"/>
  <c r="CJ107" i="3" s="1"/>
  <c r="CB199" i="2"/>
  <c r="BZ107" i="3" s="1"/>
  <c r="BQ199" i="2"/>
  <c r="BF199" i="2"/>
  <c r="BD107" i="3" s="1"/>
  <c r="AV199" i="2"/>
  <c r="AT107" i="3" s="1"/>
  <c r="AK199" i="2"/>
  <c r="AI107" i="3" s="1"/>
  <c r="Z199" i="2"/>
  <c r="X107" i="3" s="1"/>
  <c r="CK199" i="2"/>
  <c r="CI107" i="3" s="1"/>
  <c r="BZ199" i="2"/>
  <c r="BX107" i="3" s="1"/>
  <c r="BP199" i="2"/>
  <c r="BE199" i="2"/>
  <c r="BC107" i="3" s="1"/>
  <c r="AT199" i="2"/>
  <c r="AR107" i="3" s="1"/>
  <c r="AJ199" i="2"/>
  <c r="AH107" i="3" s="1"/>
  <c r="Y199" i="2"/>
  <c r="W107" i="3" s="1"/>
  <c r="CJ199" i="2"/>
  <c r="CH107" i="3" s="1"/>
  <c r="BY199" i="2"/>
  <c r="BW107" i="3" s="1"/>
  <c r="BN199" i="2"/>
  <c r="BL107" i="3" s="1"/>
  <c r="BD199" i="2"/>
  <c r="BB107" i="3" s="1"/>
  <c r="AS199" i="2"/>
  <c r="AQ107" i="3" s="1"/>
  <c r="AH199" i="2"/>
  <c r="AF107" i="3" s="1"/>
  <c r="X199" i="2"/>
  <c r="V107" i="3" s="1"/>
  <c r="CH199" i="2"/>
  <c r="CF107" i="3" s="1"/>
  <c r="BX199" i="2"/>
  <c r="BV107" i="3" s="1"/>
  <c r="BM199" i="2"/>
  <c r="BK107" i="3" s="1"/>
  <c r="BB199" i="2"/>
  <c r="AZ107" i="3" s="1"/>
  <c r="AR199" i="2"/>
  <c r="AP107" i="3" s="1"/>
  <c r="AG199" i="2"/>
  <c r="AE107" i="3" s="1"/>
  <c r="V199" i="2"/>
  <c r="T107" i="3" s="1"/>
  <c r="CG199" i="2"/>
  <c r="CE107" i="3" s="1"/>
  <c r="BV199" i="2"/>
  <c r="BT107" i="3" s="1"/>
  <c r="BL199" i="2"/>
  <c r="BJ107" i="3" s="1"/>
  <c r="BA199" i="2"/>
  <c r="AY107" i="3" s="1"/>
  <c r="AP199" i="2"/>
  <c r="AF199" i="2"/>
  <c r="AD107" i="3" s="1"/>
  <c r="U199" i="2"/>
  <c r="S107" i="3" s="1"/>
  <c r="CP199" i="2"/>
  <c r="CF199" i="2"/>
  <c r="CD107" i="3" s="1"/>
  <c r="BU199" i="2"/>
  <c r="BS107" i="3" s="1"/>
  <c r="BJ199" i="2"/>
  <c r="BH107" i="3" s="1"/>
  <c r="AZ199" i="2"/>
  <c r="AX107" i="3" s="1"/>
  <c r="AO199" i="2"/>
  <c r="AM107" i="3" s="1"/>
  <c r="AD199" i="2"/>
  <c r="AB107" i="3" s="1"/>
  <c r="T199" i="2"/>
  <c r="R107" i="3" s="1"/>
  <c r="J199" i="2"/>
  <c r="H107" i="3" s="1"/>
  <c r="CO199" i="2"/>
  <c r="CM107" i="3" s="1"/>
  <c r="CD199" i="2"/>
  <c r="CB107" i="3" s="1"/>
  <c r="BT199" i="2"/>
  <c r="BR107" i="3" s="1"/>
  <c r="BI199" i="2"/>
  <c r="BG107" i="3" s="1"/>
  <c r="AX199" i="2"/>
  <c r="AV107" i="3" s="1"/>
  <c r="AN199" i="2"/>
  <c r="AL107" i="3" s="1"/>
  <c r="AC199" i="2"/>
  <c r="AA107" i="3" s="1"/>
  <c r="R199" i="2"/>
  <c r="P107" i="3" s="1"/>
  <c r="CN199" i="2"/>
  <c r="CL107" i="3" s="1"/>
  <c r="CC199" i="2"/>
  <c r="CA107" i="3" s="1"/>
  <c r="BR199" i="2"/>
  <c r="BP107" i="3" s="1"/>
  <c r="BH199" i="2"/>
  <c r="BF107" i="3" s="1"/>
  <c r="AW199" i="2"/>
  <c r="AU107" i="3" s="1"/>
  <c r="AL199" i="2"/>
  <c r="AJ107" i="3" s="1"/>
  <c r="AB199" i="2"/>
  <c r="Z107" i="3" s="1"/>
  <c r="F110" i="3"/>
  <c r="CQ202" i="2"/>
  <c r="CI202" i="2"/>
  <c r="CG110" i="3" s="1"/>
  <c r="CA202" i="2"/>
  <c r="BY110" i="3" s="1"/>
  <c r="BS202" i="2"/>
  <c r="BQ110" i="3" s="1"/>
  <c r="BK202" i="2"/>
  <c r="BI110" i="3" s="1"/>
  <c r="BC202" i="2"/>
  <c r="BA110" i="3" s="1"/>
  <c r="AU202" i="2"/>
  <c r="AS110" i="3" s="1"/>
  <c r="AM202" i="2"/>
  <c r="AK110" i="3" s="1"/>
  <c r="AE202" i="2"/>
  <c r="AC110" i="3" s="1"/>
  <c r="W202" i="2"/>
  <c r="U110" i="3" s="1"/>
  <c r="CM202" i="2"/>
  <c r="CK110" i="3" s="1"/>
  <c r="CE202" i="2"/>
  <c r="CC110" i="3" s="1"/>
  <c r="BW202" i="2"/>
  <c r="BU110" i="3" s="1"/>
  <c r="BO202" i="2"/>
  <c r="BM110" i="3" s="1"/>
  <c r="BG202" i="2"/>
  <c r="BE110" i="3" s="1"/>
  <c r="AY202" i="2"/>
  <c r="AW110" i="3" s="1"/>
  <c r="AQ202" i="2"/>
  <c r="AI202" i="2"/>
  <c r="AG110" i="3" s="1"/>
  <c r="AA202" i="2"/>
  <c r="Y110" i="3" s="1"/>
  <c r="S202" i="2"/>
  <c r="Q110" i="3" s="1"/>
  <c r="CJ202" i="2"/>
  <c r="CH110" i="3" s="1"/>
  <c r="BY202" i="2"/>
  <c r="BW110" i="3" s="1"/>
  <c r="BN202" i="2"/>
  <c r="BL110" i="3" s="1"/>
  <c r="BD202" i="2"/>
  <c r="BB110" i="3" s="1"/>
  <c r="AS202" i="2"/>
  <c r="AQ110" i="3" s="1"/>
  <c r="AH202" i="2"/>
  <c r="AF110" i="3" s="1"/>
  <c r="X202" i="2"/>
  <c r="V110" i="3" s="1"/>
  <c r="CH202" i="2"/>
  <c r="CF110" i="3" s="1"/>
  <c r="BX202" i="2"/>
  <c r="BV110" i="3" s="1"/>
  <c r="BM202" i="2"/>
  <c r="BK110" i="3" s="1"/>
  <c r="BB202" i="2"/>
  <c r="AZ110" i="3" s="1"/>
  <c r="AR202" i="2"/>
  <c r="AP110" i="3" s="1"/>
  <c r="AG202" i="2"/>
  <c r="AE110" i="3" s="1"/>
  <c r="V202" i="2"/>
  <c r="T110" i="3" s="1"/>
  <c r="CG202" i="2"/>
  <c r="CE110" i="3" s="1"/>
  <c r="BV202" i="2"/>
  <c r="BT110" i="3" s="1"/>
  <c r="BL202" i="2"/>
  <c r="BJ110" i="3" s="1"/>
  <c r="BA202" i="2"/>
  <c r="AY110" i="3" s="1"/>
  <c r="AP202" i="2"/>
  <c r="AF202" i="2"/>
  <c r="AD110" i="3" s="1"/>
  <c r="U202" i="2"/>
  <c r="S110" i="3" s="1"/>
  <c r="CP202" i="2"/>
  <c r="CF202" i="2"/>
  <c r="CD110" i="3" s="1"/>
  <c r="BU202" i="2"/>
  <c r="BS110" i="3" s="1"/>
  <c r="BJ202" i="2"/>
  <c r="BH110" i="3" s="1"/>
  <c r="AZ202" i="2"/>
  <c r="AX110" i="3" s="1"/>
  <c r="AO202" i="2"/>
  <c r="AM110" i="3" s="1"/>
  <c r="AD202" i="2"/>
  <c r="AB110" i="3" s="1"/>
  <c r="T202" i="2"/>
  <c r="R110" i="3" s="1"/>
  <c r="J202" i="2"/>
  <c r="H110" i="3" s="1"/>
  <c r="CO202" i="2"/>
  <c r="CM110" i="3" s="1"/>
  <c r="CD202" i="2"/>
  <c r="CB110" i="3" s="1"/>
  <c r="BT202" i="2"/>
  <c r="BR110" i="3" s="1"/>
  <c r="BI202" i="2"/>
  <c r="BG110" i="3" s="1"/>
  <c r="AX202" i="2"/>
  <c r="AV110" i="3" s="1"/>
  <c r="AN202" i="2"/>
  <c r="AL110" i="3" s="1"/>
  <c r="AC202" i="2"/>
  <c r="AA110" i="3" s="1"/>
  <c r="R202" i="2"/>
  <c r="P110" i="3" s="1"/>
  <c r="CN202" i="2"/>
  <c r="CL110" i="3" s="1"/>
  <c r="CC202" i="2"/>
  <c r="CA110" i="3" s="1"/>
  <c r="BR202" i="2"/>
  <c r="BP110" i="3" s="1"/>
  <c r="BH202" i="2"/>
  <c r="BF110" i="3" s="1"/>
  <c r="AW202" i="2"/>
  <c r="AU110" i="3" s="1"/>
  <c r="AL202" i="2"/>
  <c r="AJ110" i="3" s="1"/>
  <c r="AB202" i="2"/>
  <c r="Z110" i="3" s="1"/>
  <c r="CL202" i="2"/>
  <c r="CJ110" i="3" s="1"/>
  <c r="CB202" i="2"/>
  <c r="BZ110" i="3" s="1"/>
  <c r="BQ202" i="2"/>
  <c r="BF202" i="2"/>
  <c r="BD110" i="3" s="1"/>
  <c r="AV202" i="2"/>
  <c r="AT110" i="3" s="1"/>
  <c r="AK202" i="2"/>
  <c r="AI110" i="3" s="1"/>
  <c r="Z202" i="2"/>
  <c r="X110" i="3" s="1"/>
  <c r="CK202" i="2"/>
  <c r="CI110" i="3" s="1"/>
  <c r="BZ202" i="2"/>
  <c r="BX110" i="3" s="1"/>
  <c r="BP202" i="2"/>
  <c r="BE202" i="2"/>
  <c r="BC110" i="3" s="1"/>
  <c r="AT202" i="2"/>
  <c r="AR110" i="3" s="1"/>
  <c r="AJ202" i="2"/>
  <c r="AH110" i="3" s="1"/>
  <c r="Y202" i="2"/>
  <c r="W110" i="3" s="1"/>
  <c r="F87" i="3"/>
  <c r="CK159" i="2"/>
  <c r="CI87" i="3" s="1"/>
  <c r="CC159" i="2"/>
  <c r="CA87" i="3" s="1"/>
  <c r="BU159" i="2"/>
  <c r="BS87" i="3" s="1"/>
  <c r="BM159" i="2"/>
  <c r="BK87" i="3" s="1"/>
  <c r="BE159" i="2"/>
  <c r="BC87" i="3" s="1"/>
  <c r="AW159" i="2"/>
  <c r="AU87" i="3" s="1"/>
  <c r="AO159" i="2"/>
  <c r="AM87" i="3" s="1"/>
  <c r="AG159" i="2"/>
  <c r="AE87" i="3" s="1"/>
  <c r="Y159" i="2"/>
  <c r="W87" i="3" s="1"/>
  <c r="CO159" i="2"/>
  <c r="CM87" i="3" s="1"/>
  <c r="CG159" i="2"/>
  <c r="CE87" i="3" s="1"/>
  <c r="BY159" i="2"/>
  <c r="BW87" i="3" s="1"/>
  <c r="BQ159" i="2"/>
  <c r="BI159" i="2"/>
  <c r="BG87" i="3" s="1"/>
  <c r="BA159" i="2"/>
  <c r="AY87" i="3" s="1"/>
  <c r="AS159" i="2"/>
  <c r="AQ87" i="3" s="1"/>
  <c r="AK159" i="2"/>
  <c r="AI87" i="3" s="1"/>
  <c r="AC159" i="2"/>
  <c r="AA87" i="3" s="1"/>
  <c r="U159" i="2"/>
  <c r="S87" i="3" s="1"/>
  <c r="CQ159" i="2"/>
  <c r="CF159" i="2"/>
  <c r="CD87" i="3" s="1"/>
  <c r="BV159" i="2"/>
  <c r="BT87" i="3" s="1"/>
  <c r="BK159" i="2"/>
  <c r="BI87" i="3" s="1"/>
  <c r="AZ159" i="2"/>
  <c r="AX87" i="3" s="1"/>
  <c r="AP159" i="2"/>
  <c r="AE159" i="2"/>
  <c r="AC87" i="3" s="1"/>
  <c r="T159" i="2"/>
  <c r="R87" i="3" s="1"/>
  <c r="CP159" i="2"/>
  <c r="CE159" i="2"/>
  <c r="CC87" i="3" s="1"/>
  <c r="BT159" i="2"/>
  <c r="BR87" i="3" s="1"/>
  <c r="BJ159" i="2"/>
  <c r="BH87" i="3" s="1"/>
  <c r="AY159" i="2"/>
  <c r="AW87" i="3" s="1"/>
  <c r="AN159" i="2"/>
  <c r="AL87" i="3" s="1"/>
  <c r="AD159" i="2"/>
  <c r="AB87" i="3" s="1"/>
  <c r="S159" i="2"/>
  <c r="Q87" i="3" s="1"/>
  <c r="J159" i="2"/>
  <c r="H87" i="3" s="1"/>
  <c r="CN159" i="2"/>
  <c r="CL87" i="3" s="1"/>
  <c r="CD159" i="2"/>
  <c r="CB87" i="3" s="1"/>
  <c r="BS159" i="2"/>
  <c r="BQ87" i="3" s="1"/>
  <c r="BH159" i="2"/>
  <c r="BF87" i="3" s="1"/>
  <c r="AX159" i="2"/>
  <c r="AV87" i="3" s="1"/>
  <c r="AM159" i="2"/>
  <c r="AK87" i="3" s="1"/>
  <c r="AB159" i="2"/>
  <c r="Z87" i="3" s="1"/>
  <c r="R159" i="2"/>
  <c r="P87" i="3" s="1"/>
  <c r="CM159" i="2"/>
  <c r="CK87" i="3" s="1"/>
  <c r="CB159" i="2"/>
  <c r="BZ87" i="3" s="1"/>
  <c r="BR159" i="2"/>
  <c r="BP87" i="3" s="1"/>
  <c r="BG159" i="2"/>
  <c r="BE87" i="3" s="1"/>
  <c r="AV159" i="2"/>
  <c r="AT87" i="3" s="1"/>
  <c r="AL159" i="2"/>
  <c r="AJ87" i="3" s="1"/>
  <c r="AA159" i="2"/>
  <c r="Y87" i="3" s="1"/>
  <c r="CL159" i="2"/>
  <c r="CJ87" i="3" s="1"/>
  <c r="CA159" i="2"/>
  <c r="BY87" i="3" s="1"/>
  <c r="BP159" i="2"/>
  <c r="BF159" i="2"/>
  <c r="BD87" i="3" s="1"/>
  <c r="AU159" i="2"/>
  <c r="AS87" i="3" s="1"/>
  <c r="AJ159" i="2"/>
  <c r="AH87" i="3" s="1"/>
  <c r="Z159" i="2"/>
  <c r="X87" i="3" s="1"/>
  <c r="CJ159" i="2"/>
  <c r="CH87" i="3" s="1"/>
  <c r="BZ159" i="2"/>
  <c r="BX87" i="3" s="1"/>
  <c r="BO159" i="2"/>
  <c r="BM87" i="3" s="1"/>
  <c r="BD159" i="2"/>
  <c r="BB87" i="3" s="1"/>
  <c r="AT159" i="2"/>
  <c r="AR87" i="3" s="1"/>
  <c r="AI159" i="2"/>
  <c r="AG87" i="3" s="1"/>
  <c r="X159" i="2"/>
  <c r="V87" i="3" s="1"/>
  <c r="CI159" i="2"/>
  <c r="CG87" i="3" s="1"/>
  <c r="BX159" i="2"/>
  <c r="BV87" i="3" s="1"/>
  <c r="BN159" i="2"/>
  <c r="BL87" i="3" s="1"/>
  <c r="BC159" i="2"/>
  <c r="BA87" i="3" s="1"/>
  <c r="AR159" i="2"/>
  <c r="AP87" i="3" s="1"/>
  <c r="AH159" i="2"/>
  <c r="AF87" i="3" s="1"/>
  <c r="W159" i="2"/>
  <c r="U87" i="3" s="1"/>
  <c r="CH159" i="2"/>
  <c r="CF87" i="3" s="1"/>
  <c r="BW159" i="2"/>
  <c r="BU87" i="3" s="1"/>
  <c r="BL159" i="2"/>
  <c r="BJ87" i="3" s="1"/>
  <c r="BB159" i="2"/>
  <c r="AZ87" i="3" s="1"/>
  <c r="AQ159" i="2"/>
  <c r="AF159" i="2"/>
  <c r="AD87" i="3" s="1"/>
  <c r="V159" i="2"/>
  <c r="T87" i="3" s="1"/>
  <c r="BM51" i="3"/>
  <c r="BK51" i="3"/>
  <c r="CL51" i="3"/>
  <c r="BH51" i="3"/>
  <c r="E112" i="3"/>
  <c r="O204" i="2"/>
  <c r="M112" i="3" s="1"/>
  <c r="P204" i="2"/>
  <c r="M204" i="2"/>
  <c r="K112" i="3" s="1"/>
  <c r="L204" i="2"/>
  <c r="J112" i="3" s="1"/>
  <c r="AN118" i="3"/>
  <c r="AO118" i="3"/>
  <c r="F115" i="3"/>
  <c r="CM207" i="2"/>
  <c r="CK115" i="3" s="1"/>
  <c r="CE207" i="2"/>
  <c r="CC115" i="3" s="1"/>
  <c r="BW207" i="2"/>
  <c r="BU115" i="3" s="1"/>
  <c r="BO207" i="2"/>
  <c r="BM115" i="3" s="1"/>
  <c r="BG207" i="2"/>
  <c r="BE115" i="3" s="1"/>
  <c r="AY207" i="2"/>
  <c r="AW115" i="3" s="1"/>
  <c r="AQ207" i="2"/>
  <c r="AI207" i="2"/>
  <c r="AG115" i="3" s="1"/>
  <c r="AA207" i="2"/>
  <c r="Y115" i="3" s="1"/>
  <c r="S207" i="2"/>
  <c r="Q115" i="3" s="1"/>
  <c r="CQ207" i="2"/>
  <c r="CI207" i="2"/>
  <c r="CG115" i="3" s="1"/>
  <c r="CA207" i="2"/>
  <c r="BY115" i="3" s="1"/>
  <c r="BS207" i="2"/>
  <c r="BQ115" i="3" s="1"/>
  <c r="BK207" i="2"/>
  <c r="BI115" i="3" s="1"/>
  <c r="BC207" i="2"/>
  <c r="BA115" i="3" s="1"/>
  <c r="AU207" i="2"/>
  <c r="AS115" i="3" s="1"/>
  <c r="AM207" i="2"/>
  <c r="AK115" i="3" s="1"/>
  <c r="AE207" i="2"/>
  <c r="AC115" i="3" s="1"/>
  <c r="W207" i="2"/>
  <c r="U115" i="3" s="1"/>
  <c r="CL207" i="2"/>
  <c r="CJ115" i="3" s="1"/>
  <c r="CB207" i="2"/>
  <c r="BZ115" i="3" s="1"/>
  <c r="BQ207" i="2"/>
  <c r="BF207" i="2"/>
  <c r="BD115" i="3" s="1"/>
  <c r="AV207" i="2"/>
  <c r="AT115" i="3" s="1"/>
  <c r="AK207" i="2"/>
  <c r="AI115" i="3" s="1"/>
  <c r="Z207" i="2"/>
  <c r="X115" i="3" s="1"/>
  <c r="CK207" i="2"/>
  <c r="CI115" i="3" s="1"/>
  <c r="BZ207" i="2"/>
  <c r="BX115" i="3" s="1"/>
  <c r="BP207" i="2"/>
  <c r="BE207" i="2"/>
  <c r="BC115" i="3" s="1"/>
  <c r="AT207" i="2"/>
  <c r="AR115" i="3" s="1"/>
  <c r="AJ207" i="2"/>
  <c r="AH115" i="3" s="1"/>
  <c r="Y207" i="2"/>
  <c r="W115" i="3" s="1"/>
  <c r="CJ207" i="2"/>
  <c r="CH115" i="3" s="1"/>
  <c r="BY207" i="2"/>
  <c r="BW115" i="3" s="1"/>
  <c r="BN207" i="2"/>
  <c r="BL115" i="3" s="1"/>
  <c r="BD207" i="2"/>
  <c r="BB115" i="3" s="1"/>
  <c r="AS207" i="2"/>
  <c r="AQ115" i="3" s="1"/>
  <c r="AH207" i="2"/>
  <c r="AF115" i="3" s="1"/>
  <c r="X207" i="2"/>
  <c r="V115" i="3" s="1"/>
  <c r="CH207" i="2"/>
  <c r="CF115" i="3" s="1"/>
  <c r="BX207" i="2"/>
  <c r="BV115" i="3" s="1"/>
  <c r="BM207" i="2"/>
  <c r="BK115" i="3" s="1"/>
  <c r="BB207" i="2"/>
  <c r="AZ115" i="3" s="1"/>
  <c r="AR207" i="2"/>
  <c r="AP115" i="3" s="1"/>
  <c r="AG207" i="2"/>
  <c r="AE115" i="3" s="1"/>
  <c r="V207" i="2"/>
  <c r="T115" i="3" s="1"/>
  <c r="CG207" i="2"/>
  <c r="CE115" i="3" s="1"/>
  <c r="BV207" i="2"/>
  <c r="BT115" i="3" s="1"/>
  <c r="BL207" i="2"/>
  <c r="BJ115" i="3" s="1"/>
  <c r="BA207" i="2"/>
  <c r="AY115" i="3" s="1"/>
  <c r="AP207" i="2"/>
  <c r="AF207" i="2"/>
  <c r="AD115" i="3" s="1"/>
  <c r="U207" i="2"/>
  <c r="S115" i="3" s="1"/>
  <c r="CP207" i="2"/>
  <c r="CF207" i="2"/>
  <c r="CD115" i="3" s="1"/>
  <c r="BU207" i="2"/>
  <c r="BS115" i="3" s="1"/>
  <c r="BJ207" i="2"/>
  <c r="BH115" i="3" s="1"/>
  <c r="AZ207" i="2"/>
  <c r="AX115" i="3" s="1"/>
  <c r="AO207" i="2"/>
  <c r="AM115" i="3" s="1"/>
  <c r="AD207" i="2"/>
  <c r="AB115" i="3" s="1"/>
  <c r="T207" i="2"/>
  <c r="R115" i="3" s="1"/>
  <c r="J207" i="2"/>
  <c r="H115" i="3" s="1"/>
  <c r="CO207" i="2"/>
  <c r="CM115" i="3" s="1"/>
  <c r="CD207" i="2"/>
  <c r="CB115" i="3" s="1"/>
  <c r="BT207" i="2"/>
  <c r="BR115" i="3" s="1"/>
  <c r="BI207" i="2"/>
  <c r="BG115" i="3" s="1"/>
  <c r="AX207" i="2"/>
  <c r="AV115" i="3" s="1"/>
  <c r="AN207" i="2"/>
  <c r="AL115" i="3" s="1"/>
  <c r="AC207" i="2"/>
  <c r="AA115" i="3" s="1"/>
  <c r="R207" i="2"/>
  <c r="P115" i="3" s="1"/>
  <c r="CN207" i="2"/>
  <c r="CL115" i="3" s="1"/>
  <c r="CC207" i="2"/>
  <c r="CA115" i="3" s="1"/>
  <c r="BR207" i="2"/>
  <c r="BP115" i="3" s="1"/>
  <c r="BH207" i="2"/>
  <c r="BF115" i="3" s="1"/>
  <c r="AW207" i="2"/>
  <c r="AU115" i="3" s="1"/>
  <c r="AL207" i="2"/>
  <c r="AJ115" i="3" s="1"/>
  <c r="AB207" i="2"/>
  <c r="Z115" i="3" s="1"/>
  <c r="F100" i="3"/>
  <c r="CK192" i="2"/>
  <c r="CI100" i="3" s="1"/>
  <c r="CC192" i="2"/>
  <c r="CA100" i="3" s="1"/>
  <c r="BU192" i="2"/>
  <c r="BS100" i="3" s="1"/>
  <c r="BM192" i="2"/>
  <c r="BK100" i="3" s="1"/>
  <c r="BE192" i="2"/>
  <c r="BC100" i="3" s="1"/>
  <c r="AW192" i="2"/>
  <c r="AU100" i="3" s="1"/>
  <c r="AO192" i="2"/>
  <c r="AM100" i="3" s="1"/>
  <c r="AG192" i="2"/>
  <c r="AE100" i="3" s="1"/>
  <c r="Y192" i="2"/>
  <c r="W100" i="3" s="1"/>
  <c r="CJ192" i="2"/>
  <c r="CH100" i="3" s="1"/>
  <c r="CB192" i="2"/>
  <c r="BZ100" i="3" s="1"/>
  <c r="BT192" i="2"/>
  <c r="BR100" i="3" s="1"/>
  <c r="BL192" i="2"/>
  <c r="BJ100" i="3" s="1"/>
  <c r="BD192" i="2"/>
  <c r="BB100" i="3" s="1"/>
  <c r="AV192" i="2"/>
  <c r="AT100" i="3" s="1"/>
  <c r="AN192" i="2"/>
  <c r="AL100" i="3" s="1"/>
  <c r="AF192" i="2"/>
  <c r="AD100" i="3" s="1"/>
  <c r="X192" i="2"/>
  <c r="V100" i="3" s="1"/>
  <c r="CQ192" i="2"/>
  <c r="CI192" i="2"/>
  <c r="CG100" i="3" s="1"/>
  <c r="CA192" i="2"/>
  <c r="BY100" i="3" s="1"/>
  <c r="BS192" i="2"/>
  <c r="BQ100" i="3" s="1"/>
  <c r="BK192" i="2"/>
  <c r="BI100" i="3" s="1"/>
  <c r="BC192" i="2"/>
  <c r="BA100" i="3" s="1"/>
  <c r="AU192" i="2"/>
  <c r="AS100" i="3" s="1"/>
  <c r="AM192" i="2"/>
  <c r="AK100" i="3" s="1"/>
  <c r="AE192" i="2"/>
  <c r="AC100" i="3" s="1"/>
  <c r="W192" i="2"/>
  <c r="U100" i="3" s="1"/>
  <c r="CO192" i="2"/>
  <c r="CM100" i="3" s="1"/>
  <c r="CG192" i="2"/>
  <c r="CE100" i="3" s="1"/>
  <c r="BY192" i="2"/>
  <c r="BW100" i="3" s="1"/>
  <c r="BQ192" i="2"/>
  <c r="BI192" i="2"/>
  <c r="BG100" i="3" s="1"/>
  <c r="BA192" i="2"/>
  <c r="AY100" i="3" s="1"/>
  <c r="AS192" i="2"/>
  <c r="AQ100" i="3" s="1"/>
  <c r="AK192" i="2"/>
  <c r="AI100" i="3" s="1"/>
  <c r="AC192" i="2"/>
  <c r="AA100" i="3" s="1"/>
  <c r="U192" i="2"/>
  <c r="S100" i="3" s="1"/>
  <c r="CM192" i="2"/>
  <c r="CK100" i="3" s="1"/>
  <c r="CE192" i="2"/>
  <c r="CC100" i="3" s="1"/>
  <c r="BW192" i="2"/>
  <c r="BU100" i="3" s="1"/>
  <c r="BO192" i="2"/>
  <c r="BM100" i="3" s="1"/>
  <c r="BG192" i="2"/>
  <c r="BE100" i="3" s="1"/>
  <c r="AY192" i="2"/>
  <c r="AW100" i="3" s="1"/>
  <c r="AQ192" i="2"/>
  <c r="AI192" i="2"/>
  <c r="AG100" i="3" s="1"/>
  <c r="AA192" i="2"/>
  <c r="Y100" i="3" s="1"/>
  <c r="S192" i="2"/>
  <c r="Q100" i="3" s="1"/>
  <c r="CD192" i="2"/>
  <c r="CB100" i="3" s="1"/>
  <c r="BH192" i="2"/>
  <c r="BF100" i="3" s="1"/>
  <c r="AL192" i="2"/>
  <c r="AJ100" i="3" s="1"/>
  <c r="R192" i="2"/>
  <c r="P100" i="3" s="1"/>
  <c r="BZ192" i="2"/>
  <c r="BX100" i="3" s="1"/>
  <c r="BF192" i="2"/>
  <c r="BD100" i="3" s="1"/>
  <c r="AJ192" i="2"/>
  <c r="AH100" i="3" s="1"/>
  <c r="BX192" i="2"/>
  <c r="BV100" i="3" s="1"/>
  <c r="BB192" i="2"/>
  <c r="AZ100" i="3" s="1"/>
  <c r="AH192" i="2"/>
  <c r="AF100" i="3" s="1"/>
  <c r="CP192" i="2"/>
  <c r="BV192" i="2"/>
  <c r="BT100" i="3" s="1"/>
  <c r="AZ192" i="2"/>
  <c r="AX100" i="3" s="1"/>
  <c r="AD192" i="2"/>
  <c r="AB100" i="3" s="1"/>
  <c r="CN192" i="2"/>
  <c r="CL100" i="3" s="1"/>
  <c r="BR192" i="2"/>
  <c r="BP100" i="3" s="1"/>
  <c r="AX192" i="2"/>
  <c r="AV100" i="3" s="1"/>
  <c r="AB192" i="2"/>
  <c r="Z100" i="3" s="1"/>
  <c r="CL192" i="2"/>
  <c r="CJ100" i="3" s="1"/>
  <c r="BP192" i="2"/>
  <c r="AT192" i="2"/>
  <c r="AR100" i="3" s="1"/>
  <c r="Z192" i="2"/>
  <c r="X100" i="3" s="1"/>
  <c r="J192" i="2"/>
  <c r="H100" i="3" s="1"/>
  <c r="CH192" i="2"/>
  <c r="CF100" i="3" s="1"/>
  <c r="BN192" i="2"/>
  <c r="BL100" i="3" s="1"/>
  <c r="AR192" i="2"/>
  <c r="AP100" i="3" s="1"/>
  <c r="V192" i="2"/>
  <c r="T100" i="3" s="1"/>
  <c r="CF192" i="2"/>
  <c r="CD100" i="3" s="1"/>
  <c r="BJ192" i="2"/>
  <c r="BH100" i="3" s="1"/>
  <c r="AP192" i="2"/>
  <c r="T192" i="2"/>
  <c r="R100" i="3" s="1"/>
  <c r="F81" i="3"/>
  <c r="CJ153" i="2"/>
  <c r="CH81" i="3" s="1"/>
  <c r="CB153" i="2"/>
  <c r="BZ81" i="3" s="1"/>
  <c r="BT153" i="2"/>
  <c r="BR81" i="3" s="1"/>
  <c r="BL153" i="2"/>
  <c r="BJ81" i="3" s="1"/>
  <c r="BD153" i="2"/>
  <c r="BB81" i="3" s="1"/>
  <c r="AV153" i="2"/>
  <c r="AT81" i="3" s="1"/>
  <c r="AN153" i="2"/>
  <c r="AL81" i="3" s="1"/>
  <c r="AF153" i="2"/>
  <c r="AD81" i="3" s="1"/>
  <c r="X153" i="2"/>
  <c r="V81" i="3" s="1"/>
  <c r="CQ153" i="2"/>
  <c r="CI153" i="2"/>
  <c r="CG81" i="3" s="1"/>
  <c r="CA153" i="2"/>
  <c r="BY81" i="3" s="1"/>
  <c r="BS153" i="2"/>
  <c r="BQ81" i="3" s="1"/>
  <c r="BK153" i="2"/>
  <c r="BI81" i="3" s="1"/>
  <c r="BC153" i="2"/>
  <c r="BA81" i="3" s="1"/>
  <c r="AU153" i="2"/>
  <c r="AS81" i="3" s="1"/>
  <c r="AM153" i="2"/>
  <c r="AK81" i="3" s="1"/>
  <c r="AE153" i="2"/>
  <c r="AC81" i="3" s="1"/>
  <c r="W153" i="2"/>
  <c r="U81" i="3" s="1"/>
  <c r="CP153" i="2"/>
  <c r="CH153" i="2"/>
  <c r="CF81" i="3" s="1"/>
  <c r="BZ153" i="2"/>
  <c r="BX81" i="3" s="1"/>
  <c r="BR153" i="2"/>
  <c r="BP81" i="3" s="1"/>
  <c r="BJ153" i="2"/>
  <c r="BH81" i="3" s="1"/>
  <c r="BB153" i="2"/>
  <c r="AZ81" i="3" s="1"/>
  <c r="AT153" i="2"/>
  <c r="AR81" i="3" s="1"/>
  <c r="AL153" i="2"/>
  <c r="AJ81" i="3" s="1"/>
  <c r="AD153" i="2"/>
  <c r="AB81" i="3" s="1"/>
  <c r="V153" i="2"/>
  <c r="T81" i="3" s="1"/>
  <c r="CO153" i="2"/>
  <c r="CM81" i="3" s="1"/>
  <c r="CG153" i="2"/>
  <c r="CE81" i="3" s="1"/>
  <c r="BY153" i="2"/>
  <c r="BW81" i="3" s="1"/>
  <c r="BQ153" i="2"/>
  <c r="BI153" i="2"/>
  <c r="BG81" i="3" s="1"/>
  <c r="BA153" i="2"/>
  <c r="AY81" i="3" s="1"/>
  <c r="AS153" i="2"/>
  <c r="AQ81" i="3" s="1"/>
  <c r="AK153" i="2"/>
  <c r="AI81" i="3" s="1"/>
  <c r="AC153" i="2"/>
  <c r="AA81" i="3" s="1"/>
  <c r="U153" i="2"/>
  <c r="S81" i="3" s="1"/>
  <c r="CN153" i="2"/>
  <c r="CL81" i="3" s="1"/>
  <c r="CF153" i="2"/>
  <c r="CD81" i="3" s="1"/>
  <c r="BX153" i="2"/>
  <c r="BV81" i="3" s="1"/>
  <c r="BP153" i="2"/>
  <c r="BH153" i="2"/>
  <c r="BF81" i="3" s="1"/>
  <c r="AZ153" i="2"/>
  <c r="AX81" i="3" s="1"/>
  <c r="AR153" i="2"/>
  <c r="AP81" i="3" s="1"/>
  <c r="AJ153" i="2"/>
  <c r="AH81" i="3" s="1"/>
  <c r="AB153" i="2"/>
  <c r="Z81" i="3" s="1"/>
  <c r="T153" i="2"/>
  <c r="R81" i="3" s="1"/>
  <c r="CM153" i="2"/>
  <c r="CK81" i="3" s="1"/>
  <c r="CE153" i="2"/>
  <c r="CC81" i="3" s="1"/>
  <c r="BW153" i="2"/>
  <c r="BU81" i="3" s="1"/>
  <c r="BO153" i="2"/>
  <c r="BM81" i="3" s="1"/>
  <c r="BG153" i="2"/>
  <c r="BE81" i="3" s="1"/>
  <c r="AY153" i="2"/>
  <c r="AW81" i="3" s="1"/>
  <c r="AQ153" i="2"/>
  <c r="AI153" i="2"/>
  <c r="AG81" i="3" s="1"/>
  <c r="AA153" i="2"/>
  <c r="Y81" i="3" s="1"/>
  <c r="S153" i="2"/>
  <c r="Q81" i="3" s="1"/>
  <c r="CL153" i="2"/>
  <c r="CJ81" i="3" s="1"/>
  <c r="CD153" i="2"/>
  <c r="CB81" i="3" s="1"/>
  <c r="BV153" i="2"/>
  <c r="BT81" i="3" s="1"/>
  <c r="BN153" i="2"/>
  <c r="BL81" i="3" s="1"/>
  <c r="BF153" i="2"/>
  <c r="BD81" i="3" s="1"/>
  <c r="AX153" i="2"/>
  <c r="AV81" i="3" s="1"/>
  <c r="AP153" i="2"/>
  <c r="AH153" i="2"/>
  <c r="AF81" i="3" s="1"/>
  <c r="Z153" i="2"/>
  <c r="X81" i="3" s="1"/>
  <c r="R153" i="2"/>
  <c r="P81" i="3" s="1"/>
  <c r="J153" i="2"/>
  <c r="H81" i="3" s="1"/>
  <c r="CK153" i="2"/>
  <c r="CI81" i="3" s="1"/>
  <c r="CC153" i="2"/>
  <c r="CA81" i="3" s="1"/>
  <c r="BU153" i="2"/>
  <c r="BS81" i="3" s="1"/>
  <c r="BM153" i="2"/>
  <c r="BK81" i="3" s="1"/>
  <c r="BE153" i="2"/>
  <c r="BC81" i="3" s="1"/>
  <c r="AW153" i="2"/>
  <c r="AU81" i="3" s="1"/>
  <c r="AO153" i="2"/>
  <c r="AM81" i="3" s="1"/>
  <c r="AG153" i="2"/>
  <c r="AE81" i="3" s="1"/>
  <c r="Y153" i="2"/>
  <c r="W81" i="3" s="1"/>
  <c r="F71" i="3"/>
  <c r="CL123" i="2"/>
  <c r="CJ71" i="3" s="1"/>
  <c r="CD123" i="2"/>
  <c r="CB71" i="3" s="1"/>
  <c r="BV123" i="2"/>
  <c r="BT71" i="3" s="1"/>
  <c r="BN123" i="2"/>
  <c r="BL71" i="3" s="1"/>
  <c r="BF123" i="2"/>
  <c r="BD71" i="3" s="1"/>
  <c r="AX123" i="2"/>
  <c r="AV71" i="3" s="1"/>
  <c r="AP123" i="2"/>
  <c r="AH123" i="2"/>
  <c r="AF71" i="3" s="1"/>
  <c r="Z123" i="2"/>
  <c r="X71" i="3" s="1"/>
  <c r="R123" i="2"/>
  <c r="P71" i="3" s="1"/>
  <c r="J123" i="2"/>
  <c r="H71" i="3" s="1"/>
  <c r="CK123" i="2"/>
  <c r="CI71" i="3" s="1"/>
  <c r="CC123" i="2"/>
  <c r="CA71" i="3" s="1"/>
  <c r="BU123" i="2"/>
  <c r="BS71" i="3" s="1"/>
  <c r="BM123" i="2"/>
  <c r="BK71" i="3" s="1"/>
  <c r="BE123" i="2"/>
  <c r="BC71" i="3" s="1"/>
  <c r="AW123" i="2"/>
  <c r="AU71" i="3" s="1"/>
  <c r="AO123" i="2"/>
  <c r="AM71" i="3" s="1"/>
  <c r="AG123" i="2"/>
  <c r="AE71" i="3" s="1"/>
  <c r="Y123" i="2"/>
  <c r="W71" i="3" s="1"/>
  <c r="CJ123" i="2"/>
  <c r="CH71" i="3" s="1"/>
  <c r="CB123" i="2"/>
  <c r="BZ71" i="3" s="1"/>
  <c r="BT123" i="2"/>
  <c r="BR71" i="3" s="1"/>
  <c r="BL123" i="2"/>
  <c r="BJ71" i="3" s="1"/>
  <c r="BD123" i="2"/>
  <c r="BB71" i="3" s="1"/>
  <c r="AV123" i="2"/>
  <c r="AT71" i="3" s="1"/>
  <c r="AN123" i="2"/>
  <c r="AL71" i="3" s="1"/>
  <c r="AF123" i="2"/>
  <c r="AD71" i="3" s="1"/>
  <c r="X123" i="2"/>
  <c r="V71" i="3" s="1"/>
  <c r="CO123" i="2"/>
  <c r="CM71" i="3" s="1"/>
  <c r="CG123" i="2"/>
  <c r="CE71" i="3" s="1"/>
  <c r="BY123" i="2"/>
  <c r="BW71" i="3" s="1"/>
  <c r="BQ123" i="2"/>
  <c r="BI123" i="2"/>
  <c r="BG71" i="3" s="1"/>
  <c r="BA123" i="2"/>
  <c r="AY71" i="3" s="1"/>
  <c r="AS123" i="2"/>
  <c r="AQ71" i="3" s="1"/>
  <c r="AK123" i="2"/>
  <c r="AI71" i="3" s="1"/>
  <c r="AC123" i="2"/>
  <c r="AA71" i="3" s="1"/>
  <c r="U123" i="2"/>
  <c r="S71" i="3" s="1"/>
  <c r="CN123" i="2"/>
  <c r="CL71" i="3" s="1"/>
  <c r="CF123" i="2"/>
  <c r="CD71" i="3" s="1"/>
  <c r="BX123" i="2"/>
  <c r="BV71" i="3" s="1"/>
  <c r="BP123" i="2"/>
  <c r="BH123" i="2"/>
  <c r="BF71" i="3" s="1"/>
  <c r="AZ123" i="2"/>
  <c r="AX71" i="3" s="1"/>
  <c r="AR123" i="2"/>
  <c r="AP71" i="3" s="1"/>
  <c r="AJ123" i="2"/>
  <c r="AH71" i="3" s="1"/>
  <c r="AB123" i="2"/>
  <c r="Z71" i="3" s="1"/>
  <c r="T123" i="2"/>
  <c r="R71" i="3" s="1"/>
  <c r="CQ123" i="2"/>
  <c r="BW123" i="2"/>
  <c r="BU71" i="3" s="1"/>
  <c r="BB123" i="2"/>
  <c r="AZ71" i="3" s="1"/>
  <c r="AE123" i="2"/>
  <c r="AC71" i="3" s="1"/>
  <c r="CP123" i="2"/>
  <c r="BS123" i="2"/>
  <c r="BQ71" i="3" s="1"/>
  <c r="AY123" i="2"/>
  <c r="AW71" i="3" s="1"/>
  <c r="AD123" i="2"/>
  <c r="AB71" i="3" s="1"/>
  <c r="CM123" i="2"/>
  <c r="CK71" i="3" s="1"/>
  <c r="BR123" i="2"/>
  <c r="BP71" i="3" s="1"/>
  <c r="AU123" i="2"/>
  <c r="AS71" i="3" s="1"/>
  <c r="AA123" i="2"/>
  <c r="Y71" i="3" s="1"/>
  <c r="CI123" i="2"/>
  <c r="CG71" i="3" s="1"/>
  <c r="BO123" i="2"/>
  <c r="BM71" i="3" s="1"/>
  <c r="AT123" i="2"/>
  <c r="AR71" i="3" s="1"/>
  <c r="W123" i="2"/>
  <c r="U71" i="3" s="1"/>
  <c r="CH123" i="2"/>
  <c r="CF71" i="3" s="1"/>
  <c r="BK123" i="2"/>
  <c r="BI71" i="3" s="1"/>
  <c r="AQ123" i="2"/>
  <c r="V123" i="2"/>
  <c r="T71" i="3" s="1"/>
  <c r="CE123" i="2"/>
  <c r="CC71" i="3" s="1"/>
  <c r="BJ123" i="2"/>
  <c r="BH71" i="3" s="1"/>
  <c r="AM123" i="2"/>
  <c r="AK71" i="3" s="1"/>
  <c r="S123" i="2"/>
  <c r="Q71" i="3" s="1"/>
  <c r="CA123" i="2"/>
  <c r="BY71" i="3" s="1"/>
  <c r="BG123" i="2"/>
  <c r="BE71" i="3" s="1"/>
  <c r="AL123" i="2"/>
  <c r="AJ71" i="3" s="1"/>
  <c r="BZ123" i="2"/>
  <c r="BX71" i="3" s="1"/>
  <c r="BC123" i="2"/>
  <c r="BA71" i="3" s="1"/>
  <c r="AI123" i="2"/>
  <c r="AG71" i="3" s="1"/>
  <c r="BN103" i="3"/>
  <c r="BO103" i="3"/>
  <c r="BN99" i="3"/>
  <c r="BO99" i="3"/>
  <c r="BO94" i="3"/>
  <c r="BN94" i="3"/>
  <c r="F76" i="3"/>
  <c r="CN148" i="2"/>
  <c r="CL76" i="3" s="1"/>
  <c r="CF148" i="2"/>
  <c r="CD76" i="3" s="1"/>
  <c r="BX148" i="2"/>
  <c r="BV76" i="3" s="1"/>
  <c r="BP148" i="2"/>
  <c r="BH148" i="2"/>
  <c r="BF76" i="3" s="1"/>
  <c r="AZ148" i="2"/>
  <c r="AX76" i="3" s="1"/>
  <c r="AR148" i="2"/>
  <c r="AP76" i="3" s="1"/>
  <c r="AJ148" i="2"/>
  <c r="AH76" i="3" s="1"/>
  <c r="AB148" i="2"/>
  <c r="Z76" i="3" s="1"/>
  <c r="T148" i="2"/>
  <c r="R76" i="3" s="1"/>
  <c r="CM148" i="2"/>
  <c r="CK76" i="3" s="1"/>
  <c r="CE148" i="2"/>
  <c r="CC76" i="3" s="1"/>
  <c r="BW148" i="2"/>
  <c r="BU76" i="3" s="1"/>
  <c r="BO148" i="2"/>
  <c r="BM76" i="3" s="1"/>
  <c r="BG148" i="2"/>
  <c r="BE76" i="3" s="1"/>
  <c r="AY148" i="2"/>
  <c r="AW76" i="3" s="1"/>
  <c r="AQ148" i="2"/>
  <c r="AI148" i="2"/>
  <c r="AG76" i="3" s="1"/>
  <c r="AA148" i="2"/>
  <c r="Y76" i="3" s="1"/>
  <c r="S148" i="2"/>
  <c r="Q76" i="3" s="1"/>
  <c r="CL148" i="2"/>
  <c r="CJ76" i="3" s="1"/>
  <c r="CD148" i="2"/>
  <c r="CB76" i="3" s="1"/>
  <c r="BV148" i="2"/>
  <c r="BT76" i="3" s="1"/>
  <c r="BN148" i="2"/>
  <c r="BL76" i="3" s="1"/>
  <c r="BF148" i="2"/>
  <c r="BD76" i="3" s="1"/>
  <c r="AX148" i="2"/>
  <c r="AV76" i="3" s="1"/>
  <c r="AP148" i="2"/>
  <c r="AH148" i="2"/>
  <c r="AF76" i="3" s="1"/>
  <c r="Z148" i="2"/>
  <c r="X76" i="3" s="1"/>
  <c r="R148" i="2"/>
  <c r="P76" i="3" s="1"/>
  <c r="J148" i="2"/>
  <c r="H76" i="3" s="1"/>
  <c r="CK148" i="2"/>
  <c r="CI76" i="3" s="1"/>
  <c r="CC148" i="2"/>
  <c r="CA76" i="3" s="1"/>
  <c r="BU148" i="2"/>
  <c r="BS76" i="3" s="1"/>
  <c r="BM148" i="2"/>
  <c r="BK76" i="3" s="1"/>
  <c r="BE148" i="2"/>
  <c r="BC76" i="3" s="1"/>
  <c r="AW148" i="2"/>
  <c r="AU76" i="3" s="1"/>
  <c r="AO148" i="2"/>
  <c r="AM76" i="3" s="1"/>
  <c r="AG148" i="2"/>
  <c r="AE76" i="3" s="1"/>
  <c r="Y148" i="2"/>
  <c r="W76" i="3" s="1"/>
  <c r="CJ148" i="2"/>
  <c r="CH76" i="3" s="1"/>
  <c r="CB148" i="2"/>
  <c r="BZ76" i="3" s="1"/>
  <c r="BT148" i="2"/>
  <c r="BR76" i="3" s="1"/>
  <c r="BL148" i="2"/>
  <c r="BJ76" i="3" s="1"/>
  <c r="BD148" i="2"/>
  <c r="BB76" i="3" s="1"/>
  <c r="AV148" i="2"/>
  <c r="AT76" i="3" s="1"/>
  <c r="AN148" i="2"/>
  <c r="AL76" i="3" s="1"/>
  <c r="AF148" i="2"/>
  <c r="AD76" i="3" s="1"/>
  <c r="X148" i="2"/>
  <c r="V76" i="3" s="1"/>
  <c r="CQ148" i="2"/>
  <c r="CI148" i="2"/>
  <c r="CG76" i="3" s="1"/>
  <c r="CA148" i="2"/>
  <c r="BY76" i="3" s="1"/>
  <c r="BS148" i="2"/>
  <c r="BQ76" i="3" s="1"/>
  <c r="BK148" i="2"/>
  <c r="BI76" i="3" s="1"/>
  <c r="BC148" i="2"/>
  <c r="BA76" i="3" s="1"/>
  <c r="AU148" i="2"/>
  <c r="AS76" i="3" s="1"/>
  <c r="AM148" i="2"/>
  <c r="AK76" i="3" s="1"/>
  <c r="AE148" i="2"/>
  <c r="AC76" i="3" s="1"/>
  <c r="W148" i="2"/>
  <c r="U76" i="3" s="1"/>
  <c r="CP148" i="2"/>
  <c r="CH148" i="2"/>
  <c r="CF76" i="3" s="1"/>
  <c r="BZ148" i="2"/>
  <c r="BX76" i="3" s="1"/>
  <c r="BR148" i="2"/>
  <c r="BP76" i="3" s="1"/>
  <c r="BJ148" i="2"/>
  <c r="BH76" i="3" s="1"/>
  <c r="BB148" i="2"/>
  <c r="AZ76" i="3" s="1"/>
  <c r="AT148" i="2"/>
  <c r="AR76" i="3" s="1"/>
  <c r="AL148" i="2"/>
  <c r="AJ76" i="3" s="1"/>
  <c r="AD148" i="2"/>
  <c r="AB76" i="3" s="1"/>
  <c r="V148" i="2"/>
  <c r="T76" i="3" s="1"/>
  <c r="CO148" i="2"/>
  <c r="CM76" i="3" s="1"/>
  <c r="CG148" i="2"/>
  <c r="CE76" i="3" s="1"/>
  <c r="BY148" i="2"/>
  <c r="BW76" i="3" s="1"/>
  <c r="BQ148" i="2"/>
  <c r="BI148" i="2"/>
  <c r="BG76" i="3" s="1"/>
  <c r="BA148" i="2"/>
  <c r="AY76" i="3" s="1"/>
  <c r="AS148" i="2"/>
  <c r="AQ76" i="3" s="1"/>
  <c r="AK148" i="2"/>
  <c r="AI76" i="3" s="1"/>
  <c r="AC148" i="2"/>
  <c r="AA76" i="3" s="1"/>
  <c r="U148" i="2"/>
  <c r="S76" i="3" s="1"/>
  <c r="CO84" i="3"/>
  <c r="CN84" i="3"/>
  <c r="F73" i="3"/>
  <c r="CN125" i="2"/>
  <c r="CL73" i="3" s="1"/>
  <c r="CF125" i="2"/>
  <c r="CD73" i="3" s="1"/>
  <c r="BX125" i="2"/>
  <c r="BV73" i="3" s="1"/>
  <c r="BP125" i="2"/>
  <c r="BH125" i="2"/>
  <c r="BF73" i="3" s="1"/>
  <c r="AZ125" i="2"/>
  <c r="AX73" i="3" s="1"/>
  <c r="AR125" i="2"/>
  <c r="AP73" i="3" s="1"/>
  <c r="AJ125" i="2"/>
  <c r="AH73" i="3" s="1"/>
  <c r="AB125" i="2"/>
  <c r="Z73" i="3" s="1"/>
  <c r="T125" i="2"/>
  <c r="R73" i="3" s="1"/>
  <c r="CM125" i="2"/>
  <c r="CK73" i="3" s="1"/>
  <c r="CE125" i="2"/>
  <c r="CC73" i="3" s="1"/>
  <c r="BW125" i="2"/>
  <c r="BU73" i="3" s="1"/>
  <c r="BO125" i="2"/>
  <c r="BM73" i="3" s="1"/>
  <c r="BG125" i="2"/>
  <c r="BE73" i="3" s="1"/>
  <c r="AY125" i="2"/>
  <c r="AW73" i="3" s="1"/>
  <c r="AQ125" i="2"/>
  <c r="AI125" i="2"/>
  <c r="AG73" i="3" s="1"/>
  <c r="AA125" i="2"/>
  <c r="Y73" i="3" s="1"/>
  <c r="S125" i="2"/>
  <c r="Q73" i="3" s="1"/>
  <c r="CL125" i="2"/>
  <c r="CJ73" i="3" s="1"/>
  <c r="CD125" i="2"/>
  <c r="CB73" i="3" s="1"/>
  <c r="BV125" i="2"/>
  <c r="BT73" i="3" s="1"/>
  <c r="BN125" i="2"/>
  <c r="BL73" i="3" s="1"/>
  <c r="BF125" i="2"/>
  <c r="BD73" i="3" s="1"/>
  <c r="AX125" i="2"/>
  <c r="AV73" i="3" s="1"/>
  <c r="AP125" i="2"/>
  <c r="AH125" i="2"/>
  <c r="AF73" i="3" s="1"/>
  <c r="Z125" i="2"/>
  <c r="X73" i="3" s="1"/>
  <c r="R125" i="2"/>
  <c r="P73" i="3" s="1"/>
  <c r="J125" i="2"/>
  <c r="H73" i="3" s="1"/>
  <c r="CQ125" i="2"/>
  <c r="CI125" i="2"/>
  <c r="CG73" i="3" s="1"/>
  <c r="CA125" i="2"/>
  <c r="BY73" i="3" s="1"/>
  <c r="BS125" i="2"/>
  <c r="BQ73" i="3" s="1"/>
  <c r="BK125" i="2"/>
  <c r="BI73" i="3" s="1"/>
  <c r="BC125" i="2"/>
  <c r="BA73" i="3" s="1"/>
  <c r="AU125" i="2"/>
  <c r="AS73" i="3" s="1"/>
  <c r="AM125" i="2"/>
  <c r="AK73" i="3" s="1"/>
  <c r="AE125" i="2"/>
  <c r="AC73" i="3" s="1"/>
  <c r="W125" i="2"/>
  <c r="U73" i="3" s="1"/>
  <c r="CP125" i="2"/>
  <c r="CH125" i="2"/>
  <c r="CF73" i="3" s="1"/>
  <c r="BZ125" i="2"/>
  <c r="BX73" i="3" s="1"/>
  <c r="BR125" i="2"/>
  <c r="BP73" i="3" s="1"/>
  <c r="BJ125" i="2"/>
  <c r="BH73" i="3" s="1"/>
  <c r="BB125" i="2"/>
  <c r="AZ73" i="3" s="1"/>
  <c r="AT125" i="2"/>
  <c r="AR73" i="3" s="1"/>
  <c r="AL125" i="2"/>
  <c r="AJ73" i="3" s="1"/>
  <c r="AD125" i="2"/>
  <c r="AB73" i="3" s="1"/>
  <c r="V125" i="2"/>
  <c r="T73" i="3" s="1"/>
  <c r="CJ125" i="2"/>
  <c r="CH73" i="3" s="1"/>
  <c r="BM125" i="2"/>
  <c r="BK73" i="3" s="1"/>
  <c r="AS125" i="2"/>
  <c r="AQ73" i="3" s="1"/>
  <c r="X125" i="2"/>
  <c r="V73" i="3" s="1"/>
  <c r="CG125" i="2"/>
  <c r="CE73" i="3" s="1"/>
  <c r="BL125" i="2"/>
  <c r="BJ73" i="3" s="1"/>
  <c r="AO125" i="2"/>
  <c r="AM73" i="3" s="1"/>
  <c r="U125" i="2"/>
  <c r="S73" i="3" s="1"/>
  <c r="CC125" i="2"/>
  <c r="CA73" i="3" s="1"/>
  <c r="BI125" i="2"/>
  <c r="BG73" i="3" s="1"/>
  <c r="AN125" i="2"/>
  <c r="AL73" i="3" s="1"/>
  <c r="CB125" i="2"/>
  <c r="BZ73" i="3" s="1"/>
  <c r="BE125" i="2"/>
  <c r="BC73" i="3" s="1"/>
  <c r="AK125" i="2"/>
  <c r="AI73" i="3" s="1"/>
  <c r="BY125" i="2"/>
  <c r="BW73" i="3" s="1"/>
  <c r="BD125" i="2"/>
  <c r="BB73" i="3" s="1"/>
  <c r="AG125" i="2"/>
  <c r="AE73" i="3" s="1"/>
  <c r="BU125" i="2"/>
  <c r="BS73" i="3" s="1"/>
  <c r="BA125" i="2"/>
  <c r="AY73" i="3" s="1"/>
  <c r="AF125" i="2"/>
  <c r="AD73" i="3" s="1"/>
  <c r="CO125" i="2"/>
  <c r="CM73" i="3" s="1"/>
  <c r="BT125" i="2"/>
  <c r="BR73" i="3" s="1"/>
  <c r="AW125" i="2"/>
  <c r="AU73" i="3" s="1"/>
  <c r="AC125" i="2"/>
  <c r="AA73" i="3" s="1"/>
  <c r="CK125" i="2"/>
  <c r="CI73" i="3" s="1"/>
  <c r="BQ125" i="2"/>
  <c r="AV125" i="2"/>
  <c r="AT73" i="3" s="1"/>
  <c r="Y125" i="2"/>
  <c r="W73" i="3" s="1"/>
  <c r="AO55" i="3"/>
  <c r="AN55" i="3"/>
  <c r="F70" i="3"/>
  <c r="CO122" i="2"/>
  <c r="CM70" i="3" s="1"/>
  <c r="CG122" i="2"/>
  <c r="CE70" i="3" s="1"/>
  <c r="BY122" i="2"/>
  <c r="BW70" i="3" s="1"/>
  <c r="BQ122" i="2"/>
  <c r="BI122" i="2"/>
  <c r="BG70" i="3" s="1"/>
  <c r="BA122" i="2"/>
  <c r="AY70" i="3" s="1"/>
  <c r="AS122" i="2"/>
  <c r="AQ70" i="3" s="1"/>
  <c r="AK122" i="2"/>
  <c r="AI70" i="3" s="1"/>
  <c r="AC122" i="2"/>
  <c r="AA70" i="3" s="1"/>
  <c r="U122" i="2"/>
  <c r="S70" i="3" s="1"/>
  <c r="CN122" i="2"/>
  <c r="CL70" i="3" s="1"/>
  <c r="CF122" i="2"/>
  <c r="CD70" i="3" s="1"/>
  <c r="BX122" i="2"/>
  <c r="BV70" i="3" s="1"/>
  <c r="BP122" i="2"/>
  <c r="BH122" i="2"/>
  <c r="BF70" i="3" s="1"/>
  <c r="AZ122" i="2"/>
  <c r="AX70" i="3" s="1"/>
  <c r="AR122" i="2"/>
  <c r="AP70" i="3" s="1"/>
  <c r="AJ122" i="2"/>
  <c r="AH70" i="3" s="1"/>
  <c r="AB122" i="2"/>
  <c r="Z70" i="3" s="1"/>
  <c r="T122" i="2"/>
  <c r="R70" i="3" s="1"/>
  <c r="CM122" i="2"/>
  <c r="CK70" i="3" s="1"/>
  <c r="CE122" i="2"/>
  <c r="CC70" i="3" s="1"/>
  <c r="BW122" i="2"/>
  <c r="BU70" i="3" s="1"/>
  <c r="BO122" i="2"/>
  <c r="BM70" i="3" s="1"/>
  <c r="BG122" i="2"/>
  <c r="BE70" i="3" s="1"/>
  <c r="AY122" i="2"/>
  <c r="AW70" i="3" s="1"/>
  <c r="AQ122" i="2"/>
  <c r="AI122" i="2"/>
  <c r="AG70" i="3" s="1"/>
  <c r="AA122" i="2"/>
  <c r="Y70" i="3" s="1"/>
  <c r="S122" i="2"/>
  <c r="Q70" i="3" s="1"/>
  <c r="CJ122" i="2"/>
  <c r="CH70" i="3" s="1"/>
  <c r="CB122" i="2"/>
  <c r="BZ70" i="3" s="1"/>
  <c r="BT122" i="2"/>
  <c r="BR70" i="3" s="1"/>
  <c r="BL122" i="2"/>
  <c r="BJ70" i="3" s="1"/>
  <c r="BD122" i="2"/>
  <c r="BB70" i="3" s="1"/>
  <c r="AV122" i="2"/>
  <c r="AT70" i="3" s="1"/>
  <c r="AN122" i="2"/>
  <c r="AL70" i="3" s="1"/>
  <c r="AF122" i="2"/>
  <c r="AD70" i="3" s="1"/>
  <c r="X122" i="2"/>
  <c r="V70" i="3" s="1"/>
  <c r="CQ122" i="2"/>
  <c r="CI122" i="2"/>
  <c r="CG70" i="3" s="1"/>
  <c r="CA122" i="2"/>
  <c r="BY70" i="3" s="1"/>
  <c r="BS122" i="2"/>
  <c r="BQ70" i="3" s="1"/>
  <c r="BK122" i="2"/>
  <c r="BI70" i="3" s="1"/>
  <c r="BC122" i="2"/>
  <c r="BA70" i="3" s="1"/>
  <c r="AU122" i="2"/>
  <c r="AS70" i="3" s="1"/>
  <c r="AM122" i="2"/>
  <c r="AK70" i="3" s="1"/>
  <c r="AE122" i="2"/>
  <c r="AC70" i="3" s="1"/>
  <c r="W122" i="2"/>
  <c r="U70" i="3" s="1"/>
  <c r="CK122" i="2"/>
  <c r="CI70" i="3" s="1"/>
  <c r="BN122" i="2"/>
  <c r="BL70" i="3" s="1"/>
  <c r="AT122" i="2"/>
  <c r="AR70" i="3" s="1"/>
  <c r="Y122" i="2"/>
  <c r="W70" i="3" s="1"/>
  <c r="CH122" i="2"/>
  <c r="CF70" i="3" s="1"/>
  <c r="BM122" i="2"/>
  <c r="BK70" i="3" s="1"/>
  <c r="AP122" i="2"/>
  <c r="V122" i="2"/>
  <c r="T70" i="3" s="1"/>
  <c r="CD122" i="2"/>
  <c r="CB70" i="3" s="1"/>
  <c r="BJ122" i="2"/>
  <c r="BH70" i="3" s="1"/>
  <c r="AO122" i="2"/>
  <c r="AM70" i="3" s="1"/>
  <c r="R122" i="2"/>
  <c r="P70" i="3" s="1"/>
  <c r="CC122" i="2"/>
  <c r="CA70" i="3" s="1"/>
  <c r="BF122" i="2"/>
  <c r="BD70" i="3" s="1"/>
  <c r="AL122" i="2"/>
  <c r="AJ70" i="3" s="1"/>
  <c r="BZ122" i="2"/>
  <c r="BX70" i="3" s="1"/>
  <c r="BE122" i="2"/>
  <c r="BC70" i="3" s="1"/>
  <c r="AH122" i="2"/>
  <c r="AF70" i="3" s="1"/>
  <c r="BV122" i="2"/>
  <c r="BT70" i="3" s="1"/>
  <c r="BB122" i="2"/>
  <c r="AZ70" i="3" s="1"/>
  <c r="AG122" i="2"/>
  <c r="AE70" i="3" s="1"/>
  <c r="CP122" i="2"/>
  <c r="BU122" i="2"/>
  <c r="BS70" i="3" s="1"/>
  <c r="AX122" i="2"/>
  <c r="AV70" i="3" s="1"/>
  <c r="AD122" i="2"/>
  <c r="AB70" i="3" s="1"/>
  <c r="J122" i="2"/>
  <c r="H70" i="3" s="1"/>
  <c r="CL122" i="2"/>
  <c r="CJ70" i="3" s="1"/>
  <c r="BR122" i="2"/>
  <c r="BP70" i="3" s="1"/>
  <c r="AW122" i="2"/>
  <c r="AU70" i="3" s="1"/>
  <c r="Z122" i="2"/>
  <c r="X70" i="3" s="1"/>
  <c r="BO92" i="3"/>
  <c r="BN92" i="3"/>
  <c r="CO58" i="3"/>
  <c r="CN58" i="3"/>
  <c r="E61" i="3"/>
  <c r="M113" i="2"/>
  <c r="K61" i="3" s="1"/>
  <c r="L113" i="2"/>
  <c r="J61" i="3" s="1"/>
  <c r="P113" i="2"/>
  <c r="O113" i="2"/>
  <c r="M61" i="3" s="1"/>
  <c r="V51" i="3"/>
  <c r="U51" i="3"/>
  <c r="CA51" i="3"/>
  <c r="BD51" i="3"/>
  <c r="AP51" i="3"/>
  <c r="AA51" i="3"/>
  <c r="CM51" i="3"/>
  <c r="BX51" i="3"/>
  <c r="E48" i="3"/>
  <c r="L80" i="2"/>
  <c r="J48" i="3" s="1"/>
  <c r="P80" i="2"/>
  <c r="O80" i="2"/>
  <c r="M48" i="3" s="1"/>
  <c r="M80" i="2"/>
  <c r="K48" i="3" s="1"/>
  <c r="CN46" i="3"/>
  <c r="CO46" i="3"/>
  <c r="F36" i="3"/>
  <c r="CL68" i="2"/>
  <c r="CJ36" i="3" s="1"/>
  <c r="CD68" i="2"/>
  <c r="CB36" i="3" s="1"/>
  <c r="BV68" i="2"/>
  <c r="BT36" i="3" s="1"/>
  <c r="BN68" i="2"/>
  <c r="BL36" i="3" s="1"/>
  <c r="BF68" i="2"/>
  <c r="BD36" i="3" s="1"/>
  <c r="AX68" i="2"/>
  <c r="AV36" i="3" s="1"/>
  <c r="AP68" i="2"/>
  <c r="AH68" i="2"/>
  <c r="AF36" i="3" s="1"/>
  <c r="Z68" i="2"/>
  <c r="X36" i="3" s="1"/>
  <c r="R68" i="2"/>
  <c r="P36" i="3" s="1"/>
  <c r="J68" i="2"/>
  <c r="H36" i="3" s="1"/>
  <c r="CK68" i="2"/>
  <c r="CI36" i="3" s="1"/>
  <c r="CC68" i="2"/>
  <c r="CA36" i="3" s="1"/>
  <c r="BU68" i="2"/>
  <c r="BS36" i="3" s="1"/>
  <c r="BM68" i="2"/>
  <c r="BK36" i="3" s="1"/>
  <c r="BE68" i="2"/>
  <c r="BC36" i="3" s="1"/>
  <c r="AW68" i="2"/>
  <c r="AU36" i="3" s="1"/>
  <c r="AO68" i="2"/>
  <c r="AM36" i="3" s="1"/>
  <c r="AG68" i="2"/>
  <c r="AE36" i="3" s="1"/>
  <c r="Y68" i="2"/>
  <c r="W36" i="3" s="1"/>
  <c r="CJ68" i="2"/>
  <c r="CH36" i="3" s="1"/>
  <c r="CB68" i="2"/>
  <c r="BZ36" i="3" s="1"/>
  <c r="BT68" i="2"/>
  <c r="BR36" i="3" s="1"/>
  <c r="BL68" i="2"/>
  <c r="BJ36" i="3" s="1"/>
  <c r="BD68" i="2"/>
  <c r="BB36" i="3" s="1"/>
  <c r="AV68" i="2"/>
  <c r="AT36" i="3" s="1"/>
  <c r="AN68" i="2"/>
  <c r="AL36" i="3" s="1"/>
  <c r="AF68" i="2"/>
  <c r="AD36" i="3" s="1"/>
  <c r="X68" i="2"/>
  <c r="V36" i="3" s="1"/>
  <c r="CQ68" i="2"/>
  <c r="CI68" i="2"/>
  <c r="CG36" i="3" s="1"/>
  <c r="CA68" i="2"/>
  <c r="BY36" i="3" s="1"/>
  <c r="BS68" i="2"/>
  <c r="BQ36" i="3" s="1"/>
  <c r="BK68" i="2"/>
  <c r="BI36" i="3" s="1"/>
  <c r="BC68" i="2"/>
  <c r="BA36" i="3" s="1"/>
  <c r="AU68" i="2"/>
  <c r="AS36" i="3" s="1"/>
  <c r="AM68" i="2"/>
  <c r="AK36" i="3" s="1"/>
  <c r="AE68" i="2"/>
  <c r="AC36" i="3" s="1"/>
  <c r="W68" i="2"/>
  <c r="U36" i="3" s="1"/>
  <c r="CP68" i="2"/>
  <c r="CH68" i="2"/>
  <c r="CF36" i="3" s="1"/>
  <c r="BZ68" i="2"/>
  <c r="BX36" i="3" s="1"/>
  <c r="BR68" i="2"/>
  <c r="BP36" i="3" s="1"/>
  <c r="BJ68" i="2"/>
  <c r="BH36" i="3" s="1"/>
  <c r="BB68" i="2"/>
  <c r="AZ36" i="3" s="1"/>
  <c r="AT68" i="2"/>
  <c r="AR36" i="3" s="1"/>
  <c r="AL68" i="2"/>
  <c r="AJ36" i="3" s="1"/>
  <c r="AD68" i="2"/>
  <c r="AB36" i="3" s="1"/>
  <c r="V68" i="2"/>
  <c r="T36" i="3" s="1"/>
  <c r="CO68" i="2"/>
  <c r="CM36" i="3" s="1"/>
  <c r="CG68" i="2"/>
  <c r="CE36" i="3" s="1"/>
  <c r="BY68" i="2"/>
  <c r="BW36" i="3" s="1"/>
  <c r="BQ68" i="2"/>
  <c r="BI68" i="2"/>
  <c r="BG36" i="3" s="1"/>
  <c r="BA68" i="2"/>
  <c r="AY36" i="3" s="1"/>
  <c r="AS68" i="2"/>
  <c r="AQ36" i="3" s="1"/>
  <c r="AK68" i="2"/>
  <c r="AI36" i="3" s="1"/>
  <c r="AC68" i="2"/>
  <c r="AA36" i="3" s="1"/>
  <c r="U68" i="2"/>
  <c r="S36" i="3" s="1"/>
  <c r="CN68" i="2"/>
  <c r="CL36" i="3" s="1"/>
  <c r="CF68" i="2"/>
  <c r="CD36" i="3" s="1"/>
  <c r="BX68" i="2"/>
  <c r="BV36" i="3" s="1"/>
  <c r="BP68" i="2"/>
  <c r="BH68" i="2"/>
  <c r="BF36" i="3" s="1"/>
  <c r="AZ68" i="2"/>
  <c r="AX36" i="3" s="1"/>
  <c r="AR68" i="2"/>
  <c r="AP36" i="3" s="1"/>
  <c r="AJ68" i="2"/>
  <c r="AH36" i="3" s="1"/>
  <c r="AB68" i="2"/>
  <c r="Z36" i="3" s="1"/>
  <c r="T68" i="2"/>
  <c r="R36" i="3" s="1"/>
  <c r="CM68" i="2"/>
  <c r="CK36" i="3" s="1"/>
  <c r="CE68" i="2"/>
  <c r="CC36" i="3" s="1"/>
  <c r="BW68" i="2"/>
  <c r="BU36" i="3" s="1"/>
  <c r="BO68" i="2"/>
  <c r="BM36" i="3" s="1"/>
  <c r="BG68" i="2"/>
  <c r="BE36" i="3" s="1"/>
  <c r="AY68" i="2"/>
  <c r="AW36" i="3" s="1"/>
  <c r="AQ68" i="2"/>
  <c r="AI68" i="2"/>
  <c r="AG36" i="3" s="1"/>
  <c r="AA68" i="2"/>
  <c r="Y36" i="3" s="1"/>
  <c r="S68" i="2"/>
  <c r="Q36" i="3" s="1"/>
  <c r="F25" i="3"/>
  <c r="CL36" i="2"/>
  <c r="CJ25" i="3" s="1"/>
  <c r="CD36" i="2"/>
  <c r="CB25" i="3" s="1"/>
  <c r="BV36" i="2"/>
  <c r="BT25" i="3" s="1"/>
  <c r="BN36" i="2"/>
  <c r="BL25" i="3" s="1"/>
  <c r="BF36" i="2"/>
  <c r="BD25" i="3" s="1"/>
  <c r="AX36" i="2"/>
  <c r="AV25" i="3" s="1"/>
  <c r="AP36" i="2"/>
  <c r="AH36" i="2"/>
  <c r="AF25" i="3" s="1"/>
  <c r="Z36" i="2"/>
  <c r="X25" i="3" s="1"/>
  <c r="R36" i="2"/>
  <c r="P25" i="3" s="1"/>
  <c r="J36" i="2"/>
  <c r="H25" i="3" s="1"/>
  <c r="CK36" i="2"/>
  <c r="CI25" i="3" s="1"/>
  <c r="CC36" i="2"/>
  <c r="CA25" i="3" s="1"/>
  <c r="BU36" i="2"/>
  <c r="BS25" i="3" s="1"/>
  <c r="BM36" i="2"/>
  <c r="BK25" i="3" s="1"/>
  <c r="BE36" i="2"/>
  <c r="BC25" i="3" s="1"/>
  <c r="AW36" i="2"/>
  <c r="AU25" i="3" s="1"/>
  <c r="AO36" i="2"/>
  <c r="AM25" i="3" s="1"/>
  <c r="AG36" i="2"/>
  <c r="AE25" i="3" s="1"/>
  <c r="Y36" i="2"/>
  <c r="W25" i="3" s="1"/>
  <c r="CJ36" i="2"/>
  <c r="CH25" i="3" s="1"/>
  <c r="CB36" i="2"/>
  <c r="BZ25" i="3" s="1"/>
  <c r="BT36" i="2"/>
  <c r="BR25" i="3" s="1"/>
  <c r="BL36" i="2"/>
  <c r="BJ25" i="3" s="1"/>
  <c r="BD36" i="2"/>
  <c r="BB25" i="3" s="1"/>
  <c r="AV36" i="2"/>
  <c r="AT25" i="3" s="1"/>
  <c r="AN36" i="2"/>
  <c r="AL25" i="3" s="1"/>
  <c r="AF36" i="2"/>
  <c r="AD25" i="3" s="1"/>
  <c r="X36" i="2"/>
  <c r="V25" i="3" s="1"/>
  <c r="CQ36" i="2"/>
  <c r="CI36" i="2"/>
  <c r="CG25" i="3" s="1"/>
  <c r="CA36" i="2"/>
  <c r="BY25" i="3" s="1"/>
  <c r="BS36" i="2"/>
  <c r="BQ25" i="3" s="1"/>
  <c r="BK36" i="2"/>
  <c r="BI25" i="3" s="1"/>
  <c r="BC36" i="2"/>
  <c r="BA25" i="3" s="1"/>
  <c r="AU36" i="2"/>
  <c r="AS25" i="3" s="1"/>
  <c r="AM36" i="2"/>
  <c r="AK25" i="3" s="1"/>
  <c r="AE36" i="2"/>
  <c r="AC25" i="3" s="1"/>
  <c r="W36" i="2"/>
  <c r="U25" i="3" s="1"/>
  <c r="CN36" i="2"/>
  <c r="CL25" i="3" s="1"/>
  <c r="CF36" i="2"/>
  <c r="CD25" i="3" s="1"/>
  <c r="BX36" i="2"/>
  <c r="BV25" i="3" s="1"/>
  <c r="BP36" i="2"/>
  <c r="BH36" i="2"/>
  <c r="BF25" i="3" s="1"/>
  <c r="AZ36" i="2"/>
  <c r="AX25" i="3" s="1"/>
  <c r="AR36" i="2"/>
  <c r="AP25" i="3" s="1"/>
  <c r="AJ36" i="2"/>
  <c r="AH25" i="3" s="1"/>
  <c r="AB36" i="2"/>
  <c r="Z25" i="3" s="1"/>
  <c r="T36" i="2"/>
  <c r="R25" i="3" s="1"/>
  <c r="CM36" i="2"/>
  <c r="CK25" i="3" s="1"/>
  <c r="CE36" i="2"/>
  <c r="CC25" i="3" s="1"/>
  <c r="BW36" i="2"/>
  <c r="BU25" i="3" s="1"/>
  <c r="BO36" i="2"/>
  <c r="BM25" i="3" s="1"/>
  <c r="BG36" i="2"/>
  <c r="BE25" i="3" s="1"/>
  <c r="AY36" i="2"/>
  <c r="AW25" i="3" s="1"/>
  <c r="AQ36" i="2"/>
  <c r="AI36" i="2"/>
  <c r="AG25" i="3" s="1"/>
  <c r="AA36" i="2"/>
  <c r="Y25" i="3" s="1"/>
  <c r="S36" i="2"/>
  <c r="Q25" i="3" s="1"/>
  <c r="BQ36" i="2"/>
  <c r="AK36" i="2"/>
  <c r="AI25" i="3" s="1"/>
  <c r="CP36" i="2"/>
  <c r="BJ36" i="2"/>
  <c r="BH25" i="3" s="1"/>
  <c r="AD36" i="2"/>
  <c r="AB25" i="3" s="1"/>
  <c r="CO36" i="2"/>
  <c r="CM25" i="3" s="1"/>
  <c r="BI36" i="2"/>
  <c r="BG25" i="3" s="1"/>
  <c r="AC36" i="2"/>
  <c r="AA25" i="3" s="1"/>
  <c r="CH36" i="2"/>
  <c r="CF25" i="3" s="1"/>
  <c r="BB36" i="2"/>
  <c r="AZ25" i="3" s="1"/>
  <c r="V36" i="2"/>
  <c r="T25" i="3" s="1"/>
  <c r="BR36" i="2"/>
  <c r="BP25" i="3" s="1"/>
  <c r="CG36" i="2"/>
  <c r="CE25" i="3" s="1"/>
  <c r="BA36" i="2"/>
  <c r="AY25" i="3" s="1"/>
  <c r="U36" i="2"/>
  <c r="S25" i="3" s="1"/>
  <c r="BZ36" i="2"/>
  <c r="BX25" i="3" s="1"/>
  <c r="AT36" i="2"/>
  <c r="AR25" i="3" s="1"/>
  <c r="BY36" i="2"/>
  <c r="BW25" i="3" s="1"/>
  <c r="AS36" i="2"/>
  <c r="AQ25" i="3" s="1"/>
  <c r="AL36" i="2"/>
  <c r="AJ25" i="3" s="1"/>
  <c r="BO46" i="3"/>
  <c r="BN46" i="3"/>
  <c r="F33" i="3"/>
  <c r="CM65" i="2"/>
  <c r="CK33" i="3" s="1"/>
  <c r="CE65" i="2"/>
  <c r="CC33" i="3" s="1"/>
  <c r="BW65" i="2"/>
  <c r="BU33" i="3" s="1"/>
  <c r="BO65" i="2"/>
  <c r="BM33" i="3" s="1"/>
  <c r="BG65" i="2"/>
  <c r="BE33" i="3" s="1"/>
  <c r="AY65" i="2"/>
  <c r="AW33" i="3" s="1"/>
  <c r="AQ65" i="2"/>
  <c r="AI65" i="2"/>
  <c r="AG33" i="3" s="1"/>
  <c r="AA65" i="2"/>
  <c r="Y33" i="3" s="1"/>
  <c r="S65" i="2"/>
  <c r="Q33" i="3" s="1"/>
  <c r="CL65" i="2"/>
  <c r="CJ33" i="3" s="1"/>
  <c r="CD65" i="2"/>
  <c r="CB33" i="3" s="1"/>
  <c r="BV65" i="2"/>
  <c r="BT33" i="3" s="1"/>
  <c r="BN65" i="2"/>
  <c r="BL33" i="3" s="1"/>
  <c r="BF65" i="2"/>
  <c r="BD33" i="3" s="1"/>
  <c r="AX65" i="2"/>
  <c r="AV33" i="3" s="1"/>
  <c r="AP65" i="2"/>
  <c r="AH65" i="2"/>
  <c r="AF33" i="3" s="1"/>
  <c r="Z65" i="2"/>
  <c r="X33" i="3" s="1"/>
  <c r="R65" i="2"/>
  <c r="P33" i="3" s="1"/>
  <c r="J65" i="2"/>
  <c r="H33" i="3" s="1"/>
  <c r="CK65" i="2"/>
  <c r="CI33" i="3" s="1"/>
  <c r="CC65" i="2"/>
  <c r="CA33" i="3" s="1"/>
  <c r="BU65" i="2"/>
  <c r="BS33" i="3" s="1"/>
  <c r="BM65" i="2"/>
  <c r="BK33" i="3" s="1"/>
  <c r="BE65" i="2"/>
  <c r="BC33" i="3" s="1"/>
  <c r="AW65" i="2"/>
  <c r="AU33" i="3" s="1"/>
  <c r="AO65" i="2"/>
  <c r="AM33" i="3" s="1"/>
  <c r="AG65" i="2"/>
  <c r="AE33" i="3" s="1"/>
  <c r="Y65" i="2"/>
  <c r="W33" i="3" s="1"/>
  <c r="CJ65" i="2"/>
  <c r="CH33" i="3" s="1"/>
  <c r="CB65" i="2"/>
  <c r="BZ33" i="3" s="1"/>
  <c r="BT65" i="2"/>
  <c r="BR33" i="3" s="1"/>
  <c r="BL65" i="2"/>
  <c r="BJ33" i="3" s="1"/>
  <c r="BD65" i="2"/>
  <c r="BB33" i="3" s="1"/>
  <c r="AV65" i="2"/>
  <c r="AT33" i="3" s="1"/>
  <c r="AN65" i="2"/>
  <c r="AL33" i="3" s="1"/>
  <c r="AF65" i="2"/>
  <c r="AD33" i="3" s="1"/>
  <c r="X65" i="2"/>
  <c r="V33" i="3" s="1"/>
  <c r="CQ65" i="2"/>
  <c r="CI65" i="2"/>
  <c r="CG33" i="3" s="1"/>
  <c r="CA65" i="2"/>
  <c r="BY33" i="3" s="1"/>
  <c r="BS65" i="2"/>
  <c r="BQ33" i="3" s="1"/>
  <c r="BK65" i="2"/>
  <c r="BI33" i="3" s="1"/>
  <c r="BC65" i="2"/>
  <c r="BA33" i="3" s="1"/>
  <c r="AU65" i="2"/>
  <c r="AS33" i="3" s="1"/>
  <c r="AM65" i="2"/>
  <c r="AK33" i="3" s="1"/>
  <c r="AE65" i="2"/>
  <c r="AC33" i="3" s="1"/>
  <c r="W65" i="2"/>
  <c r="U33" i="3" s="1"/>
  <c r="CP65" i="2"/>
  <c r="CH65" i="2"/>
  <c r="CF33" i="3" s="1"/>
  <c r="CO65" i="2"/>
  <c r="CM33" i="3" s="1"/>
  <c r="CG65" i="2"/>
  <c r="CE33" i="3" s="1"/>
  <c r="BY65" i="2"/>
  <c r="BW33" i="3" s="1"/>
  <c r="BQ65" i="2"/>
  <c r="BI65" i="2"/>
  <c r="BG33" i="3" s="1"/>
  <c r="BA65" i="2"/>
  <c r="AY33" i="3" s="1"/>
  <c r="AS65" i="2"/>
  <c r="AQ33" i="3" s="1"/>
  <c r="AK65" i="2"/>
  <c r="AI33" i="3" s="1"/>
  <c r="AC65" i="2"/>
  <c r="AA33" i="3" s="1"/>
  <c r="U65" i="2"/>
  <c r="S33" i="3" s="1"/>
  <c r="CN65" i="2"/>
  <c r="CL33" i="3" s="1"/>
  <c r="CF65" i="2"/>
  <c r="CD33" i="3" s="1"/>
  <c r="BX65" i="2"/>
  <c r="BV33" i="3" s="1"/>
  <c r="BP65" i="2"/>
  <c r="BH65" i="2"/>
  <c r="BF33" i="3" s="1"/>
  <c r="AZ65" i="2"/>
  <c r="AX33" i="3" s="1"/>
  <c r="AR65" i="2"/>
  <c r="AP33" i="3" s="1"/>
  <c r="AJ65" i="2"/>
  <c r="AH33" i="3" s="1"/>
  <c r="AB65" i="2"/>
  <c r="Z33" i="3" s="1"/>
  <c r="T65" i="2"/>
  <c r="R33" i="3" s="1"/>
  <c r="AL65" i="2"/>
  <c r="AJ33" i="3" s="1"/>
  <c r="AD65" i="2"/>
  <c r="AB33" i="3" s="1"/>
  <c r="V65" i="2"/>
  <c r="T33" i="3" s="1"/>
  <c r="BZ65" i="2"/>
  <c r="BX33" i="3" s="1"/>
  <c r="AT65" i="2"/>
  <c r="AR33" i="3" s="1"/>
  <c r="BR65" i="2"/>
  <c r="BP33" i="3" s="1"/>
  <c r="BJ65" i="2"/>
  <c r="BH33" i="3" s="1"/>
  <c r="BB65" i="2"/>
  <c r="AZ33" i="3" s="1"/>
  <c r="O41" i="3"/>
  <c r="N41" i="3"/>
  <c r="N71" i="3"/>
  <c r="O71" i="3"/>
  <c r="CO38" i="3"/>
  <c r="CN38" i="3"/>
  <c r="AO57" i="3"/>
  <c r="AN57" i="3"/>
  <c r="CO50" i="3"/>
  <c r="CN50" i="3"/>
  <c r="BO60" i="3"/>
  <c r="BN60" i="3"/>
  <c r="E53" i="3"/>
  <c r="P105" i="2"/>
  <c r="O105" i="2"/>
  <c r="M53" i="3" s="1"/>
  <c r="L105" i="2"/>
  <c r="J53" i="3" s="1"/>
  <c r="M105" i="2"/>
  <c r="K53" i="3" s="1"/>
  <c r="CH5" i="3"/>
  <c r="V5" i="3"/>
  <c r="F21" i="3"/>
  <c r="CL32" i="2"/>
  <c r="CJ21" i="3" s="1"/>
  <c r="CD32" i="2"/>
  <c r="CB21" i="3" s="1"/>
  <c r="BV32" i="2"/>
  <c r="BT21" i="3" s="1"/>
  <c r="BN32" i="2"/>
  <c r="BL21" i="3" s="1"/>
  <c r="BF32" i="2"/>
  <c r="BD21" i="3" s="1"/>
  <c r="AX32" i="2"/>
  <c r="AV21" i="3" s="1"/>
  <c r="AP32" i="2"/>
  <c r="AH32" i="2"/>
  <c r="AF21" i="3" s="1"/>
  <c r="Z32" i="2"/>
  <c r="X21" i="3" s="1"/>
  <c r="R32" i="2"/>
  <c r="P21" i="3" s="1"/>
  <c r="J32" i="2"/>
  <c r="H21" i="3" s="1"/>
  <c r="CK32" i="2"/>
  <c r="CI21" i="3" s="1"/>
  <c r="CC32" i="2"/>
  <c r="CA21" i="3" s="1"/>
  <c r="BU32" i="2"/>
  <c r="BS21" i="3" s="1"/>
  <c r="BM32" i="2"/>
  <c r="BK21" i="3" s="1"/>
  <c r="BE32" i="2"/>
  <c r="BC21" i="3" s="1"/>
  <c r="AW32" i="2"/>
  <c r="AU21" i="3" s="1"/>
  <c r="AO32" i="2"/>
  <c r="AM21" i="3" s="1"/>
  <c r="AG32" i="2"/>
  <c r="AE21" i="3" s="1"/>
  <c r="Y32" i="2"/>
  <c r="W21" i="3" s="1"/>
  <c r="CJ32" i="2"/>
  <c r="CH21" i="3" s="1"/>
  <c r="CB32" i="2"/>
  <c r="BZ21" i="3" s="1"/>
  <c r="BT32" i="2"/>
  <c r="BR21" i="3" s="1"/>
  <c r="BL32" i="2"/>
  <c r="BJ21" i="3" s="1"/>
  <c r="BD32" i="2"/>
  <c r="BB21" i="3" s="1"/>
  <c r="AV32" i="2"/>
  <c r="AT21" i="3" s="1"/>
  <c r="AN32" i="2"/>
  <c r="AL21" i="3" s="1"/>
  <c r="AF32" i="2"/>
  <c r="AD21" i="3" s="1"/>
  <c r="X32" i="2"/>
  <c r="V21" i="3" s="1"/>
  <c r="CQ32" i="2"/>
  <c r="CI32" i="2"/>
  <c r="CG21" i="3" s="1"/>
  <c r="CA32" i="2"/>
  <c r="BY21" i="3" s="1"/>
  <c r="BS32" i="2"/>
  <c r="BQ21" i="3" s="1"/>
  <c r="BK32" i="2"/>
  <c r="BI21" i="3" s="1"/>
  <c r="BC32" i="2"/>
  <c r="BA21" i="3" s="1"/>
  <c r="AU32" i="2"/>
  <c r="AS21" i="3" s="1"/>
  <c r="AM32" i="2"/>
  <c r="AK21" i="3" s="1"/>
  <c r="AE32" i="2"/>
  <c r="AC21" i="3" s="1"/>
  <c r="W32" i="2"/>
  <c r="U21" i="3" s="1"/>
  <c r="CE32" i="2"/>
  <c r="CC21" i="3" s="1"/>
  <c r="BO32" i="2"/>
  <c r="BM21" i="3" s="1"/>
  <c r="AY32" i="2"/>
  <c r="AW21" i="3" s="1"/>
  <c r="AI32" i="2"/>
  <c r="AG21" i="3" s="1"/>
  <c r="S32" i="2"/>
  <c r="Q21" i="3" s="1"/>
  <c r="CP32" i="2"/>
  <c r="BZ32" i="2"/>
  <c r="BX21" i="3" s="1"/>
  <c r="BJ32" i="2"/>
  <c r="BH21" i="3" s="1"/>
  <c r="AT32" i="2"/>
  <c r="AR21" i="3" s="1"/>
  <c r="AD32" i="2"/>
  <c r="AB21" i="3" s="1"/>
  <c r="CO32" i="2"/>
  <c r="CM21" i="3" s="1"/>
  <c r="BY32" i="2"/>
  <c r="BW21" i="3" s="1"/>
  <c r="BI32" i="2"/>
  <c r="BG21" i="3" s="1"/>
  <c r="AS32" i="2"/>
  <c r="AQ21" i="3" s="1"/>
  <c r="AC32" i="2"/>
  <c r="AA21" i="3" s="1"/>
  <c r="CN32" i="2"/>
  <c r="CL21" i="3" s="1"/>
  <c r="BX32" i="2"/>
  <c r="BV21" i="3" s="1"/>
  <c r="BH32" i="2"/>
  <c r="BF21" i="3" s="1"/>
  <c r="AR32" i="2"/>
  <c r="AP21" i="3" s="1"/>
  <c r="AB32" i="2"/>
  <c r="Z21" i="3" s="1"/>
  <c r="AJ32" i="2"/>
  <c r="AH21" i="3" s="1"/>
  <c r="CM32" i="2"/>
  <c r="CK21" i="3" s="1"/>
  <c r="BW32" i="2"/>
  <c r="BU21" i="3" s="1"/>
  <c r="BG32" i="2"/>
  <c r="BE21" i="3" s="1"/>
  <c r="AQ32" i="2"/>
  <c r="AA32" i="2"/>
  <c r="Y21" i="3" s="1"/>
  <c r="CH32" i="2"/>
  <c r="CF21" i="3" s="1"/>
  <c r="BR32" i="2"/>
  <c r="BP21" i="3" s="1"/>
  <c r="BB32" i="2"/>
  <c r="AZ21" i="3" s="1"/>
  <c r="AL32" i="2"/>
  <c r="AJ21" i="3" s="1"/>
  <c r="V32" i="2"/>
  <c r="T21" i="3" s="1"/>
  <c r="BP32" i="2"/>
  <c r="T32" i="2"/>
  <c r="R21" i="3" s="1"/>
  <c r="CG32" i="2"/>
  <c r="CE21" i="3" s="1"/>
  <c r="BQ32" i="2"/>
  <c r="BA32" i="2"/>
  <c r="AY21" i="3" s="1"/>
  <c r="AK32" i="2"/>
  <c r="AI21" i="3" s="1"/>
  <c r="U32" i="2"/>
  <c r="S21" i="3" s="1"/>
  <c r="CF32" i="2"/>
  <c r="CD21" i="3" s="1"/>
  <c r="AZ32" i="2"/>
  <c r="AX21" i="3" s="1"/>
  <c r="AS5" i="3"/>
  <c r="AZ5" i="3"/>
  <c r="N32" i="3"/>
  <c r="O32" i="3"/>
  <c r="CE5" i="3"/>
  <c r="S5" i="3"/>
  <c r="F14" i="3"/>
  <c r="CN25" i="2"/>
  <c r="CL14" i="3" s="1"/>
  <c r="CF25" i="2"/>
  <c r="CD14" i="3" s="1"/>
  <c r="BX25" i="2"/>
  <c r="BV14" i="3" s="1"/>
  <c r="BP25" i="2"/>
  <c r="BH25" i="2"/>
  <c r="BF14" i="3" s="1"/>
  <c r="AZ25" i="2"/>
  <c r="AX14" i="3" s="1"/>
  <c r="AR25" i="2"/>
  <c r="AP14" i="3" s="1"/>
  <c r="AJ25" i="2"/>
  <c r="AH14" i="3" s="1"/>
  <c r="AB25" i="2"/>
  <c r="Z14" i="3" s="1"/>
  <c r="T25" i="2"/>
  <c r="R14" i="3" s="1"/>
  <c r="CM25" i="2"/>
  <c r="CK14" i="3" s="1"/>
  <c r="CE25" i="2"/>
  <c r="CC14" i="3" s="1"/>
  <c r="BW25" i="2"/>
  <c r="BU14" i="3" s="1"/>
  <c r="BO25" i="2"/>
  <c r="BM14" i="3" s="1"/>
  <c r="BG25" i="2"/>
  <c r="BE14" i="3" s="1"/>
  <c r="AY25" i="2"/>
  <c r="AW14" i="3" s="1"/>
  <c r="AQ25" i="2"/>
  <c r="AI25" i="2"/>
  <c r="AG14" i="3" s="1"/>
  <c r="AA25" i="2"/>
  <c r="Y14" i="3" s="1"/>
  <c r="S25" i="2"/>
  <c r="Q14" i="3" s="1"/>
  <c r="CG25" i="2"/>
  <c r="CE14" i="3" s="1"/>
  <c r="CL25" i="2"/>
  <c r="CJ14" i="3" s="1"/>
  <c r="CD25" i="2"/>
  <c r="CB14" i="3" s="1"/>
  <c r="BV25" i="2"/>
  <c r="BT14" i="3" s="1"/>
  <c r="BN25" i="2"/>
  <c r="BL14" i="3" s="1"/>
  <c r="BF25" i="2"/>
  <c r="BD14" i="3" s="1"/>
  <c r="AX25" i="2"/>
  <c r="AV14" i="3" s="1"/>
  <c r="AP25" i="2"/>
  <c r="AH25" i="2"/>
  <c r="AF14" i="3" s="1"/>
  <c r="Z25" i="2"/>
  <c r="X14" i="3" s="1"/>
  <c r="R25" i="2"/>
  <c r="P14" i="3" s="1"/>
  <c r="J25" i="2"/>
  <c r="H14" i="3" s="1"/>
  <c r="CO25" i="2"/>
  <c r="CM14" i="3" s="1"/>
  <c r="AK25" i="2"/>
  <c r="AI14" i="3" s="1"/>
  <c r="CK25" i="2"/>
  <c r="CI14" i="3" s="1"/>
  <c r="CC25" i="2"/>
  <c r="CA14" i="3" s="1"/>
  <c r="BU25" i="2"/>
  <c r="BS14" i="3" s="1"/>
  <c r="BM25" i="2"/>
  <c r="BK14" i="3" s="1"/>
  <c r="BE25" i="2"/>
  <c r="BC14" i="3" s="1"/>
  <c r="AW25" i="2"/>
  <c r="AU14" i="3" s="1"/>
  <c r="AO25" i="2"/>
  <c r="AM14" i="3" s="1"/>
  <c r="AG25" i="2"/>
  <c r="AE14" i="3" s="1"/>
  <c r="Y25" i="2"/>
  <c r="W14" i="3" s="1"/>
  <c r="BQ25" i="2"/>
  <c r="BA25" i="2"/>
  <c r="AY14" i="3" s="1"/>
  <c r="AC25" i="2"/>
  <c r="AA14" i="3" s="1"/>
  <c r="CJ25" i="2"/>
  <c r="CH14" i="3" s="1"/>
  <c r="CB25" i="2"/>
  <c r="BZ14" i="3" s="1"/>
  <c r="BT25" i="2"/>
  <c r="BR14" i="3" s="1"/>
  <c r="BL25" i="2"/>
  <c r="BJ14" i="3" s="1"/>
  <c r="BD25" i="2"/>
  <c r="BB14" i="3" s="1"/>
  <c r="AV25" i="2"/>
  <c r="AT14" i="3" s="1"/>
  <c r="AN25" i="2"/>
  <c r="AL14" i="3" s="1"/>
  <c r="AF25" i="2"/>
  <c r="AD14" i="3" s="1"/>
  <c r="X25" i="2"/>
  <c r="V14" i="3" s="1"/>
  <c r="CQ25" i="2"/>
  <c r="CI25" i="2"/>
  <c r="CG14" i="3" s="1"/>
  <c r="CA25" i="2"/>
  <c r="BY14" i="3" s="1"/>
  <c r="BS25" i="2"/>
  <c r="BQ14" i="3" s="1"/>
  <c r="BK25" i="2"/>
  <c r="BI14" i="3" s="1"/>
  <c r="BC25" i="2"/>
  <c r="BA14" i="3" s="1"/>
  <c r="AU25" i="2"/>
  <c r="AS14" i="3" s="1"/>
  <c r="AM25" i="2"/>
  <c r="AK14" i="3" s="1"/>
  <c r="AE25" i="2"/>
  <c r="AC14" i="3" s="1"/>
  <c r="W25" i="2"/>
  <c r="U14" i="3" s="1"/>
  <c r="BY25" i="2"/>
  <c r="BW14" i="3" s="1"/>
  <c r="AS25" i="2"/>
  <c r="AQ14" i="3" s="1"/>
  <c r="CP25" i="2"/>
  <c r="CH25" i="2"/>
  <c r="CF14" i="3" s="1"/>
  <c r="BZ25" i="2"/>
  <c r="BX14" i="3" s="1"/>
  <c r="BR25" i="2"/>
  <c r="BP14" i="3" s="1"/>
  <c r="BJ25" i="2"/>
  <c r="BH14" i="3" s="1"/>
  <c r="BB25" i="2"/>
  <c r="AZ14" i="3" s="1"/>
  <c r="AT25" i="2"/>
  <c r="AR14" i="3" s="1"/>
  <c r="AL25" i="2"/>
  <c r="AJ14" i="3" s="1"/>
  <c r="AD25" i="2"/>
  <c r="AB14" i="3" s="1"/>
  <c r="V25" i="2"/>
  <c r="T14" i="3" s="1"/>
  <c r="BI25" i="2"/>
  <c r="BG14" i="3" s="1"/>
  <c r="U25" i="2"/>
  <c r="S14" i="3" s="1"/>
  <c r="BN5" i="3"/>
  <c r="BO5" i="3"/>
  <c r="E31" i="3"/>
  <c r="P63" i="2"/>
  <c r="O63" i="2"/>
  <c r="M31" i="3" s="1"/>
  <c r="M63" i="2"/>
  <c r="K31" i="3" s="1"/>
  <c r="L63" i="2"/>
  <c r="J31" i="3" s="1"/>
  <c r="CO24" i="3"/>
  <c r="CN24" i="3"/>
  <c r="CC5" i="3"/>
  <c r="Q5" i="3"/>
  <c r="E8" i="3"/>
  <c r="L19" i="2"/>
  <c r="J8" i="3" s="1"/>
  <c r="M19" i="2"/>
  <c r="K8" i="3" s="1"/>
  <c r="P19" i="2"/>
  <c r="O19" i="2"/>
  <c r="M8" i="3" s="1"/>
  <c r="AO5" i="3"/>
  <c r="AN5" i="3"/>
  <c r="CO26" i="3"/>
  <c r="CN26" i="3"/>
  <c r="CO11" i="3"/>
  <c r="CN11" i="3"/>
  <c r="CO7" i="3"/>
  <c r="CN7" i="3"/>
  <c r="N13" i="3"/>
  <c r="O13" i="3"/>
  <c r="BO20" i="3"/>
  <c r="BN20" i="3"/>
  <c r="BN13" i="3"/>
  <c r="BO13" i="3"/>
  <c r="BN9" i="3"/>
  <c r="BO9" i="3"/>
  <c r="CP39" i="2" l="1"/>
  <c r="BP126" i="2"/>
  <c r="CG126" i="2"/>
  <c r="AO32" i="3"/>
  <c r="AN32" i="3"/>
  <c r="BO98" i="3"/>
  <c r="BN98" i="3"/>
  <c r="AA39" i="2"/>
  <c r="BN126" i="2"/>
  <c r="O46" i="3"/>
  <c r="N46" i="3"/>
  <c r="CQ39" i="2"/>
  <c r="BO37" i="3"/>
  <c r="BN37" i="3"/>
  <c r="M51" i="3"/>
  <c r="O126" i="2"/>
  <c r="O127" i="2" s="1"/>
  <c r="M133" i="2" s="1"/>
  <c r="O133" i="2" s="1"/>
  <c r="BB126" i="2"/>
  <c r="AO37" i="3"/>
  <c r="AN37" i="3"/>
  <c r="O51" i="3"/>
  <c r="N51" i="3"/>
  <c r="P126" i="2"/>
  <c r="AQ39" i="2"/>
  <c r="BU126" i="2"/>
  <c r="N92" i="3"/>
  <c r="O92" i="3"/>
  <c r="BO55" i="3"/>
  <c r="BN55" i="3"/>
  <c r="P39" i="2"/>
  <c r="O5" i="3"/>
  <c r="N5" i="3"/>
  <c r="N120" i="3" s="1"/>
  <c r="M121" i="3" s="1"/>
  <c r="K128" i="3" s="1"/>
  <c r="M128" i="3" s="1"/>
  <c r="BQ39" i="2"/>
  <c r="BQ126" i="2"/>
  <c r="CP126" i="2"/>
  <c r="CQ126" i="2"/>
  <c r="AQ126" i="2"/>
  <c r="C119" i="3"/>
  <c r="AO126" i="2"/>
  <c r="AP126" i="2"/>
  <c r="N84" i="3"/>
  <c r="O84" i="3"/>
  <c r="O68" i="3"/>
  <c r="N68" i="3"/>
  <c r="BO71" i="3"/>
  <c r="BN71" i="3"/>
  <c r="CO100" i="3"/>
  <c r="CN100" i="3"/>
  <c r="M74" i="3"/>
  <c r="O169" i="2"/>
  <c r="O58" i="3"/>
  <c r="N58" i="3"/>
  <c r="AI39" i="2"/>
  <c r="BN113" i="3"/>
  <c r="BO113" i="3"/>
  <c r="O18" i="3"/>
  <c r="N18" i="3"/>
  <c r="BG39" i="2"/>
  <c r="BE28" i="3"/>
  <c r="BG83" i="2"/>
  <c r="BZ28" i="3"/>
  <c r="CB83" i="2"/>
  <c r="BO91" i="3"/>
  <c r="BN91" i="3"/>
  <c r="CH126" i="2"/>
  <c r="AX74" i="3"/>
  <c r="AZ169" i="2"/>
  <c r="AL97" i="3"/>
  <c r="AN212" i="2"/>
  <c r="S97" i="3"/>
  <c r="U212" i="2"/>
  <c r="AN81" i="3"/>
  <c r="AO81" i="3"/>
  <c r="BO126" i="2"/>
  <c r="AO87" i="3"/>
  <c r="AN87" i="3"/>
  <c r="AX39" i="2"/>
  <c r="AC39" i="2"/>
  <c r="BO43" i="3"/>
  <c r="BN43" i="3"/>
  <c r="CO27" i="3"/>
  <c r="CN27" i="3"/>
  <c r="N74" i="3"/>
  <c r="O74" i="3"/>
  <c r="P169" i="2"/>
  <c r="O76" i="3"/>
  <c r="N76" i="3"/>
  <c r="CO78" i="3"/>
  <c r="CN78" i="3"/>
  <c r="BO78" i="3"/>
  <c r="BN78" i="3"/>
  <c r="CN102" i="3"/>
  <c r="CO102" i="3"/>
  <c r="BO86" i="3"/>
  <c r="BN86" i="3"/>
  <c r="BY126" i="2"/>
  <c r="BF39" i="2"/>
  <c r="AO44" i="3"/>
  <c r="AN44" i="3"/>
  <c r="CB126" i="2"/>
  <c r="AS39" i="2"/>
  <c r="O47" i="3"/>
  <c r="N47" i="3"/>
  <c r="BE126" i="2"/>
  <c r="CN67" i="3"/>
  <c r="CO67" i="3"/>
  <c r="BO67" i="3"/>
  <c r="BN67" i="3"/>
  <c r="O89" i="3"/>
  <c r="N89" i="3"/>
  <c r="O80" i="3"/>
  <c r="N80" i="3"/>
  <c r="AN114" i="3"/>
  <c r="AO114" i="3"/>
  <c r="BO105" i="3"/>
  <c r="BN105" i="3"/>
  <c r="O106" i="3"/>
  <c r="N106" i="3"/>
  <c r="CO113" i="3"/>
  <c r="CN113" i="3"/>
  <c r="BO96" i="3"/>
  <c r="BN96" i="3"/>
  <c r="CO6" i="3"/>
  <c r="CN6" i="3"/>
  <c r="W6" i="3"/>
  <c r="Y39" i="2"/>
  <c r="CI6" i="3"/>
  <c r="CK39" i="2"/>
  <c r="N36" i="3"/>
  <c r="O36" i="3"/>
  <c r="AT126" i="2"/>
  <c r="Z126" i="2"/>
  <c r="CO119" i="3"/>
  <c r="CN119" i="3"/>
  <c r="CO77" i="3"/>
  <c r="CN77" i="3"/>
  <c r="BQ83" i="2"/>
  <c r="BX28" i="3"/>
  <c r="BZ83" i="2"/>
  <c r="BG28" i="3"/>
  <c r="BI83" i="2"/>
  <c r="BM28" i="3"/>
  <c r="BO83" i="2"/>
  <c r="AX28" i="3"/>
  <c r="AZ83" i="2"/>
  <c r="AK28" i="3"/>
  <c r="AM83" i="2"/>
  <c r="V28" i="3"/>
  <c r="X83" i="2"/>
  <c r="CH28" i="3"/>
  <c r="CJ83" i="2"/>
  <c r="CA28" i="3"/>
  <c r="CC83" i="2"/>
  <c r="BD28" i="3"/>
  <c r="BF83" i="2"/>
  <c r="BL39" i="2"/>
  <c r="AN91" i="3"/>
  <c r="AO91" i="3"/>
  <c r="AO75" i="3"/>
  <c r="AN75" i="3"/>
  <c r="AN117" i="3"/>
  <c r="AO117" i="3"/>
  <c r="BO10" i="3"/>
  <c r="BN10" i="3"/>
  <c r="AE39" i="2"/>
  <c r="BT39" i="2"/>
  <c r="AD126" i="2"/>
  <c r="J126" i="2"/>
  <c r="J130" i="2" s="1"/>
  <c r="AH39" i="2"/>
  <c r="CO12" i="3"/>
  <c r="CN12" i="3"/>
  <c r="AN12" i="3"/>
  <c r="AO12" i="3"/>
  <c r="BO12" i="3"/>
  <c r="BN12" i="3"/>
  <c r="BY39" i="2"/>
  <c r="CB39" i="2"/>
  <c r="O40" i="3"/>
  <c r="N40" i="3"/>
  <c r="AK52" i="3"/>
  <c r="AM126" i="2"/>
  <c r="AW52" i="3"/>
  <c r="AY126" i="2"/>
  <c r="CO48" i="3"/>
  <c r="CN48" i="3"/>
  <c r="O39" i="3"/>
  <c r="N39" i="3"/>
  <c r="AH74" i="3"/>
  <c r="AJ169" i="2"/>
  <c r="BI74" i="3"/>
  <c r="BK169" i="2"/>
  <c r="BO74" i="3"/>
  <c r="BN74" i="3"/>
  <c r="BP169" i="2"/>
  <c r="BR74" i="3"/>
  <c r="BT169" i="2"/>
  <c r="BQ169" i="2"/>
  <c r="AZ74" i="3"/>
  <c r="BB169" i="2"/>
  <c r="AM74" i="3"/>
  <c r="AO169" i="2"/>
  <c r="P74" i="3"/>
  <c r="R169" i="2"/>
  <c r="CB74" i="3"/>
  <c r="CD169" i="2"/>
  <c r="BM74" i="3"/>
  <c r="BO169" i="2"/>
  <c r="O56" i="3"/>
  <c r="N56" i="3"/>
  <c r="CO93" i="3"/>
  <c r="CN93" i="3"/>
  <c r="AO111" i="3"/>
  <c r="AN111" i="3"/>
  <c r="N114" i="3"/>
  <c r="O114" i="3"/>
  <c r="AV97" i="3"/>
  <c r="AX212" i="2"/>
  <c r="H97" i="3"/>
  <c r="J212" i="2"/>
  <c r="J216" i="2" s="1"/>
  <c r="BB97" i="3"/>
  <c r="BD212" i="2"/>
  <c r="Z97" i="3"/>
  <c r="AB212" i="2"/>
  <c r="BX97" i="3"/>
  <c r="BZ212" i="2"/>
  <c r="BQ97" i="3"/>
  <c r="BS212" i="2"/>
  <c r="BC97" i="3"/>
  <c r="BE212" i="2"/>
  <c r="AQ212" i="2"/>
  <c r="AA97" i="3"/>
  <c r="AC212" i="2"/>
  <c r="CM97" i="3"/>
  <c r="CO212" i="2"/>
  <c r="BN90" i="3"/>
  <c r="BO90" i="3"/>
  <c r="AO104" i="3"/>
  <c r="AN104" i="3"/>
  <c r="AN19" i="3"/>
  <c r="AO19" i="3"/>
  <c r="CQ83" i="2"/>
  <c r="AL74" i="3"/>
  <c r="AN169" i="2"/>
  <c r="H74" i="3"/>
  <c r="J169" i="2"/>
  <c r="J173" i="2" s="1"/>
  <c r="BI97" i="3"/>
  <c r="BK212" i="2"/>
  <c r="AU39" i="2"/>
  <c r="CO36" i="3"/>
  <c r="CN36" i="3"/>
  <c r="CO73" i="3"/>
  <c r="CN73" i="3"/>
  <c r="BN76" i="3"/>
  <c r="BO76" i="3"/>
  <c r="AO36" i="3"/>
  <c r="AN36" i="3"/>
  <c r="CO70" i="3"/>
  <c r="CN70" i="3"/>
  <c r="CO107" i="3"/>
  <c r="CN107" i="3"/>
  <c r="AF39" i="2"/>
  <c r="U126" i="2"/>
  <c r="AU126" i="2"/>
  <c r="J74" i="3"/>
  <c r="L169" i="2"/>
  <c r="J97" i="3"/>
  <c r="L212" i="2"/>
  <c r="AN78" i="3"/>
  <c r="AO78" i="3"/>
  <c r="AO86" i="3"/>
  <c r="AN86" i="3"/>
  <c r="BO85" i="3"/>
  <c r="BN85" i="3"/>
  <c r="AO106" i="3"/>
  <c r="AN106" i="3"/>
  <c r="T39" i="2"/>
  <c r="AN39" i="2"/>
  <c r="BN39" i="2"/>
  <c r="CJ126" i="2"/>
  <c r="BO61" i="3"/>
  <c r="BN61" i="3"/>
  <c r="AJ39" i="2"/>
  <c r="AE6" i="3"/>
  <c r="AG39" i="2"/>
  <c r="O40" i="2"/>
  <c r="M46" i="2" s="1"/>
  <c r="O46" i="2" s="1"/>
  <c r="O43" i="3"/>
  <c r="N43" i="3"/>
  <c r="N81" i="3"/>
  <c r="O81" i="3"/>
  <c r="CN108" i="3"/>
  <c r="CO108" i="3"/>
  <c r="BO119" i="3"/>
  <c r="BN119" i="3"/>
  <c r="AO119" i="3"/>
  <c r="AN119" i="3"/>
  <c r="CO112" i="3"/>
  <c r="CN112" i="3"/>
  <c r="CO90" i="3"/>
  <c r="CN90" i="3"/>
  <c r="BN77" i="3"/>
  <c r="BO77" i="3"/>
  <c r="CO19" i="3"/>
  <c r="CN19" i="3"/>
  <c r="AR39" i="2"/>
  <c r="AJ28" i="3"/>
  <c r="AL83" i="2"/>
  <c r="S28" i="3"/>
  <c r="U83" i="2"/>
  <c r="CM28" i="3"/>
  <c r="CO83" i="2"/>
  <c r="BU28" i="3"/>
  <c r="BW83" i="2"/>
  <c r="BF28" i="3"/>
  <c r="BH83" i="2"/>
  <c r="AS28" i="3"/>
  <c r="AU83" i="2"/>
  <c r="AD28" i="3"/>
  <c r="AF83" i="2"/>
  <c r="W28" i="3"/>
  <c r="Y83" i="2"/>
  <c r="CI28" i="3"/>
  <c r="CK83" i="2"/>
  <c r="BL28" i="3"/>
  <c r="BN83" i="2"/>
  <c r="O29" i="3"/>
  <c r="N29" i="3"/>
  <c r="AO63" i="3"/>
  <c r="AN63" i="3"/>
  <c r="O83" i="3"/>
  <c r="N83" i="3"/>
  <c r="BN117" i="3"/>
  <c r="BO117" i="3"/>
  <c r="CO117" i="3"/>
  <c r="CN117" i="3"/>
  <c r="BO66" i="3"/>
  <c r="BN66" i="3"/>
  <c r="BO39" i="2"/>
  <c r="CO10" i="3"/>
  <c r="CN10" i="3"/>
  <c r="BN23" i="3"/>
  <c r="BO23" i="3"/>
  <c r="AL52" i="3"/>
  <c r="AN126" i="2"/>
  <c r="BE52" i="3"/>
  <c r="BG126" i="2"/>
  <c r="V126" i="2"/>
  <c r="CK126" i="2"/>
  <c r="BB74" i="3"/>
  <c r="BD169" i="2"/>
  <c r="CD74" i="3"/>
  <c r="CF169" i="2"/>
  <c r="CH74" i="3"/>
  <c r="CJ169" i="2"/>
  <c r="CQ169" i="2"/>
  <c r="BW74" i="3"/>
  <c r="BY169" i="2"/>
  <c r="BH74" i="3"/>
  <c r="BJ169" i="2"/>
  <c r="AU74" i="3"/>
  <c r="AW169" i="2"/>
  <c r="X74" i="3"/>
  <c r="Z169" i="2"/>
  <c r="CJ74" i="3"/>
  <c r="CL169" i="2"/>
  <c r="BU74" i="3"/>
  <c r="BW169" i="2"/>
  <c r="O108" i="3"/>
  <c r="N108" i="3"/>
  <c r="BL97" i="3"/>
  <c r="BN212" i="2"/>
  <c r="T97" i="3"/>
  <c r="V212" i="2"/>
  <c r="BR97" i="3"/>
  <c r="BT212" i="2"/>
  <c r="AP97" i="3"/>
  <c r="AR212" i="2"/>
  <c r="CO97" i="3"/>
  <c r="CN97" i="3"/>
  <c r="CP212" i="2"/>
  <c r="BY97" i="3"/>
  <c r="CA212" i="2"/>
  <c r="BK97" i="3"/>
  <c r="BM212" i="2"/>
  <c r="AW97" i="3"/>
  <c r="AY212" i="2"/>
  <c r="AI97" i="3"/>
  <c r="AK212" i="2"/>
  <c r="O112" i="3"/>
  <c r="N112" i="3"/>
  <c r="BO27" i="3"/>
  <c r="BN27" i="3"/>
  <c r="CO85" i="3"/>
  <c r="CN85" i="3"/>
  <c r="BO104" i="3"/>
  <c r="BN104" i="3"/>
  <c r="AP28" i="3"/>
  <c r="AR83" i="2"/>
  <c r="BW39" i="2"/>
  <c r="AC52" i="3"/>
  <c r="AE126" i="2"/>
  <c r="BO111" i="3"/>
  <c r="BN111" i="3"/>
  <c r="BH97" i="3"/>
  <c r="BJ212" i="2"/>
  <c r="U39" i="2"/>
  <c r="AN70" i="3"/>
  <c r="AO70" i="3"/>
  <c r="CM39" i="2"/>
  <c r="AP39" i="2"/>
  <c r="CG39" i="2"/>
  <c r="BN21" i="3"/>
  <c r="BO21" i="3"/>
  <c r="AO21" i="3"/>
  <c r="AN21" i="3"/>
  <c r="X39" i="2"/>
  <c r="CN25" i="3"/>
  <c r="CO25" i="3"/>
  <c r="CO126" i="2"/>
  <c r="CC126" i="2"/>
  <c r="BO70" i="3"/>
  <c r="BN70" i="3"/>
  <c r="CN115" i="3"/>
  <c r="CO115" i="3"/>
  <c r="BJ126" i="2"/>
  <c r="AO110" i="3"/>
  <c r="AN110" i="3"/>
  <c r="O110" i="3"/>
  <c r="N110" i="3"/>
  <c r="BO16" i="3"/>
  <c r="BN16" i="3"/>
  <c r="CO39" i="2"/>
  <c r="K74" i="3"/>
  <c r="M169" i="2"/>
  <c r="O97" i="3"/>
  <c r="N97" i="3"/>
  <c r="P212" i="2"/>
  <c r="CO86" i="3"/>
  <c r="CN86" i="3"/>
  <c r="AO85" i="3"/>
  <c r="AN85" i="3"/>
  <c r="BN83" i="3"/>
  <c r="BO83" i="3"/>
  <c r="BR39" i="2"/>
  <c r="BO44" i="3"/>
  <c r="BN44" i="3"/>
  <c r="AB39" i="2"/>
  <c r="BZ39" i="2"/>
  <c r="CF126" i="2"/>
  <c r="CI126" i="2"/>
  <c r="CN82" i="3"/>
  <c r="CO82" i="3"/>
  <c r="BN82" i="3"/>
  <c r="BO82" i="3"/>
  <c r="N79" i="3"/>
  <c r="O79" i="3"/>
  <c r="AO105" i="3"/>
  <c r="AN105" i="3"/>
  <c r="CO105" i="3"/>
  <c r="CN105" i="3"/>
  <c r="BO109" i="3"/>
  <c r="BN109" i="3"/>
  <c r="AM6" i="3"/>
  <c r="AO39" i="2"/>
  <c r="BI126" i="2"/>
  <c r="AW126" i="2"/>
  <c r="AN77" i="3"/>
  <c r="AO77" i="3"/>
  <c r="BN19" i="3"/>
  <c r="BO19" i="3"/>
  <c r="W39" i="2"/>
  <c r="BP28" i="3"/>
  <c r="BR83" i="2"/>
  <c r="AY28" i="3"/>
  <c r="BA83" i="2"/>
  <c r="Q28" i="3"/>
  <c r="S83" i="2"/>
  <c r="CC28" i="3"/>
  <c r="CE83" i="2"/>
  <c r="BO28" i="3"/>
  <c r="BN28" i="3"/>
  <c r="BP83" i="2"/>
  <c r="BA28" i="3"/>
  <c r="BC83" i="2"/>
  <c r="AL28" i="3"/>
  <c r="AL120" i="3" s="1"/>
  <c r="AN83" i="2"/>
  <c r="AE28" i="3"/>
  <c r="AG83" i="2"/>
  <c r="H28" i="3"/>
  <c r="J83" i="2"/>
  <c r="J87" i="2" s="1"/>
  <c r="BT28" i="3"/>
  <c r="BV83" i="2"/>
  <c r="CN66" i="3"/>
  <c r="CO66" i="3"/>
  <c r="BN116" i="3"/>
  <c r="BO116" i="3"/>
  <c r="AN23" i="3"/>
  <c r="AO23" i="3"/>
  <c r="AS126" i="2"/>
  <c r="AG126" i="2"/>
  <c r="BO31" i="3"/>
  <c r="BN31" i="3"/>
  <c r="AT39" i="2"/>
  <c r="BO53" i="3"/>
  <c r="BN53" i="3"/>
  <c r="BO52" i="3"/>
  <c r="BN52" i="3"/>
  <c r="BR52" i="3"/>
  <c r="BT126" i="2"/>
  <c r="BA52" i="3"/>
  <c r="BC126" i="2"/>
  <c r="BO48" i="3"/>
  <c r="BN48" i="3"/>
  <c r="O57" i="3"/>
  <c r="N57" i="3"/>
  <c r="BY74" i="3"/>
  <c r="CA169" i="2"/>
  <c r="U74" i="3"/>
  <c r="W169" i="2"/>
  <c r="Z74" i="3"/>
  <c r="AB169" i="2"/>
  <c r="S74" i="3"/>
  <c r="U169" i="2"/>
  <c r="CE74" i="3"/>
  <c r="CG169" i="2"/>
  <c r="BP74" i="3"/>
  <c r="BR169" i="2"/>
  <c r="BC74" i="3"/>
  <c r="BE169" i="2"/>
  <c r="AF74" i="3"/>
  <c r="AH169" i="2"/>
  <c r="Q74" i="3"/>
  <c r="S169" i="2"/>
  <c r="CC74" i="3"/>
  <c r="CE169" i="2"/>
  <c r="O96" i="3"/>
  <c r="N96" i="3"/>
  <c r="AD97" i="3"/>
  <c r="AF212" i="2"/>
  <c r="CB97" i="3"/>
  <c r="CD212" i="2"/>
  <c r="AJ97" i="3"/>
  <c r="AL212" i="2"/>
  <c r="CH97" i="3"/>
  <c r="CJ212" i="2"/>
  <c r="BF97" i="3"/>
  <c r="BH212" i="2"/>
  <c r="U97" i="3"/>
  <c r="W212" i="2"/>
  <c r="CG97" i="3"/>
  <c r="CI212" i="2"/>
  <c r="BS97" i="3"/>
  <c r="BU212" i="2"/>
  <c r="BE97" i="3"/>
  <c r="BG212" i="2"/>
  <c r="AQ97" i="3"/>
  <c r="AS212" i="2"/>
  <c r="N65" i="3"/>
  <c r="O65" i="3"/>
  <c r="O82" i="3"/>
  <c r="N82" i="3"/>
  <c r="AR28" i="3"/>
  <c r="AT83" i="2"/>
  <c r="BS28" i="3"/>
  <c r="BU83" i="2"/>
  <c r="AO54" i="3"/>
  <c r="AN54" i="3"/>
  <c r="AD52" i="3"/>
  <c r="AF126" i="2"/>
  <c r="BG74" i="3"/>
  <c r="BI169" i="2"/>
  <c r="BE74" i="3"/>
  <c r="BG169" i="2"/>
  <c r="AO79" i="3"/>
  <c r="AN79" i="3"/>
  <c r="AU97" i="3"/>
  <c r="AW212" i="2"/>
  <c r="BF126" i="2"/>
  <c r="AO25" i="3"/>
  <c r="AN25" i="3"/>
  <c r="BO36" i="3"/>
  <c r="BN36" i="3"/>
  <c r="AO76" i="3"/>
  <c r="AN76" i="3"/>
  <c r="O31" i="3"/>
  <c r="N31" i="3"/>
  <c r="CN14" i="3"/>
  <c r="CO14" i="3"/>
  <c r="AN14" i="3"/>
  <c r="AO14" i="3"/>
  <c r="BN14" i="3"/>
  <c r="BO14" i="3"/>
  <c r="AO71" i="3"/>
  <c r="AN71" i="3"/>
  <c r="BO87" i="3"/>
  <c r="BN87" i="3"/>
  <c r="BO107" i="3"/>
  <c r="BN107" i="3"/>
  <c r="O10" i="3"/>
  <c r="N10" i="3"/>
  <c r="L40" i="2"/>
  <c r="M45" i="2" s="1"/>
  <c r="O45" i="2" s="1"/>
  <c r="CN16" i="3"/>
  <c r="CO16" i="3"/>
  <c r="AN16" i="3"/>
  <c r="AO16" i="3"/>
  <c r="AN27" i="3"/>
  <c r="AO27" i="3"/>
  <c r="AJ126" i="2"/>
  <c r="N20" i="3"/>
  <c r="O20" i="3"/>
  <c r="N70" i="3"/>
  <c r="O70" i="3"/>
  <c r="CN62" i="3"/>
  <c r="CO62" i="3"/>
  <c r="M97" i="3"/>
  <c r="O212" i="2"/>
  <c r="AN83" i="3"/>
  <c r="AO83" i="3"/>
  <c r="CO83" i="3"/>
  <c r="CN83" i="3"/>
  <c r="O116" i="3"/>
  <c r="N116" i="3"/>
  <c r="O12" i="3"/>
  <c r="N12" i="3"/>
  <c r="CF39" i="2"/>
  <c r="O59" i="3"/>
  <c r="N59" i="3"/>
  <c r="AO61" i="3"/>
  <c r="AN61" i="3"/>
  <c r="CO61" i="3"/>
  <c r="CN61" i="3"/>
  <c r="AO67" i="3"/>
  <c r="AN67" i="3"/>
  <c r="AO82" i="3"/>
  <c r="AN82" i="3"/>
  <c r="CO109" i="3"/>
  <c r="CN109" i="3"/>
  <c r="AO113" i="3"/>
  <c r="AN113" i="3"/>
  <c r="CO96" i="3"/>
  <c r="CN96" i="3"/>
  <c r="N16" i="3"/>
  <c r="O16" i="3"/>
  <c r="AU6" i="3"/>
  <c r="AW39" i="2"/>
  <c r="BA39" i="2"/>
  <c r="CA39" i="2"/>
  <c r="BN108" i="3"/>
  <c r="BO108" i="3"/>
  <c r="BO112" i="3"/>
  <c r="BN112" i="3"/>
  <c r="R39" i="2"/>
  <c r="BI39" i="2"/>
  <c r="AQ28" i="3"/>
  <c r="AS83" i="2"/>
  <c r="CE28" i="3"/>
  <c r="CG83" i="2"/>
  <c r="Y28" i="3"/>
  <c r="AA83" i="2"/>
  <c r="CK28" i="3"/>
  <c r="CM83" i="2"/>
  <c r="BV28" i="3"/>
  <c r="BX83" i="2"/>
  <c r="BI28" i="3"/>
  <c r="BK83" i="2"/>
  <c r="AT28" i="3"/>
  <c r="AV83" i="2"/>
  <c r="AM28" i="3"/>
  <c r="AO83" i="2"/>
  <c r="P28" i="3"/>
  <c r="R83" i="2"/>
  <c r="CB28" i="3"/>
  <c r="CB120" i="3" s="1"/>
  <c r="CD83" i="2"/>
  <c r="CD126" i="2"/>
  <c r="BO54" i="3"/>
  <c r="BN54" i="3"/>
  <c r="O37" i="3"/>
  <c r="N37" i="3"/>
  <c r="O42" i="3"/>
  <c r="N42" i="3"/>
  <c r="AN116" i="3"/>
  <c r="AO116" i="3"/>
  <c r="AZ39" i="2"/>
  <c r="K28" i="3"/>
  <c r="M83" i="2"/>
  <c r="CO23" i="3"/>
  <c r="CN23" i="3"/>
  <c r="AO40" i="3"/>
  <c r="AN40" i="3"/>
  <c r="O6" i="3"/>
  <c r="N6" i="3"/>
  <c r="AN31" i="3"/>
  <c r="AO31" i="3"/>
  <c r="BH39" i="2"/>
  <c r="BB52" i="3"/>
  <c r="BD126" i="2"/>
  <c r="BI52" i="3"/>
  <c r="BK126" i="2"/>
  <c r="BU52" i="3"/>
  <c r="BW126" i="2"/>
  <c r="AO48" i="3"/>
  <c r="AN48" i="3"/>
  <c r="AK126" i="2"/>
  <c r="Y126" i="2"/>
  <c r="AK74" i="3"/>
  <c r="AM169" i="2"/>
  <c r="AP74" i="3"/>
  <c r="AQ120" i="3" s="1"/>
  <c r="AR169" i="2"/>
  <c r="AT74" i="3"/>
  <c r="AV169" i="2"/>
  <c r="AA74" i="3"/>
  <c r="AC169" i="2"/>
  <c r="CM74" i="3"/>
  <c r="CM120" i="3" s="1"/>
  <c r="CO169" i="2"/>
  <c r="BX74" i="3"/>
  <c r="BZ169" i="2"/>
  <c r="BK74" i="3"/>
  <c r="BM169" i="2"/>
  <c r="AN74" i="3"/>
  <c r="AO74" i="3"/>
  <c r="AP169" i="2"/>
  <c r="Y74" i="3"/>
  <c r="AA169" i="2"/>
  <c r="CK74" i="3"/>
  <c r="CM169" i="2"/>
  <c r="AO93" i="3"/>
  <c r="AN93" i="3"/>
  <c r="AO45" i="3"/>
  <c r="AN45" i="3"/>
  <c r="AT97" i="3"/>
  <c r="AV212" i="2"/>
  <c r="R97" i="3"/>
  <c r="T212" i="2"/>
  <c r="AZ97" i="3"/>
  <c r="BB212" i="2"/>
  <c r="X97" i="3"/>
  <c r="Z212" i="2"/>
  <c r="BV97" i="3"/>
  <c r="BX212" i="2"/>
  <c r="AC97" i="3"/>
  <c r="AE212" i="2"/>
  <c r="CQ212" i="2"/>
  <c r="CA97" i="3"/>
  <c r="CC212" i="2"/>
  <c r="BM97" i="3"/>
  <c r="BM120" i="3" s="1"/>
  <c r="BO212" i="2"/>
  <c r="AY97" i="3"/>
  <c r="BA212" i="2"/>
  <c r="AN73" i="3"/>
  <c r="AO73" i="3"/>
  <c r="CO110" i="3"/>
  <c r="CN110" i="3"/>
  <c r="N85" i="3"/>
  <c r="O85" i="3"/>
  <c r="CA6" i="3"/>
  <c r="CC39" i="2"/>
  <c r="CH39" i="2"/>
  <c r="AI28" i="3"/>
  <c r="AK83" i="2"/>
  <c r="AC28" i="3"/>
  <c r="AE83" i="2"/>
  <c r="AS74" i="3"/>
  <c r="AU169" i="2"/>
  <c r="AE74" i="3"/>
  <c r="AG169" i="2"/>
  <c r="AF97" i="3"/>
  <c r="AH212" i="2"/>
  <c r="AG97" i="3"/>
  <c r="AI212" i="2"/>
  <c r="CN76" i="3"/>
  <c r="CO76" i="3"/>
  <c r="S120" i="3"/>
  <c r="O53" i="3"/>
  <c r="N53" i="3"/>
  <c r="O61" i="3"/>
  <c r="N61" i="3"/>
  <c r="CE39" i="2"/>
  <c r="CN21" i="3"/>
  <c r="CO21" i="3"/>
  <c r="CJ39" i="2"/>
  <c r="CN33" i="3"/>
  <c r="CO33" i="3"/>
  <c r="AC126" i="2"/>
  <c r="W126" i="2"/>
  <c r="CO71" i="3"/>
  <c r="CN71" i="3"/>
  <c r="AN100" i="3"/>
  <c r="AO100" i="3"/>
  <c r="BN115" i="3"/>
  <c r="BO115" i="3"/>
  <c r="CN126" i="2"/>
  <c r="AO107" i="3"/>
  <c r="AN107" i="3"/>
  <c r="J121" i="3"/>
  <c r="K127" i="3" s="1"/>
  <c r="M127" i="3" s="1"/>
  <c r="BJ39" i="2"/>
  <c r="K97" i="3"/>
  <c r="M212" i="2"/>
  <c r="AO102" i="3"/>
  <c r="AN102" i="3"/>
  <c r="O91" i="3"/>
  <c r="N91" i="3"/>
  <c r="N117" i="3"/>
  <c r="O117" i="3"/>
  <c r="CO44" i="3"/>
  <c r="CN44" i="3"/>
  <c r="O77" i="3"/>
  <c r="N77" i="3"/>
  <c r="CN39" i="2"/>
  <c r="BS39" i="2"/>
  <c r="T126" i="2"/>
  <c r="BO114" i="3"/>
  <c r="BN114" i="3"/>
  <c r="BC6" i="3"/>
  <c r="BE39" i="2"/>
  <c r="BD39" i="2"/>
  <c r="L127" i="2"/>
  <c r="M132" i="2" s="1"/>
  <c r="O132" i="2" s="1"/>
  <c r="BX126" i="2"/>
  <c r="BO47" i="3"/>
  <c r="BN47" i="3"/>
  <c r="AO47" i="3"/>
  <c r="AN47" i="3"/>
  <c r="O86" i="3"/>
  <c r="N86" i="3"/>
  <c r="O102" i="3"/>
  <c r="N102" i="3"/>
  <c r="AO108" i="3"/>
  <c r="AN108" i="3"/>
  <c r="AO112" i="3"/>
  <c r="AN112" i="3"/>
  <c r="AO90" i="3"/>
  <c r="AN90" i="3"/>
  <c r="CO104" i="3"/>
  <c r="CN104" i="3"/>
  <c r="CI39" i="2"/>
  <c r="BW28" i="3"/>
  <c r="BY83" i="2"/>
  <c r="T28" i="3"/>
  <c r="V83" i="2"/>
  <c r="AG28" i="3"/>
  <c r="AI83" i="2"/>
  <c r="R28" i="3"/>
  <c r="T83" i="2"/>
  <c r="CD28" i="3"/>
  <c r="CF83" i="2"/>
  <c r="BQ28" i="3"/>
  <c r="BS83" i="2"/>
  <c r="BB28" i="3"/>
  <c r="BB120" i="3" s="1"/>
  <c r="BD83" i="2"/>
  <c r="AU28" i="3"/>
  <c r="AW83" i="2"/>
  <c r="X28" i="3"/>
  <c r="Z83" i="2"/>
  <c r="CJ28" i="3"/>
  <c r="CL83" i="2"/>
  <c r="AL126" i="2"/>
  <c r="BN63" i="3"/>
  <c r="BO63" i="3"/>
  <c r="J28" i="3"/>
  <c r="L83" i="2"/>
  <c r="BH126" i="2"/>
  <c r="BQ52" i="3"/>
  <c r="BS126" i="2"/>
  <c r="Q52" i="3"/>
  <c r="S126" i="2"/>
  <c r="CC52" i="3"/>
  <c r="CE126" i="2"/>
  <c r="BF74" i="3"/>
  <c r="BF120" i="3" s="1"/>
  <c r="BH169" i="2"/>
  <c r="BJ74" i="3"/>
  <c r="BL169" i="2"/>
  <c r="BQ74" i="3"/>
  <c r="BS169" i="2"/>
  <c r="AI74" i="3"/>
  <c r="AK169" i="2"/>
  <c r="T74" i="3"/>
  <c r="V169" i="2"/>
  <c r="CF74" i="3"/>
  <c r="CH169" i="2"/>
  <c r="BS74" i="3"/>
  <c r="BU169" i="2"/>
  <c r="AV74" i="3"/>
  <c r="AX169" i="2"/>
  <c r="AG74" i="3"/>
  <c r="AI169" i="2"/>
  <c r="AB126" i="2"/>
  <c r="BO45" i="3"/>
  <c r="BN45" i="3"/>
  <c r="BJ97" i="3"/>
  <c r="BL212" i="2"/>
  <c r="AH97" i="3"/>
  <c r="AJ212" i="2"/>
  <c r="BP97" i="3"/>
  <c r="BP120" i="3" s="1"/>
  <c r="BR212" i="2"/>
  <c r="AO97" i="3"/>
  <c r="AN97" i="3"/>
  <c r="AP212" i="2"/>
  <c r="CL97" i="3"/>
  <c r="CN212" i="2"/>
  <c r="AK97" i="3"/>
  <c r="AK120" i="3" s="1"/>
  <c r="AM212" i="2"/>
  <c r="W97" i="3"/>
  <c r="Y212" i="2"/>
  <c r="CI97" i="3"/>
  <c r="CK212" i="2"/>
  <c r="BU97" i="3"/>
  <c r="BW212" i="2"/>
  <c r="BG97" i="3"/>
  <c r="BG120" i="3" s="1"/>
  <c r="BI212" i="2"/>
  <c r="BO81" i="3"/>
  <c r="BN81" i="3"/>
  <c r="AO34" i="3"/>
  <c r="AN34" i="3"/>
  <c r="BV39" i="2"/>
  <c r="AA28" i="3"/>
  <c r="AA120" i="3" s="1"/>
  <c r="AC83" i="2"/>
  <c r="AV28" i="3"/>
  <c r="AX83" i="2"/>
  <c r="BO75" i="3"/>
  <c r="BN75" i="3"/>
  <c r="BV74" i="3"/>
  <c r="BX169" i="2"/>
  <c r="AR74" i="3"/>
  <c r="AT169" i="2"/>
  <c r="O62" i="3"/>
  <c r="N62" i="3"/>
  <c r="CD97" i="3"/>
  <c r="CF212" i="2"/>
  <c r="CE97" i="3"/>
  <c r="CG212" i="2"/>
  <c r="BZ126" i="2"/>
  <c r="S39" i="2"/>
  <c r="BP39" i="2"/>
  <c r="CH120" i="3"/>
  <c r="BO33" i="3"/>
  <c r="BN33" i="3"/>
  <c r="AO33" i="3"/>
  <c r="AN33" i="3"/>
  <c r="BO25" i="3"/>
  <c r="BN25" i="3"/>
  <c r="O48" i="3"/>
  <c r="N48" i="3"/>
  <c r="AO115" i="3"/>
  <c r="AN115" i="3"/>
  <c r="CN87" i="3"/>
  <c r="CO87" i="3"/>
  <c r="BX39" i="2"/>
  <c r="CO43" i="3"/>
  <c r="CN43" i="3"/>
  <c r="AO59" i="3"/>
  <c r="AN59" i="3"/>
  <c r="BR126" i="2"/>
  <c r="AX126" i="2"/>
  <c r="N75" i="3"/>
  <c r="O75" i="3"/>
  <c r="BO106" i="3"/>
  <c r="BN106" i="3"/>
  <c r="CO34" i="3"/>
  <c r="CN34" i="3"/>
  <c r="CO80" i="3"/>
  <c r="CN80" i="3"/>
  <c r="BN80" i="3"/>
  <c r="BO80" i="3"/>
  <c r="AK39" i="2"/>
  <c r="BK39" i="2"/>
  <c r="O14" i="3"/>
  <c r="N14" i="3"/>
  <c r="N24" i="3"/>
  <c r="O24" i="3"/>
  <c r="CN114" i="3"/>
  <c r="CO114" i="3"/>
  <c r="J39" i="2"/>
  <c r="J43" i="2" s="1"/>
  <c r="BK6" i="3"/>
  <c r="BM39" i="2"/>
  <c r="AN6" i="3"/>
  <c r="AO6" i="3"/>
  <c r="V39" i="2"/>
  <c r="O26" i="3"/>
  <c r="N26" i="3"/>
  <c r="CO47" i="3"/>
  <c r="CN47" i="3"/>
  <c r="O93" i="3"/>
  <c r="N93" i="3"/>
  <c r="CD39" i="2"/>
  <c r="AD39" i="2"/>
  <c r="AB28" i="3"/>
  <c r="AD83" i="2"/>
  <c r="AZ28" i="3"/>
  <c r="AZ120" i="3" s="1"/>
  <c r="BB83" i="2"/>
  <c r="AQ83" i="2"/>
  <c r="Z28" i="3"/>
  <c r="Z120" i="3" s="1"/>
  <c r="AB83" i="2"/>
  <c r="CL28" i="3"/>
  <c r="CL120" i="3" s="1"/>
  <c r="CN83" i="2"/>
  <c r="BY28" i="3"/>
  <c r="BY120" i="3" s="1"/>
  <c r="CA83" i="2"/>
  <c r="BJ28" i="3"/>
  <c r="BL83" i="2"/>
  <c r="BC28" i="3"/>
  <c r="BE83" i="2"/>
  <c r="AF28" i="3"/>
  <c r="AH83" i="2"/>
  <c r="R126" i="2"/>
  <c r="CO63" i="3"/>
  <c r="CN63" i="3"/>
  <c r="CO91" i="3"/>
  <c r="CN91" i="3"/>
  <c r="AN66" i="3"/>
  <c r="AO66" i="3"/>
  <c r="Z39" i="2"/>
  <c r="M28" i="3"/>
  <c r="O83" i="2"/>
  <c r="BO40" i="3"/>
  <c r="BN40" i="3"/>
  <c r="O131" i="2"/>
  <c r="O130" i="2"/>
  <c r="O135" i="2"/>
  <c r="CO31" i="3"/>
  <c r="CN31" i="3"/>
  <c r="AO53" i="3"/>
  <c r="AN53" i="3"/>
  <c r="AT52" i="3"/>
  <c r="AV126" i="2"/>
  <c r="CO52" i="3"/>
  <c r="CN52" i="3"/>
  <c r="BY52" i="3"/>
  <c r="CA126" i="2"/>
  <c r="AO52" i="3"/>
  <c r="AN52" i="3"/>
  <c r="Y52" i="3"/>
  <c r="AA126" i="2"/>
  <c r="CK52" i="3"/>
  <c r="CM126" i="2"/>
  <c r="O44" i="3"/>
  <c r="N44" i="3"/>
  <c r="AZ126" i="2"/>
  <c r="AD74" i="3"/>
  <c r="AF169" i="2"/>
  <c r="BZ74" i="3"/>
  <c r="CB169" i="2"/>
  <c r="CG74" i="3"/>
  <c r="CI169" i="2"/>
  <c r="CL74" i="3"/>
  <c r="CN169" i="2"/>
  <c r="AQ74" i="3"/>
  <c r="AS169" i="2"/>
  <c r="AB74" i="3"/>
  <c r="AD169" i="2"/>
  <c r="CO74" i="3"/>
  <c r="CN74" i="3"/>
  <c r="CP169" i="2"/>
  <c r="CA74" i="3"/>
  <c r="CC169" i="2"/>
  <c r="BD74" i="3"/>
  <c r="BF169" i="2"/>
  <c r="AQ169" i="2"/>
  <c r="O66" i="3"/>
  <c r="N66" i="3"/>
  <c r="BO93" i="3"/>
  <c r="BN93" i="3"/>
  <c r="CO79" i="3"/>
  <c r="CN79" i="3"/>
  <c r="CO111" i="3"/>
  <c r="CN111" i="3"/>
  <c r="BZ97" i="3"/>
  <c r="CB212" i="2"/>
  <c r="AX97" i="3"/>
  <c r="AX120" i="3" s="1"/>
  <c r="AZ212" i="2"/>
  <c r="CF97" i="3"/>
  <c r="CH212" i="2"/>
  <c r="BD97" i="3"/>
  <c r="BF212" i="2"/>
  <c r="AB97" i="3"/>
  <c r="AB120" i="3" s="1"/>
  <c r="AD212" i="2"/>
  <c r="AS97" i="3"/>
  <c r="AU212" i="2"/>
  <c r="AE97" i="3"/>
  <c r="AG212" i="2"/>
  <c r="Q97" i="3"/>
  <c r="S212" i="2"/>
  <c r="CC97" i="3"/>
  <c r="CE212" i="2"/>
  <c r="BQ212" i="2"/>
  <c r="CL39" i="2"/>
  <c r="CO53" i="3"/>
  <c r="CN53" i="3"/>
  <c r="BT74" i="3"/>
  <c r="BV169" i="2"/>
  <c r="CJ97" i="3"/>
  <c r="CL212" i="2"/>
  <c r="O8" i="3"/>
  <c r="N8" i="3"/>
  <c r="BB39" i="2"/>
  <c r="AR126" i="2"/>
  <c r="X126" i="2"/>
  <c r="BN73" i="3"/>
  <c r="BO73" i="3"/>
  <c r="CO81" i="3"/>
  <c r="CN81" i="3"/>
  <c r="BO100" i="3"/>
  <c r="BN100" i="3"/>
  <c r="BM126" i="2"/>
  <c r="BO110" i="3"/>
  <c r="BN110" i="3"/>
  <c r="BV120" i="3"/>
  <c r="BC39" i="2"/>
  <c r="AO43" i="3"/>
  <c r="AN43" i="3"/>
  <c r="CO59" i="3"/>
  <c r="CN59" i="3"/>
  <c r="BO59" i="3"/>
  <c r="BN59" i="3"/>
  <c r="AO62" i="3"/>
  <c r="AN62" i="3"/>
  <c r="BO62" i="3"/>
  <c r="BN62" i="3"/>
  <c r="BO102" i="3"/>
  <c r="BN102" i="3"/>
  <c r="CO106" i="3"/>
  <c r="CN106" i="3"/>
  <c r="O22" i="3"/>
  <c r="N22" i="3"/>
  <c r="BN34" i="3"/>
  <c r="BO34" i="3"/>
  <c r="AN80" i="3"/>
  <c r="AO80" i="3"/>
  <c r="N78" i="3"/>
  <c r="O78" i="3"/>
  <c r="AV39" i="2"/>
  <c r="AH126" i="2"/>
  <c r="AO109" i="3"/>
  <c r="AN109" i="3"/>
  <c r="AO96" i="3"/>
  <c r="AN96" i="3"/>
  <c r="H120" i="3"/>
  <c r="H125" i="3" s="1"/>
  <c r="AY39" i="2"/>
  <c r="BS6" i="3"/>
  <c r="BU39" i="2"/>
  <c r="BO6" i="3"/>
  <c r="BN6" i="3"/>
  <c r="CL126" i="2"/>
  <c r="O73" i="3"/>
  <c r="N73" i="3"/>
  <c r="CN8" i="3"/>
  <c r="CO8" i="3"/>
  <c r="AO8" i="3"/>
  <c r="AN8" i="3"/>
  <c r="BO8" i="3"/>
  <c r="BN8" i="3"/>
  <c r="BH28" i="3"/>
  <c r="BH120" i="3" s="1"/>
  <c r="BJ83" i="2"/>
  <c r="CO28" i="3"/>
  <c r="CN28" i="3"/>
  <c r="CP83" i="2"/>
  <c r="CF28" i="3"/>
  <c r="CF120" i="3" s="1"/>
  <c r="CH83" i="2"/>
  <c r="AW28" i="3"/>
  <c r="AY83" i="2"/>
  <c r="AH28" i="3"/>
  <c r="AH120" i="3" s="1"/>
  <c r="AJ83" i="2"/>
  <c r="U28" i="3"/>
  <c r="W83" i="2"/>
  <c r="CG28" i="3"/>
  <c r="CI83" i="2"/>
  <c r="BR28" i="3"/>
  <c r="BR120" i="3" s="1"/>
  <c r="BT83" i="2"/>
  <c r="BK28" i="3"/>
  <c r="BM83" i="2"/>
  <c r="AO28" i="3"/>
  <c r="AN28" i="3"/>
  <c r="AP83" i="2"/>
  <c r="BA126" i="2"/>
  <c r="CO54" i="3"/>
  <c r="CN54" i="3"/>
  <c r="CN75" i="3"/>
  <c r="CO75" i="3"/>
  <c r="CN116" i="3"/>
  <c r="CO116" i="3"/>
  <c r="AN10" i="3"/>
  <c r="AO10" i="3"/>
  <c r="AL39" i="2"/>
  <c r="N28" i="3"/>
  <c r="O28" i="3"/>
  <c r="P83" i="2"/>
  <c r="CO40" i="3"/>
  <c r="CN40" i="3"/>
  <c r="O52" i="3"/>
  <c r="N52" i="3"/>
  <c r="BV126" i="2"/>
  <c r="AM39" i="2"/>
  <c r="AG52" i="3"/>
  <c r="AI126" i="2"/>
  <c r="O34" i="3"/>
  <c r="N34" i="3"/>
  <c r="BA74" i="3"/>
  <c r="BC169" i="2"/>
  <c r="R74" i="3"/>
  <c r="T169" i="2"/>
  <c r="V74" i="3"/>
  <c r="X169" i="2"/>
  <c r="AC74" i="3"/>
  <c r="AE169" i="2"/>
  <c r="AY74" i="3"/>
  <c r="BA169" i="2"/>
  <c r="AJ74" i="3"/>
  <c r="AJ120" i="3" s="1"/>
  <c r="AL169" i="2"/>
  <c r="W74" i="3"/>
  <c r="Y169" i="2"/>
  <c r="CI74" i="3"/>
  <c r="CK169" i="2"/>
  <c r="BL74" i="3"/>
  <c r="BL120" i="3" s="1"/>
  <c r="BN169" i="2"/>
  <c r="AW74" i="3"/>
  <c r="AY169" i="2"/>
  <c r="O69" i="3"/>
  <c r="N69" i="3"/>
  <c r="BN79" i="3"/>
  <c r="BO79" i="3"/>
  <c r="BL126" i="2"/>
  <c r="CO45" i="3"/>
  <c r="CN45" i="3"/>
  <c r="P97" i="3"/>
  <c r="Q120" i="3" s="1"/>
  <c r="R212" i="2"/>
  <c r="BO97" i="3"/>
  <c r="BN97" i="3"/>
  <c r="BP212" i="2"/>
  <c r="V97" i="3"/>
  <c r="X212" i="2"/>
  <c r="BT97" i="3"/>
  <c r="BV212" i="2"/>
  <c r="AR97" i="3"/>
  <c r="AT212" i="2"/>
  <c r="BA97" i="3"/>
  <c r="BC212" i="2"/>
  <c r="AM97" i="3"/>
  <c r="AO212" i="2"/>
  <c r="Y97" i="3"/>
  <c r="AA212" i="2"/>
  <c r="CK97" i="3"/>
  <c r="CM212" i="2"/>
  <c r="BW97" i="3"/>
  <c r="BY212" i="2"/>
  <c r="BA120" i="3" l="1"/>
  <c r="AS120" i="3"/>
  <c r="AC120" i="3"/>
  <c r="BI120" i="3"/>
  <c r="CE120" i="3"/>
  <c r="BU120" i="3"/>
  <c r="BJ120" i="3"/>
  <c r="CD120" i="3"/>
  <c r="CG120" i="3"/>
  <c r="AW120" i="3"/>
  <c r="BD120" i="3"/>
  <c r="AT120" i="3"/>
  <c r="Y120" i="3"/>
  <c r="BN120" i="3"/>
  <c r="BQ120" i="3"/>
  <c r="BO120" i="3"/>
  <c r="AV120" i="3"/>
  <c r="CJ120" i="3"/>
  <c r="T120" i="3"/>
  <c r="U120" i="3"/>
  <c r="AF120" i="3"/>
  <c r="AI120" i="3"/>
  <c r="P120" i="3"/>
  <c r="P132" i="3" s="1"/>
  <c r="BT120" i="3"/>
  <c r="X120" i="3"/>
  <c r="BW120" i="3"/>
  <c r="AR120" i="3"/>
  <c r="AY120" i="3"/>
  <c r="CO120" i="3"/>
  <c r="V120" i="3"/>
  <c r="AG120" i="3"/>
  <c r="CN120" i="3"/>
  <c r="AO120" i="3"/>
  <c r="CK120" i="3"/>
  <c r="BZ120" i="3"/>
  <c r="AN120" i="3"/>
  <c r="CC120" i="3"/>
  <c r="R120" i="3"/>
  <c r="BX120" i="3"/>
  <c r="AP120" i="3"/>
  <c r="AD120" i="3"/>
  <c r="BE120" i="3"/>
  <c r="R174" i="2"/>
  <c r="R173" i="2"/>
  <c r="R178" i="2"/>
  <c r="BS120" i="3"/>
  <c r="O84" i="2"/>
  <c r="L84" i="2"/>
  <c r="R92" i="2"/>
  <c r="R88" i="2"/>
  <c r="R87" i="2"/>
  <c r="O44" i="2"/>
  <c r="O48" i="2"/>
  <c r="O43" i="2"/>
  <c r="CI120" i="3"/>
  <c r="AM120" i="3"/>
  <c r="O170" i="2"/>
  <c r="M176" i="2" s="1"/>
  <c r="O176" i="2" s="1"/>
  <c r="AE120" i="3"/>
  <c r="W120" i="3"/>
  <c r="CA120" i="3"/>
  <c r="L213" i="2"/>
  <c r="L130" i="2"/>
  <c r="L135" i="2"/>
  <c r="L131" i="2"/>
  <c r="R131" i="2"/>
  <c r="R135" i="2"/>
  <c r="R130" i="2"/>
  <c r="J132" i="3"/>
  <c r="J125" i="3"/>
  <c r="G132" i="3"/>
  <c r="R48" i="2"/>
  <c r="R43" i="2"/>
  <c r="R44" i="2"/>
  <c r="AU120" i="3"/>
  <c r="O213" i="2"/>
  <c r="M219" i="2" s="1"/>
  <c r="O219" i="2" s="1"/>
  <c r="L44" i="2"/>
  <c r="L48" i="2"/>
  <c r="L43" i="2"/>
  <c r="BC120" i="3"/>
  <c r="L170" i="2"/>
  <c r="M175" i="2" s="1"/>
  <c r="O175" i="2" s="1"/>
  <c r="BK120" i="3"/>
  <c r="R221" i="2"/>
  <c r="R216" i="2"/>
  <c r="R217" i="2"/>
  <c r="M132" i="3"/>
  <c r="M125" i="3"/>
  <c r="S48" i="2" l="1"/>
  <c r="Q132" i="3"/>
  <c r="P125" i="3"/>
  <c r="K129" i="3"/>
  <c r="M129" i="3" s="1"/>
  <c r="L217" i="2"/>
  <c r="L221" i="2"/>
  <c r="S221" i="2" s="1"/>
  <c r="L216" i="2"/>
  <c r="O217" i="2"/>
  <c r="O221" i="2"/>
  <c r="O216" i="2"/>
  <c r="M218" i="2"/>
  <c r="O218" i="2" s="1"/>
  <c r="O88" i="2"/>
  <c r="O92" i="2"/>
  <c r="O87" i="2"/>
  <c r="M90" i="2"/>
  <c r="O90" i="2" s="1"/>
  <c r="L174" i="2"/>
  <c r="L173" i="2"/>
  <c r="L178" i="2"/>
  <c r="M12" i="2"/>
  <c r="L12" i="2"/>
  <c r="J12" i="2"/>
  <c r="F12" i="2"/>
  <c r="E12" i="2"/>
  <c r="S135" i="2"/>
  <c r="O173" i="2"/>
  <c r="O178" i="2"/>
  <c r="O174" i="2"/>
  <c r="L87" i="2"/>
  <c r="L88" i="2"/>
  <c r="L92" i="2"/>
  <c r="S92" i="2" s="1"/>
  <c r="M89" i="2"/>
  <c r="O89" i="2" s="1"/>
  <c r="S17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4" authorId="0" shapeId="0" xr:uid="{00000000-0006-0000-0100-000001000000}">
      <text>
        <r>
          <rPr>
            <sz val="9"/>
            <color rgb="FF000000"/>
            <rFont val="Times New Roman"/>
            <charset val="134"/>
          </rPr>
          <t>Nhập</t>
        </r>
      </text>
    </comment>
    <comment ref="C5" authorId="0" shapeId="0" xr:uid="{00000000-0006-0000-0100-000002000000}">
      <text>
        <r>
          <rPr>
            <sz val="9"/>
            <color rgb="FF000000"/>
            <rFont val="Times New Roman"/>
            <charset val="134"/>
          </rPr>
          <t xml:space="preserve">Nhập
</t>
        </r>
      </text>
    </comment>
    <comment ref="C6" authorId="0" shapeId="0" xr:uid="{00000000-0006-0000-0100-000003000000}">
      <text>
        <r>
          <rPr>
            <sz val="9"/>
            <color rgb="FF000000"/>
            <rFont val="Times New Roman"/>
            <charset val="134"/>
          </rPr>
          <t>Chọn</t>
        </r>
      </text>
    </comment>
    <comment ref="C7" authorId="0" shapeId="0" xr:uid="{00000000-0006-0000-0100-000004000000}">
      <text>
        <r>
          <rPr>
            <sz val="9"/>
            <color rgb="FF000000"/>
            <rFont val="Times New Roman"/>
            <charset val="134"/>
          </rPr>
          <t xml:space="preserve">Chọn
</t>
        </r>
      </text>
    </comment>
    <comment ref="E7" authorId="0" shapeId="0" xr:uid="{00000000-0006-0000-0100-000005000000}">
      <text>
        <r>
          <rPr>
            <sz val="9"/>
            <color rgb="FF000000"/>
            <rFont val="Times New Roman"/>
            <charset val="134"/>
          </rPr>
          <t xml:space="preserve">
Nếu báo lỗi đỏ
1. Nhập dữ liệu giới tính tại ô C6 =&gt; Lỗi chưa nhập giới
2. Không tìm thấy dữ liệu =&gt; Trong bảng 3 không có dữ liệu
</t>
        </r>
      </text>
    </comment>
    <comment ref="C9" authorId="0" shapeId="0" xr:uid="{00000000-0006-0000-0100-000006000000}">
      <text>
        <r>
          <rPr>
            <sz val="9"/>
            <color rgb="FF000000"/>
            <rFont val="Times New Roman"/>
            <charset val="134"/>
          </rPr>
          <t>Chọn</t>
        </r>
      </text>
    </comment>
    <comment ref="C10" authorId="0" shapeId="0" xr:uid="{00000000-0006-0000-0100-000007000000}">
      <text>
        <r>
          <rPr>
            <sz val="9"/>
            <color rgb="FF000000"/>
            <rFont val="Times New Roman"/>
            <charset val="134"/>
          </rPr>
          <t>Nhập</t>
        </r>
      </text>
    </comment>
    <comment ref="C11" authorId="0" shapeId="0" xr:uid="{00000000-0006-0000-0100-000008000000}">
      <text>
        <r>
          <rPr>
            <sz val="9"/>
            <color rgb="FF000000"/>
            <rFont val="Times New Roman"/>
            <charset val="134"/>
          </rPr>
          <t>Nhập</t>
        </r>
      </text>
    </comment>
    <comment ref="C23" authorId="0" shapeId="0" xr:uid="{00000000-0006-0000-0100-000009000000}">
      <text>
        <r>
          <rPr>
            <sz val="9"/>
            <color rgb="FF000000"/>
            <rFont val="Times New Roman"/>
            <charset val="134"/>
          </rPr>
          <t>Nhập</t>
        </r>
      </text>
    </comment>
    <comment ref="C26" authorId="0" shapeId="0" xr:uid="{00000000-0006-0000-0100-00000A000000}">
      <text>
        <r>
          <rPr>
            <sz val="9"/>
            <color rgb="FF000000"/>
            <rFont val="Times New Roman"/>
            <charset val="134"/>
          </rPr>
          <t>Nhập</t>
        </r>
      </text>
    </comment>
    <comment ref="C35" authorId="0" shapeId="0" xr:uid="{00000000-0006-0000-0100-00000B000000}">
      <text>
        <r>
          <rPr>
            <sz val="9"/>
            <rFont val="Times New Roman"/>
            <charset val="134"/>
          </rPr>
          <t xml:space="preserve">Nhập
</t>
        </r>
      </text>
    </comment>
    <comment ref="F37" authorId="0" shapeId="0" xr:uid="{00000000-0006-0000-0100-00000C000000}">
      <text>
        <r>
          <rPr>
            <sz val="9"/>
            <rFont val="Times New Roman"/>
            <charset val="134"/>
          </rPr>
          <t xml:space="preserve">Nhập
</t>
        </r>
      </text>
    </comment>
    <comment ref="F40" authorId="0" shapeId="0" xr:uid="{00000000-0006-0000-0100-00000D000000}">
      <text>
        <r>
          <rPr>
            <sz val="9"/>
            <rFont val="Times New Roman"/>
            <charset val="134"/>
          </rPr>
          <t xml:space="preserve">Nhập
</t>
        </r>
      </text>
    </comment>
    <comment ref="C44" authorId="0" shapeId="0" xr:uid="{00000000-0006-0000-0100-00000E000000}">
      <text>
        <r>
          <rPr>
            <sz val="9"/>
            <color rgb="FF000000"/>
            <rFont val="Times New Roman"/>
            <charset val="134"/>
          </rPr>
          <t xml:space="preserve">Nhập
</t>
        </r>
      </text>
    </comment>
    <comment ref="C53" authorId="0" shapeId="0" xr:uid="{00000000-0006-0000-0100-00000F000000}">
      <text>
        <r>
          <rPr>
            <sz val="9"/>
            <color rgb="FF000000"/>
            <rFont val="Times New Roman"/>
            <charset val="134"/>
          </rPr>
          <t xml:space="preserve">Nhập
</t>
        </r>
      </text>
    </comment>
    <comment ref="C62" authorId="0" shapeId="0" xr:uid="{00000000-0006-0000-0100-000010000000}">
      <text>
        <r>
          <rPr>
            <sz val="9"/>
            <rFont val="Times New Roman"/>
            <charset val="134"/>
          </rPr>
          <t xml:space="preserve">Nhập
</t>
        </r>
      </text>
    </comment>
    <comment ref="C71" authorId="0" shapeId="0" xr:uid="{00000000-0006-0000-0100-000011000000}">
      <text>
        <r>
          <rPr>
            <sz val="9"/>
            <color rgb="FF000000"/>
            <rFont val="Times New Roman"/>
            <charset val="134"/>
          </rPr>
          <t xml:space="preserve">Nhập
</t>
        </r>
      </text>
    </comment>
    <comment ref="C80" authorId="0" shapeId="0" xr:uid="{00000000-0006-0000-0100-000012000000}">
      <text>
        <r>
          <rPr>
            <sz val="9"/>
            <rFont val="Times New Roman"/>
            <charset val="134"/>
          </rPr>
          <t>TRUE = 100%</t>
        </r>
      </text>
    </comment>
    <comment ref="D80" authorId="0" shapeId="0" xr:uid="{00000000-0006-0000-0100-000013000000}">
      <text>
        <r>
          <rPr>
            <sz val="9"/>
            <rFont val="Times New Roman"/>
            <charset val="134"/>
          </rPr>
          <t>TRUE = TỔNG NL CẢ NGÀY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6" authorId="0" shapeId="0" xr:uid="{00000000-0006-0000-0200-000001000000}">
      <text>
        <r>
          <rPr>
            <sz val="9"/>
            <color rgb="FF000000"/>
            <rFont val="Times New Roman"/>
            <charset val="134"/>
          </rPr>
          <t xml:space="preserve">
</t>
        </r>
        <r>
          <rPr>
            <b/>
            <sz val="9"/>
            <color rgb="FF000000"/>
            <rFont val="Times New Roman"/>
            <charset val="134"/>
          </rPr>
          <t xml:space="preserve">Hướng dẫn dùng bảng “Chọn bữa”
</t>
        </r>
        <r>
          <rPr>
            <sz val="9"/>
            <color rgb="FF000000"/>
            <rFont val="Times New Roman"/>
            <charset val="134"/>
          </rPr>
          <t xml:space="preserve">+ Chọn 1 bữa: Tích chọn 1 ô với bữa ăn muốn chọn
+ Chọn nhiều bữa: Chọn kết hợp “ctrl “ +  tích chọn các bữa muốn chọn
+ Chọn tất cả: Tích “lọc X”
</t>
        </r>
      </text>
    </comment>
    <comment ref="D8" authorId="0" shapeId="0" xr:uid="{00000000-0006-0000-0200-000002000000}">
      <text>
        <r>
          <rPr>
            <sz val="9"/>
            <color rgb="FF000000"/>
            <rFont val="Times New Roman"/>
            <charset val="134"/>
          </rPr>
          <t xml:space="preserve">
</t>
        </r>
        <r>
          <rPr>
            <b/>
            <u/>
            <sz val="9"/>
            <color rgb="FF000000"/>
            <rFont val="Times New Roman"/>
            <charset val="134"/>
          </rPr>
          <t>Bữa Sáng/P.Sáng/.../Tối</t>
        </r>
        <r>
          <rPr>
            <b/>
            <sz val="9"/>
            <color rgb="FF000000"/>
            <rFont val="Times New Roman"/>
            <charset val="134"/>
          </rPr>
          <t>:</t>
        </r>
        <r>
          <rPr>
            <sz val="9"/>
            <color rgb="FF000000"/>
            <rFont val="Times New Roman"/>
            <charset val="134"/>
          </rPr>
          <t xml:space="preserve"> Chọn thực phẩm có sẵn
</t>
        </r>
        <r>
          <rPr>
            <b/>
            <u/>
            <sz val="9"/>
            <color rgb="FF000000"/>
            <rFont val="Times New Roman"/>
            <charset val="134"/>
          </rPr>
          <t>Chọn TV/ĐV</t>
        </r>
        <r>
          <rPr>
            <b/>
            <sz val="9"/>
            <color rgb="FF000000"/>
            <rFont val="Times New Roman"/>
            <charset val="134"/>
          </rPr>
          <t>:</t>
        </r>
        <r>
          <rPr>
            <sz val="9"/>
            <color rgb="FF000000"/>
            <rFont val="Times New Roman"/>
            <charset val="134"/>
          </rPr>
          <t xml:space="preserve"> Chọn TP thuộc thực vật hoặc động vật
</t>
        </r>
        <r>
          <rPr>
            <b/>
            <u/>
            <sz val="9"/>
            <color rgb="FF000000"/>
            <rFont val="Times New Roman"/>
            <charset val="134"/>
          </rPr>
          <t>Định lượng</t>
        </r>
        <r>
          <rPr>
            <b/>
            <sz val="9"/>
            <color rgb="FF000000"/>
            <rFont val="Times New Roman"/>
            <charset val="134"/>
          </rPr>
          <t>:</t>
        </r>
        <r>
          <rPr>
            <sz val="9"/>
            <color rgb="FF000000"/>
            <rFont val="Times New Roman"/>
            <charset val="134"/>
          </rPr>
          <t xml:space="preserve"> Nhập định lượng cho thực phẩm đã chọn
</t>
        </r>
      </text>
    </comment>
    <comment ref="F15" authorId="0" shapeId="0" xr:uid="{00000000-0006-0000-0200-000003000000}">
      <text>
        <r>
          <rPr>
            <sz val="9"/>
            <color rgb="FF000000"/>
            <rFont val="Times New Roman"/>
            <charset val="134"/>
          </rPr>
          <t>Bảng kiểm tra định lượng thực phẩm so với nhu cầu của từng bữa ăn
+ K được nhập định lượng
+ K được thay đổi giá trị</t>
        </r>
      </text>
    </comment>
    <comment ref="H41" authorId="0" shapeId="0" xr:uid="{00000000-0006-0000-0200-000004000000}">
      <text>
        <r>
          <rPr>
            <sz val="9"/>
            <color rgb="FF000000"/>
            <rFont val="Times New Roman"/>
            <charset val="134"/>
          </rPr>
          <t>95%</t>
        </r>
      </text>
    </comment>
    <comment ref="H42" authorId="0" shapeId="0" xr:uid="{00000000-0006-0000-0200-000005000000}">
      <text>
        <r>
          <rPr>
            <sz val="9"/>
            <color rgb="FF000000"/>
            <rFont val="Times New Roman"/>
            <charset val="134"/>
          </rPr>
          <t>100%</t>
        </r>
      </text>
    </comment>
    <comment ref="F59" authorId="0" shapeId="0" xr:uid="{00000000-0006-0000-0200-000006000000}">
      <text>
        <r>
          <rPr>
            <sz val="9"/>
            <rFont val="Times New Roman"/>
            <charset val="134"/>
          </rPr>
          <t>Bảng kiểm tra định lượng thực phẩm so với nhu cầu của từng bữa ăn
+ K được nhập định lượng
+ K được thay đổi giá trị</t>
        </r>
      </text>
    </comment>
    <comment ref="H85" authorId="0" shapeId="0" xr:uid="{00000000-0006-0000-0200-000007000000}">
      <text>
        <r>
          <rPr>
            <sz val="9"/>
            <rFont val="Times New Roman"/>
            <charset val="134"/>
          </rPr>
          <t>95%</t>
        </r>
      </text>
    </comment>
    <comment ref="H86" authorId="0" shapeId="0" xr:uid="{00000000-0006-0000-0200-000008000000}">
      <text>
        <r>
          <rPr>
            <sz val="9"/>
            <rFont val="Times New Roman"/>
            <charset val="134"/>
          </rPr>
          <t>100%</t>
        </r>
      </text>
    </comment>
    <comment ref="F102" authorId="0" shapeId="0" xr:uid="{00000000-0006-0000-0200-000009000000}">
      <text>
        <r>
          <rPr>
            <sz val="9"/>
            <rFont val="Times New Roman"/>
            <charset val="134"/>
          </rPr>
          <t>Bảng kiểm tra định lượng thực phẩm so với nhu cầu của từng bữa ăn
+ K được nhập định lượng
+ K được thay đổi giá trị</t>
        </r>
      </text>
    </comment>
    <comment ref="H128" authorId="0" shapeId="0" xr:uid="{00000000-0006-0000-0200-00000A000000}">
      <text>
        <r>
          <rPr>
            <sz val="9"/>
            <rFont val="Times New Roman"/>
            <charset val="134"/>
          </rPr>
          <t>95%</t>
        </r>
      </text>
    </comment>
    <comment ref="H129" authorId="0" shapeId="0" xr:uid="{00000000-0006-0000-0200-00000B000000}">
      <text>
        <r>
          <rPr>
            <sz val="9"/>
            <rFont val="Times New Roman"/>
            <charset val="134"/>
          </rPr>
          <t>100%</t>
        </r>
      </text>
    </comment>
    <comment ref="F145" authorId="0" shapeId="0" xr:uid="{00000000-0006-0000-0200-00000C000000}">
      <text>
        <r>
          <rPr>
            <sz val="9"/>
            <rFont val="Times New Roman"/>
            <charset val="134"/>
          </rPr>
          <t>Bảng kiểm tra định lượng thực phẩm so với nhu cầu của từng bữa ăn
+ K được nhập định lượng
+ K được thay đổi giá trị</t>
        </r>
      </text>
    </comment>
    <comment ref="H171" authorId="0" shapeId="0" xr:uid="{00000000-0006-0000-0200-00000D000000}">
      <text>
        <r>
          <rPr>
            <sz val="9"/>
            <rFont val="Times New Roman"/>
            <charset val="134"/>
          </rPr>
          <t>95%</t>
        </r>
      </text>
    </comment>
    <comment ref="H172" authorId="0" shapeId="0" xr:uid="{00000000-0006-0000-0200-00000E000000}">
      <text>
        <r>
          <rPr>
            <sz val="9"/>
            <rFont val="Times New Roman"/>
            <charset val="134"/>
          </rPr>
          <t>100%</t>
        </r>
      </text>
    </comment>
    <comment ref="F188" authorId="0" shapeId="0" xr:uid="{00000000-0006-0000-0200-00000F000000}">
      <text>
        <r>
          <rPr>
            <sz val="9"/>
            <rFont val="Times New Roman"/>
            <charset val="134"/>
          </rPr>
          <t>Bảng kiểm tra định lượng thực phẩm so với nhu cầu của từng bữa ăn
+ K được nhập định lượng
+ K được thay đổi giá trị</t>
        </r>
      </text>
    </comment>
    <comment ref="H214" authorId="0" shapeId="0" xr:uid="{00000000-0006-0000-0200-000010000000}">
      <text>
        <r>
          <rPr>
            <sz val="9"/>
            <rFont val="Times New Roman"/>
            <charset val="134"/>
          </rPr>
          <t>95%</t>
        </r>
      </text>
    </comment>
    <comment ref="H215" authorId="0" shapeId="0" xr:uid="{00000000-0006-0000-0200-000011000000}">
      <text>
        <r>
          <rPr>
            <sz val="9"/>
            <rFont val="Times New Roman"/>
            <charset val="134"/>
          </rPr>
          <t>100%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F122" authorId="0" shapeId="0" xr:uid="{00000000-0006-0000-0300-000001000000}">
      <text>
        <r>
          <rPr>
            <sz val="9"/>
            <color rgb="FF000000"/>
            <rFont val="Times New Roman"/>
            <charset val="134"/>
          </rPr>
          <t>95%</t>
        </r>
      </text>
    </comment>
    <comment ref="F123" authorId="0" shapeId="0" xr:uid="{00000000-0006-0000-0300-000002000000}">
      <text>
        <r>
          <rPr>
            <sz val="9"/>
            <rFont val="Times New Roman"/>
            <charset val="134"/>
          </rPr>
          <t>100%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<sst xmlns="http://schemas.openxmlformats.org/spreadsheetml/2006/main" count="2858" uniqueCount="1069">
  <si>
    <t>vl1</t>
  </si>
  <si>
    <t>vl2</t>
  </si>
  <si>
    <t>vl3</t>
  </si>
  <si>
    <t>vl4</t>
  </si>
  <si>
    <t>vl5</t>
  </si>
  <si>
    <t>vl6</t>
  </si>
  <si>
    <t>vl7</t>
  </si>
  <si>
    <t>vl8</t>
  </si>
  <si>
    <t>vl9</t>
  </si>
  <si>
    <t>vl10</t>
  </si>
  <si>
    <t>vl11</t>
  </si>
  <si>
    <t>vl12</t>
  </si>
  <si>
    <t>vl13</t>
  </si>
  <si>
    <t>vl14</t>
  </si>
  <si>
    <t>vl15</t>
  </si>
  <si>
    <t>vl16</t>
  </si>
  <si>
    <t>vl17</t>
  </si>
  <si>
    <t>vl18</t>
  </si>
  <si>
    <t>vl19</t>
  </si>
  <si>
    <t>vl20</t>
  </si>
  <si>
    <t>vl21</t>
  </si>
  <si>
    <t>vl22</t>
  </si>
  <si>
    <t>vl23</t>
  </si>
  <si>
    <t>vl24</t>
  </si>
  <si>
    <t>vl25</t>
  </si>
  <si>
    <t>vl26</t>
  </si>
  <si>
    <t>vl27</t>
  </si>
  <si>
    <t>vl28</t>
  </si>
  <si>
    <t>vl29</t>
  </si>
  <si>
    <t>vl30</t>
  </si>
  <si>
    <t>vl31</t>
  </si>
  <si>
    <t>vl32</t>
  </si>
  <si>
    <t>vl33</t>
  </si>
  <si>
    <t>vl34</t>
  </si>
  <si>
    <t>vl35</t>
  </si>
  <si>
    <t>vl36</t>
  </si>
  <si>
    <t>vl37</t>
  </si>
  <si>
    <t>vl38</t>
  </si>
  <si>
    <t>vl39</t>
  </si>
  <si>
    <t>vl40</t>
  </si>
  <si>
    <t>vl41</t>
  </si>
  <si>
    <t>vl42</t>
  </si>
  <si>
    <t>vl43</t>
  </si>
  <si>
    <t>vl44</t>
  </si>
  <si>
    <t>vl45</t>
  </si>
  <si>
    <t>vl46</t>
  </si>
  <si>
    <t>vl47</t>
  </si>
  <si>
    <t>vl48</t>
  </si>
  <si>
    <t>vl49</t>
  </si>
  <si>
    <t>vl50</t>
  </si>
  <si>
    <t>vl51</t>
  </si>
  <si>
    <t>vl52</t>
  </si>
  <si>
    <t>vl53</t>
  </si>
  <si>
    <t>vl54</t>
  </si>
  <si>
    <t>vl55</t>
  </si>
  <si>
    <t>vl56</t>
  </si>
  <si>
    <t>vl57</t>
  </si>
  <si>
    <t>vl58</t>
  </si>
  <si>
    <t>vl59</t>
  </si>
  <si>
    <t>vl60</t>
  </si>
  <si>
    <t>vl61</t>
  </si>
  <si>
    <t>vl62</t>
  </si>
  <si>
    <t>vl63</t>
  </si>
  <si>
    <t>vl64</t>
  </si>
  <si>
    <t>vl65</t>
  </si>
  <si>
    <t>vl66</t>
  </si>
  <si>
    <t>vl67</t>
  </si>
  <si>
    <t>vl68</t>
  </si>
  <si>
    <t>vl69</t>
  </si>
  <si>
    <t>vl70</t>
  </si>
  <si>
    <t>vl71</t>
  </si>
  <si>
    <t>vl72</t>
  </si>
  <si>
    <t>vl73</t>
  </si>
  <si>
    <t>vl74</t>
  </si>
  <si>
    <t>vl75</t>
  </si>
  <si>
    <t>vl76</t>
  </si>
  <si>
    <t>vl77</t>
  </si>
  <si>
    <t>vl78</t>
  </si>
  <si>
    <t>vl79</t>
  </si>
  <si>
    <t>vl80</t>
  </si>
  <si>
    <t>vl81</t>
  </si>
  <si>
    <t>vl82</t>
  </si>
  <si>
    <t>vl83</t>
  </si>
  <si>
    <t>vl84</t>
  </si>
  <si>
    <t>TT</t>
  </si>
  <si>
    <t>Mã số/ code</t>
  </si>
  <si>
    <t>Tên và mô tả thực phẩm
Food name and description</t>
  </si>
  <si>
    <t>TV/ĐV</t>
  </si>
  <si>
    <t>Năng lượng
(energy, Kcal)</t>
  </si>
  <si>
    <t>Nước (water)</t>
  </si>
  <si>
    <t>Protid</t>
  </si>
  <si>
    <t>Lipid</t>
  </si>
  <si>
    <t>TS carbohydrate</t>
  </si>
  <si>
    <t>Chất xơ (crude fiber)</t>
  </si>
  <si>
    <t>Tro (ash)</t>
  </si>
  <si>
    <t>Đường tổng (total sugar)</t>
  </si>
  <si>
    <t>Calcium (Ca)</t>
  </si>
  <si>
    <t>Photphorous (P)</t>
  </si>
  <si>
    <t>Iron (Fe)</t>
  </si>
  <si>
    <t>Vitamin C</t>
  </si>
  <si>
    <t>Vitamin B1</t>
  </si>
  <si>
    <t>Vitamin B2</t>
  </si>
  <si>
    <t>Vitamin PP</t>
  </si>
  <si>
    <t>Sodium (Na)</t>
  </si>
  <si>
    <t>Potassium (K)</t>
  </si>
  <si>
    <t>Magnesium (Mg)</t>
  </si>
  <si>
    <t>Manganese (Mn)</t>
  </si>
  <si>
    <t>Zinc (Zn)</t>
  </si>
  <si>
    <t>Copper (Cu)</t>
  </si>
  <si>
    <t>Selenium (Se)</t>
  </si>
  <si>
    <t>Acid pantothenic</t>
  </si>
  <si>
    <t>Vitamin B6</t>
  </si>
  <si>
    <t>Folate tổng số</t>
  </si>
  <si>
    <t>Acid folic (vitamin B9)</t>
  </si>
  <si>
    <t>Biotin (vitamin H)</t>
  </si>
  <si>
    <t>Vitamin B12</t>
  </si>
  <si>
    <t>Vitamin A (retinol)</t>
  </si>
  <si>
    <t>Retinol</t>
  </si>
  <si>
    <t>Vitamin A (RAE)</t>
  </si>
  <si>
    <t>Vitamin D</t>
  </si>
  <si>
    <t>Vitamin E</t>
  </si>
  <si>
    <t>Vitamin K</t>
  </si>
  <si>
    <t>Betacarotene</t>
  </si>
  <si>
    <t>Alphacarotene</t>
  </si>
  <si>
    <t>Betacryptoxanthin</t>
  </si>
  <si>
    <t>Lycopene</t>
  </si>
  <si>
    <t>Lutein + zeaxanthin</t>
  </si>
  <si>
    <t>Isoflavone tổng số</t>
  </si>
  <si>
    <t>Daidzein</t>
  </si>
  <si>
    <t>Genistein</t>
  </si>
  <si>
    <t>Glycetin</t>
  </si>
  <si>
    <t>Purine</t>
  </si>
  <si>
    <t>TS Axit béo no</t>
  </si>
  <si>
    <t>Palmitic (C16:0)</t>
  </si>
  <si>
    <t>Margaric (C17:0)</t>
  </si>
  <si>
    <t>Stearic (C18:0)</t>
  </si>
  <si>
    <t>Arachidic (C20:0)</t>
  </si>
  <si>
    <t>Behenic (C22:0)</t>
  </si>
  <si>
    <t>Lignoceric (C24:0)</t>
  </si>
  <si>
    <t>TS acid béo không no 1 nối đôi</t>
  </si>
  <si>
    <t>Myristoleic (C14:1)</t>
  </si>
  <si>
    <t>Palmitoleic (C16:1)</t>
  </si>
  <si>
    <t>Oleic (C18:1)</t>
  </si>
  <si>
    <t>TS acid béo không no nhiều nối đôi</t>
  </si>
  <si>
    <t>Linoleic</t>
  </si>
  <si>
    <t>Linolenic</t>
  </si>
  <si>
    <t>Arachidonic (C20:4)</t>
  </si>
  <si>
    <t>EPA (C20:5 n3)</t>
  </si>
  <si>
    <t>DHA (C22:6 n3)</t>
  </si>
  <si>
    <t>TS acid béo trans</t>
  </si>
  <si>
    <t>Cholesterol</t>
  </si>
  <si>
    <t>Phytosterol</t>
  </si>
  <si>
    <t xml:space="preserve"> Lysin</t>
  </si>
  <si>
    <t xml:space="preserve"> Methionin</t>
  </si>
  <si>
    <t xml:space="preserve"> Tryptophan</t>
  </si>
  <si>
    <t xml:space="preserve"> Phenylalanin</t>
  </si>
  <si>
    <t xml:space="preserve"> Threonin</t>
  </si>
  <si>
    <t xml:space="preserve"> Valine</t>
  </si>
  <si>
    <t xml:space="preserve"> Leucine</t>
  </si>
  <si>
    <t xml:space="preserve"> Isoleucine</t>
  </si>
  <si>
    <t xml:space="preserve"> Arginine</t>
  </si>
  <si>
    <t xml:space="preserve"> Histidine</t>
  </si>
  <si>
    <t xml:space="preserve"> Cystine</t>
  </si>
  <si>
    <t xml:space="preserve"> Tyrosine</t>
  </si>
  <si>
    <t xml:space="preserve"> Alanine</t>
  </si>
  <si>
    <t xml:space="preserve"> Aspartic acid</t>
  </si>
  <si>
    <t xml:space="preserve"> Glutamic acid</t>
  </si>
  <si>
    <t xml:space="preserve"> Glycine</t>
  </si>
  <si>
    <t xml:space="preserve"> Proline</t>
  </si>
  <si>
    <t xml:space="preserve"> Serine</t>
  </si>
  <si>
    <t>Tiếng Việt</t>
  </si>
  <si>
    <t>Kcal</t>
  </si>
  <si>
    <t>g</t>
  </si>
  <si>
    <t>mg</t>
  </si>
  <si>
    <t>(mcg)</t>
  </si>
  <si>
    <t>mcg</t>
  </si>
  <si>
    <t>IU</t>
  </si>
  <si>
    <t>(mg)</t>
  </si>
  <si>
    <t>I</t>
  </si>
  <si>
    <t>Ngũ cốc và sản phẩm chế biến</t>
  </si>
  <si>
    <t>Gạo nếp cái</t>
  </si>
  <si>
    <t>TV</t>
  </si>
  <si>
    <t>Gạo nếp (loại thường)</t>
  </si>
  <si>
    <t>Gạo tẻ giã</t>
  </si>
  <si>
    <t>Gạo tẻ máy</t>
  </si>
  <si>
    <t>Gạo lứt</t>
  </si>
  <si>
    <t>Kê</t>
  </si>
  <si>
    <t>Ngô bắp tươi</t>
  </si>
  <si>
    <t>Ngô vàng hạt khô</t>
  </si>
  <si>
    <t>Bánh bao</t>
  </si>
  <si>
    <t>Bánh đa nem</t>
  </si>
  <si>
    <t>Bánh đúc</t>
  </si>
  <si>
    <t>Bánh mỳ</t>
  </si>
  <si>
    <t>Bánh phở</t>
  </si>
  <si>
    <t>Bánh quẩy nóng</t>
  </si>
  <si>
    <t>Bỏng ngô</t>
  </si>
  <si>
    <t>Bột gạo nếp</t>
  </si>
  <si>
    <t>Bột gạo tẻ</t>
  </si>
  <si>
    <t>Bột mì</t>
  </si>
  <si>
    <t>Bột ngô vàng</t>
  </si>
  <si>
    <t>Bún</t>
  </si>
  <si>
    <t>Cốm tươi</t>
  </si>
  <si>
    <t>Mỳ sợi</t>
  </si>
  <si>
    <t>Ngô nếp luộc</t>
  </si>
  <si>
    <t>Mỳ ăn liền (mỳ tôm)</t>
  </si>
  <si>
    <t>II</t>
  </si>
  <si>
    <t>Khoai củ và sản phẩm chế biến</t>
  </si>
  <si>
    <t>Củ ấu</t>
  </si>
  <si>
    <t>Củ cái</t>
  </si>
  <si>
    <t>Củ dong</t>
  </si>
  <si>
    <t>Củ sắn</t>
  </si>
  <si>
    <t>Củ sắn dây</t>
  </si>
  <si>
    <t>Củ súng khô (đã bỏ vỏ)</t>
  </si>
  <si>
    <t>Củ từ</t>
  </si>
  <si>
    <t>Khoai lang</t>
  </si>
  <si>
    <t>Khoai lang nghệ</t>
  </si>
  <si>
    <t>Khoai môn</t>
  </si>
  <si>
    <t>Khoai nước</t>
  </si>
  <si>
    <t>Khoai riềng</t>
  </si>
  <si>
    <t>Khoai sọ</t>
  </si>
  <si>
    <t>Khoai tây</t>
  </si>
  <si>
    <t>Miến dong</t>
  </si>
  <si>
    <t>Bột dong lọc</t>
  </si>
  <si>
    <t>Bột khoai lang</t>
  </si>
  <si>
    <t>Bột khoai riềng (bột đao)</t>
  </si>
  <si>
    <t>Bột khoai tây (lọc)</t>
  </si>
  <si>
    <t>Bột sắn</t>
  </si>
  <si>
    <t>Bột sắn dây</t>
  </si>
  <si>
    <t>Khoai lang khô</t>
  </si>
  <si>
    <t>Khoai tây khô</t>
  </si>
  <si>
    <t>Khoai tây lát chiên</t>
  </si>
  <si>
    <t>Sắn khô</t>
  </si>
  <si>
    <t>Trân châu sắn</t>
  </si>
  <si>
    <t>III</t>
  </si>
  <si>
    <t>Hạt, quả giàu đạm, béo và sản phẩm chế biến</t>
  </si>
  <si>
    <t>Cùi dừa già</t>
  </si>
  <si>
    <t>Cùi dừa non</t>
  </si>
  <si>
    <t>Đậu cô ve (hạt)</t>
  </si>
  <si>
    <t>Đậu đen (hạt)</t>
  </si>
  <si>
    <t>Đậu đũa (hạt)</t>
  </si>
  <si>
    <t>Đậu Hà lan (hạt)</t>
  </si>
  <si>
    <t>Đậu tương (đậu nành)</t>
  </si>
  <si>
    <t>Đậu trắng hạt (Đậu Tây)</t>
  </si>
  <si>
    <t>Đậu trứng cuốc</t>
  </si>
  <si>
    <t>Đậu xanh (đậu tắt)</t>
  </si>
  <si>
    <t>Hạt dẻ to</t>
  </si>
  <si>
    <t>Hạt dẻ tươi</t>
  </si>
  <si>
    <t>-</t>
  </si>
  <si>
    <t>Hạt dẻ khô</t>
  </si>
  <si>
    <t>Hạt đen</t>
  </si>
  <si>
    <t>Hạt điều</t>
  </si>
  <si>
    <t>Hạt mít</t>
  </si>
  <si>
    <t>Lạc hạt</t>
  </si>
  <si>
    <t>Quả cọ tươi</t>
  </si>
  <si>
    <t>Quả đại hái tươi</t>
  </si>
  <si>
    <t>Vừng (đen, trắng)</t>
  </si>
  <si>
    <t>Bột đậu tương đã loại béo (đậu nành)</t>
  </si>
  <si>
    <t>Bột đậu tương rang chín</t>
  </si>
  <si>
    <t>Bột đậu xanh</t>
  </si>
  <si>
    <t>Bột lạc</t>
  </si>
  <si>
    <t>Đậu phụ</t>
  </si>
  <si>
    <t>Đậu phụ chúc</t>
  </si>
  <si>
    <t>Đậu phụ nướng</t>
  </si>
  <si>
    <t>Hạt bí đỏ rang</t>
  </si>
  <si>
    <t>Hạt dưa đỏ rang (dưa hấu)</t>
  </si>
  <si>
    <t>Hạt điều khô, chiên dầu</t>
  </si>
  <si>
    <t>vÕt</t>
  </si>
  <si>
    <t>Sữa bột đậu nành</t>
  </si>
  <si>
    <t>Sữa đậu nành (100g đậu/lít)</t>
  </si>
  <si>
    <t>Tào phớ</t>
  </si>
  <si>
    <t>IV.</t>
  </si>
  <si>
    <t>Rau, quả, củ dùng làm rau</t>
  </si>
  <si>
    <t>A/ Rau, quả,củ, rau khô</t>
  </si>
  <si>
    <t>Bầu</t>
  </si>
  <si>
    <t>Bí đao (bí xanh)</t>
  </si>
  <si>
    <t>Bí ngô</t>
  </si>
  <si>
    <t>Cà bát</t>
  </si>
  <si>
    <t>Cà chua</t>
  </si>
  <si>
    <t>Cà pháo</t>
  </si>
  <si>
    <t>Cà rốt (củ đỏ, vàng)</t>
  </si>
  <si>
    <t>Cà rốt khô</t>
  </si>
  <si>
    <t>Cà tím</t>
  </si>
  <si>
    <t>Cải bắp</t>
  </si>
  <si>
    <t>Cải bắp đỏ</t>
  </si>
  <si>
    <t>Cải bắp khô</t>
  </si>
  <si>
    <t>Cải cúc</t>
  </si>
  <si>
    <t>Cải soong</t>
  </si>
  <si>
    <t>Cải thìa (cải trắng)</t>
  </si>
  <si>
    <t>Cải xanh</t>
  </si>
  <si>
    <t>Cần ta</t>
  </si>
  <si>
    <t>Cần tây</t>
  </si>
  <si>
    <t>Chuối xanh</t>
  </si>
  <si>
    <t>Củ cải đỏ</t>
  </si>
  <si>
    <t>Củ cải trắng</t>
  </si>
  <si>
    <t>Củ cải trắng khô</t>
  </si>
  <si>
    <t>Củ đậu</t>
  </si>
  <si>
    <t>Củ niễng</t>
  </si>
  <si>
    <t>Dọc củ cải (non)</t>
  </si>
  <si>
    <t>Dọc mùng</t>
  </si>
  <si>
    <t>Dưa chuột</t>
  </si>
  <si>
    <t>Dưa gang</t>
  </si>
  <si>
    <t>Đậu cô ve</t>
  </si>
  <si>
    <t>Đậu đũa</t>
  </si>
  <si>
    <t>Đậu Hà Lan</t>
  </si>
  <si>
    <t>Đậu rồng (quả non)</t>
  </si>
  <si>
    <t>Đu đủ xanh</t>
  </si>
  <si>
    <t>Gấc</t>
  </si>
  <si>
    <t>Giá đậu tương</t>
  </si>
  <si>
    <t>Giá đậu xanh</t>
  </si>
  <si>
    <t>Hành củ tươi</t>
  </si>
  <si>
    <t>Hành lá (hành hoa)</t>
  </si>
  <si>
    <t>Hành tây</t>
  </si>
  <si>
    <t>Hạt sen tươi</t>
  </si>
  <si>
    <t>Hạt sen khô</t>
  </si>
  <si>
    <t>Hẹ lá</t>
  </si>
  <si>
    <t>Hoa chuối</t>
  </si>
  <si>
    <t>Hoa lý</t>
  </si>
  <si>
    <t>Khế</t>
  </si>
  <si>
    <t>Lá lốt</t>
  </si>
  <si>
    <t>Lá me</t>
  </si>
  <si>
    <t>Lá mơ lông</t>
  </si>
  <si>
    <t>Lá sắn tươi</t>
  </si>
  <si>
    <t>Măng chua</t>
  </si>
  <si>
    <t>Măng khô</t>
  </si>
  <si>
    <t>Măng tây</t>
  </si>
  <si>
    <t>Măng tre</t>
  </si>
  <si>
    <t>Mướp</t>
  </si>
  <si>
    <t>Mướp đắng</t>
  </si>
  <si>
    <t>Mướp Nhật bản</t>
  </si>
  <si>
    <t>Ngải cứu</t>
  </si>
  <si>
    <t>Ngô bao tử</t>
  </si>
  <si>
    <t>Ngó sen</t>
  </si>
  <si>
    <t>Nụ mướp</t>
  </si>
  <si>
    <t>Ớt đỏ to</t>
  </si>
  <si>
    <t>Ớt vàng to</t>
  </si>
  <si>
    <t>Ớt xanh to</t>
  </si>
  <si>
    <t>Quả dọc</t>
  </si>
  <si>
    <t>Quả me chua</t>
  </si>
  <si>
    <t>Rau bí</t>
  </si>
  <si>
    <t>Rau câu khô</t>
  </si>
  <si>
    <t>Rau câu tươi</t>
  </si>
  <si>
    <t>Rau diếp</t>
  </si>
  <si>
    <t>Rau đay</t>
  </si>
  <si>
    <t>Rau giấp cá, diếp cá</t>
  </si>
  <si>
    <t>Rau giền cơm</t>
  </si>
  <si>
    <t>Rau giền đỏ</t>
  </si>
  <si>
    <t>Rau giền trắng</t>
  </si>
  <si>
    <t>Rau húng</t>
  </si>
  <si>
    <t>Rau khoai lang</t>
  </si>
  <si>
    <t>Rau kinh giới</t>
  </si>
  <si>
    <t>Rau má rừng</t>
  </si>
  <si>
    <t>Rau má, má mơ</t>
  </si>
  <si>
    <t>Rau mồng tơi</t>
  </si>
  <si>
    <t>Rau mùi</t>
  </si>
  <si>
    <t>Rau mùi tàu</t>
  </si>
  <si>
    <t>Rau muống</t>
  </si>
  <si>
    <t>Sửa số liệu carotenoid, dùng số liệu phân tích năm 2005</t>
  </si>
  <si>
    <t>Rau muống khô</t>
  </si>
  <si>
    <t>Rau ngổ</t>
  </si>
  <si>
    <t>Rau ngót</t>
  </si>
  <si>
    <t>Rau ngót khô</t>
  </si>
  <si>
    <t>Rau răm</t>
  </si>
  <si>
    <t>Rau rút</t>
  </si>
  <si>
    <t>Rau sà lách</t>
  </si>
  <si>
    <t>Rau sam</t>
  </si>
  <si>
    <t>Rau sắng (chùa hương)</t>
  </si>
  <si>
    <t>Rau tàu bay</t>
  </si>
  <si>
    <t>Rau thơm</t>
  </si>
  <si>
    <t>Sấu xanh</t>
  </si>
  <si>
    <t>Su hào</t>
  </si>
  <si>
    <t>Su hào khô</t>
  </si>
  <si>
    <t>Su su</t>
  </si>
  <si>
    <t>Súp lơ trắng</t>
  </si>
  <si>
    <t>Súp lơ xanh</t>
  </si>
  <si>
    <t>Thìa là</t>
  </si>
  <si>
    <t>Tía tô</t>
  </si>
  <si>
    <t>Tỏi ta</t>
  </si>
  <si>
    <t>Tỏi tây (cả lá)</t>
  </si>
  <si>
    <t>Trám đen chín</t>
  </si>
  <si>
    <t>Trám xanh sống, trám trắng</t>
  </si>
  <si>
    <t>Xương sông</t>
  </si>
  <si>
    <t>Cải ngọt</t>
  </si>
  <si>
    <t>Cải thảo</t>
  </si>
  <si>
    <t>Ngọn su su</t>
  </si>
  <si>
    <t>Đậu ván</t>
  </si>
  <si>
    <t>B/ Dưa muối</t>
  </si>
  <si>
    <t>Cà chua muối</t>
  </si>
  <si>
    <t>Cà muối nén</t>
  </si>
  <si>
    <t>Cà muối sổi</t>
  </si>
  <si>
    <t>Dưa cải bắp</t>
  </si>
  <si>
    <t>Dưa cải bẹ</t>
  </si>
  <si>
    <t>Dưa cải sen</t>
  </si>
  <si>
    <t>Dưa chuột muối</t>
  </si>
  <si>
    <t>Dưa giá (đậu xanh)</t>
  </si>
  <si>
    <t>Hành củ muối</t>
  </si>
  <si>
    <t>Kiệu muối</t>
  </si>
  <si>
    <t>Nhút (dưa muối từ mít non,lá đậu xanh non...)</t>
  </si>
  <si>
    <t>C/ Nấm</t>
  </si>
  <si>
    <t>Men bia khô</t>
  </si>
  <si>
    <t>Men bia tươi</t>
  </si>
  <si>
    <t>Mộc nhĩ</t>
  </si>
  <si>
    <t>Nấm hương khô</t>
  </si>
  <si>
    <t>Nấm hương tươi</t>
  </si>
  <si>
    <t>Nấm mỡ (Nấm tây)</t>
  </si>
  <si>
    <t>Nấm rơm</t>
  </si>
  <si>
    <t>Nấm thường tươi</t>
  </si>
  <si>
    <t>V.</t>
  </si>
  <si>
    <t>Quả chín</t>
  </si>
  <si>
    <t>Bưởi</t>
  </si>
  <si>
    <t>Cam</t>
  </si>
  <si>
    <t>Chanh</t>
  </si>
  <si>
    <t>Chôm chôm</t>
  </si>
  <si>
    <t>Chuối khô</t>
  </si>
  <si>
    <t>Chuối tây</t>
  </si>
  <si>
    <t>Chuối tiêu</t>
  </si>
  <si>
    <t>Dâu gia</t>
  </si>
  <si>
    <t>Dâu tây</t>
  </si>
  <si>
    <t>Dưa bở</t>
  </si>
  <si>
    <t>Dưa hấu</t>
  </si>
  <si>
    <t>Dưa hồng</t>
  </si>
  <si>
    <t>Dưa lê</t>
  </si>
  <si>
    <t>Dứa ta</t>
  </si>
  <si>
    <t>Dứa tây</t>
  </si>
  <si>
    <t>Đào</t>
  </si>
  <si>
    <t>Đu đủ chín</t>
  </si>
  <si>
    <t>Gioi</t>
  </si>
  <si>
    <t>Hồng bì</t>
  </si>
  <si>
    <t>Hồng đỏ</t>
  </si>
  <si>
    <t>Hồng ngâm</t>
  </si>
  <si>
    <t>Hồng xiêm</t>
  </si>
  <si>
    <t>Lê</t>
  </si>
  <si>
    <t>Lựu</t>
  </si>
  <si>
    <t>Mãng cầu xiêm</t>
  </si>
  <si>
    <t>Mắc coọc</t>
  </si>
  <si>
    <t>Mận tím</t>
  </si>
  <si>
    <t>Mít dai</t>
  </si>
  <si>
    <t>Mít khô</t>
  </si>
  <si>
    <t>Mít mật</t>
  </si>
  <si>
    <t>Mơ</t>
  </si>
  <si>
    <t>Mơ khô</t>
  </si>
  <si>
    <t>Muỗm, quéo</t>
  </si>
  <si>
    <t>Na</t>
  </si>
  <si>
    <t>Nhãn</t>
  </si>
  <si>
    <t>Nhãn khô</t>
  </si>
  <si>
    <t>Nho ngọt</t>
  </si>
  <si>
    <t>Nho ta (nho chua)</t>
  </si>
  <si>
    <t>Nhót</t>
  </si>
  <si>
    <t>Ổi</t>
  </si>
  <si>
    <t>Quả bơ vỏ tím</t>
  </si>
  <si>
    <t>Quả bơ vỏ xanh</t>
  </si>
  <si>
    <t>Quả cóc</t>
  </si>
  <si>
    <t>Quả thanh long</t>
  </si>
  <si>
    <t>Quả trứng gà</t>
  </si>
  <si>
    <t>Quất chín (cả vỏ)</t>
  </si>
  <si>
    <t>Quít</t>
  </si>
  <si>
    <t>Sầu riêng</t>
  </si>
  <si>
    <t>Sấu chín</t>
  </si>
  <si>
    <t>Táo ta</t>
  </si>
  <si>
    <t>Táo tây</t>
  </si>
  <si>
    <t>Vải</t>
  </si>
  <si>
    <t>Vải khô</t>
  </si>
  <si>
    <t>Vú sữa</t>
  </si>
  <si>
    <t>Xoài chín</t>
  </si>
  <si>
    <t>Quả kiwi</t>
  </si>
  <si>
    <t>Dầu, mỡ, bơ</t>
  </si>
  <si>
    <t>Bơ</t>
  </si>
  <si>
    <t>Dầu thảo mộc (Lạc, vừng, cám...)</t>
  </si>
  <si>
    <t>Mỡ lợn muối</t>
  </si>
  <si>
    <t>ĐV</t>
  </si>
  <si>
    <t>Mỡ lợn nước</t>
  </si>
  <si>
    <t>Bơ thực vật</t>
  </si>
  <si>
    <t>Dầu bông</t>
  </si>
  <si>
    <t>Dầu cám gạo</t>
  </si>
  <si>
    <t>Dầu cọ</t>
  </si>
  <si>
    <t>Dầu dừa</t>
  </si>
  <si>
    <t>Dầu đậu tương</t>
  </si>
  <si>
    <t>Dầu lạc</t>
  </si>
  <si>
    <t>Dầu mè</t>
  </si>
  <si>
    <t>Dầu ngô</t>
  </si>
  <si>
    <t>Dầu oliu</t>
  </si>
  <si>
    <t>Thịt và sản phẩm chế biến</t>
  </si>
  <si>
    <t>Thịt bê mỡ</t>
  </si>
  <si>
    <t>Thịt bê nạc</t>
  </si>
  <si>
    <t>Thịt bò loại I</t>
  </si>
  <si>
    <t>Thịt bò loại II</t>
  </si>
  <si>
    <t>Thịt bò, lưng, nạc</t>
  </si>
  <si>
    <t>Thịt bò, lưng, nạc và mỡ</t>
  </si>
  <si>
    <t>Thịt bồ câu ra ràng (cả con)</t>
  </si>
  <si>
    <t>Thịt chó sấn</t>
  </si>
  <si>
    <t>Thịt chó vai</t>
  </si>
  <si>
    <t>Thịt cừu, nạc</t>
  </si>
  <si>
    <t>Thịt dê, nạc</t>
  </si>
  <si>
    <t>Thịt gà rừng (cả con)</t>
  </si>
  <si>
    <t>Thịt gà ta (cả con)</t>
  </si>
  <si>
    <t>Thịt gà tây (cả con)</t>
  </si>
  <si>
    <t>Thịt hươu</t>
  </si>
  <si>
    <t>Thịt lợn mỡ</t>
  </si>
  <si>
    <t>Thịt lợn nạc</t>
  </si>
  <si>
    <t>Thịt lợn nửa nạc, nửa mỡ</t>
  </si>
  <si>
    <t>Thịt ngỗng (cả con)</t>
  </si>
  <si>
    <t>Thịt ngựa</t>
  </si>
  <si>
    <t>Thịt thỏ nhà (cả con)</t>
  </si>
  <si>
    <t>Thịt thỏ rừng (cả con)</t>
  </si>
  <si>
    <t>Thịt trâu</t>
  </si>
  <si>
    <t>Thịt trâu bắp</t>
  </si>
  <si>
    <t>Thịt trâu cổ</t>
  </si>
  <si>
    <t>Thịt trâu đùi</t>
  </si>
  <si>
    <t>Thịt trâu thăn</t>
  </si>
  <si>
    <t>Thịt vịt (cả con)</t>
  </si>
  <si>
    <t>Bầu dục bò</t>
  </si>
  <si>
    <t>Bầu dục lợn</t>
  </si>
  <si>
    <t>Bì lợn</t>
  </si>
  <si>
    <t>Chân giò lợn (chưa bỏ xương)</t>
  </si>
  <si>
    <t>Dạ dày bò</t>
  </si>
  <si>
    <t>Dạ dày lợn</t>
  </si>
  <si>
    <t>Đầu bò</t>
  </si>
  <si>
    <t>Đầu lợn</t>
  </si>
  <si>
    <t>Đuôi bò</t>
  </si>
  <si>
    <t>Đuôi lợn</t>
  </si>
  <si>
    <t>Gan bò</t>
  </si>
  <si>
    <t>Gan gà</t>
  </si>
  <si>
    <t>Gan lợn</t>
  </si>
  <si>
    <t>Gan vịt</t>
  </si>
  <si>
    <t>Gân chân bò</t>
  </si>
  <si>
    <t>Lưỡi bò</t>
  </si>
  <si>
    <t>Lưỡi lợn</t>
  </si>
  <si>
    <t>Lòng lợn (ruột già)</t>
  </si>
  <si>
    <t>Lòng lợn (ruột non)</t>
  </si>
  <si>
    <t>Mề gà</t>
  </si>
  <si>
    <t>Óc bò</t>
  </si>
  <si>
    <t>Óc lợn</t>
  </si>
  <si>
    <t>Phổi bò</t>
  </si>
  <si>
    <t>Phổi lợn</t>
  </si>
  <si>
    <t>Sườn lợn (chưa bỏ xương)</t>
  </si>
  <si>
    <t>Tai lợn</t>
  </si>
  <si>
    <t>Tim bò</t>
  </si>
  <si>
    <t>Tim gà</t>
  </si>
  <si>
    <t>Tim lợn</t>
  </si>
  <si>
    <t>Tiết bò</t>
  </si>
  <si>
    <t>Tiết lợn luộc</t>
  </si>
  <si>
    <t>Tiết lợn sống</t>
  </si>
  <si>
    <t>Tủy xương bò</t>
  </si>
  <si>
    <t>Tủy xương lợn</t>
  </si>
  <si>
    <t>Ba tê</t>
  </si>
  <si>
    <t>Chả lợn</t>
  </si>
  <si>
    <t>Chả quế lợn</t>
  </si>
  <si>
    <t>Dăm bông lợn</t>
  </si>
  <si>
    <t>Dồi lợn</t>
  </si>
  <si>
    <t>Giò bò</t>
  </si>
  <si>
    <t>Giò lụa</t>
  </si>
  <si>
    <t>Giò thủ lợn</t>
  </si>
  <si>
    <t>Lạp xường</t>
  </si>
  <si>
    <t>Nem chạo</t>
  </si>
  <si>
    <t>Nem chua</t>
  </si>
  <si>
    <t>Ruốc thịt lợn</t>
  </si>
  <si>
    <t>Thịt bò khô</t>
  </si>
  <si>
    <t>Thịt trâu khô</t>
  </si>
  <si>
    <t>Xúc xích</t>
  </si>
  <si>
    <t>Bột cóc</t>
  </si>
  <si>
    <t>Châu chấu</t>
  </si>
  <si>
    <t>Ếch (thịt đùi)</t>
  </si>
  <si>
    <t>Nhộng</t>
  </si>
  <si>
    <t>Lòng gà (cả bộ)</t>
  </si>
  <si>
    <t>Thịt lợn, nạc vai</t>
  </si>
  <si>
    <t>Thịt lợn, nạc mông</t>
  </si>
  <si>
    <t>Thịt lợn, nạc thăn</t>
  </si>
  <si>
    <t>Thịt lợn nửa nạc, nửa mỡ, nướng</t>
  </si>
  <si>
    <t>Thịt gà công nghiệp, cánh</t>
  </si>
  <si>
    <t>Thịt gà công nghiệp, đùi</t>
  </si>
  <si>
    <t>Thịt gà công nghiệp, lườn</t>
  </si>
  <si>
    <t>Thịt ngan</t>
  </si>
  <si>
    <t>Chả lá lốt</t>
  </si>
  <si>
    <t>Thủy sản và sản phẩm chế biến</t>
  </si>
  <si>
    <t>Cá bống</t>
  </si>
  <si>
    <t>Cá chày</t>
  </si>
  <si>
    <t>Cá chép</t>
  </si>
  <si>
    <t>Cá dưa</t>
  </si>
  <si>
    <t>Cá dầu</t>
  </si>
  <si>
    <t>Cá diếc</t>
  </si>
  <si>
    <t>Cá đao</t>
  </si>
  <si>
    <t>Cá đé</t>
  </si>
  <si>
    <t>Cá đối</t>
  </si>
  <si>
    <t>Cá đồng tiền</t>
  </si>
  <si>
    <t>Cá hồi</t>
  </si>
  <si>
    <t>Cá khô (chim, thu, nụ, đé)</t>
  </si>
  <si>
    <t>Cá lác</t>
  </si>
  <si>
    <t>Cá mè</t>
  </si>
  <si>
    <t>Cá mòi (cá sardin)</t>
  </si>
  <si>
    <t>Cá mỡ</t>
  </si>
  <si>
    <t>Cá mối</t>
  </si>
  <si>
    <t>Cá nạc</t>
  </si>
  <si>
    <t>Cá ngừ</t>
  </si>
  <si>
    <t>Cá nục</t>
  </si>
  <si>
    <t>Cá phèn</t>
  </si>
  <si>
    <t>Cá quả</t>
  </si>
  <si>
    <t>Cá rô đồng</t>
  </si>
  <si>
    <t>Cá rô phi</t>
  </si>
  <si>
    <t>Cá thờn bơn</t>
  </si>
  <si>
    <t>Cá thu</t>
  </si>
  <si>
    <t>Cá thu đao</t>
  </si>
  <si>
    <t>Cá trạch</t>
  </si>
  <si>
    <t>Cá trắm cỏ</t>
  </si>
  <si>
    <t>Cá trê</t>
  </si>
  <si>
    <t>Cá trích</t>
  </si>
  <si>
    <t>Cá trôi</t>
  </si>
  <si>
    <t>Cua bể</t>
  </si>
  <si>
    <t>Cua đồng</t>
  </si>
  <si>
    <t>Cua ghẹ</t>
  </si>
  <si>
    <t>Hải sâm</t>
  </si>
  <si>
    <t>Hến</t>
  </si>
  <si>
    <t>Lươn</t>
  </si>
  <si>
    <t>Mực khô</t>
  </si>
  <si>
    <t>Mực tươi</t>
  </si>
  <si>
    <t>Ốc bươu</t>
  </si>
  <si>
    <t>Ốc đá</t>
  </si>
  <si>
    <t>Ốc nhồi</t>
  </si>
  <si>
    <t>Ốc vặn</t>
  </si>
  <si>
    <t>Rạm (muối, đồ)</t>
  </si>
  <si>
    <t>Rạm tươi</t>
  </si>
  <si>
    <t>Rươi</t>
  </si>
  <si>
    <t>Sò</t>
  </si>
  <si>
    <t>Tép gạo</t>
  </si>
  <si>
    <t>Tép khô</t>
  </si>
  <si>
    <t>Tôm biển</t>
  </si>
  <si>
    <t>Tôm đồng</t>
  </si>
  <si>
    <t>Tôm khô</t>
  </si>
  <si>
    <t>Trai</t>
  </si>
  <si>
    <t>Bánh phồng tôm rán</t>
  </si>
  <si>
    <t>Bánh phồng tôm sống</t>
  </si>
  <si>
    <t>Bột cá</t>
  </si>
  <si>
    <t>Ruốc cá quả</t>
  </si>
  <si>
    <t>Ruốc tôm</t>
  </si>
  <si>
    <t>Cá chim</t>
  </si>
  <si>
    <t>Cá chim trắng</t>
  </si>
  <si>
    <t>Cá điêu hồng</t>
  </si>
  <si>
    <t>Cá basa, phi lê</t>
  </si>
  <si>
    <t>Chả cá basa</t>
  </si>
  <si>
    <t>Con trùng trục</t>
  </si>
  <si>
    <t>Ngao biển trắng</t>
  </si>
  <si>
    <t>Trứng và sản phẩm chế biến</t>
  </si>
  <si>
    <t>Trứng gà ta</t>
  </si>
  <si>
    <t>Lòng đỏ trứng gà</t>
  </si>
  <si>
    <t>Lòng trắng trứng gà</t>
  </si>
  <si>
    <t>Trứng vịt</t>
  </si>
  <si>
    <t>Lòng đỏ trứng vịt</t>
  </si>
  <si>
    <t>Lòng trắng trứng vịt</t>
  </si>
  <si>
    <t>Trứng chim cút</t>
  </si>
  <si>
    <t>Trứng cá</t>
  </si>
  <si>
    <t>Trứng cá muối</t>
  </si>
  <si>
    <t>Trứng vịt lộn</t>
  </si>
  <si>
    <t>Bột trứng</t>
  </si>
  <si>
    <t>Trứng gà công nghiệp</t>
  </si>
  <si>
    <t>Sữa và sản phẩm chế biến</t>
  </si>
  <si>
    <t>Sữa bò tươi</t>
  </si>
  <si>
    <t>Sữa dê tươi</t>
  </si>
  <si>
    <t>Sữa mẹ (sữa người)</t>
  </si>
  <si>
    <t>Sữa chua</t>
  </si>
  <si>
    <t>Sữa chua vớt béo</t>
  </si>
  <si>
    <t>Sữa bột toàn phần</t>
  </si>
  <si>
    <t>Sữa bột tách béo</t>
  </si>
  <si>
    <t>Sữa đặc có đường Việt Nam</t>
  </si>
  <si>
    <t>Phó mát</t>
  </si>
  <si>
    <t>Đồ hộp</t>
  </si>
  <si>
    <t>Chuối nước đường</t>
  </si>
  <si>
    <t>Dưa chuột hộp</t>
  </si>
  <si>
    <t>Dứa hộp</t>
  </si>
  <si>
    <t>Lạc chao dầu</t>
  </si>
  <si>
    <t>Mắc coọc nước đường</t>
  </si>
  <si>
    <t>Mận nước đường</t>
  </si>
  <si>
    <t>Mứt bí ngô</t>
  </si>
  <si>
    <t>Mứt cam có vỏ</t>
  </si>
  <si>
    <t>Mứt chuối</t>
  </si>
  <si>
    <t>Mứt dứa</t>
  </si>
  <si>
    <t>Mứt đu đủ</t>
  </si>
  <si>
    <t>Nhãn nước đường</t>
  </si>
  <si>
    <t>Nước dứa hộp</t>
  </si>
  <si>
    <t>Vải nước đường</t>
  </si>
  <si>
    <t>Cá thu hộp</t>
  </si>
  <si>
    <t>Cá trích hộp</t>
  </si>
  <si>
    <t>Thịt bò hộp</t>
  </si>
  <si>
    <t>Thịt gà hộp</t>
  </si>
  <si>
    <t>Thịt lợn hộp</t>
  </si>
  <si>
    <t>Thịt lợn, thịt bò xay hộp</t>
  </si>
  <si>
    <t>Thịt vịt hầm</t>
  </si>
  <si>
    <t>Đồ ngọt (đường, bánh, mứt, kẹo)</t>
  </si>
  <si>
    <t>Bánh bích cốt</t>
  </si>
  <si>
    <t>Bánh bích quy</t>
  </si>
  <si>
    <t>Bánh chả</t>
  </si>
  <si>
    <t>Bánh con cá</t>
  </si>
  <si>
    <t>Bánh đậu xanh</t>
  </si>
  <si>
    <t>Bánh kem xốp</t>
  </si>
  <si>
    <t>Bánh khảo chay</t>
  </si>
  <si>
    <t>Bánh quế</t>
  </si>
  <si>
    <t>Bánh sô cô la</t>
  </si>
  <si>
    <t>Bánh thỏi sô cô la</t>
  </si>
  <si>
    <t>Bánh trứng nhện</t>
  </si>
  <si>
    <t>Bột ca cao</t>
  </si>
  <si>
    <t>Đường cát</t>
  </si>
  <si>
    <t>Đường kính</t>
  </si>
  <si>
    <t>Kẹo bơ cứng</t>
  </si>
  <si>
    <t>Kẹo cà phê</t>
  </si>
  <si>
    <t>Kẹo cam chanh</t>
  </si>
  <si>
    <t>Kẹo dừa mềm</t>
  </si>
  <si>
    <t>Kẹo dứa mềm</t>
  </si>
  <si>
    <t>Kẹo lạc</t>
  </si>
  <si>
    <t>Kẹo Pastille (kẹo ngậm bạc hà)</t>
  </si>
  <si>
    <t>Kẹo sô cô la</t>
  </si>
  <si>
    <t>Kẹo sữa</t>
  </si>
  <si>
    <t>Kẹo vừng viên</t>
  </si>
  <si>
    <t>Mạch nha</t>
  </si>
  <si>
    <t>Mật ong</t>
  </si>
  <si>
    <t>Mứt lạc</t>
  </si>
  <si>
    <t>Gia vị, nước chấm</t>
  </si>
  <si>
    <t>Cary bột</t>
  </si>
  <si>
    <t>Gừng khô (bột)</t>
  </si>
  <si>
    <t>Gừng tươi</t>
  </si>
  <si>
    <t>Hạt tiêu</t>
  </si>
  <si>
    <t>Muối</t>
  </si>
  <si>
    <t>Nghệ khô, bột</t>
  </si>
  <si>
    <t>Nghệ tươi</t>
  </si>
  <si>
    <t>Ớt khô bột</t>
  </si>
  <si>
    <t>Riềng</t>
  </si>
  <si>
    <t>Magi</t>
  </si>
  <si>
    <t>Mắm tôm đặc</t>
  </si>
  <si>
    <t>Mắm tôm loãng</t>
  </si>
  <si>
    <t>Mắm tép chua</t>
  </si>
  <si>
    <t>Nước mắm cá (loại đặc biệt)</t>
  </si>
  <si>
    <t>Nước mắm loại I</t>
  </si>
  <si>
    <t>Nước mắm loại II</t>
  </si>
  <si>
    <t>Nước mắm cá</t>
  </si>
  <si>
    <t>Nước mắm cô</t>
  </si>
  <si>
    <t>Tương ngô</t>
  </si>
  <si>
    <t>Tương nếp</t>
  </si>
  <si>
    <t>Tương ớt</t>
  </si>
  <si>
    <t>Xì dầu</t>
  </si>
  <si>
    <t>Sốt mayonnaise</t>
  </si>
  <si>
    <t>ĐV + TV</t>
  </si>
  <si>
    <t>Nước giải khát</t>
  </si>
  <si>
    <t>Bia (cồn: 4,5 g)</t>
  </si>
  <si>
    <t>Cô nhắc (cồn 32 g)</t>
  </si>
  <si>
    <t>Cốc tain (cồn 13 g)</t>
  </si>
  <si>
    <t>Coca cola</t>
  </si>
  <si>
    <t>Nước cam tươi</t>
  </si>
  <si>
    <t>Nước dừa non tươi</t>
  </si>
  <si>
    <t>Nước ép cà chua</t>
  </si>
  <si>
    <t>Nước khoáng</t>
  </si>
  <si>
    <t>.</t>
  </si>
  <si>
    <t>Nước quít tươi</t>
  </si>
  <si>
    <t>Rượu cam, chanh (cồn 24,2 g)</t>
  </si>
  <si>
    <t>Rượu nếp (80g/ 24 ml) (cồn 5 g)</t>
  </si>
  <si>
    <t>Rượu trắng (cồn 39 g)</t>
  </si>
  <si>
    <t>Rượu vang đỏ (cồn 9,5 g)</t>
  </si>
  <si>
    <t>Rượu vang trắng (cồn 9,5 g)</t>
  </si>
  <si>
    <t>Rượu vang trắng ngọt (cồn 10.2 g)</t>
  </si>
  <si>
    <t>Rượu Whisky (cồn 35,2 g)</t>
  </si>
  <si>
    <t>Thức ăn truyền thống</t>
  </si>
  <si>
    <t>Bánh bao chiên có nhân</t>
  </si>
  <si>
    <t>Bánh bèo</t>
  </si>
  <si>
    <t>Bánh bột lọc</t>
  </si>
  <si>
    <t>Bánh chay</t>
  </si>
  <si>
    <t>Bánh chín tầng mây</t>
  </si>
  <si>
    <t>Bánh chưng</t>
  </si>
  <si>
    <t>Bánh chuối</t>
  </si>
  <si>
    <t>Bánh cốm</t>
  </si>
  <si>
    <t>Bánh cuốn</t>
  </si>
  <si>
    <t>Bánh cuốn nóng nhân thịt</t>
  </si>
  <si>
    <t>Bánh dẻo nhân thập cẩm</t>
  </si>
  <si>
    <t>Bánh dẻo nhân trứng</t>
  </si>
  <si>
    <t>Bánh đúc nguội</t>
  </si>
  <si>
    <t>Bánh đúc nóng</t>
  </si>
  <si>
    <t>Bánh gai</t>
  </si>
  <si>
    <t>Bánh gio</t>
  </si>
  <si>
    <t>Bánh giò</t>
  </si>
  <si>
    <t>Bánh khoai</t>
  </si>
  <si>
    <t>Bánh khoái</t>
  </si>
  <si>
    <t>Bánh khoai sọ chiên</t>
  </si>
  <si>
    <t>Bánh khúc</t>
  </si>
  <si>
    <t>Bánh mè</t>
  </si>
  <si>
    <t>Bánh mì xíu mại</t>
  </si>
  <si>
    <t>Bánh mỳ patê</t>
  </si>
  <si>
    <t>Bánh nếp</t>
  </si>
  <si>
    <t>Bánh nướng nhân thập cẩm</t>
  </si>
  <si>
    <t>Bánh nướng nhân trứng đỗ xanh</t>
  </si>
  <si>
    <t>Bánh phu thê (su sê, xu xuê)</t>
  </si>
  <si>
    <t>Bánh rán bọc đường</t>
  </si>
  <si>
    <t>Bánh tẻ</t>
  </si>
  <si>
    <t>Bánh tôm</t>
  </si>
  <si>
    <t>Bánh trôi</t>
  </si>
  <si>
    <t>Bún bò Nam bộ</t>
  </si>
  <si>
    <t>Bún chả</t>
  </si>
  <si>
    <t>Bún cua</t>
  </si>
  <si>
    <t>Bún đậu</t>
  </si>
  <si>
    <t>Bún dọc mùng</t>
  </si>
  <si>
    <t>Bún nem</t>
  </si>
  <si>
    <t>Bún ốc</t>
  </si>
  <si>
    <t>Caramen</t>
  </si>
  <si>
    <t>Chả quế</t>
  </si>
  <si>
    <t>Cháo lòng</t>
  </si>
  <si>
    <t>Cháo sườn</t>
  </si>
  <si>
    <t>Cháo trai</t>
  </si>
  <si>
    <t>Chè bưởi</t>
  </si>
  <si>
    <t>Chè chuối</t>
  </si>
  <si>
    <t>Chè cốm</t>
  </si>
  <si>
    <t>Chè đỗ đen</t>
  </si>
  <si>
    <t>Chè đỗ đỏ</t>
  </si>
  <si>
    <t>Chè đỗ xanh</t>
  </si>
  <si>
    <t>Chè hạt sen</t>
  </si>
  <si>
    <t>Chè khoai sọ</t>
  </si>
  <si>
    <t>Chè ngô cốm</t>
  </si>
  <si>
    <t>Chè sắn</t>
  </si>
  <si>
    <t>Chè Thái</t>
  </si>
  <si>
    <t>Cơm rang</t>
  </si>
  <si>
    <t>Gà tần</t>
  </si>
  <si>
    <t>Miến lươn</t>
  </si>
  <si>
    <t>Miến ngan</t>
  </si>
  <si>
    <t>Mỳ vằn thắn</t>
  </si>
  <si>
    <t>Mỳ xào</t>
  </si>
  <si>
    <t>Nem lụi</t>
  </si>
  <si>
    <t>Nem rán</t>
  </si>
  <si>
    <t>Nộm tai lợn</t>
  </si>
  <si>
    <t>Phở bò chín</t>
  </si>
  <si>
    <t>Phở bò tái</t>
  </si>
  <si>
    <t>Phở gà</t>
  </si>
  <si>
    <t>Thịt xiên nướng</t>
  </si>
  <si>
    <t>Xôi đỗ xanh</t>
  </si>
  <si>
    <t>Xôi gấc</t>
  </si>
  <si>
    <t>Xôi lạc</t>
  </si>
  <si>
    <t>Xôi ngô</t>
  </si>
  <si>
    <t>Xôi xéo</t>
  </si>
  <si>
    <t>1. Xác định nhu cầu dinh dưỡng cho cả ngày</t>
  </si>
  <si>
    <t>Bảng 1. Năng lượng chuyển hóa cơ bản</t>
  </si>
  <si>
    <t>Họ và tên</t>
  </si>
  <si>
    <t>Lê Thị A</t>
  </si>
  <si>
    <t>Giới tính</t>
  </si>
  <si>
    <t>Nam</t>
  </si>
  <si>
    <t>Nữ</t>
  </si>
  <si>
    <t>Tuổi</t>
  </si>
  <si>
    <t>Nhóm tuổi</t>
  </si>
  <si>
    <t>CHCB (kcal/ngày)</t>
  </si>
  <si>
    <t>Giới</t>
  </si>
  <si>
    <t>1-2 tuổi</t>
  </si>
  <si>
    <t>Nghề nghiệp</t>
  </si>
  <si>
    <t>Cán bộ/nhân viên văn phòng (luật sư, bác sĩ, kế toán, giáo viên,..)</t>
  </si>
  <si>
    <t>3-5 tuổi</t>
  </si>
  <si>
    <t>Hệ số HĐTL</t>
  </si>
  <si>
    <t>6-7 tuổi</t>
  </si>
  <si>
    <t>Tình trạng sức khỏe</t>
  </si>
  <si>
    <t>Bình thường</t>
  </si>
  <si>
    <t>8-9 tuổi</t>
  </si>
  <si>
    <t>Chiều cao (m)</t>
  </si>
  <si>
    <t>10-11 tuổi</t>
  </si>
  <si>
    <t>Cân nặng (kg)</t>
  </si>
  <si>
    <t>12-14 tuổi</t>
  </si>
  <si>
    <t>Xác định tình trạng DD (TB)</t>
  </si>
  <si>
    <t>BMI</t>
  </si>
  <si>
    <t>15-17 tuổi</t>
  </si>
  <si>
    <t>18-29 tuổi</t>
  </si>
  <si>
    <t>Xác định nhu cầu dinh dưỡng cho cả ngày (kcal)</t>
  </si>
  <si>
    <t>30-49 tuổi</t>
  </si>
  <si>
    <t>50-64 tuổi</t>
  </si>
  <si>
    <t>Cân nặng lý tưởng</t>
  </si>
  <si>
    <t>65-74 tuổi</t>
  </si>
  <si>
    <t>Nhu cầu dinh dưỡng cho cả ngày cần đạt (kcal)</t>
  </si>
  <si>
    <t>≥ 75 tuổi</t>
  </si>
  <si>
    <t>Phụ nữ mang thai 3 tháng đầu</t>
  </si>
  <si>
    <t>+50</t>
  </si>
  <si>
    <t>Phụ nữ mang thai 3 tháng giữa</t>
  </si>
  <si>
    <t>+250</t>
  </si>
  <si>
    <t>Cân đối KP</t>
  </si>
  <si>
    <t>%E</t>
  </si>
  <si>
    <t>E</t>
  </si>
  <si>
    <t>Phụ nữ mang thai 3 tháng cuối</t>
  </si>
  <si>
    <t>+450</t>
  </si>
  <si>
    <t>P</t>
  </si>
  <si>
    <t>Phụ nữ cho con bú</t>
  </si>
  <si>
    <t>+500</t>
  </si>
  <si>
    <t>Pđv</t>
  </si>
  <si>
    <t>Ptv</t>
  </si>
  <si>
    <t>L</t>
  </si>
  <si>
    <t>Lđv</t>
  </si>
  <si>
    <t>Bảng 2. Hệ số hoạt động thể lực so với mức NLCHCB</t>
  </si>
  <si>
    <t>Ltv</t>
  </si>
  <si>
    <t>Hoạt động thể lực nhẹ</t>
  </si>
  <si>
    <t>Hoạt động thể lực vừa</t>
  </si>
  <si>
    <t>Hoạt động thể lực nặng</t>
  </si>
  <si>
    <t>Car</t>
  </si>
  <si>
    <t>2. Chia bữa:</t>
  </si>
  <si>
    <t>Cả ngày</t>
  </si>
  <si>
    <t>% E</t>
  </si>
  <si>
    <t>E (kcal)</t>
  </si>
  <si>
    <t>Sáng</t>
  </si>
  <si>
    <t>Lao động nhẹ</t>
  </si>
  <si>
    <t>Lao động vừa</t>
  </si>
  <si>
    <t>Lao động nặng</t>
  </si>
  <si>
    <t>Phụ sáng</t>
  </si>
  <si>
    <t>Bảng 3. Phân loại mức độ hoạt động thể lực hay loại hình lao động</t>
  </si>
  <si>
    <t>Loại lao động</t>
  </si>
  <si>
    <t>Người thất nghiệp</t>
  </si>
  <si>
    <t>Giáo viên</t>
  </si>
  <si>
    <t>Nội trợ cơ giới</t>
  </si>
  <si>
    <t>Công nhân công nghiệp nhẹ</t>
  </si>
  <si>
    <t>Sinh viên</t>
  </si>
  <si>
    <t>Nội trợ không cơ giới</t>
  </si>
  <si>
    <t>Công nhân xây dựng</t>
  </si>
  <si>
    <t>Lao động nông nghiệp</t>
  </si>
  <si>
    <t>Trưa</t>
  </si>
  <si>
    <t>Công nhân cửa hàng bách hóa</t>
  </si>
  <si>
    <t>Chiến sĩ quân đội không trong chiến đấu luyện tập</t>
  </si>
  <si>
    <t>Đánh bắt cá/thủy sản</t>
  </si>
  <si>
    <t>Lao động nông nghiệp trong vụ thu hoạch</t>
  </si>
  <si>
    <t>Công nhân lâm nghiệp</t>
  </si>
  <si>
    <t>Vũ nữ</t>
  </si>
  <si>
    <t>Lao động thể lực giản đơn</t>
  </si>
  <si>
    <t>Vân động viên thể thao</t>
  </si>
  <si>
    <t>Chiến sĩ quân đội trong chiến đấu/luyện tập</t>
  </si>
  <si>
    <t>Công nhân mỏ</t>
  </si>
  <si>
    <t>Phụ chiều</t>
  </si>
  <si>
    <t>Luyện thép</t>
  </si>
  <si>
    <t>Bảng 4. Phân bố năng lượng giữa các bữa ăn</t>
  </si>
  <si>
    <t>Bữa sáng</t>
  </si>
  <si>
    <t>Bữa trưa</t>
  </si>
  <si>
    <t>Bữa chiều</t>
  </si>
  <si>
    <t>Bữa tối</t>
  </si>
  <si>
    <t>Ăn 3 bữa</t>
  </si>
  <si>
    <t>30% - 35%</t>
  </si>
  <si>
    <t>35% -40%</t>
  </si>
  <si>
    <t>25% - 30%</t>
  </si>
  <si>
    <t>Ăn 4 bữa</t>
  </si>
  <si>
    <t>5% -10%</t>
  </si>
  <si>
    <t>Tối</t>
  </si>
  <si>
    <t>Ăn 5 bữa</t>
  </si>
  <si>
    <t>15% - 20%</t>
  </si>
  <si>
    <t>2. Xây dựng thực đơn</t>
  </si>
  <si>
    <t>Hướng dẫn</t>
  </si>
  <si>
    <t>Nhóm bột đường</t>
  </si>
  <si>
    <t>Nhóm rau</t>
  </si>
  <si>
    <t>Nhóm quả</t>
  </si>
  <si>
    <t>Nhóm đạm</t>
  </si>
  <si>
    <t>Nhóm chất béo</t>
  </si>
  <si>
    <t>Hạt giàu béo</t>
  </si>
  <si>
    <t>TP khác
Sữa &amp; sp chế biến, gia vị, đồ ăn sẵn, món ăn truyền thống</t>
  </si>
  <si>
    <t>NGUYÊN LIỆU</t>
  </si>
  <si>
    <t>TP1</t>
  </si>
  <si>
    <t>TP2</t>
  </si>
  <si>
    <t>TP3</t>
  </si>
  <si>
    <t>TP4</t>
  </si>
  <si>
    <t>TP5</t>
  </si>
  <si>
    <t>CHỌN BỮA</t>
  </si>
  <si>
    <t>SÁNG</t>
  </si>
  <si>
    <t>Chọn TV/ĐV</t>
  </si>
  <si>
    <t>Định lượng (g/ml)</t>
  </si>
  <si>
    <t>Khối lượng</t>
  </si>
  <si>
    <t>Năng lượng/100g</t>
  </si>
  <si>
    <t>Năng lượng</t>
  </si>
  <si>
    <t>P/100g</t>
  </si>
  <si>
    <t>Protein</t>
  </si>
  <si>
    <t>L/100g</t>
  </si>
  <si>
    <t>C/100g</t>
  </si>
  <si>
    <t>Carbohydrate</t>
  </si>
  <si>
    <t>Chất xơ
 (crude fiber)</t>
  </si>
  <si>
    <t>Tro 
(ash)</t>
  </si>
  <si>
    <t>Calcium
 (Ca)</t>
  </si>
  <si>
    <t>Iron
 (Fe)</t>
  </si>
  <si>
    <t>Manganese
 (Mn)</t>
  </si>
  <si>
    <t>Zinc
 (Zn)</t>
  </si>
  <si>
    <t>Copper
 (Cu)</t>
  </si>
  <si>
    <t>Selenium
 (Se)</t>
  </si>
  <si>
    <t>Acid folic 
(vitamin B9)</t>
  </si>
  <si>
    <t>Biotin 
(vitamin H)</t>
  </si>
  <si>
    <t>Isoflavone 
tổng số</t>
  </si>
  <si>
    <t>Nguyên liệu</t>
  </si>
  <si>
    <t>TV/ ĐV</t>
  </si>
  <si>
    <t>(A): Tổng xây dựng</t>
  </si>
  <si>
    <t>Tổng các giá trị</t>
  </si>
  <si>
    <r>
      <rPr>
        <b/>
        <sz val="11"/>
        <rFont val="Times New Roman"/>
        <charset val="134"/>
      </rPr>
      <t xml:space="preserve">(B): Năng lượng 
</t>
    </r>
    <r>
      <rPr>
        <b/>
        <sz val="11"/>
        <color rgb="FFFF0000"/>
        <rFont val="Times New Roman"/>
        <charset val="134"/>
      </rPr>
      <t>bữa sáng</t>
    </r>
    <r>
      <rPr>
        <b/>
        <sz val="11"/>
        <rFont val="Times New Roman"/>
        <charset val="134"/>
      </rPr>
      <t xml:space="preserve"> cần đạt</t>
    </r>
  </si>
  <si>
    <t>Min</t>
  </si>
  <si>
    <t>Max</t>
  </si>
  <si>
    <t>(A) so với (B)</t>
  </si>
  <si>
    <t>P đv/ts (30%-35%)</t>
  </si>
  <si>
    <t>L đv/ts (50%-60%)</t>
  </si>
  <si>
    <t>P. Sáng</t>
  </si>
  <si>
    <r>
      <rPr>
        <b/>
        <sz val="11"/>
        <rFont val="Times New Roman"/>
        <charset val="134"/>
      </rPr>
      <t xml:space="preserve">(B): Năng lượng 
</t>
    </r>
    <r>
      <rPr>
        <b/>
        <sz val="11"/>
        <color rgb="FFFF0000"/>
        <rFont val="Times New Roman"/>
        <charset val="134"/>
      </rPr>
      <t>phụ sáng</t>
    </r>
    <r>
      <rPr>
        <b/>
        <sz val="11"/>
        <rFont val="Times New Roman"/>
        <charset val="134"/>
      </rPr>
      <t xml:space="preserve"> cần đạt</t>
    </r>
  </si>
  <si>
    <t>TRƯA</t>
  </si>
  <si>
    <t>Cơm, đậu phụ sốt cà chua, canh khoai sọ om vịt, bưởi</t>
  </si>
  <si>
    <r>
      <rPr>
        <b/>
        <sz val="11"/>
        <rFont val="Times New Roman"/>
        <charset val="134"/>
      </rPr>
      <t xml:space="preserve">(B): Năng lượng 
</t>
    </r>
    <r>
      <rPr>
        <b/>
        <sz val="11"/>
        <color rgb="FFFF0000"/>
        <rFont val="Times New Roman"/>
        <charset val="134"/>
      </rPr>
      <t>bữa trưa</t>
    </r>
    <r>
      <rPr>
        <b/>
        <sz val="11"/>
        <rFont val="Times New Roman"/>
        <charset val="134"/>
      </rPr>
      <t xml:space="preserve"> cần đạt</t>
    </r>
  </si>
  <si>
    <t>P. Chiều</t>
  </si>
  <si>
    <t>(B): Năng lượng 
phụ chiều cần đạt</t>
  </si>
  <si>
    <t>TỐI</t>
  </si>
  <si>
    <r>
      <rPr>
        <b/>
        <sz val="11"/>
        <rFont val="Times New Roman"/>
        <charset val="134"/>
      </rPr>
      <t xml:space="preserve">(B): Năng lượng 
</t>
    </r>
    <r>
      <rPr>
        <b/>
        <sz val="11"/>
        <color rgb="FFFF0000"/>
        <rFont val="Times New Roman"/>
        <charset val="134"/>
      </rPr>
      <t>bữa tối</t>
    </r>
    <r>
      <rPr>
        <b/>
        <sz val="11"/>
        <rFont val="Times New Roman"/>
        <charset val="134"/>
      </rPr>
      <t xml:space="preserve"> cần đạt</t>
    </r>
  </si>
  <si>
    <t>J</t>
  </si>
  <si>
    <t>K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</si>
  <si>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</si>
  <si>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</si>
  <si>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</si>
  <si>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</si>
  <si>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</si>
  <si>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</si>
  <si>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</si>
  <si>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</si>
  <si>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</si>
  <si>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</si>
  <si>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</si>
  <si>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</si>
  <si>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</si>
  <si>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</si>
  <si>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</si>
  <si>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</si>
  <si>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</si>
  <si>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</si>
  <si>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</si>
  <si>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</si>
  <si>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</si>
  <si>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</si>
  <si>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</si>
  <si>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</si>
  <si>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</si>
  <si>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</si>
  <si>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</si>
  <si>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</si>
  <si>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</si>
  <si>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</si>
  <si>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</si>
  <si>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</si>
  <si>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</si>
  <si>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</si>
  <si>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</si>
  <si>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</si>
  <si>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</si>
  <si>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</si>
  <si>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</si>
  <si>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</si>
  <si>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</si>
  <si>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</si>
  <si>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</si>
  <si>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</si>
  <si>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</si>
  <si>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</si>
  <si>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</si>
  <si>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</si>
  <si>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</si>
  <si>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</si>
  <si>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</si>
  <si>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</si>
  <si>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</si>
  <si>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</si>
  <si>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</si>
  <si>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</si>
  <si>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</si>
  <si>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</si>
  <si>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</si>
  <si>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</si>
  <si>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</si>
  <si>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</si>
  <si>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</si>
  <si>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</si>
  <si>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</si>
  <si>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</si>
  <si>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</si>
  <si>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</si>
  <si>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</si>
  <si>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</si>
  <si>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</si>
  <si>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</si>
  <si>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</si>
  <si>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3. Thực đơn đầu ra</t>
  </si>
  <si>
    <t>Nhấn "ctrl + 0" trong bảng</t>
  </si>
  <si>
    <t>Thực phẩm cả ngày</t>
  </si>
  <si>
    <r>
      <rPr>
        <b/>
        <sz val="11"/>
        <rFont val="Times New Roman"/>
        <charset val="134"/>
      </rPr>
      <t xml:space="preserve">(B): Năng lượng 
</t>
    </r>
    <r>
      <rPr>
        <b/>
        <sz val="11"/>
        <color rgb="FFFF0000"/>
        <rFont val="Times New Roman"/>
        <charset val="134"/>
      </rPr>
      <t>cả ngày</t>
    </r>
    <r>
      <rPr>
        <b/>
        <sz val="11"/>
        <rFont val="Times New Roman"/>
        <charset val="134"/>
      </rPr>
      <t xml:space="preserve"> cần đạt</t>
    </r>
  </si>
  <si>
    <t>Ca/P (0.8-1,5)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</si>
</sst>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6" formatCode="0.0"/>
    <numFmt numFmtId="167" formatCode="0_ "/>
    <numFmt numFmtId="168" formatCode="0.0_ "/>
    <numFmt numFmtId="169" formatCode="#,##0.0"/>
    <numFmt numFmtId="170" formatCode="0.0_);[Red]\(0.0\)"/>
    <numFmt numFmtId="171" formatCode=";;;"/>
    <numFmt numFmtId="172" formatCode="0.000"/>
    <numFmt numFmtId="173" formatCode="00000"/>
  </numFmts>
  <fonts count="59"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0"/>
      <color indexed="14"/>
      <name val="Times New Roman"/>
      <charset val="134"/>
    </font>
    <font>
      <b/>
      <sz val="11"/>
      <color theme="1"/>
      <name val="Times New Roman"/>
      <charset val="134"/>
    </font>
    <font>
      <sz val="10"/>
      <color indexed="10"/>
      <name val="Times New Roman"/>
      <charset val="134"/>
    </font>
    <font>
      <sz val="10"/>
      <color indexed="48"/>
      <name val="Times New Roman"/>
      <charset val="134"/>
    </font>
    <font>
      <sz val="10"/>
      <color indexed="60"/>
      <name val="Times New Roman"/>
      <charset val="134"/>
    </font>
    <font>
      <sz val="11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3"/>
      <color indexed="14"/>
      <name val="Times New Roman"/>
      <charset val="134"/>
    </font>
    <font>
      <b/>
      <sz val="12"/>
      <color theme="0"/>
      <name val="Times New Roman"/>
      <charset val="134"/>
    </font>
    <font>
      <b/>
      <sz val="13"/>
      <color rgb="FFFF0000"/>
      <name val="Times New Roman"/>
      <charset val="134"/>
    </font>
    <font>
      <b/>
      <sz val="13"/>
      <color indexed="10"/>
      <name val="Times New Roman"/>
      <charset val="134"/>
    </font>
    <font>
      <b/>
      <sz val="13"/>
      <color indexed="48"/>
      <name val="Times New Roman"/>
      <charset val="134"/>
    </font>
    <font>
      <b/>
      <sz val="13"/>
      <color indexed="60"/>
      <name val="Times New Roman"/>
      <charset val="134"/>
    </font>
    <font>
      <b/>
      <sz val="14"/>
      <color theme="1"/>
      <name val="Times New Roman"/>
      <charset val="134"/>
    </font>
    <font>
      <sz val="6"/>
      <color theme="1"/>
      <name val="Times New Roman"/>
      <charset val="134"/>
    </font>
    <font>
      <sz val="6"/>
      <color rgb="FFFF0000"/>
      <name val="Times New Roman"/>
      <charset val="134"/>
    </font>
    <font>
      <sz val="15"/>
      <color rgb="FFFF0000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u/>
      <sz val="16"/>
      <name val="Times New Roman"/>
      <charset val="134"/>
    </font>
    <font>
      <b/>
      <sz val="16"/>
      <color theme="0"/>
      <name val="Times New Roman"/>
      <charset val="134"/>
    </font>
    <font>
      <b/>
      <sz val="11"/>
      <color theme="0"/>
      <name val="Times New Roman"/>
      <charset val="134"/>
    </font>
    <font>
      <b/>
      <sz val="11"/>
      <color rgb="FF0070C0"/>
      <name val="Times New Roman"/>
      <charset val="134"/>
    </font>
    <font>
      <b/>
      <sz val="12"/>
      <name val="Times New Roman"/>
      <charset val="134"/>
    </font>
    <font>
      <b/>
      <i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b/>
      <i/>
      <u/>
      <sz val="12"/>
      <color rgb="FFFF0000"/>
      <name val="Times New Roman"/>
      <charset val="134"/>
    </font>
    <font>
      <sz val="12"/>
      <color theme="1"/>
      <name val="Times New Roman"/>
      <charset val="134"/>
    </font>
    <font>
      <b/>
      <sz val="12"/>
      <color theme="8"/>
      <name val="Times New Roman"/>
      <charset val="134"/>
    </font>
    <font>
      <u/>
      <sz val="12"/>
      <name val="Times New Roman"/>
      <charset val="134"/>
    </font>
    <font>
      <b/>
      <sz val="12"/>
      <color rgb="FF00B0F0"/>
      <name val="Times New Roman"/>
      <charset val="134"/>
    </font>
    <font>
      <b/>
      <i/>
      <sz val="13"/>
      <name val="Times New Roman"/>
      <charset val="134"/>
    </font>
    <font>
      <sz val="10"/>
      <name val="Arial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b/>
      <sz val="8"/>
      <color rgb="FFFF0000"/>
      <name val="Times New Roman"/>
      <charset val="134"/>
    </font>
    <font>
      <sz val="8"/>
      <color rgb="FFFF0000"/>
      <name val="Times New Roman"/>
      <charset val="134"/>
    </font>
    <font>
      <sz val="8"/>
      <color theme="9"/>
      <name val="Times New Roman"/>
      <charset val="134"/>
    </font>
    <font>
      <sz val="8"/>
      <color theme="8"/>
      <name val="Times New Roman"/>
      <charset val="134"/>
    </font>
    <font>
      <b/>
      <sz val="8"/>
      <color theme="9"/>
      <name val="Times New Roman"/>
      <charset val="134"/>
    </font>
    <font>
      <b/>
      <sz val="8"/>
      <color rgb="FFC00000"/>
      <name val="Times New Roman"/>
      <charset val="134"/>
    </font>
    <font>
      <b/>
      <sz val="8"/>
      <color theme="8"/>
      <name val="Times New Roman"/>
      <charset val="134"/>
    </font>
    <font>
      <b/>
      <sz val="8"/>
      <color indexed="8"/>
      <name val="Times New Roman"/>
      <charset val="134"/>
    </font>
    <font>
      <sz val="8"/>
      <color indexed="8"/>
      <name val="Times New Roman"/>
      <charset val="134"/>
    </font>
    <font>
      <sz val="8"/>
      <color indexed="10"/>
      <name val="Times New Roman"/>
      <charset val="134"/>
    </font>
    <font>
      <sz val="8"/>
      <color rgb="FFC00000"/>
      <name val="Times New Roman"/>
      <charset val="134"/>
    </font>
    <font>
      <sz val="10"/>
      <name val="Times New Roman"/>
      <charset val="134"/>
    </font>
    <font>
      <sz val="11"/>
      <color theme="1"/>
      <name val="Calibri"/>
      <charset val="134"/>
      <scheme val="minor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9"/>
      <color rgb="FF000000"/>
      <name val="Times New Roman"/>
      <charset val="134"/>
    </font>
    <font>
      <b/>
      <u/>
      <sz val="9"/>
      <color rgb="FF000000"/>
      <name val="Times New Roman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DF1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7AD8"/>
        <bgColor indexed="64"/>
      </patternFill>
    </fill>
    <fill>
      <patternFill patternType="solid">
        <fgColor rgb="FFE5D1F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5BD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0" fontId="39" fillId="0" borderId="0"/>
  </cellStyleXfs>
  <cellXfs count="35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0" fillId="0" borderId="0" xfId="0" applyNumberFormat="1"/>
    <xf numFmtId="0" fontId="3" fillId="5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9" fontId="2" fillId="3" borderId="5" xfId="2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168" fontId="6" fillId="3" borderId="1" xfId="0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168" fontId="2" fillId="3" borderId="1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7" fillId="0" borderId="6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1" fillId="0" borderId="0" xfId="0" applyFont="1" applyAlignment="1">
      <alignment horizontal="right"/>
    </xf>
    <xf numFmtId="9" fontId="6" fillId="0" borderId="0" xfId="2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0" fontId="10" fillId="0" borderId="0" xfId="0" applyFont="1"/>
    <xf numFmtId="166" fontId="1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164" fontId="6" fillId="0" borderId="0" xfId="1" applyFont="1" applyAlignment="1">
      <alignment horizontal="center" vertical="center"/>
    </xf>
    <xf numFmtId="9" fontId="0" fillId="0" borderId="0" xfId="2" applyFont="1" applyAlignme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3" borderId="1" xfId="0" applyFont="1" applyFill="1" applyBorder="1" applyAlignment="1">
      <alignment wrapText="1"/>
    </xf>
    <xf numFmtId="0" fontId="24" fillId="3" borderId="10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vertical="top" wrapText="1"/>
    </xf>
    <xf numFmtId="0" fontId="2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8" fontId="10" fillId="0" borderId="0" xfId="0" applyNumberFormat="1" applyFont="1"/>
    <xf numFmtId="0" fontId="26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8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4" fillId="3" borderId="1" xfId="0" applyFont="1" applyFill="1" applyBorder="1" applyAlignment="1">
      <alignment vertical="center"/>
    </xf>
    <xf numFmtId="9" fontId="10" fillId="0" borderId="0" xfId="2" applyFont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0" xfId="0" applyFont="1"/>
    <xf numFmtId="167" fontId="10" fillId="7" borderId="1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24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32" fillId="10" borderId="0" xfId="0" applyFont="1" applyFill="1"/>
    <xf numFmtId="0" fontId="24" fillId="0" borderId="0" xfId="0" applyFont="1" applyAlignment="1">
      <alignment horizontal="center"/>
    </xf>
    <xf numFmtId="0" fontId="33" fillId="0" borderId="13" xfId="0" applyFont="1" applyBorder="1" applyAlignment="1">
      <alignment vertical="center"/>
    </xf>
    <xf numFmtId="0" fontId="32" fillId="0" borderId="16" xfId="0" applyFont="1" applyBorder="1"/>
    <xf numFmtId="0" fontId="34" fillId="0" borderId="0" xfId="0" applyFont="1" applyAlignment="1">
      <alignment horizontal="right"/>
    </xf>
    <xf numFmtId="0" fontId="32" fillId="0" borderId="17" xfId="0" applyFont="1" applyBorder="1"/>
    <xf numFmtId="0" fontId="34" fillId="0" borderId="0" xfId="0" applyFont="1"/>
    <xf numFmtId="0" fontId="29" fillId="0" borderId="1" xfId="0" applyFont="1" applyBorder="1" applyAlignment="1">
      <alignment horizontal="right"/>
    </xf>
    <xf numFmtId="0" fontId="31" fillId="0" borderId="17" xfId="0" applyFont="1" applyBorder="1"/>
    <xf numFmtId="0" fontId="32" fillId="0" borderId="16" xfId="0" applyFont="1" applyBorder="1" applyAlignment="1">
      <alignment vertical="center"/>
    </xf>
    <xf numFmtId="0" fontId="31" fillId="0" borderId="1" xfId="0" applyFont="1" applyBorder="1"/>
    <xf numFmtId="0" fontId="32" fillId="0" borderId="0" xfId="0" applyFont="1" applyAlignment="1">
      <alignment vertical="center"/>
    </xf>
    <xf numFmtId="0" fontId="29" fillId="0" borderId="1" xfId="0" applyFont="1" applyBorder="1" applyAlignment="1">
      <alignment horizontal="right" vertical="center"/>
    </xf>
    <xf numFmtId="0" fontId="32" fillId="0" borderId="0" xfId="0" applyFont="1" applyAlignment="1">
      <alignment wrapText="1"/>
    </xf>
    <xf numFmtId="0" fontId="30" fillId="0" borderId="10" xfId="0" applyFont="1" applyBorder="1"/>
    <xf numFmtId="0" fontId="32" fillId="0" borderId="13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1" xfId="0" applyNumberFormat="1" applyFont="1" applyBorder="1"/>
    <xf numFmtId="0" fontId="31" fillId="0" borderId="16" xfId="0" applyFont="1" applyBorder="1"/>
    <xf numFmtId="0" fontId="32" fillId="0" borderId="1" xfId="0" applyFont="1" applyBorder="1"/>
    <xf numFmtId="0" fontId="32" fillId="0" borderId="0" xfId="0" applyFont="1" applyAlignment="1">
      <alignment horizontal="right"/>
    </xf>
    <xf numFmtId="0" fontId="29" fillId="0" borderId="1" xfId="0" applyFont="1" applyBorder="1"/>
    <xf numFmtId="0" fontId="32" fillId="0" borderId="18" xfId="0" applyFont="1" applyBorder="1"/>
    <xf numFmtId="0" fontId="32" fillId="0" borderId="19" xfId="0" applyFont="1" applyBorder="1"/>
    <xf numFmtId="0" fontId="32" fillId="0" borderId="20" xfId="0" applyFont="1" applyBorder="1"/>
    <xf numFmtId="166" fontId="32" fillId="0" borderId="0" xfId="0" applyNumberFormat="1" applyFont="1"/>
    <xf numFmtId="0" fontId="29" fillId="0" borderId="14" xfId="0" applyFont="1" applyBorder="1" applyAlignment="1">
      <alignment horizontal="center" vertical="center"/>
    </xf>
    <xf numFmtId="1" fontId="29" fillId="0" borderId="14" xfId="0" applyNumberFormat="1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9" fontId="29" fillId="0" borderId="0" xfId="0" applyNumberFormat="1" applyFont="1"/>
    <xf numFmtId="3" fontId="11" fillId="0" borderId="0" xfId="0" applyNumberFormat="1" applyFont="1"/>
    <xf numFmtId="1" fontId="29" fillId="0" borderId="0" xfId="0" applyNumberFormat="1" applyFont="1"/>
    <xf numFmtId="166" fontId="35" fillId="0" borderId="0" xfId="0" applyNumberFormat="1" applyFont="1"/>
    <xf numFmtId="1" fontId="32" fillId="0" borderId="0" xfId="0" applyNumberFormat="1" applyFont="1"/>
    <xf numFmtId="166" fontId="36" fillId="0" borderId="0" xfId="0" applyNumberFormat="1" applyFont="1"/>
    <xf numFmtId="169" fontId="32" fillId="0" borderId="0" xfId="0" applyNumberFormat="1" applyFont="1"/>
    <xf numFmtId="0" fontId="29" fillId="0" borderId="1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170" fontId="2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9" fontId="11" fillId="0" borderId="1" xfId="0" applyNumberFormat="1" applyFont="1" applyBorder="1" applyAlignment="1">
      <alignment horizontal="left"/>
    </xf>
    <xf numFmtId="166" fontId="11" fillId="0" borderId="1" xfId="0" applyNumberFormat="1" applyFont="1" applyBorder="1"/>
    <xf numFmtId="0" fontId="32" fillId="0" borderId="1" xfId="0" applyFont="1" applyBorder="1" applyAlignment="1">
      <alignment horizontal="right"/>
    </xf>
    <xf numFmtId="9" fontId="32" fillId="0" borderId="1" xfId="0" applyNumberFormat="1" applyFont="1" applyBorder="1"/>
    <xf numFmtId="169" fontId="32" fillId="0" borderId="1" xfId="0" applyNumberFormat="1" applyFont="1" applyBorder="1"/>
    <xf numFmtId="0" fontId="32" fillId="0" borderId="1" xfId="0" applyFont="1" applyBorder="1" applyAlignment="1">
      <alignment horizontal="right" vertical="center"/>
    </xf>
    <xf numFmtId="170" fontId="32" fillId="0" borderId="1" xfId="0" applyNumberFormat="1" applyFont="1" applyBorder="1" applyAlignment="1">
      <alignment horizontal="right" vertical="center"/>
    </xf>
    <xf numFmtId="170" fontId="37" fillId="0" borderId="1" xfId="0" applyNumberFormat="1" applyFont="1" applyBorder="1"/>
    <xf numFmtId="0" fontId="38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9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71" fontId="3" fillId="0" borderId="0" xfId="0" applyNumberFormat="1" applyFont="1"/>
    <xf numFmtId="169" fontId="32" fillId="0" borderId="0" xfId="0" applyNumberFormat="1" applyFont="1" applyAlignment="1">
      <alignment horizontal="center"/>
    </xf>
    <xf numFmtId="171" fontId="32" fillId="11" borderId="1" xfId="0" applyNumberFormat="1" applyFont="1" applyFill="1" applyBorder="1"/>
    <xf numFmtId="171" fontId="32" fillId="12" borderId="1" xfId="0" applyNumberFormat="1" applyFont="1" applyFill="1" applyBorder="1"/>
    <xf numFmtId="171" fontId="32" fillId="13" borderId="1" xfId="0" applyNumberFormat="1" applyFont="1" applyFill="1" applyBorder="1"/>
    <xf numFmtId="0" fontId="32" fillId="0" borderId="0" xfId="0" applyFont="1" applyAlignment="1">
      <alignment horizontal="left" wrapText="1"/>
    </xf>
    <xf numFmtId="0" fontId="24" fillId="10" borderId="0" xfId="0" applyFont="1" applyFill="1"/>
    <xf numFmtId="0" fontId="29" fillId="10" borderId="0" xfId="0" applyFont="1" applyFill="1"/>
    <xf numFmtId="0" fontId="30" fillId="10" borderId="0" xfId="0" applyFont="1" applyFill="1"/>
    <xf numFmtId="0" fontId="32" fillId="5" borderId="0" xfId="0" applyFont="1" applyFill="1"/>
    <xf numFmtId="0" fontId="31" fillId="10" borderId="0" xfId="0" applyFont="1" applyFill="1"/>
    <xf numFmtId="0" fontId="31" fillId="5" borderId="0" xfId="0" applyFont="1" applyFill="1"/>
    <xf numFmtId="0" fontId="32" fillId="10" borderId="0" xfId="0" applyFont="1" applyFill="1" applyAlignment="1">
      <alignment horizontal="center"/>
    </xf>
    <xf numFmtId="0" fontId="32" fillId="11" borderId="1" xfId="0" applyFont="1" applyFill="1" applyBorder="1"/>
    <xf numFmtId="0" fontId="32" fillId="12" borderId="1" xfId="0" applyFont="1" applyFill="1" applyBorder="1"/>
    <xf numFmtId="0" fontId="32" fillId="13" borderId="1" xfId="0" applyFont="1" applyFill="1" applyBorder="1"/>
    <xf numFmtId="9" fontId="29" fillId="0" borderId="0" xfId="0" applyNumberFormat="1" applyFont="1" applyAlignment="1">
      <alignment horizontal="center"/>
    </xf>
    <xf numFmtId="9" fontId="29" fillId="5" borderId="0" xfId="0" applyNumberFormat="1" applyFont="1" applyFill="1" applyAlignment="1">
      <alignment horizontal="center" vertical="center"/>
    </xf>
    <xf numFmtId="1" fontId="32" fillId="0" borderId="0" xfId="0" applyNumberFormat="1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29" fillId="11" borderId="1" xfId="0" applyFont="1" applyFill="1" applyBorder="1" applyAlignment="1">
      <alignment horizontal="center"/>
    </xf>
    <xf numFmtId="9" fontId="32" fillId="11" borderId="1" xfId="2" applyFont="1" applyFill="1" applyBorder="1" applyAlignment="1"/>
    <xf numFmtId="9" fontId="32" fillId="0" borderId="0" xfId="0" applyNumberFormat="1" applyFont="1"/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 wrapText="1"/>
    </xf>
    <xf numFmtId="0" fontId="41" fillId="0" borderId="0" xfId="0" applyFont="1" applyAlignment="1">
      <alignment vertical="center"/>
    </xf>
    <xf numFmtId="0" fontId="39" fillId="14" borderId="0" xfId="0" applyFont="1" applyFill="1"/>
    <xf numFmtId="0" fontId="41" fillId="0" borderId="0" xfId="0" applyFont="1" applyAlignment="1">
      <alignment horizontal="center" vertical="center" textRotation="90"/>
    </xf>
    <xf numFmtId="0" fontId="40" fillId="0" borderId="0" xfId="0" applyFont="1" applyAlignment="1">
      <alignment horizontal="center" vertical="center" textRotation="90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wrapText="1"/>
    </xf>
    <xf numFmtId="0" fontId="42" fillId="0" borderId="0" xfId="0" applyFont="1" applyAlignment="1">
      <alignment horizontal="center" vertical="center"/>
    </xf>
    <xf numFmtId="1" fontId="40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2" fontId="40" fillId="0" borderId="0" xfId="0" applyNumberFormat="1" applyFont="1" applyAlignment="1">
      <alignment vertical="center"/>
    </xf>
    <xf numFmtId="17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40" fillId="0" borderId="1" xfId="0" applyFont="1" applyBorder="1" applyAlignment="1">
      <alignment vertical="top"/>
    </xf>
    <xf numFmtId="0" fontId="40" fillId="0" borderId="1" xfId="0" applyFont="1" applyBorder="1" applyAlignment="1">
      <alignment horizontal="center" vertical="top"/>
    </xf>
    <xf numFmtId="0" fontId="41" fillId="15" borderId="1" xfId="0" applyFont="1" applyFill="1" applyBorder="1" applyAlignment="1">
      <alignment horizontal="center" vertical="center" textRotation="90" wrapText="1"/>
    </xf>
    <xf numFmtId="0" fontId="41" fillId="3" borderId="1" xfId="0" applyFont="1" applyFill="1" applyBorder="1" applyAlignment="1">
      <alignment vertical="center" wrapText="1"/>
    </xf>
    <xf numFmtId="0" fontId="41" fillId="13" borderId="1" xfId="0" applyFont="1" applyFill="1" applyBorder="1" applyAlignment="1">
      <alignment horizontal="center" vertical="center" textRotation="90" wrapText="1"/>
    </xf>
    <xf numFmtId="0" fontId="41" fillId="3" borderId="1" xfId="0" applyFont="1" applyFill="1" applyBorder="1" applyAlignment="1">
      <alignment horizontal="center" vertical="center" textRotation="90" wrapText="1"/>
    </xf>
    <xf numFmtId="0" fontId="41" fillId="0" borderId="1" xfId="0" applyFont="1" applyBorder="1" applyAlignment="1">
      <alignment horizontal="center" vertical="center" textRotation="90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textRotation="90"/>
    </xf>
    <xf numFmtId="1" fontId="41" fillId="0" borderId="1" xfId="0" applyNumberFormat="1" applyFont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vertical="center" wrapText="1"/>
    </xf>
    <xf numFmtId="0" fontId="42" fillId="14" borderId="1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0" fontId="44" fillId="14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73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vertical="center" wrapText="1"/>
    </xf>
    <xf numFmtId="1" fontId="40" fillId="0" borderId="1" xfId="0" applyNumberFormat="1" applyFont="1" applyBorder="1" applyAlignment="1">
      <alignment vertical="center"/>
    </xf>
    <xf numFmtId="166" fontId="40" fillId="0" borderId="1" xfId="0" applyNumberFormat="1" applyFont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2" fontId="40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 vertical="center"/>
    </xf>
    <xf numFmtId="166" fontId="43" fillId="0" borderId="1" xfId="0" applyNumberFormat="1" applyFont="1" applyBorder="1" applyAlignment="1">
      <alignment horizontal="right" vertical="center"/>
    </xf>
    <xf numFmtId="166" fontId="44" fillId="0" borderId="1" xfId="0" applyNumberFormat="1" applyFont="1" applyBorder="1" applyAlignment="1">
      <alignment horizontal="right" vertical="center"/>
    </xf>
    <xf numFmtId="166" fontId="40" fillId="0" borderId="1" xfId="0" applyNumberFormat="1" applyFont="1" applyBorder="1" applyAlignment="1">
      <alignment horizontal="right" vertical="center" wrapText="1"/>
    </xf>
    <xf numFmtId="166" fontId="43" fillId="0" borderId="1" xfId="0" applyNumberFormat="1" applyFont="1" applyBorder="1" applyAlignment="1">
      <alignment horizontal="right" vertical="center" wrapText="1"/>
    </xf>
    <xf numFmtId="166" fontId="44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horizontal="right" vertical="center" wrapText="1"/>
    </xf>
    <xf numFmtId="0" fontId="43" fillId="0" borderId="1" xfId="0" applyFont="1" applyBorder="1" applyAlignment="1">
      <alignment horizontal="right" vertical="center" wrapText="1"/>
    </xf>
    <xf numFmtId="0" fontId="44" fillId="0" borderId="1" xfId="0" applyFont="1" applyBorder="1" applyAlignment="1">
      <alignment horizontal="right" vertical="center" wrapText="1"/>
    </xf>
    <xf numFmtId="2" fontId="41" fillId="15" borderId="1" xfId="0" applyNumberFormat="1" applyFont="1" applyFill="1" applyBorder="1" applyAlignment="1">
      <alignment horizontal="center" vertical="center" textRotation="90" wrapText="1"/>
    </xf>
    <xf numFmtId="0" fontId="48" fillId="0" borderId="1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6" fontId="45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2" fontId="40" fillId="0" borderId="1" xfId="0" applyNumberFormat="1" applyFont="1" applyBorder="1" applyAlignment="1">
      <alignment vertical="center"/>
    </xf>
    <xf numFmtId="2" fontId="40" fillId="0" borderId="1" xfId="0" applyNumberFormat="1" applyFont="1" applyBorder="1" applyAlignment="1">
      <alignment horizontal="right" vertical="center"/>
    </xf>
    <xf numFmtId="166" fontId="45" fillId="0" borderId="1" xfId="0" applyNumberFormat="1" applyFont="1" applyBorder="1" applyAlignment="1">
      <alignment horizontal="right" vertical="center"/>
    </xf>
    <xf numFmtId="2" fontId="40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horizontal="right" vertical="center"/>
    </xf>
    <xf numFmtId="166" fontId="40" fillId="0" borderId="1" xfId="0" applyNumberFormat="1" applyFont="1" applyBorder="1" applyAlignment="1">
      <alignment horizontal="center" vertical="center"/>
    </xf>
    <xf numFmtId="172" fontId="41" fillId="15" borderId="1" xfId="0" applyNumberFormat="1" applyFont="1" applyFill="1" applyBorder="1" applyAlignment="1">
      <alignment horizontal="center" vertical="center" textRotation="90" wrapText="1"/>
    </xf>
    <xf numFmtId="172" fontId="41" fillId="0" borderId="1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right" vertical="center"/>
    </xf>
    <xf numFmtId="172" fontId="40" fillId="0" borderId="1" xfId="0" applyNumberFormat="1" applyFont="1" applyBorder="1" applyAlignment="1">
      <alignment horizontal="right" vertical="center"/>
    </xf>
    <xf numFmtId="172" fontId="40" fillId="0" borderId="1" xfId="0" applyNumberFormat="1" applyFont="1" applyBorder="1" applyAlignment="1">
      <alignment vertical="center"/>
    </xf>
    <xf numFmtId="1" fontId="40" fillId="0" borderId="1" xfId="0" applyNumberFormat="1" applyFont="1" applyBorder="1" applyAlignment="1">
      <alignment horizontal="center" vertical="center"/>
    </xf>
    <xf numFmtId="172" fontId="40" fillId="0" borderId="1" xfId="0" applyNumberFormat="1" applyFont="1" applyBorder="1" applyAlignment="1">
      <alignment horizontal="center" vertical="center"/>
    </xf>
    <xf numFmtId="1" fontId="41" fillId="15" borderId="1" xfId="0" applyNumberFormat="1" applyFont="1" applyFill="1" applyBorder="1" applyAlignment="1">
      <alignment horizontal="center" vertical="center" textRotation="90" wrapText="1"/>
    </xf>
    <xf numFmtId="1" fontId="41" fillId="0" borderId="1" xfId="0" applyNumberFormat="1" applyFont="1" applyBorder="1" applyAlignment="1">
      <alignment horizontal="center" vertical="center"/>
    </xf>
    <xf numFmtId="166" fontId="41" fillId="15" borderId="1" xfId="0" applyNumberFormat="1" applyFont="1" applyFill="1" applyBorder="1" applyAlignment="1">
      <alignment horizontal="center" vertical="center" textRotation="90" wrapText="1"/>
    </xf>
    <xf numFmtId="166" fontId="49" fillId="0" borderId="1" xfId="0" applyNumberFormat="1" applyFont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0" fontId="50" fillId="14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66" fontId="50" fillId="0" borderId="1" xfId="0" applyNumberFormat="1" applyFont="1" applyBorder="1" applyAlignment="1">
      <alignment horizontal="right" vertical="center"/>
    </xf>
    <xf numFmtId="166" fontId="50" fillId="0" borderId="1" xfId="0" applyNumberFormat="1" applyFont="1" applyBorder="1" applyAlignment="1">
      <alignment horizontal="center" vertical="center"/>
    </xf>
    <xf numFmtId="20" fontId="41" fillId="15" borderId="1" xfId="0" applyNumberFormat="1" applyFont="1" applyFill="1" applyBorder="1" applyAlignment="1">
      <alignment horizontal="center" vertical="center" textRotation="90" wrapText="1"/>
    </xf>
    <xf numFmtId="20" fontId="41" fillId="15" borderId="1" xfId="0" applyNumberFormat="1" applyFont="1" applyFill="1" applyBorder="1" applyAlignment="1">
      <alignment horizontal="left" vertical="center" textRotation="90" wrapText="1"/>
    </xf>
    <xf numFmtId="172" fontId="41" fillId="15" borderId="1" xfId="0" applyNumberFormat="1" applyFont="1" applyFill="1" applyBorder="1" applyAlignment="1">
      <alignment horizontal="left" vertical="center" textRotation="90" wrapText="1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vertical="center" textRotation="90" wrapText="1"/>
    </xf>
    <xf numFmtId="166" fontId="43" fillId="0" borderId="1" xfId="0" applyNumberFormat="1" applyFont="1" applyBorder="1" applyAlignment="1">
      <alignment horizontal="center" vertical="center"/>
    </xf>
    <xf numFmtId="166" fontId="44" fillId="0" borderId="1" xfId="0" applyNumberFormat="1" applyFont="1" applyBorder="1" applyAlignment="1">
      <alignment horizontal="center" vertical="center"/>
    </xf>
    <xf numFmtId="166" fontId="51" fillId="0" borderId="1" xfId="0" applyNumberFormat="1" applyFont="1" applyBorder="1" applyAlignment="1">
      <alignment horizontal="right" vertical="center"/>
    </xf>
    <xf numFmtId="1" fontId="40" fillId="0" borderId="1" xfId="1" applyNumberFormat="1" applyFont="1" applyFill="1" applyBorder="1" applyAlignment="1">
      <alignment horizontal="right" vertical="center"/>
    </xf>
    <xf numFmtId="172" fontId="40" fillId="0" borderId="1" xfId="1" applyNumberFormat="1" applyFont="1" applyFill="1" applyBorder="1" applyAlignment="1">
      <alignment horizontal="right" vertical="center"/>
    </xf>
    <xf numFmtId="2" fontId="40" fillId="0" borderId="1" xfId="1" applyNumberFormat="1" applyFont="1" applyFill="1" applyBorder="1" applyAlignment="1">
      <alignment horizontal="right" vertical="center"/>
    </xf>
    <xf numFmtId="1" fontId="41" fillId="0" borderId="1" xfId="0" applyNumberFormat="1" applyFont="1" applyBorder="1" applyAlignment="1">
      <alignment horizontal="right" vertical="center"/>
    </xf>
    <xf numFmtId="172" fontId="41" fillId="0" borderId="1" xfId="0" applyNumberFormat="1" applyFont="1" applyBorder="1" applyAlignment="1">
      <alignment horizontal="right" vertical="center"/>
    </xf>
    <xf numFmtId="2" fontId="41" fillId="0" borderId="1" xfId="0" applyNumberFormat="1" applyFont="1" applyBorder="1" applyAlignment="1">
      <alignment horizontal="right" vertical="center"/>
    </xf>
    <xf numFmtId="166" fontId="41" fillId="0" borderId="1" xfId="0" applyNumberFormat="1" applyFont="1" applyBorder="1" applyAlignment="1">
      <alignment horizontal="right" vertical="center"/>
    </xf>
    <xf numFmtId="1" fontId="40" fillId="0" borderId="1" xfId="3" applyNumberFormat="1" applyFont="1" applyBorder="1" applyAlignment="1">
      <alignment vertical="center"/>
    </xf>
    <xf numFmtId="2" fontId="43" fillId="0" borderId="1" xfId="0" applyNumberFormat="1" applyFont="1" applyBorder="1" applyAlignment="1">
      <alignment horizontal="right" vertical="center"/>
    </xf>
    <xf numFmtId="2" fontId="44" fillId="0" borderId="1" xfId="0" applyNumberFormat="1" applyFont="1" applyBorder="1" applyAlignment="1">
      <alignment horizontal="right" vertical="center"/>
    </xf>
    <xf numFmtId="0" fontId="43" fillId="0" borderId="1" xfId="0" applyFont="1" applyBorder="1" applyAlignment="1">
      <alignment horizontal="right" vertical="center"/>
    </xf>
    <xf numFmtId="0" fontId="44" fillId="0" borderId="1" xfId="0" applyFont="1" applyBorder="1" applyAlignment="1">
      <alignment horizontal="right" vertical="center"/>
    </xf>
    <xf numFmtId="0" fontId="41" fillId="0" borderId="1" xfId="0" applyFont="1" applyBorder="1" applyAlignment="1">
      <alignment horizontal="right" vertical="center"/>
    </xf>
    <xf numFmtId="2" fontId="50" fillId="0" borderId="1" xfId="0" applyNumberFormat="1" applyFont="1" applyBorder="1" applyAlignment="1">
      <alignment horizontal="right" vertical="center"/>
    </xf>
    <xf numFmtId="172" fontId="41" fillId="0" borderId="1" xfId="0" applyNumberFormat="1" applyFont="1" applyBorder="1" applyAlignment="1">
      <alignment vertical="center"/>
    </xf>
    <xf numFmtId="0" fontId="40" fillId="5" borderId="1" xfId="0" applyFont="1" applyFill="1" applyBorder="1" applyAlignment="1">
      <alignment horizontal="center" vertical="center"/>
    </xf>
    <xf numFmtId="166" fontId="50" fillId="0" borderId="1" xfId="0" applyNumberFormat="1" applyFont="1" applyBorder="1" applyAlignment="1">
      <alignment vertical="center"/>
    </xf>
    <xf numFmtId="172" fontId="50" fillId="0" borderId="1" xfId="0" applyNumberFormat="1" applyFont="1" applyBorder="1" applyAlignment="1">
      <alignment horizontal="right" vertical="center"/>
    </xf>
    <xf numFmtId="0" fontId="50" fillId="0" borderId="1" xfId="0" applyFont="1" applyBorder="1" applyAlignment="1">
      <alignment horizontal="right" vertical="center"/>
    </xf>
    <xf numFmtId="1" fontId="52" fillId="0" borderId="1" xfId="0" applyNumberFormat="1" applyFont="1" applyBorder="1" applyAlignment="1">
      <alignment horizontal="right" vertical="center"/>
    </xf>
    <xf numFmtId="0" fontId="52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center" vertical="center" wrapText="1"/>
    </xf>
    <xf numFmtId="166" fontId="40" fillId="5" borderId="1" xfId="0" applyNumberFormat="1" applyFont="1" applyFill="1" applyBorder="1" applyAlignment="1">
      <alignment horizontal="right" vertical="center" wrapText="1"/>
    </xf>
    <xf numFmtId="0" fontId="45" fillId="0" borderId="1" xfId="0" applyFont="1" applyBorder="1" applyAlignment="1">
      <alignment horizontal="right" vertical="center"/>
    </xf>
    <xf numFmtId="166" fontId="52" fillId="0" borderId="1" xfId="0" applyNumberFormat="1" applyFont="1" applyBorder="1" applyAlignment="1">
      <alignment horizontal="right" vertical="center"/>
    </xf>
    <xf numFmtId="1" fontId="40" fillId="0" borderId="1" xfId="0" applyNumberFormat="1" applyFont="1" applyBorder="1" applyAlignment="1">
      <alignment horizontal="right" vertical="center" wrapText="1"/>
    </xf>
    <xf numFmtId="0" fontId="53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33" fillId="0" borderId="13" xfId="0" applyFont="1" applyBorder="1" applyAlignment="1">
      <alignment vertical="center"/>
    </xf>
    <xf numFmtId="0" fontId="33" fillId="0" borderId="14" xfId="0" applyFont="1" applyBorder="1" applyAlignment="1">
      <alignment vertical="center"/>
    </xf>
    <xf numFmtId="0" fontId="33" fillId="0" borderId="15" xfId="0" applyFont="1" applyBorder="1" applyAlignment="1">
      <alignment vertical="center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30" fillId="0" borderId="16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2" fillId="0" borderId="16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12" fillId="0" borderId="1" xfId="0" applyFont="1" applyBorder="1" applyAlignment="1">
      <alignment horizontal="left"/>
    </xf>
    <xf numFmtId="0" fontId="33" fillId="0" borderId="13" xfId="0" applyFont="1" applyBorder="1"/>
    <xf numFmtId="0" fontId="33" fillId="0" borderId="14" xfId="0" applyFont="1" applyBorder="1"/>
    <xf numFmtId="0" fontId="33" fillId="0" borderId="15" xfId="0" applyFont="1" applyBorder="1"/>
    <xf numFmtId="0" fontId="29" fillId="5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32" fillId="5" borderId="6" xfId="0" applyFont="1" applyFill="1" applyBorder="1" applyAlignment="1">
      <alignment horizontal="center"/>
    </xf>
    <xf numFmtId="0" fontId="32" fillId="5" borderId="7" xfId="0" applyFont="1" applyFill="1" applyBorder="1" applyAlignment="1">
      <alignment horizontal="center"/>
    </xf>
    <xf numFmtId="0" fontId="32" fillId="5" borderId="10" xfId="0" applyFont="1" applyFill="1" applyBorder="1" applyAlignment="1">
      <alignment horizontal="center"/>
    </xf>
    <xf numFmtId="0" fontId="29" fillId="0" borderId="6" xfId="0" applyFont="1" applyBorder="1" applyAlignment="1">
      <alignment horizontal="center" vertical="center" textRotation="90"/>
    </xf>
    <xf numFmtId="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70" fontId="32" fillId="0" borderId="6" xfId="0" applyNumberFormat="1" applyFont="1" applyBorder="1" applyAlignment="1">
      <alignment horizontal="center" vertical="center"/>
    </xf>
    <xf numFmtId="170" fontId="32" fillId="0" borderId="1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9" fillId="2" borderId="0" xfId="0" applyFont="1" applyFill="1" applyAlignment="1">
      <alignment horizontal="left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166" fontId="17" fillId="0" borderId="6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168" fontId="6" fillId="3" borderId="6" xfId="0" applyNumberFormat="1" applyFont="1" applyFill="1" applyBorder="1" applyAlignment="1">
      <alignment horizontal="center" vertical="center"/>
    </xf>
    <xf numFmtId="168" fontId="6" fillId="3" borderId="10" xfId="0" applyNumberFormat="1" applyFont="1" applyFill="1" applyBorder="1" applyAlignment="1">
      <alignment horizontal="center" vertical="center"/>
    </xf>
    <xf numFmtId="168" fontId="2" fillId="3" borderId="6" xfId="0" applyNumberFormat="1" applyFont="1" applyFill="1" applyBorder="1" applyAlignment="1">
      <alignment horizontal="center" vertical="center" wrapText="1"/>
    </xf>
    <xf numFmtId="168" fontId="2" fillId="3" borderId="10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9" fontId="2" fillId="3" borderId="6" xfId="2" applyFont="1" applyFill="1" applyBorder="1" applyAlignment="1">
      <alignment horizontal="center" vertical="center" wrapText="1"/>
    </xf>
    <xf numFmtId="9" fontId="2" fillId="3" borderId="10" xfId="2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/>
    </xf>
    <xf numFmtId="166" fontId="18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31000000}"/>
    <cellStyle name="Percent" xfId="2" builtinId="5"/>
  </cellStyles>
  <dxfs count="100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auto="1"/>
        <name val="Times New Roman"/>
        <charset val="134"/>
        <scheme val="none"/>
      </font>
      <numFmt numFmtId="0" formatCode="General"/>
      <fill>
        <patternFill patternType="none"/>
      </fill>
      <alignment horizontal="left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Times New Roman"/>
        <charset val="134"/>
        <scheme val="none"/>
      </font>
      <numFmt numFmtId="0" formatCode="General"/>
      <fill>
        <patternFill patternType="solid">
          <fgColor theme="4" tint="0.79992065187536243"/>
          <bgColor theme="4" tint="0.79992065187536243"/>
        </patternFill>
      </fill>
      <alignment horizontal="center" vertical="center"/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</dxfs>
  <tableStyles count="0" defaultTableStyle="TableStyleMedium2" defaultPivotStyle="PivotStyleLight16"/>
  <colors>
    <mruColors>
      <color rgb="FFD1F6F3"/>
      <color rgb="FFE5D1FA"/>
      <color rgb="FFE372DF"/>
      <color rgb="FFDB7AD8"/>
      <color rgb="FF5BDFFF"/>
      <color rgb="FF7BEAE1"/>
      <color rgb="FFAD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N&#259;ng l&#432;&#7907;ng_2024'!A1"/><Relationship Id="rId1" Type="http://schemas.openxmlformats.org/officeDocument/2006/relationships/hyperlink" Target="#'3.Thuc_Do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2.XDTD_S.Tr.T'!A1"/><Relationship Id="rId1" Type="http://schemas.openxmlformats.org/officeDocument/2006/relationships/hyperlink" Target="#'N&#259;ng l&#432;&#7907;ng_2024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932180</xdr:colOff>
      <xdr:row>2</xdr:row>
      <xdr:rowOff>71120</xdr:rowOff>
    </xdr:from>
    <xdr:to>
      <xdr:col>4</xdr:col>
      <xdr:colOff>549275</xdr:colOff>
      <xdr:row>4</xdr:row>
      <xdr:rowOff>194310</xdr:rowOff>
    </xdr:to>
    <xdr:sp macro="" textlink="">
      <xdr:nvSpPr>
        <xdr:cNvPr id="4" name="Righ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195320" y="421005"/>
          <a:ext cx="1544955" cy="473710"/>
        </a:xfrm>
        <a:prstGeom prst="rightArrow">
          <a:avLst/>
        </a:prstGeom>
        <a:solidFill>
          <a:srgbClr val="DB7AD8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585470</xdr:colOff>
      <xdr:row>0</xdr:row>
      <xdr:rowOff>1905</xdr:rowOff>
    </xdr:from>
    <xdr:to>
      <xdr:col>4</xdr:col>
      <xdr:colOff>137160</xdr:colOff>
      <xdr:row>3</xdr:row>
      <xdr:rowOff>31750</xdr:rowOff>
    </xdr:to>
    <xdr:sp macro="" textlink="">
      <xdr:nvSpPr>
        <xdr:cNvPr id="5" name="Left Arrow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848610" y="1905"/>
          <a:ext cx="1479550" cy="55499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50165</xdr:colOff>
      <xdr:row>5</xdr:row>
      <xdr:rowOff>332105</xdr:rowOff>
    </xdr:from>
    <xdr:to>
      <xdr:col>2</xdr:col>
      <xdr:colOff>708025</xdr:colOff>
      <xdr:row>10</xdr:row>
      <xdr:rowOff>81915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HỌN BỮA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ỌN BỮA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65" y="1375410"/>
              <a:ext cx="2166620" cy="1855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0</xdr:row>
      <xdr:rowOff>203200</xdr:rowOff>
    </xdr:from>
    <xdr:to>
      <xdr:col>4</xdr:col>
      <xdr:colOff>0</xdr:colOff>
      <xdr:row>1</xdr:row>
      <xdr:rowOff>355600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996565" y="20320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855345</xdr:colOff>
      <xdr:row>1</xdr:row>
      <xdr:rowOff>269875</xdr:rowOff>
    </xdr:from>
    <xdr:to>
      <xdr:col>4</xdr:col>
      <xdr:colOff>0</xdr:colOff>
      <xdr:row>1</xdr:row>
      <xdr:rowOff>623570</xdr:rowOff>
    </xdr:to>
    <xdr:sp macro="" textlink="">
      <xdr:nvSpPr>
        <xdr:cNvPr id="5" name="Left Arrow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118485" y="483235"/>
          <a:ext cx="952500" cy="353695"/>
        </a:xfrm>
        <a:prstGeom prst="leftArrow">
          <a:avLst/>
        </a:prstGeom>
        <a:solidFill>
          <a:srgbClr val="ADF1F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120015</xdr:colOff>
      <xdr:row>3</xdr:row>
      <xdr:rowOff>107315</xdr:rowOff>
    </xdr:from>
    <xdr:to>
      <xdr:col>2</xdr:col>
      <xdr:colOff>440055</xdr:colOff>
      <xdr:row>56</xdr:row>
      <xdr:rowOff>175260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hực phẩm cả ngày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ực phẩm cả ngà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" y="1298575"/>
              <a:ext cx="1828800" cy="3941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ực_phẩm_cả_ngày" xr10:uid="{00000000-0013-0000-FFFF-FFFF01000000}" sourceName="Thực phẩm cả ngày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ỌN_BỮA" xr10:uid="{00000000-0013-0000-FFFF-FFFF02000000}" sourceName="CHỌN BỮA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HỌN BỮA" xr10:uid="{00000000-0014-0000-FFFF-FFFF01000000}" cache="Slicer_CHỌN_BỮA" caption="CHỌN BỮA" columnCount="2" style="SlicerStyleDark1" rowHeight="36576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hực phẩm cả ngày" xr10:uid="{00000000-0014-0000-FFFF-FFFF02000000}" cache="Slicer_Thực_phẩm_cả_ngày" caption="Thực phẩm cả ngày" columnCount="2" style="SlicerStyleLight2" rowHeight="18288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A8:DA221" totalsRowShown="0">
  <autoFilter ref="DA8:DA221" xr:uid="{00000000-0009-0000-0100-000001000000}"/>
  <tableColumns count="1">
    <tableColumn id="1" xr3:uid="{00000000-0010-0000-0000-000001000000}" name="CHỌN BỮA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D3:D119" totalsRowShown="0">
  <autoFilter ref="D3:D119" xr:uid="{00000000-0009-0000-0100-000003000000}">
    <filterColumn colId="0">
      <filters blank="1">
        <filter val="Bánh bao"/>
        <filter val="Bánh quẩy nóng"/>
        <filter val="Bơ thực vật"/>
        <filter val="Bún"/>
        <filter val="Bưởi"/>
        <filter val="Cá chép"/>
        <filter val="Cà chua"/>
        <filter val="Cải xanh"/>
        <filter val="Cua đồng"/>
        <filter val="Đậu phụ"/>
        <filter val="Dâu tây"/>
        <filter val="Gạo tẻ máy"/>
        <filter val="Giá đậu xanh"/>
        <filter val="Khoai sọ"/>
        <filter val="Mỡ lợn nước"/>
        <filter val="Mộc nhĩ"/>
        <filter val="Mướp"/>
        <filter val="Nấm hương khô"/>
        <filter val="Ngô nếp luộc"/>
        <filter val="Rau đay"/>
        <filter val="Rau mồng tơi"/>
        <filter val="Rau rút"/>
        <filter val="Sấu xanh"/>
        <filter val="Sữa đậu nành (100g đậu/lít)"/>
        <filter val="Tép khô"/>
        <filter val="Thìa là"/>
        <filter val="Thịt lợn nửa nạc, nửa mỡ"/>
        <filter val="Thịt vịt (cả con)"/>
        <filter val="Trứng chim cút"/>
      </filters>
    </filterColumn>
  </autoFilter>
  <tableColumns count="1">
    <tableColumn id="1" xr3:uid="{00000000-0010-0000-0100-000001000000}" name="Thực phẩm cả ngày" dataDxfId="98">
      <calculatedColumnFormula>'2.XDTD_S.Tr.T'!F96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openxmlformats.org/officeDocument/2006/relationships/comments" Target="../comments2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5" Type="http://schemas.openxmlformats.org/officeDocument/2006/relationships/comments" Target="../comments3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X663"/>
  <sheetViews>
    <sheetView workbookViewId="0">
      <pane xSplit="3" ySplit="2" topLeftCell="D55" activePane="bottomRight" state="frozen"/>
      <selection pane="topRight"/>
      <selection pane="bottomLeft"/>
      <selection pane="bottomRight" activeCell="C84" sqref="C84"/>
    </sheetView>
  </sheetViews>
  <sheetFormatPr defaultColWidth="7.453125" defaultRowHeight="10.199999999999999" outlineLevelRow="1"/>
  <cols>
    <col min="1" max="1" width="2.7265625" style="173" customWidth="1"/>
    <col min="2" max="2" width="4.26953125" style="172" customWidth="1"/>
    <col min="3" max="3" width="20.81640625" style="174" customWidth="1"/>
    <col min="4" max="4" width="5.26953125" style="175" customWidth="1"/>
    <col min="5" max="5" width="6.453125" style="176" customWidth="1"/>
    <col min="6" max="6" width="3.81640625" style="173" customWidth="1"/>
    <col min="7" max="7" width="4.7265625" style="177" customWidth="1"/>
    <col min="8" max="8" width="5.453125" style="178" customWidth="1"/>
    <col min="9" max="9" width="3.81640625" style="179" customWidth="1"/>
    <col min="10" max="10" width="4" style="173" customWidth="1"/>
    <col min="11" max="11" width="3.54296875" style="173" customWidth="1"/>
    <col min="12" max="12" width="4.54296875" style="180" customWidth="1"/>
    <col min="13" max="19" width="4.1796875" style="173" customWidth="1"/>
    <col min="20" max="20" width="3.81640625" style="173" customWidth="1"/>
    <col min="21" max="22" width="7.54296875" style="173" customWidth="1"/>
    <col min="23" max="23" width="4.1796875" style="181" customWidth="1"/>
    <col min="24" max="24" width="7.54296875" style="180" customWidth="1"/>
    <col min="25" max="26" width="3.81640625" style="173" customWidth="1"/>
    <col min="27" max="27" width="4.1796875" style="181" customWidth="1"/>
    <col min="28" max="28" width="5.1796875" style="181" customWidth="1"/>
    <col min="29" max="29" width="7.54296875" style="176" customWidth="1"/>
    <col min="30" max="30" width="3.54296875" style="176" customWidth="1"/>
    <col min="31" max="31" width="4.1796875" style="173" customWidth="1"/>
    <col min="32" max="32" width="3.54296875" style="173" customWidth="1"/>
    <col min="33" max="35" width="3.81640625" style="173" customWidth="1"/>
    <col min="36" max="36" width="4.1796875" style="182" customWidth="1"/>
    <col min="37" max="37" width="4.1796875" style="180" customWidth="1"/>
    <col min="38" max="38" width="4.1796875" style="182" customWidth="1"/>
    <col min="39" max="40" width="3.81640625" style="173" customWidth="1"/>
    <col min="41" max="41" width="3.1796875" style="173" customWidth="1"/>
    <col min="42" max="42" width="3.81640625" style="173" customWidth="1"/>
    <col min="43" max="43" width="3.1796875" style="173" customWidth="1"/>
    <col min="44" max="44" width="4.453125" style="173" customWidth="1"/>
    <col min="45" max="47" width="3.81640625" style="173" customWidth="1"/>
    <col min="48" max="48" width="3" style="173" customWidth="1"/>
    <col min="49" max="49" width="3.81640625" style="173" customWidth="1"/>
    <col min="50" max="50" width="4.7265625" style="181" customWidth="1"/>
    <col min="51" max="51" width="4.54296875" style="181" customWidth="1"/>
    <col min="52" max="52" width="4.1796875" style="181" customWidth="1"/>
    <col min="53" max="53" width="4.7265625" style="181" customWidth="1"/>
    <col min="54" max="55" width="4.453125" style="181" customWidth="1"/>
    <col min="56" max="56" width="4.81640625" style="181" customWidth="1"/>
    <col min="57" max="57" width="4.1796875" style="173" customWidth="1"/>
    <col min="58" max="58" width="3.81640625" style="181" customWidth="1"/>
    <col min="59" max="59" width="5.1796875" style="181" customWidth="1"/>
    <col min="60" max="61" width="5.453125" style="181" customWidth="1"/>
    <col min="62" max="62" width="5" style="181" customWidth="1"/>
    <col min="63" max="63" width="4.1796875" style="181" customWidth="1"/>
    <col min="64" max="64" width="4.54296875" style="181" customWidth="1"/>
    <col min="65" max="65" width="4.26953125" style="181" customWidth="1"/>
    <col min="66" max="66" width="4.453125" style="181" customWidth="1"/>
    <col min="67" max="67" width="4.453125" style="173" customWidth="1"/>
    <col min="68" max="68" width="4.1796875" style="173" customWidth="1"/>
    <col min="69" max="69" width="4.54296875" style="173" customWidth="1"/>
    <col min="70" max="71" width="3.81640625" style="173" customWidth="1"/>
    <col min="72" max="72" width="3.54296875" style="173" customWidth="1"/>
    <col min="73" max="73" width="4.1796875" style="173" customWidth="1"/>
    <col min="74" max="74" width="3.54296875" style="173" customWidth="1"/>
    <col min="75" max="75" width="4.1796875" style="173" customWidth="1"/>
    <col min="76" max="77" width="3.54296875" style="173" customWidth="1"/>
    <col min="78" max="79" width="4.1796875" style="173" customWidth="1"/>
    <col min="80" max="81" width="3.453125" style="173" customWidth="1"/>
    <col min="82" max="83" width="4.1796875" style="173" customWidth="1"/>
    <col min="84" max="84" width="3.453125" style="173" customWidth="1"/>
    <col min="85" max="85" width="3.1796875" style="173" customWidth="1"/>
    <col min="86" max="86" width="4.1796875" style="173" customWidth="1"/>
    <col min="87" max="87" width="30.54296875" style="173" customWidth="1"/>
    <col min="88" max="16384" width="7.453125" style="173"/>
  </cols>
  <sheetData>
    <row r="1" spans="1:87" s="166" customFormat="1" ht="25.05" customHeight="1">
      <c r="A1" s="183"/>
      <c r="B1" s="184"/>
      <c r="C1" s="183" t="s">
        <v>0</v>
      </c>
      <c r="D1" s="183" t="s">
        <v>1</v>
      </c>
      <c r="E1" s="183" t="s">
        <v>2</v>
      </c>
      <c r="F1" s="183" t="s">
        <v>3</v>
      </c>
      <c r="G1" s="183" t="s">
        <v>4</v>
      </c>
      <c r="H1" s="183" t="s">
        <v>5</v>
      </c>
      <c r="I1" s="183" t="s">
        <v>6</v>
      </c>
      <c r="J1" s="183" t="s">
        <v>7</v>
      </c>
      <c r="K1" s="183" t="s">
        <v>8</v>
      </c>
      <c r="L1" s="183" t="s">
        <v>9</v>
      </c>
      <c r="M1" s="183" t="s">
        <v>10</v>
      </c>
      <c r="N1" s="183" t="s">
        <v>11</v>
      </c>
      <c r="O1" s="183" t="s">
        <v>12</v>
      </c>
      <c r="P1" s="183" t="s">
        <v>13</v>
      </c>
      <c r="Q1" s="183" t="s">
        <v>14</v>
      </c>
      <c r="R1" s="183" t="s">
        <v>15</v>
      </c>
      <c r="S1" s="183" t="s">
        <v>16</v>
      </c>
      <c r="T1" s="183" t="s">
        <v>17</v>
      </c>
      <c r="U1" s="183" t="s">
        <v>18</v>
      </c>
      <c r="V1" s="183" t="s">
        <v>19</v>
      </c>
      <c r="W1" s="183" t="s">
        <v>20</v>
      </c>
      <c r="X1" s="183" t="s">
        <v>21</v>
      </c>
      <c r="Y1" s="183" t="s">
        <v>22</v>
      </c>
      <c r="Z1" s="183" t="s">
        <v>23</v>
      </c>
      <c r="AA1" s="183" t="s">
        <v>24</v>
      </c>
      <c r="AB1" s="183" t="s">
        <v>25</v>
      </c>
      <c r="AC1" s="183" t="s">
        <v>26</v>
      </c>
      <c r="AD1" s="183" t="s">
        <v>27</v>
      </c>
      <c r="AE1" s="183" t="s">
        <v>28</v>
      </c>
      <c r="AF1" s="183" t="s">
        <v>29</v>
      </c>
      <c r="AG1" s="183" t="s">
        <v>30</v>
      </c>
      <c r="AH1" s="183" t="s">
        <v>31</v>
      </c>
      <c r="AI1" s="183" t="s">
        <v>32</v>
      </c>
      <c r="AJ1" s="183" t="s">
        <v>33</v>
      </c>
      <c r="AK1" s="183" t="s">
        <v>34</v>
      </c>
      <c r="AL1" s="183" t="s">
        <v>35</v>
      </c>
      <c r="AM1" s="183" t="s">
        <v>36</v>
      </c>
      <c r="AN1" s="183" t="s">
        <v>37</v>
      </c>
      <c r="AO1" s="183" t="s">
        <v>38</v>
      </c>
      <c r="AP1" s="183" t="s">
        <v>39</v>
      </c>
      <c r="AQ1" s="183" t="s">
        <v>40</v>
      </c>
      <c r="AR1" s="183" t="s">
        <v>41</v>
      </c>
      <c r="AS1" s="183" t="s">
        <v>42</v>
      </c>
      <c r="AT1" s="183" t="s">
        <v>43</v>
      </c>
      <c r="AU1" s="183" t="s">
        <v>44</v>
      </c>
      <c r="AV1" s="183" t="s">
        <v>45</v>
      </c>
      <c r="AW1" s="183" t="s">
        <v>46</v>
      </c>
      <c r="AX1" s="183" t="s">
        <v>47</v>
      </c>
      <c r="AY1" s="183" t="s">
        <v>48</v>
      </c>
      <c r="AZ1" s="183" t="s">
        <v>49</v>
      </c>
      <c r="BA1" s="183" t="s">
        <v>50</v>
      </c>
      <c r="BB1" s="183" t="s">
        <v>51</v>
      </c>
      <c r="BC1" s="183" t="s">
        <v>52</v>
      </c>
      <c r="BD1" s="183" t="s">
        <v>53</v>
      </c>
      <c r="BE1" s="183" t="s">
        <v>54</v>
      </c>
      <c r="BF1" s="183" t="s">
        <v>55</v>
      </c>
      <c r="BG1" s="183" t="s">
        <v>56</v>
      </c>
      <c r="BH1" s="183" t="s">
        <v>57</v>
      </c>
      <c r="BI1" s="183" t="s">
        <v>58</v>
      </c>
      <c r="BJ1" s="183" t="s">
        <v>59</v>
      </c>
      <c r="BK1" s="183" t="s">
        <v>60</v>
      </c>
      <c r="BL1" s="183" t="s">
        <v>61</v>
      </c>
      <c r="BM1" s="183" t="s">
        <v>62</v>
      </c>
      <c r="BN1" s="183" t="s">
        <v>63</v>
      </c>
      <c r="BO1" s="183" t="s">
        <v>64</v>
      </c>
      <c r="BP1" s="183" t="s">
        <v>65</v>
      </c>
      <c r="BQ1" s="183" t="s">
        <v>66</v>
      </c>
      <c r="BR1" s="183" t="s">
        <v>67</v>
      </c>
      <c r="BS1" s="183" t="s">
        <v>68</v>
      </c>
      <c r="BT1" s="183" t="s">
        <v>69</v>
      </c>
      <c r="BU1" s="183" t="s">
        <v>70</v>
      </c>
      <c r="BV1" s="183" t="s">
        <v>71</v>
      </c>
      <c r="BW1" s="183" t="s">
        <v>72</v>
      </c>
      <c r="BX1" s="183" t="s">
        <v>73</v>
      </c>
      <c r="BY1" s="183" t="s">
        <v>74</v>
      </c>
      <c r="BZ1" s="183" t="s">
        <v>75</v>
      </c>
      <c r="CA1" s="183" t="s">
        <v>76</v>
      </c>
      <c r="CB1" s="183" t="s">
        <v>77</v>
      </c>
      <c r="CC1" s="183" t="s">
        <v>78</v>
      </c>
      <c r="CD1" s="183" t="s">
        <v>79</v>
      </c>
      <c r="CE1" s="183" t="s">
        <v>80</v>
      </c>
      <c r="CF1" s="183" t="s">
        <v>81</v>
      </c>
      <c r="CG1" s="183" t="s">
        <v>82</v>
      </c>
      <c r="CH1" s="183" t="s">
        <v>83</v>
      </c>
      <c r="CI1" s="183"/>
    </row>
    <row r="2" spans="1:87" s="167" customFormat="1" ht="70.05" customHeight="1">
      <c r="A2" s="185" t="s">
        <v>84</v>
      </c>
      <c r="B2" s="185" t="s">
        <v>85</v>
      </c>
      <c r="C2" s="186" t="s">
        <v>86</v>
      </c>
      <c r="D2" s="187" t="s">
        <v>87</v>
      </c>
      <c r="E2" s="187" t="s">
        <v>88</v>
      </c>
      <c r="F2" s="188" t="s">
        <v>89</v>
      </c>
      <c r="G2" s="187" t="s">
        <v>90</v>
      </c>
      <c r="H2" s="187" t="s">
        <v>91</v>
      </c>
      <c r="I2" s="187" t="s">
        <v>92</v>
      </c>
      <c r="J2" s="187" t="s">
        <v>93</v>
      </c>
      <c r="K2" s="185" t="s">
        <v>94</v>
      </c>
      <c r="L2" s="225" t="s">
        <v>95</v>
      </c>
      <c r="M2" s="187" t="s">
        <v>96</v>
      </c>
      <c r="N2" s="187" t="s">
        <v>97</v>
      </c>
      <c r="O2" s="185" t="s">
        <v>98</v>
      </c>
      <c r="P2" s="185" t="s">
        <v>99</v>
      </c>
      <c r="Q2" s="185" t="s">
        <v>100</v>
      </c>
      <c r="R2" s="185" t="s">
        <v>101</v>
      </c>
      <c r="S2" s="185" t="s">
        <v>102</v>
      </c>
      <c r="T2" s="185" t="s">
        <v>103</v>
      </c>
      <c r="U2" s="185" t="s">
        <v>104</v>
      </c>
      <c r="V2" s="185" t="s">
        <v>105</v>
      </c>
      <c r="W2" s="238" t="s">
        <v>106</v>
      </c>
      <c r="X2" s="225" t="s">
        <v>107</v>
      </c>
      <c r="Y2" s="185" t="s">
        <v>108</v>
      </c>
      <c r="Z2" s="185" t="s">
        <v>109</v>
      </c>
      <c r="AA2" s="238" t="s">
        <v>110</v>
      </c>
      <c r="AB2" s="238" t="s">
        <v>111</v>
      </c>
      <c r="AC2" s="245" t="s">
        <v>112</v>
      </c>
      <c r="AD2" s="245" t="s">
        <v>113</v>
      </c>
      <c r="AE2" s="185" t="s">
        <v>114</v>
      </c>
      <c r="AF2" s="185" t="s">
        <v>115</v>
      </c>
      <c r="AG2" s="185" t="s">
        <v>116</v>
      </c>
      <c r="AH2" s="185" t="s">
        <v>117</v>
      </c>
      <c r="AI2" s="185" t="s">
        <v>118</v>
      </c>
      <c r="AJ2" s="247" t="s">
        <v>119</v>
      </c>
      <c r="AK2" s="225" t="s">
        <v>120</v>
      </c>
      <c r="AL2" s="247" t="s">
        <v>121</v>
      </c>
      <c r="AM2" s="185" t="s">
        <v>122</v>
      </c>
      <c r="AN2" s="185" t="s">
        <v>123</v>
      </c>
      <c r="AO2" s="185" t="s">
        <v>124</v>
      </c>
      <c r="AP2" s="185" t="s">
        <v>125</v>
      </c>
      <c r="AQ2" s="185" t="s">
        <v>126</v>
      </c>
      <c r="AR2" s="254" t="s">
        <v>127</v>
      </c>
      <c r="AS2" s="254" t="s">
        <v>128</v>
      </c>
      <c r="AT2" s="254" t="s">
        <v>129</v>
      </c>
      <c r="AU2" s="185" t="s">
        <v>130</v>
      </c>
      <c r="AV2" s="185" t="s">
        <v>131</v>
      </c>
      <c r="AW2" s="185" t="s">
        <v>132</v>
      </c>
      <c r="AX2" s="238" t="s">
        <v>133</v>
      </c>
      <c r="AY2" s="238" t="s">
        <v>134</v>
      </c>
      <c r="AZ2" s="238" t="s">
        <v>135</v>
      </c>
      <c r="BA2" s="238" t="s">
        <v>136</v>
      </c>
      <c r="BB2" s="238" t="s">
        <v>137</v>
      </c>
      <c r="BC2" s="238" t="s">
        <v>138</v>
      </c>
      <c r="BD2" s="238" t="s">
        <v>139</v>
      </c>
      <c r="BE2" s="255" t="s">
        <v>140</v>
      </c>
      <c r="BF2" s="238" t="s">
        <v>141</v>
      </c>
      <c r="BG2" s="238" t="s">
        <v>142</v>
      </c>
      <c r="BH2" s="256" t="s">
        <v>143</v>
      </c>
      <c r="BI2" s="238" t="s">
        <v>144</v>
      </c>
      <c r="BJ2" s="238" t="s">
        <v>145</v>
      </c>
      <c r="BK2" s="238" t="s">
        <v>146</v>
      </c>
      <c r="BL2" s="238" t="s">
        <v>147</v>
      </c>
      <c r="BM2" s="238" t="s">
        <v>148</v>
      </c>
      <c r="BN2" s="238" t="s">
        <v>149</v>
      </c>
      <c r="BO2" s="185" t="s">
        <v>150</v>
      </c>
      <c r="BP2" s="185" t="s">
        <v>151</v>
      </c>
      <c r="BQ2" s="185" t="s">
        <v>152</v>
      </c>
      <c r="BR2" s="185" t="s">
        <v>153</v>
      </c>
      <c r="BS2" s="185" t="s">
        <v>154</v>
      </c>
      <c r="BT2" s="185" t="s">
        <v>155</v>
      </c>
      <c r="BU2" s="185" t="s">
        <v>156</v>
      </c>
      <c r="BV2" s="185" t="s">
        <v>157</v>
      </c>
      <c r="BW2" s="185" t="s">
        <v>158</v>
      </c>
      <c r="BX2" s="185" t="s">
        <v>159</v>
      </c>
      <c r="BY2" s="185" t="s">
        <v>160</v>
      </c>
      <c r="BZ2" s="185" t="s">
        <v>161</v>
      </c>
      <c r="CA2" s="185" t="s">
        <v>162</v>
      </c>
      <c r="CB2" s="185" t="s">
        <v>163</v>
      </c>
      <c r="CC2" s="185" t="s">
        <v>164</v>
      </c>
      <c r="CD2" s="185" t="s">
        <v>165</v>
      </c>
      <c r="CE2" s="185" t="s">
        <v>166</v>
      </c>
      <c r="CF2" s="185" t="s">
        <v>167</v>
      </c>
      <c r="CG2" s="185" t="s">
        <v>168</v>
      </c>
      <c r="CH2" s="185" t="s">
        <v>169</v>
      </c>
      <c r="CI2" s="258"/>
    </row>
    <row r="3" spans="1:87" s="168" customFormat="1" ht="25.2" customHeight="1">
      <c r="A3" s="189"/>
      <c r="B3" s="189"/>
      <c r="C3" s="190" t="s">
        <v>170</v>
      </c>
      <c r="D3" s="191"/>
      <c r="E3" s="192" t="s">
        <v>171</v>
      </c>
      <c r="F3" s="193" t="s">
        <v>172</v>
      </c>
      <c r="G3" s="194" t="s">
        <v>172</v>
      </c>
      <c r="H3" s="195" t="s">
        <v>172</v>
      </c>
      <c r="I3" s="226" t="s">
        <v>172</v>
      </c>
      <c r="J3" s="193" t="s">
        <v>172</v>
      </c>
      <c r="K3" s="193" t="s">
        <v>172</v>
      </c>
      <c r="L3" s="227" t="s">
        <v>172</v>
      </c>
      <c r="M3" s="193" t="s">
        <v>173</v>
      </c>
      <c r="N3" s="193" t="s">
        <v>173</v>
      </c>
      <c r="O3" s="193" t="s">
        <v>173</v>
      </c>
      <c r="P3" s="193" t="s">
        <v>173</v>
      </c>
      <c r="Q3" s="193" t="s">
        <v>173</v>
      </c>
      <c r="R3" s="193" t="s">
        <v>173</v>
      </c>
      <c r="S3" s="193" t="s">
        <v>173</v>
      </c>
      <c r="T3" s="193" t="s">
        <v>173</v>
      </c>
      <c r="U3" s="193" t="s">
        <v>173</v>
      </c>
      <c r="V3" s="193" t="s">
        <v>173</v>
      </c>
      <c r="W3" s="239" t="s">
        <v>173</v>
      </c>
      <c r="X3" s="227" t="s">
        <v>173</v>
      </c>
      <c r="Y3" s="193" t="s">
        <v>174</v>
      </c>
      <c r="Z3" s="193" t="s">
        <v>174</v>
      </c>
      <c r="AA3" s="239" t="s">
        <v>173</v>
      </c>
      <c r="AB3" s="239" t="s">
        <v>173</v>
      </c>
      <c r="AC3" s="246" t="s">
        <v>175</v>
      </c>
      <c r="AD3" s="246" t="s">
        <v>175</v>
      </c>
      <c r="AE3" s="193" t="s">
        <v>175</v>
      </c>
      <c r="AF3" s="193" t="s">
        <v>175</v>
      </c>
      <c r="AG3" s="193" t="s">
        <v>175</v>
      </c>
      <c r="AH3" s="193" t="s">
        <v>176</v>
      </c>
      <c r="AI3" s="193" t="s">
        <v>175</v>
      </c>
      <c r="AJ3" s="248" t="s">
        <v>175</v>
      </c>
      <c r="AK3" s="227" t="s">
        <v>173</v>
      </c>
      <c r="AL3" s="249" t="s">
        <v>175</v>
      </c>
      <c r="AM3" s="193" t="s">
        <v>175</v>
      </c>
      <c r="AN3" s="193" t="s">
        <v>175</v>
      </c>
      <c r="AO3" s="193" t="s">
        <v>175</v>
      </c>
      <c r="AP3" s="193" t="s">
        <v>175</v>
      </c>
      <c r="AQ3" s="193" t="s">
        <v>175</v>
      </c>
      <c r="AR3" s="193" t="s">
        <v>173</v>
      </c>
      <c r="AS3" s="193" t="s">
        <v>173</v>
      </c>
      <c r="AT3" s="193" t="s">
        <v>173</v>
      </c>
      <c r="AU3" s="193" t="s">
        <v>173</v>
      </c>
      <c r="AV3" s="193" t="s">
        <v>173</v>
      </c>
      <c r="AW3" s="193" t="s">
        <v>172</v>
      </c>
      <c r="AX3" s="239" t="s">
        <v>172</v>
      </c>
      <c r="AY3" s="239" t="s">
        <v>172</v>
      </c>
      <c r="AZ3" s="239" t="s">
        <v>172</v>
      </c>
      <c r="BA3" s="239" t="s">
        <v>172</v>
      </c>
      <c r="BB3" s="239" t="s">
        <v>172</v>
      </c>
      <c r="BC3" s="239" t="s">
        <v>172</v>
      </c>
      <c r="BD3" s="239" t="s">
        <v>172</v>
      </c>
      <c r="BE3" s="193" t="s">
        <v>172</v>
      </c>
      <c r="BF3" s="239" t="s">
        <v>172</v>
      </c>
      <c r="BG3" s="239" t="s">
        <v>172</v>
      </c>
      <c r="BH3" s="239"/>
      <c r="BI3" s="239" t="s">
        <v>172</v>
      </c>
      <c r="BJ3" s="239" t="s">
        <v>172</v>
      </c>
      <c r="BK3" s="239"/>
      <c r="BL3" s="239"/>
      <c r="BM3" s="239"/>
      <c r="BN3" s="239"/>
      <c r="BO3" s="193" t="s">
        <v>177</v>
      </c>
      <c r="BP3" s="193" t="s">
        <v>173</v>
      </c>
      <c r="BQ3" s="193" t="s">
        <v>173</v>
      </c>
      <c r="BR3" s="193" t="s">
        <v>173</v>
      </c>
      <c r="BS3" s="193" t="s">
        <v>173</v>
      </c>
      <c r="BT3" s="193" t="s">
        <v>173</v>
      </c>
      <c r="BU3" s="193" t="s">
        <v>173</v>
      </c>
      <c r="BV3" s="193" t="s">
        <v>173</v>
      </c>
      <c r="BW3" s="193" t="s">
        <v>173</v>
      </c>
      <c r="BX3" s="193" t="s">
        <v>173</v>
      </c>
      <c r="BY3" s="193" t="s">
        <v>173</v>
      </c>
      <c r="BZ3" s="193" t="s">
        <v>173</v>
      </c>
      <c r="CA3" s="193" t="s">
        <v>173</v>
      </c>
      <c r="CB3" s="193" t="s">
        <v>173</v>
      </c>
      <c r="CC3" s="193" t="s">
        <v>173</v>
      </c>
      <c r="CD3" s="193" t="s">
        <v>173</v>
      </c>
      <c r="CE3" s="193" t="s">
        <v>173</v>
      </c>
      <c r="CF3" s="193" t="s">
        <v>173</v>
      </c>
      <c r="CG3" s="193" t="s">
        <v>173</v>
      </c>
      <c r="CH3" s="193" t="s">
        <v>173</v>
      </c>
      <c r="CI3" s="189"/>
    </row>
    <row r="4" spans="1:87" s="169" customFormat="1" ht="7.05" customHeight="1">
      <c r="A4" s="196"/>
      <c r="B4" s="196"/>
      <c r="C4" s="197"/>
      <c r="D4" s="198"/>
      <c r="E4" s="199"/>
      <c r="F4" s="199"/>
      <c r="G4" s="200"/>
      <c r="H4" s="201"/>
      <c r="I4" s="228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50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</row>
    <row r="5" spans="1:87" ht="25.2" customHeight="1">
      <c r="A5" s="202" t="s">
        <v>178</v>
      </c>
      <c r="B5" s="202"/>
      <c r="C5" s="203" t="s">
        <v>179</v>
      </c>
      <c r="D5" s="194"/>
      <c r="E5" s="204"/>
      <c r="F5" s="204"/>
      <c r="G5" s="205"/>
      <c r="H5" s="206"/>
      <c r="I5" s="229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51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</row>
    <row r="6" spans="1:87" s="170" customFormat="1">
      <c r="A6" s="204">
        <v>1</v>
      </c>
      <c r="B6" s="207">
        <v>1001</v>
      </c>
      <c r="C6" s="208" t="s">
        <v>180</v>
      </c>
      <c r="D6" s="194" t="s">
        <v>181</v>
      </c>
      <c r="E6" s="209">
        <f>G6*4+H6*9+I6*4</f>
        <v>348.3</v>
      </c>
      <c r="F6" s="210">
        <v>14</v>
      </c>
      <c r="G6" s="211">
        <v>8.6</v>
      </c>
      <c r="H6" s="212">
        <v>1.5</v>
      </c>
      <c r="I6" s="230">
        <f t="shared" ref="I6:I29" si="0">100-SUM(F6,G6,H6,K6)</f>
        <v>75.099999999999994</v>
      </c>
      <c r="J6" s="231">
        <v>0.6</v>
      </c>
      <c r="K6" s="231">
        <v>0.8</v>
      </c>
      <c r="L6" s="232"/>
      <c r="M6" s="216">
        <v>32</v>
      </c>
      <c r="N6" s="216">
        <v>98</v>
      </c>
      <c r="O6" s="216">
        <v>1.2</v>
      </c>
      <c r="P6" s="216">
        <v>0</v>
      </c>
      <c r="Q6" s="216">
        <v>0.14000000000000001</v>
      </c>
      <c r="R6" s="216">
        <v>0.06</v>
      </c>
      <c r="S6" s="216">
        <v>2.4</v>
      </c>
      <c r="T6" s="240">
        <v>3</v>
      </c>
      <c r="U6" s="240">
        <v>282</v>
      </c>
      <c r="V6" s="240">
        <v>17</v>
      </c>
      <c r="W6" s="241">
        <v>1.1000000000000001</v>
      </c>
      <c r="X6" s="233">
        <v>2.2000000000000002</v>
      </c>
      <c r="Y6" s="240">
        <v>280</v>
      </c>
      <c r="Z6" s="216"/>
      <c r="AA6" s="242"/>
      <c r="AB6" s="242"/>
      <c r="AC6" s="209"/>
      <c r="AD6" s="209"/>
      <c r="AE6" s="231"/>
      <c r="AF6" s="231"/>
      <c r="AG6" s="240">
        <v>0</v>
      </c>
      <c r="AH6" s="240">
        <f t="shared" ref="AH6:AH28" si="1">AG6*3.33</f>
        <v>0</v>
      </c>
      <c r="AI6" s="236">
        <f t="shared" ref="AI6:AI29" si="2">AG6+AM6/12+AN6/24+AO6/24</f>
        <v>0</v>
      </c>
      <c r="AJ6" s="252"/>
      <c r="AK6" s="233"/>
      <c r="AL6" s="216"/>
      <c r="AM6" s="236">
        <v>0</v>
      </c>
      <c r="AN6" s="236">
        <v>0</v>
      </c>
      <c r="AO6" s="236">
        <v>0</v>
      </c>
      <c r="AP6" s="236">
        <v>0</v>
      </c>
      <c r="AQ6" s="236">
        <v>0</v>
      </c>
      <c r="AR6" s="231"/>
      <c r="AS6" s="231"/>
      <c r="AT6" s="231"/>
      <c r="AU6" s="231"/>
      <c r="AV6" s="231"/>
      <c r="AW6" s="236"/>
      <c r="AX6" s="24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2"/>
      <c r="BJ6" s="242"/>
      <c r="BK6" s="242"/>
      <c r="BL6" s="242"/>
      <c r="BM6" s="242"/>
      <c r="BN6" s="242"/>
      <c r="BO6" s="231">
        <v>0</v>
      </c>
      <c r="BP6" s="231"/>
      <c r="BQ6" s="209">
        <v>207</v>
      </c>
      <c r="BR6" s="209">
        <v>66</v>
      </c>
      <c r="BS6" s="209"/>
      <c r="BT6" s="209">
        <v>229</v>
      </c>
      <c r="BU6" s="209">
        <v>177</v>
      </c>
      <c r="BV6" s="209">
        <v>317</v>
      </c>
      <c r="BW6" s="209">
        <v>531</v>
      </c>
      <c r="BX6" s="209">
        <v>222</v>
      </c>
      <c r="BY6" s="209">
        <v>435</v>
      </c>
      <c r="BZ6" s="209">
        <v>133</v>
      </c>
      <c r="CA6" s="209">
        <v>96</v>
      </c>
      <c r="CB6" s="209">
        <v>111</v>
      </c>
      <c r="CC6" s="209">
        <v>347</v>
      </c>
      <c r="CD6" s="209">
        <v>443</v>
      </c>
      <c r="CE6" s="209">
        <v>1210</v>
      </c>
      <c r="CF6" s="209">
        <v>281</v>
      </c>
      <c r="CG6" s="209">
        <v>376</v>
      </c>
      <c r="CH6" s="209">
        <v>309</v>
      </c>
      <c r="CI6" s="231"/>
    </row>
    <row r="7" spans="1:87" s="171" customFormat="1">
      <c r="A7" s="204">
        <v>2</v>
      </c>
      <c r="B7" s="207">
        <v>1002</v>
      </c>
      <c r="C7" s="208" t="s">
        <v>182</v>
      </c>
      <c r="D7" s="194" t="s">
        <v>181</v>
      </c>
      <c r="E7" s="209">
        <f>G7*4+H7*9+I7*4</f>
        <v>349.6</v>
      </c>
      <c r="F7" s="213">
        <v>13.9</v>
      </c>
      <c r="G7" s="214">
        <v>8.4</v>
      </c>
      <c r="H7" s="215">
        <v>1.6</v>
      </c>
      <c r="I7" s="230">
        <f t="shared" si="0"/>
        <v>75.400000000000006</v>
      </c>
      <c r="J7" s="216">
        <v>0.5</v>
      </c>
      <c r="K7" s="233">
        <v>0.7</v>
      </c>
      <c r="L7" s="232"/>
      <c r="M7" s="216">
        <v>16</v>
      </c>
      <c r="N7" s="216">
        <v>130</v>
      </c>
      <c r="O7" s="216">
        <v>1.2</v>
      </c>
      <c r="P7" s="216">
        <v>0</v>
      </c>
      <c r="Q7" s="216">
        <v>0.16</v>
      </c>
      <c r="R7" s="216">
        <v>0.06</v>
      </c>
      <c r="S7" s="216">
        <v>2.4</v>
      </c>
      <c r="T7" s="240">
        <v>3</v>
      </c>
      <c r="U7" s="240">
        <v>282</v>
      </c>
      <c r="V7" s="240">
        <v>17</v>
      </c>
      <c r="W7" s="241">
        <v>1.1000000000000001</v>
      </c>
      <c r="X7" s="233">
        <v>2.2000000000000002</v>
      </c>
      <c r="Y7" s="240">
        <v>280</v>
      </c>
      <c r="Z7" s="216">
        <v>15.1</v>
      </c>
      <c r="AA7" s="241">
        <v>0.28399999999999997</v>
      </c>
      <c r="AB7" s="241">
        <v>0.107</v>
      </c>
      <c r="AC7" s="240">
        <v>7</v>
      </c>
      <c r="AD7" s="240">
        <v>0</v>
      </c>
      <c r="AE7" s="233"/>
      <c r="AF7" s="233">
        <v>0</v>
      </c>
      <c r="AG7" s="240">
        <v>0</v>
      </c>
      <c r="AH7" s="240">
        <f t="shared" si="1"/>
        <v>0</v>
      </c>
      <c r="AI7" s="236">
        <f t="shared" si="2"/>
        <v>0</v>
      </c>
      <c r="AJ7" s="252"/>
      <c r="AK7" s="233"/>
      <c r="AL7" s="216"/>
      <c r="AM7" s="236">
        <v>0</v>
      </c>
      <c r="AN7" s="236">
        <v>0</v>
      </c>
      <c r="AO7" s="236">
        <v>0</v>
      </c>
      <c r="AP7" s="236">
        <v>0</v>
      </c>
      <c r="AQ7" s="236">
        <v>0</v>
      </c>
      <c r="AR7" s="231"/>
      <c r="AS7" s="231"/>
      <c r="AT7" s="231"/>
      <c r="AU7" s="231"/>
      <c r="AV7" s="231"/>
      <c r="AW7" s="236">
        <v>0.111</v>
      </c>
      <c r="AX7" s="242">
        <v>9.4E-2</v>
      </c>
      <c r="AY7" s="242">
        <v>0</v>
      </c>
      <c r="AZ7" s="242">
        <v>0.01</v>
      </c>
      <c r="BA7" s="242">
        <v>0</v>
      </c>
      <c r="BB7" s="242">
        <v>0</v>
      </c>
      <c r="BC7" s="242">
        <v>0</v>
      </c>
      <c r="BD7" s="242">
        <v>0.2</v>
      </c>
      <c r="BE7" s="231">
        <v>0</v>
      </c>
      <c r="BF7" s="242">
        <v>2E-3</v>
      </c>
      <c r="BG7" s="242">
        <v>0.19800000000000001</v>
      </c>
      <c r="BH7" s="242">
        <v>0.19800000000000001</v>
      </c>
      <c r="BI7" s="242">
        <v>0.189</v>
      </c>
      <c r="BJ7" s="242">
        <v>8.0000000000000002E-3</v>
      </c>
      <c r="BK7" s="242">
        <v>0</v>
      </c>
      <c r="BL7" s="242">
        <v>0</v>
      </c>
      <c r="BM7" s="242">
        <v>0</v>
      </c>
      <c r="BN7" s="242"/>
      <c r="BO7" s="231">
        <v>0</v>
      </c>
      <c r="BP7" s="231"/>
      <c r="BQ7" s="204">
        <v>246</v>
      </c>
      <c r="BR7" s="204">
        <v>160</v>
      </c>
      <c r="BS7" s="204">
        <v>79</v>
      </c>
      <c r="BT7" s="204">
        <v>364</v>
      </c>
      <c r="BU7" s="204">
        <v>244</v>
      </c>
      <c r="BV7" s="204">
        <v>416</v>
      </c>
      <c r="BW7" s="204">
        <v>563</v>
      </c>
      <c r="BX7" s="204">
        <v>294</v>
      </c>
      <c r="BY7" s="204">
        <v>568</v>
      </c>
      <c r="BZ7" s="204">
        <v>160</v>
      </c>
      <c r="CA7" s="204">
        <v>140</v>
      </c>
      <c r="CB7" s="204">
        <v>228</v>
      </c>
      <c r="CC7" s="204">
        <v>395</v>
      </c>
      <c r="CD7" s="204">
        <v>640</v>
      </c>
      <c r="CE7" s="204">
        <v>1328</v>
      </c>
      <c r="CF7" s="204">
        <v>310</v>
      </c>
      <c r="CG7" s="204">
        <v>321</v>
      </c>
      <c r="CH7" s="204">
        <v>358</v>
      </c>
      <c r="CI7" s="231"/>
    </row>
    <row r="8" spans="1:87" s="172" customFormat="1" ht="25.2" customHeight="1">
      <c r="A8" s="204">
        <v>3</v>
      </c>
      <c r="B8" s="207">
        <v>1003</v>
      </c>
      <c r="C8" s="208" t="s">
        <v>183</v>
      </c>
      <c r="D8" s="194" t="s">
        <v>181</v>
      </c>
      <c r="E8" s="209">
        <f t="shared" ref="E8:E29" si="3">G8*4+H8*9+I8*4</f>
        <v>346.9</v>
      </c>
      <c r="F8" s="216">
        <v>14</v>
      </c>
      <c r="G8" s="217">
        <v>8.1</v>
      </c>
      <c r="H8" s="218">
        <v>1.3</v>
      </c>
      <c r="I8" s="230">
        <f t="shared" si="0"/>
        <v>75.7</v>
      </c>
      <c r="J8" s="216">
        <v>0.7</v>
      </c>
      <c r="K8" s="216">
        <v>0.9</v>
      </c>
      <c r="L8" s="232"/>
      <c r="M8" s="216">
        <v>36</v>
      </c>
      <c r="N8" s="216">
        <v>108</v>
      </c>
      <c r="O8" s="216">
        <v>0.2</v>
      </c>
      <c r="P8" s="216">
        <v>0</v>
      </c>
      <c r="Q8" s="216">
        <v>0.12</v>
      </c>
      <c r="R8" s="216">
        <v>0.04</v>
      </c>
      <c r="S8" s="216">
        <v>1.9</v>
      </c>
      <c r="T8" s="240">
        <v>5</v>
      </c>
      <c r="U8" s="240">
        <v>202</v>
      </c>
      <c r="V8" s="240">
        <v>52</v>
      </c>
      <c r="W8" s="241">
        <v>1.5</v>
      </c>
      <c r="X8" s="233">
        <v>1.9</v>
      </c>
      <c r="Y8" s="240">
        <v>360</v>
      </c>
      <c r="Z8" s="216">
        <v>38.799999999999997</v>
      </c>
      <c r="AA8" s="241"/>
      <c r="AB8" s="241"/>
      <c r="AC8" s="240"/>
      <c r="AD8" s="240"/>
      <c r="AE8" s="233">
        <v>3</v>
      </c>
      <c r="AF8" s="233"/>
      <c r="AG8" s="240">
        <v>0</v>
      </c>
      <c r="AH8" s="240">
        <f t="shared" si="1"/>
        <v>0</v>
      </c>
      <c r="AI8" s="236">
        <f t="shared" si="2"/>
        <v>0</v>
      </c>
      <c r="AJ8" s="252"/>
      <c r="AK8" s="233"/>
      <c r="AL8" s="216"/>
      <c r="AM8" s="236">
        <v>0</v>
      </c>
      <c r="AN8" s="236">
        <v>0</v>
      </c>
      <c r="AO8" s="236">
        <v>0</v>
      </c>
      <c r="AP8" s="236">
        <v>0</v>
      </c>
      <c r="AQ8" s="236">
        <v>0</v>
      </c>
      <c r="AR8" s="231"/>
      <c r="AS8" s="231"/>
      <c r="AT8" s="231"/>
      <c r="AU8" s="231"/>
      <c r="AV8" s="231"/>
      <c r="AW8" s="236">
        <v>0.35413793103448299</v>
      </c>
      <c r="AX8" s="244">
        <v>0.316034482758621</v>
      </c>
      <c r="AY8" s="244">
        <v>0</v>
      </c>
      <c r="AZ8" s="244">
        <v>2.46551724137931E-2</v>
      </c>
      <c r="BA8" s="242">
        <v>0</v>
      </c>
      <c r="BB8" s="242">
        <v>0</v>
      </c>
      <c r="BC8" s="242">
        <v>0</v>
      </c>
      <c r="BD8" s="244">
        <v>0.40568965517241401</v>
      </c>
      <c r="BE8" s="244">
        <v>0</v>
      </c>
      <c r="BF8" s="244">
        <v>4.4827586206896601E-3</v>
      </c>
      <c r="BG8" s="244">
        <v>0.40120689655172398</v>
      </c>
      <c r="BH8" s="244">
        <v>0.347413793103448</v>
      </c>
      <c r="BI8" s="244">
        <v>0.28689655172413803</v>
      </c>
      <c r="BJ8" s="244">
        <v>6.0517241379310298E-2</v>
      </c>
      <c r="BK8" s="242">
        <v>0</v>
      </c>
      <c r="BL8" s="242">
        <v>0</v>
      </c>
      <c r="BM8" s="242">
        <v>0</v>
      </c>
      <c r="BN8" s="244"/>
      <c r="BO8" s="231">
        <v>0</v>
      </c>
      <c r="BP8" s="231"/>
      <c r="BQ8" s="209">
        <v>245.050632911392</v>
      </c>
      <c r="BR8" s="209">
        <v>158.92405063291099</v>
      </c>
      <c r="BS8" s="209">
        <v>78.949367088607602</v>
      </c>
      <c r="BT8" s="209">
        <v>361.93670886075898</v>
      </c>
      <c r="BU8" s="209">
        <v>241.97468354430401</v>
      </c>
      <c r="BV8" s="209">
        <v>413.20253164556999</v>
      </c>
      <c r="BW8" s="209">
        <v>559.822784810126</v>
      </c>
      <c r="BX8" s="209">
        <v>292.21518987341801</v>
      </c>
      <c r="BY8" s="209">
        <v>564.949367088607</v>
      </c>
      <c r="BZ8" s="209">
        <v>158.92405063291099</v>
      </c>
      <c r="CA8" s="209">
        <v>138.41772151898701</v>
      </c>
      <c r="CB8" s="209">
        <v>226.59493670886101</v>
      </c>
      <c r="CC8" s="209">
        <v>392.69620253164499</v>
      </c>
      <c r="CD8" s="209">
        <v>636.72151898734205</v>
      </c>
      <c r="CE8" s="209">
        <v>1320.60759493671</v>
      </c>
      <c r="CF8" s="209">
        <v>308.62025316455703</v>
      </c>
      <c r="CG8" s="209">
        <v>318.87341772151899</v>
      </c>
      <c r="CH8" s="209">
        <v>355.78481012658199</v>
      </c>
      <c r="CI8" s="231"/>
    </row>
    <row r="9" spans="1:87" ht="25.2" customHeight="1" outlineLevel="1">
      <c r="A9" s="204">
        <v>4</v>
      </c>
      <c r="B9" s="207">
        <v>1004</v>
      </c>
      <c r="C9" s="208" t="s">
        <v>184</v>
      </c>
      <c r="D9" s="194" t="s">
        <v>181</v>
      </c>
      <c r="E9" s="209">
        <f t="shared" si="3"/>
        <v>345.8</v>
      </c>
      <c r="F9" s="216">
        <v>14</v>
      </c>
      <c r="G9" s="217">
        <v>7.9</v>
      </c>
      <c r="H9" s="218">
        <v>1</v>
      </c>
      <c r="I9" s="230">
        <f t="shared" si="0"/>
        <v>76.3</v>
      </c>
      <c r="J9" s="216">
        <v>0.4</v>
      </c>
      <c r="K9" s="216">
        <v>0.8</v>
      </c>
      <c r="L9" s="232"/>
      <c r="M9" s="216">
        <v>30</v>
      </c>
      <c r="N9" s="216">
        <v>104</v>
      </c>
      <c r="O9" s="216">
        <v>1.3</v>
      </c>
      <c r="P9" s="216">
        <v>0</v>
      </c>
      <c r="Q9" s="216">
        <v>0.1</v>
      </c>
      <c r="R9" s="216">
        <v>0.03</v>
      </c>
      <c r="S9" s="216">
        <v>1.6</v>
      </c>
      <c r="T9" s="240">
        <v>5</v>
      </c>
      <c r="U9" s="240">
        <v>241</v>
      </c>
      <c r="V9" s="240">
        <v>14</v>
      </c>
      <c r="W9" s="241">
        <v>0.9</v>
      </c>
      <c r="X9" s="233">
        <v>1.5</v>
      </c>
      <c r="Y9" s="240">
        <v>230</v>
      </c>
      <c r="Z9" s="216">
        <v>31.8</v>
      </c>
      <c r="AA9" s="241">
        <v>1.3420000000000001</v>
      </c>
      <c r="AB9" s="241">
        <v>0.14499999999999999</v>
      </c>
      <c r="AC9" s="240">
        <v>9</v>
      </c>
      <c r="AD9" s="240">
        <v>0</v>
      </c>
      <c r="AE9" s="233">
        <v>3</v>
      </c>
      <c r="AF9" s="233">
        <v>0</v>
      </c>
      <c r="AG9" s="240">
        <v>0</v>
      </c>
      <c r="AH9" s="240">
        <f t="shared" si="1"/>
        <v>0</v>
      </c>
      <c r="AI9" s="236">
        <f t="shared" si="2"/>
        <v>0</v>
      </c>
      <c r="AJ9" s="252"/>
      <c r="AK9" s="233"/>
      <c r="AL9" s="216"/>
      <c r="AM9" s="236">
        <v>0</v>
      </c>
      <c r="AN9" s="236">
        <v>0</v>
      </c>
      <c r="AO9" s="236">
        <v>0</v>
      </c>
      <c r="AP9" s="236">
        <v>0</v>
      </c>
      <c r="AQ9" s="236">
        <v>0</v>
      </c>
      <c r="AR9" s="231"/>
      <c r="AS9" s="231"/>
      <c r="AT9" s="231"/>
      <c r="AU9" s="231"/>
      <c r="AV9" s="231"/>
      <c r="AW9" s="236">
        <v>0.158</v>
      </c>
      <c r="AX9" s="242">
        <v>0.14099999999999999</v>
      </c>
      <c r="AY9" s="242">
        <v>0</v>
      </c>
      <c r="AZ9" s="242">
        <v>1.0999999999999999E-2</v>
      </c>
      <c r="BA9" s="242">
        <v>0</v>
      </c>
      <c r="BB9" s="242">
        <v>0</v>
      </c>
      <c r="BC9" s="242">
        <v>0</v>
      </c>
      <c r="BD9" s="242">
        <v>0.18099999999999999</v>
      </c>
      <c r="BE9" s="231">
        <v>0</v>
      </c>
      <c r="BF9" s="242">
        <v>2E-3</v>
      </c>
      <c r="BG9" s="242">
        <v>0.17899999999999999</v>
      </c>
      <c r="BH9" s="242">
        <v>0.155</v>
      </c>
      <c r="BI9" s="242">
        <v>0.128</v>
      </c>
      <c r="BJ9" s="242">
        <v>2.7E-2</v>
      </c>
      <c r="BK9" s="242">
        <v>0</v>
      </c>
      <c r="BL9" s="242">
        <v>0</v>
      </c>
      <c r="BM9" s="242">
        <v>0</v>
      </c>
      <c r="BN9" s="242"/>
      <c r="BO9" s="231">
        <v>0</v>
      </c>
      <c r="BP9" s="231"/>
      <c r="BQ9" s="204">
        <v>239</v>
      </c>
      <c r="BR9" s="204">
        <v>155</v>
      </c>
      <c r="BS9" s="204">
        <v>77</v>
      </c>
      <c r="BT9" s="204">
        <v>353</v>
      </c>
      <c r="BU9" s="204">
        <v>236</v>
      </c>
      <c r="BV9" s="204">
        <v>403</v>
      </c>
      <c r="BW9" s="204">
        <v>546</v>
      </c>
      <c r="BX9" s="204">
        <v>285</v>
      </c>
      <c r="BY9" s="204">
        <v>551</v>
      </c>
      <c r="BZ9" s="204">
        <v>155</v>
      </c>
      <c r="CA9" s="204">
        <v>135</v>
      </c>
      <c r="CB9" s="204">
        <v>221</v>
      </c>
      <c r="CC9" s="204">
        <v>383</v>
      </c>
      <c r="CD9" s="204">
        <v>621</v>
      </c>
      <c r="CE9" s="204">
        <v>1288</v>
      </c>
      <c r="CF9" s="204">
        <v>301</v>
      </c>
      <c r="CG9" s="204">
        <v>311</v>
      </c>
      <c r="CH9" s="204">
        <v>347</v>
      </c>
      <c r="CI9" s="231"/>
    </row>
    <row r="10" spans="1:87" ht="25.2" customHeight="1" outlineLevel="1">
      <c r="A10" s="204">
        <v>5</v>
      </c>
      <c r="B10" s="207">
        <v>1005</v>
      </c>
      <c r="C10" s="208" t="s">
        <v>185</v>
      </c>
      <c r="D10" s="194" t="s">
        <v>181</v>
      </c>
      <c r="E10" s="209">
        <f t="shared" si="3"/>
        <v>358.84</v>
      </c>
      <c r="F10" s="216">
        <v>12.37</v>
      </c>
      <c r="G10" s="217">
        <v>7.5</v>
      </c>
      <c r="H10" s="218">
        <v>2.68</v>
      </c>
      <c r="I10" s="230">
        <f t="shared" si="0"/>
        <v>76.180000000000007</v>
      </c>
      <c r="J10" s="216">
        <v>3.4</v>
      </c>
      <c r="K10" s="216">
        <v>1.27</v>
      </c>
      <c r="L10" s="232"/>
      <c r="M10" s="216">
        <v>16</v>
      </c>
      <c r="N10" s="216">
        <v>246</v>
      </c>
      <c r="O10" s="216">
        <v>2.8</v>
      </c>
      <c r="P10" s="216">
        <v>0</v>
      </c>
      <c r="Q10" s="216">
        <v>0.34</v>
      </c>
      <c r="R10" s="216">
        <v>7.0000000000000007E-2</v>
      </c>
      <c r="S10" s="216">
        <v>5</v>
      </c>
      <c r="T10" s="240">
        <v>5</v>
      </c>
      <c r="U10" s="240">
        <v>202</v>
      </c>
      <c r="V10" s="240">
        <v>52</v>
      </c>
      <c r="W10" s="241">
        <v>1.5</v>
      </c>
      <c r="X10" s="233">
        <v>1.9</v>
      </c>
      <c r="Y10" s="240">
        <v>360</v>
      </c>
      <c r="Z10" s="216">
        <v>38.799999999999997</v>
      </c>
      <c r="AA10" s="241">
        <v>1.5</v>
      </c>
      <c r="AB10" s="241">
        <v>0.62</v>
      </c>
      <c r="AC10" s="240">
        <v>20</v>
      </c>
      <c r="AD10" s="240">
        <v>0</v>
      </c>
      <c r="AE10" s="233"/>
      <c r="AF10" s="233"/>
      <c r="AG10" s="240">
        <v>0</v>
      </c>
      <c r="AH10" s="240">
        <f t="shared" si="1"/>
        <v>0</v>
      </c>
      <c r="AI10" s="236">
        <f t="shared" si="2"/>
        <v>0</v>
      </c>
      <c r="AJ10" s="252"/>
      <c r="AK10" s="233"/>
      <c r="AL10" s="216"/>
      <c r="AM10" s="236">
        <v>0</v>
      </c>
      <c r="AN10" s="236">
        <v>0</v>
      </c>
      <c r="AO10" s="236">
        <v>0</v>
      </c>
      <c r="AP10" s="236">
        <v>0</v>
      </c>
      <c r="AQ10" s="236">
        <v>0</v>
      </c>
      <c r="AR10" s="231"/>
      <c r="AS10" s="231"/>
      <c r="AT10" s="231"/>
      <c r="AU10" s="231"/>
      <c r="AV10" s="231"/>
      <c r="AW10" s="236">
        <v>0.53600000000000003</v>
      </c>
      <c r="AX10" s="242">
        <v>0.45700000000000002</v>
      </c>
      <c r="AY10" s="242">
        <v>0</v>
      </c>
      <c r="AZ10" s="242">
        <v>4.8000000000000001E-2</v>
      </c>
      <c r="BA10" s="242">
        <v>0</v>
      </c>
      <c r="BB10" s="242">
        <v>0</v>
      </c>
      <c r="BC10" s="242">
        <v>0</v>
      </c>
      <c r="BD10" s="242">
        <v>0.97099999999999997</v>
      </c>
      <c r="BE10" s="231">
        <v>0</v>
      </c>
      <c r="BF10" s="242">
        <v>0.01</v>
      </c>
      <c r="BG10" s="242">
        <v>0.96099999999999997</v>
      </c>
      <c r="BH10" s="242">
        <v>0.95899999999999996</v>
      </c>
      <c r="BI10" s="242">
        <v>0.91800000000000004</v>
      </c>
      <c r="BJ10" s="242">
        <v>4.1000000000000002E-2</v>
      </c>
      <c r="BK10" s="242">
        <v>0</v>
      </c>
      <c r="BL10" s="242">
        <v>0</v>
      </c>
      <c r="BM10" s="242">
        <v>0</v>
      </c>
      <c r="BN10" s="242"/>
      <c r="BO10" s="231">
        <v>0</v>
      </c>
      <c r="BP10" s="231"/>
      <c r="BQ10" s="204">
        <v>286</v>
      </c>
      <c r="BR10" s="204">
        <v>169</v>
      </c>
      <c r="BS10" s="204">
        <v>96</v>
      </c>
      <c r="BT10" s="204">
        <v>387</v>
      </c>
      <c r="BU10" s="204">
        <v>275</v>
      </c>
      <c r="BV10" s="204">
        <v>440</v>
      </c>
      <c r="BW10" s="204">
        <v>620</v>
      </c>
      <c r="BX10" s="204">
        <v>318</v>
      </c>
      <c r="BY10" s="204">
        <v>569</v>
      </c>
      <c r="BZ10" s="204">
        <v>190</v>
      </c>
      <c r="CA10" s="204">
        <v>91</v>
      </c>
      <c r="CB10" s="204">
        <v>281</v>
      </c>
      <c r="CC10" s="204">
        <v>437</v>
      </c>
      <c r="CD10" s="204">
        <v>702</v>
      </c>
      <c r="CE10" s="204">
        <v>1528</v>
      </c>
      <c r="CF10" s="204">
        <v>369</v>
      </c>
      <c r="CG10" s="204">
        <v>352</v>
      </c>
      <c r="CH10" s="204">
        <v>388</v>
      </c>
      <c r="CI10" s="231"/>
    </row>
    <row r="11" spans="1:87" ht="25.2" customHeight="1" outlineLevel="1">
      <c r="A11" s="204">
        <v>6</v>
      </c>
      <c r="B11" s="207">
        <v>1006</v>
      </c>
      <c r="C11" s="208" t="s">
        <v>186</v>
      </c>
      <c r="D11" s="194" t="s">
        <v>181</v>
      </c>
      <c r="E11" s="209">
        <f t="shared" si="3"/>
        <v>344.6</v>
      </c>
      <c r="F11" s="216">
        <v>14</v>
      </c>
      <c r="G11" s="217">
        <v>7</v>
      </c>
      <c r="H11" s="218">
        <v>3</v>
      </c>
      <c r="I11" s="230">
        <f t="shared" si="0"/>
        <v>72.400000000000006</v>
      </c>
      <c r="J11" s="216">
        <v>3.4</v>
      </c>
      <c r="K11" s="216">
        <v>3.6</v>
      </c>
      <c r="L11" s="232"/>
      <c r="M11" s="216">
        <v>22</v>
      </c>
      <c r="N11" s="216">
        <v>290</v>
      </c>
      <c r="O11" s="216">
        <v>2.7</v>
      </c>
      <c r="P11" s="216">
        <v>0</v>
      </c>
      <c r="Q11" s="216">
        <v>0.4</v>
      </c>
      <c r="R11" s="216">
        <v>0.09</v>
      </c>
      <c r="S11" s="216">
        <v>1.6</v>
      </c>
      <c r="T11" s="240">
        <v>7</v>
      </c>
      <c r="U11" s="240">
        <v>249</v>
      </c>
      <c r="V11" s="240">
        <v>430</v>
      </c>
      <c r="W11" s="241">
        <v>1.7</v>
      </c>
      <c r="X11" s="233">
        <v>1.5</v>
      </c>
      <c r="Y11" s="240">
        <v>440</v>
      </c>
      <c r="Z11" s="216">
        <v>2.7</v>
      </c>
      <c r="AA11" s="241">
        <v>0.84799999999999998</v>
      </c>
      <c r="AB11" s="241">
        <v>0.38400000000000001</v>
      </c>
      <c r="AC11" s="240">
        <v>85</v>
      </c>
      <c r="AD11" s="240">
        <v>0</v>
      </c>
      <c r="AE11" s="233"/>
      <c r="AF11" s="233">
        <v>0</v>
      </c>
      <c r="AG11" s="240">
        <v>0</v>
      </c>
      <c r="AH11" s="240">
        <f t="shared" si="1"/>
        <v>0</v>
      </c>
      <c r="AI11" s="236">
        <f t="shared" si="2"/>
        <v>5</v>
      </c>
      <c r="AJ11" s="252"/>
      <c r="AK11" s="233">
        <v>0.05</v>
      </c>
      <c r="AL11" s="216">
        <v>0.9</v>
      </c>
      <c r="AM11" s="236">
        <v>60</v>
      </c>
      <c r="AN11" s="231"/>
      <c r="AO11" s="231"/>
      <c r="AP11" s="231"/>
      <c r="AQ11" s="231"/>
      <c r="AR11" s="231"/>
      <c r="AS11" s="231"/>
      <c r="AT11" s="231"/>
      <c r="AU11" s="231"/>
      <c r="AV11" s="231">
        <v>62</v>
      </c>
      <c r="AW11" s="236">
        <v>0.72299999999999998</v>
      </c>
      <c r="AX11" s="242">
        <v>0.52800000000000002</v>
      </c>
      <c r="AY11" s="242">
        <v>0</v>
      </c>
      <c r="AZ11" s="242">
        <v>0.154</v>
      </c>
      <c r="BA11" s="242">
        <v>0</v>
      </c>
      <c r="BB11" s="242">
        <v>0</v>
      </c>
      <c r="BC11" s="242">
        <v>0</v>
      </c>
      <c r="BD11" s="242">
        <v>0.77300000000000002</v>
      </c>
      <c r="BE11" s="231">
        <v>0</v>
      </c>
      <c r="BF11" s="242">
        <v>1.4E-2</v>
      </c>
      <c r="BG11" s="242">
        <v>0.73899999999999999</v>
      </c>
      <c r="BH11" s="242">
        <v>2.1339999999999999</v>
      </c>
      <c r="BI11" s="242">
        <v>2.0150000000000001</v>
      </c>
      <c r="BJ11" s="242">
        <v>0.11799999999999999</v>
      </c>
      <c r="BK11" s="242">
        <v>0</v>
      </c>
      <c r="BL11" s="242">
        <v>0</v>
      </c>
      <c r="BM11" s="242">
        <v>0</v>
      </c>
      <c r="BN11" s="242"/>
      <c r="BO11" s="231">
        <v>0</v>
      </c>
      <c r="BP11" s="231"/>
      <c r="BQ11" s="204">
        <v>212</v>
      </c>
      <c r="BR11" s="204">
        <v>221</v>
      </c>
      <c r="BS11" s="204">
        <v>119</v>
      </c>
      <c r="BT11" s="204">
        <v>580</v>
      </c>
      <c r="BU11" s="204">
        <v>353</v>
      </c>
      <c r="BV11" s="204">
        <v>578</v>
      </c>
      <c r="BW11" s="204">
        <v>1400</v>
      </c>
      <c r="BX11" s="204">
        <v>465</v>
      </c>
      <c r="BY11" s="204">
        <v>382</v>
      </c>
      <c r="BZ11" s="204">
        <v>236</v>
      </c>
      <c r="CA11" s="204">
        <v>212</v>
      </c>
      <c r="CB11" s="204">
        <v>340</v>
      </c>
      <c r="CC11" s="204">
        <v>986</v>
      </c>
      <c r="CD11" s="204">
        <v>726</v>
      </c>
      <c r="CE11" s="204">
        <v>2396</v>
      </c>
      <c r="CF11" s="204">
        <v>287</v>
      </c>
      <c r="CG11" s="204">
        <v>877</v>
      </c>
      <c r="CH11" s="204">
        <v>644</v>
      </c>
      <c r="CI11" s="231"/>
    </row>
    <row r="12" spans="1:87" ht="25.2" customHeight="1" outlineLevel="1">
      <c r="A12" s="204">
        <v>7</v>
      </c>
      <c r="B12" s="207">
        <v>1007</v>
      </c>
      <c r="C12" s="208" t="s">
        <v>187</v>
      </c>
      <c r="D12" s="194" t="s">
        <v>181</v>
      </c>
      <c r="E12" s="209">
        <f t="shared" si="3"/>
        <v>200.3</v>
      </c>
      <c r="F12" s="216">
        <v>52</v>
      </c>
      <c r="G12" s="217">
        <v>4.0999999999999996</v>
      </c>
      <c r="H12" s="218">
        <v>2.2999999999999998</v>
      </c>
      <c r="I12" s="230">
        <f t="shared" si="0"/>
        <v>40.799999999999997</v>
      </c>
      <c r="J12" s="216">
        <v>1.2</v>
      </c>
      <c r="K12" s="216">
        <v>0.8</v>
      </c>
      <c r="L12" s="232">
        <v>1.7</v>
      </c>
      <c r="M12" s="216">
        <v>20</v>
      </c>
      <c r="N12" s="216">
        <v>187</v>
      </c>
      <c r="O12" s="216">
        <v>1.5</v>
      </c>
      <c r="P12" s="216">
        <v>12</v>
      </c>
      <c r="Q12" s="216">
        <v>0.15</v>
      </c>
      <c r="R12" s="216">
        <v>0.08</v>
      </c>
      <c r="S12" s="216">
        <v>1.8</v>
      </c>
      <c r="T12" s="240">
        <v>3</v>
      </c>
      <c r="U12" s="240">
        <v>306</v>
      </c>
      <c r="V12" s="240">
        <v>39</v>
      </c>
      <c r="W12" s="241">
        <v>0.35</v>
      </c>
      <c r="X12" s="233">
        <v>1.4</v>
      </c>
      <c r="Y12" s="240">
        <v>240</v>
      </c>
      <c r="Z12" s="216">
        <v>4</v>
      </c>
      <c r="AA12" s="241">
        <v>0.54</v>
      </c>
      <c r="AB12" s="241">
        <v>0.16</v>
      </c>
      <c r="AC12" s="240">
        <v>33</v>
      </c>
      <c r="AD12" s="240">
        <v>0</v>
      </c>
      <c r="AE12" s="233">
        <v>0.5</v>
      </c>
      <c r="AF12" s="233">
        <v>0</v>
      </c>
      <c r="AG12" s="240">
        <v>0</v>
      </c>
      <c r="AH12" s="240">
        <f t="shared" si="1"/>
        <v>0</v>
      </c>
      <c r="AI12" s="236">
        <f t="shared" si="2"/>
        <v>20</v>
      </c>
      <c r="AJ12" s="252"/>
      <c r="AK12" s="233">
        <v>0.8</v>
      </c>
      <c r="AL12" s="216">
        <v>0</v>
      </c>
      <c r="AM12" s="236">
        <v>240</v>
      </c>
      <c r="AN12" s="231"/>
      <c r="AO12" s="231"/>
      <c r="AP12" s="231"/>
      <c r="AQ12" s="231"/>
      <c r="AR12" s="231"/>
      <c r="AS12" s="231"/>
      <c r="AT12" s="231"/>
      <c r="AU12" s="231"/>
      <c r="AV12" s="231">
        <v>52</v>
      </c>
      <c r="AW12" s="236">
        <v>0.28000000000000003</v>
      </c>
      <c r="AX12" s="242">
        <v>0.24</v>
      </c>
      <c r="AY12" s="242">
        <v>0</v>
      </c>
      <c r="AZ12" s="242">
        <v>3.6999999999999998E-2</v>
      </c>
      <c r="BA12" s="242">
        <v>0</v>
      </c>
      <c r="BB12" s="242">
        <v>0</v>
      </c>
      <c r="BC12" s="242">
        <v>0</v>
      </c>
      <c r="BD12" s="242">
        <v>0.52</v>
      </c>
      <c r="BE12" s="231">
        <v>0</v>
      </c>
      <c r="BF12" s="242">
        <v>0</v>
      </c>
      <c r="BG12" s="242">
        <v>0.52</v>
      </c>
      <c r="BH12" s="242">
        <v>0.89</v>
      </c>
      <c r="BI12" s="242">
        <v>0.86</v>
      </c>
      <c r="BJ12" s="242">
        <v>0.03</v>
      </c>
      <c r="BK12" s="242">
        <v>0</v>
      </c>
      <c r="BL12" s="242">
        <v>0</v>
      </c>
      <c r="BM12" s="242">
        <v>0</v>
      </c>
      <c r="BN12" s="242"/>
      <c r="BO12" s="231">
        <v>0</v>
      </c>
      <c r="BP12" s="257"/>
      <c r="BQ12" s="204">
        <v>100</v>
      </c>
      <c r="BR12" s="204">
        <v>71</v>
      </c>
      <c r="BS12" s="204">
        <v>24</v>
      </c>
      <c r="BT12" s="204">
        <v>190</v>
      </c>
      <c r="BU12" s="204">
        <v>140</v>
      </c>
      <c r="BV12" s="204">
        <v>180</v>
      </c>
      <c r="BW12" s="204">
        <v>470</v>
      </c>
      <c r="BX12" s="204">
        <v>140</v>
      </c>
      <c r="BY12" s="204">
        <v>150</v>
      </c>
      <c r="BZ12" s="204">
        <v>100</v>
      </c>
      <c r="CA12" s="204">
        <v>59</v>
      </c>
      <c r="CB12" s="204">
        <v>140</v>
      </c>
      <c r="CC12" s="204">
        <v>280</v>
      </c>
      <c r="CD12" s="204">
        <v>240</v>
      </c>
      <c r="CE12" s="204">
        <v>760</v>
      </c>
      <c r="CF12" s="204">
        <v>140</v>
      </c>
      <c r="CG12" s="204">
        <v>330</v>
      </c>
      <c r="CH12" s="204">
        <v>190</v>
      </c>
      <c r="CI12" s="231"/>
    </row>
    <row r="13" spans="1:87" ht="25.2" customHeight="1" outlineLevel="1">
      <c r="A13" s="204">
        <v>8</v>
      </c>
      <c r="B13" s="207">
        <v>1008</v>
      </c>
      <c r="C13" s="208" t="s">
        <v>188</v>
      </c>
      <c r="D13" s="194" t="s">
        <v>181</v>
      </c>
      <c r="E13" s="209">
        <f t="shared" si="3"/>
        <v>362.3</v>
      </c>
      <c r="F13" s="216">
        <v>14</v>
      </c>
      <c r="G13" s="217">
        <v>8.6</v>
      </c>
      <c r="H13" s="218">
        <v>4.7</v>
      </c>
      <c r="I13" s="230">
        <f t="shared" si="0"/>
        <v>71.400000000000006</v>
      </c>
      <c r="J13" s="216">
        <v>2</v>
      </c>
      <c r="K13" s="216">
        <v>1.3</v>
      </c>
      <c r="L13" s="233">
        <v>0.64</v>
      </c>
      <c r="M13" s="216">
        <v>30</v>
      </c>
      <c r="N13" s="216">
        <v>190</v>
      </c>
      <c r="O13" s="216">
        <v>2.2999999999999998</v>
      </c>
      <c r="P13" s="216">
        <v>0</v>
      </c>
      <c r="Q13" s="216">
        <v>0.28000000000000003</v>
      </c>
      <c r="R13" s="216">
        <v>0.11</v>
      </c>
      <c r="S13" s="216">
        <v>2</v>
      </c>
      <c r="T13" s="231">
        <v>35</v>
      </c>
      <c r="U13" s="231">
        <v>287</v>
      </c>
      <c r="V13" s="231">
        <v>127</v>
      </c>
      <c r="W13" s="242">
        <v>0.48499999999999999</v>
      </c>
      <c r="X13" s="232">
        <v>2.21</v>
      </c>
      <c r="Y13" s="231">
        <v>314</v>
      </c>
      <c r="Z13" s="231">
        <v>15.5</v>
      </c>
      <c r="AA13" s="241">
        <v>0.42399999999999999</v>
      </c>
      <c r="AB13" s="241">
        <v>0.622</v>
      </c>
      <c r="AC13" s="240">
        <v>19</v>
      </c>
      <c r="AD13" s="240">
        <v>0</v>
      </c>
      <c r="AE13" s="233"/>
      <c r="AF13" s="233">
        <v>0</v>
      </c>
      <c r="AG13" s="240">
        <v>0</v>
      </c>
      <c r="AH13" s="240">
        <f t="shared" si="1"/>
        <v>0</v>
      </c>
      <c r="AI13" s="236">
        <f t="shared" si="2"/>
        <v>10.7083333333333</v>
      </c>
      <c r="AJ13" s="252"/>
      <c r="AK13" s="233">
        <v>0.49</v>
      </c>
      <c r="AL13" s="216">
        <v>0.3</v>
      </c>
      <c r="AM13" s="236">
        <v>97</v>
      </c>
      <c r="AN13" s="231">
        <v>63</v>
      </c>
      <c r="AO13" s="231">
        <v>0</v>
      </c>
      <c r="AP13" s="231">
        <v>0</v>
      </c>
      <c r="AQ13" s="231">
        <v>1355</v>
      </c>
      <c r="AR13" s="231"/>
      <c r="AS13" s="231"/>
      <c r="AT13" s="231"/>
      <c r="AU13" s="231"/>
      <c r="AV13" s="231"/>
      <c r="AW13" s="236">
        <v>0.66700000000000004</v>
      </c>
      <c r="AX13" s="244">
        <v>0.56899999999999995</v>
      </c>
      <c r="AY13" s="242">
        <v>0</v>
      </c>
      <c r="AZ13" s="244">
        <v>7.4999999999999997E-2</v>
      </c>
      <c r="BA13" s="242">
        <v>0</v>
      </c>
      <c r="BB13" s="242">
        <v>0</v>
      </c>
      <c r="BC13" s="242">
        <v>0</v>
      </c>
      <c r="BD13" s="244">
        <v>1.2509999999999999</v>
      </c>
      <c r="BE13" s="213">
        <v>0</v>
      </c>
      <c r="BF13" s="244">
        <v>4.0000000000000001E-3</v>
      </c>
      <c r="BG13" s="244">
        <v>1.2470000000000001</v>
      </c>
      <c r="BH13" s="244">
        <v>2.1629999999999998</v>
      </c>
      <c r="BI13" s="244">
        <v>2.097</v>
      </c>
      <c r="BJ13" s="244">
        <v>6.5000000000000002E-2</v>
      </c>
      <c r="BK13" s="244">
        <v>0</v>
      </c>
      <c r="BL13" s="244">
        <v>0</v>
      </c>
      <c r="BM13" s="244">
        <v>0</v>
      </c>
      <c r="BN13" s="244"/>
      <c r="BO13" s="231">
        <v>0</v>
      </c>
      <c r="BP13" s="231"/>
      <c r="BQ13" s="204">
        <v>265</v>
      </c>
      <c r="BR13" s="204">
        <v>197</v>
      </c>
      <c r="BS13" s="204">
        <v>67</v>
      </c>
      <c r="BT13" s="204">
        <v>463</v>
      </c>
      <c r="BU13" s="204">
        <v>354</v>
      </c>
      <c r="BV13" s="204">
        <v>477</v>
      </c>
      <c r="BW13" s="204">
        <v>1155</v>
      </c>
      <c r="BX13" s="204">
        <v>337</v>
      </c>
      <c r="BY13" s="204">
        <v>470</v>
      </c>
      <c r="BZ13" s="204">
        <v>287</v>
      </c>
      <c r="CA13" s="204">
        <v>170</v>
      </c>
      <c r="CB13" s="204">
        <v>383</v>
      </c>
      <c r="CC13" s="204">
        <v>705</v>
      </c>
      <c r="CD13" s="204">
        <v>655</v>
      </c>
      <c r="CE13" s="204">
        <v>1768</v>
      </c>
      <c r="CF13" s="204">
        <v>386</v>
      </c>
      <c r="CG13" s="204">
        <v>822</v>
      </c>
      <c r="CH13" s="204">
        <v>447</v>
      </c>
      <c r="CI13" s="231"/>
    </row>
    <row r="14" spans="1:87" ht="25.2" customHeight="1" outlineLevel="1">
      <c r="A14" s="204">
        <v>9</v>
      </c>
      <c r="B14" s="207">
        <v>1009</v>
      </c>
      <c r="C14" s="208" t="s">
        <v>189</v>
      </c>
      <c r="D14" s="194"/>
      <c r="E14" s="209">
        <f t="shared" si="3"/>
        <v>276</v>
      </c>
      <c r="F14" s="219">
        <v>43.2</v>
      </c>
      <c r="G14" s="220">
        <v>10.4</v>
      </c>
      <c r="H14" s="221">
        <v>10.8</v>
      </c>
      <c r="I14" s="234">
        <f t="shared" si="0"/>
        <v>34.299999999999997</v>
      </c>
      <c r="J14" s="235">
        <v>0.86</v>
      </c>
      <c r="K14" s="219">
        <v>1.3</v>
      </c>
      <c r="L14" s="232"/>
      <c r="M14" s="216">
        <v>72.42</v>
      </c>
      <c r="N14" s="216">
        <v>67.44</v>
      </c>
      <c r="O14" s="216">
        <v>0.76</v>
      </c>
      <c r="P14" s="216"/>
      <c r="Q14" s="216">
        <v>0.1</v>
      </c>
      <c r="R14" s="216">
        <v>0.04</v>
      </c>
      <c r="S14" s="216">
        <v>1</v>
      </c>
      <c r="T14" s="231"/>
      <c r="U14" s="231"/>
      <c r="V14" s="231"/>
      <c r="W14" s="242"/>
      <c r="X14" s="235">
        <v>1.33</v>
      </c>
      <c r="Y14" s="231"/>
      <c r="Z14" s="231"/>
      <c r="AA14" s="241"/>
      <c r="AB14" s="241"/>
      <c r="AC14" s="240"/>
      <c r="AD14" s="240"/>
      <c r="AE14" s="233"/>
      <c r="AF14" s="233"/>
      <c r="AG14" s="240">
        <v>0</v>
      </c>
      <c r="AH14" s="240">
        <f t="shared" si="1"/>
        <v>0</v>
      </c>
      <c r="AI14" s="236">
        <f t="shared" si="2"/>
        <v>0</v>
      </c>
      <c r="AJ14" s="252"/>
      <c r="AK14" s="233"/>
      <c r="AL14" s="216"/>
      <c r="AM14" s="236">
        <v>0</v>
      </c>
      <c r="AN14" s="236">
        <v>0</v>
      </c>
      <c r="AO14" s="236">
        <v>0</v>
      </c>
      <c r="AP14" s="236">
        <v>0</v>
      </c>
      <c r="AQ14" s="236">
        <v>0</v>
      </c>
      <c r="AR14" s="231"/>
      <c r="AS14" s="231"/>
      <c r="AT14" s="231"/>
      <c r="AU14" s="231"/>
      <c r="AV14" s="231"/>
      <c r="AW14" s="236"/>
      <c r="AX14" s="242"/>
      <c r="AY14" s="242"/>
      <c r="AZ14" s="242"/>
      <c r="BA14" s="242"/>
      <c r="BB14" s="242"/>
      <c r="BC14" s="242"/>
      <c r="BD14" s="242"/>
      <c r="BE14" s="231"/>
      <c r="BF14" s="242"/>
      <c r="BG14" s="242"/>
      <c r="BH14" s="242"/>
      <c r="BI14" s="242"/>
      <c r="BJ14" s="242"/>
      <c r="BK14" s="242"/>
      <c r="BL14" s="242"/>
      <c r="BM14" s="242"/>
      <c r="BN14" s="242"/>
      <c r="BO14" s="231">
        <v>0</v>
      </c>
      <c r="BP14" s="231"/>
      <c r="BQ14" s="231"/>
      <c r="BR14" s="231"/>
      <c r="BS14" s="231"/>
      <c r="BT14" s="231"/>
      <c r="BU14" s="231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</row>
    <row r="15" spans="1:87" ht="25.2" customHeight="1" outlineLevel="1">
      <c r="A15" s="204">
        <v>10</v>
      </c>
      <c r="B15" s="207">
        <v>1010</v>
      </c>
      <c r="C15" s="208" t="s">
        <v>190</v>
      </c>
      <c r="D15" s="194" t="s">
        <v>181</v>
      </c>
      <c r="E15" s="209">
        <f t="shared" si="3"/>
        <v>335.4</v>
      </c>
      <c r="F15" s="216">
        <v>15</v>
      </c>
      <c r="G15" s="217">
        <v>4</v>
      </c>
      <c r="H15" s="218">
        <v>0.2</v>
      </c>
      <c r="I15" s="230">
        <f t="shared" si="0"/>
        <v>79.400000000000006</v>
      </c>
      <c r="J15" s="216">
        <v>0.5</v>
      </c>
      <c r="K15" s="216">
        <v>1.4</v>
      </c>
      <c r="L15" s="233"/>
      <c r="M15" s="236">
        <v>20</v>
      </c>
      <c r="N15" s="236">
        <v>65</v>
      </c>
      <c r="O15" s="236">
        <v>0.3</v>
      </c>
      <c r="P15" s="236">
        <v>0</v>
      </c>
      <c r="Q15" s="236"/>
      <c r="R15" s="236"/>
      <c r="S15" s="236"/>
      <c r="T15" s="231"/>
      <c r="U15" s="231"/>
      <c r="V15" s="231"/>
      <c r="W15" s="242"/>
      <c r="X15" s="232"/>
      <c r="Y15" s="231"/>
      <c r="Z15" s="231"/>
      <c r="AA15" s="241"/>
      <c r="AB15" s="241"/>
      <c r="AC15" s="240"/>
      <c r="AD15" s="240"/>
      <c r="AE15" s="236"/>
      <c r="AF15" s="236"/>
      <c r="AG15" s="240">
        <v>0</v>
      </c>
      <c r="AH15" s="240">
        <f t="shared" si="1"/>
        <v>0</v>
      </c>
      <c r="AI15" s="236">
        <f t="shared" si="2"/>
        <v>0</v>
      </c>
      <c r="AJ15" s="252"/>
      <c r="AK15" s="233"/>
      <c r="AL15" s="216"/>
      <c r="AM15" s="236">
        <v>0</v>
      </c>
      <c r="AN15" s="236">
        <v>0</v>
      </c>
      <c r="AO15" s="236">
        <v>0</v>
      </c>
      <c r="AP15" s="236">
        <v>0</v>
      </c>
      <c r="AQ15" s="236">
        <v>0</v>
      </c>
      <c r="AR15" s="231"/>
      <c r="AS15" s="231"/>
      <c r="AT15" s="231"/>
      <c r="AU15" s="231"/>
      <c r="AV15" s="231"/>
      <c r="AW15" s="236"/>
      <c r="AX15" s="242"/>
      <c r="AY15" s="242"/>
      <c r="AZ15" s="242"/>
      <c r="BA15" s="242"/>
      <c r="BB15" s="242"/>
      <c r="BC15" s="242"/>
      <c r="BD15" s="242"/>
      <c r="BE15" s="231"/>
      <c r="BF15" s="242"/>
      <c r="BG15" s="242"/>
      <c r="BH15" s="242"/>
      <c r="BI15" s="242"/>
      <c r="BJ15" s="242"/>
      <c r="BK15" s="242"/>
      <c r="BL15" s="242"/>
      <c r="BM15" s="242"/>
      <c r="BN15" s="242"/>
      <c r="BO15" s="231">
        <v>0</v>
      </c>
      <c r="BP15" s="231"/>
      <c r="BQ15" s="231"/>
      <c r="BR15" s="231"/>
      <c r="BS15" s="231"/>
      <c r="BT15" s="231"/>
      <c r="BU15" s="231"/>
      <c r="BV15" s="231"/>
      <c r="BW15" s="231"/>
      <c r="BX15" s="231"/>
      <c r="BY15" s="231"/>
      <c r="BZ15" s="231"/>
      <c r="CA15" s="231"/>
      <c r="CB15" s="231"/>
      <c r="CC15" s="231"/>
      <c r="CD15" s="231"/>
      <c r="CE15" s="231"/>
      <c r="CF15" s="231"/>
      <c r="CG15" s="231"/>
      <c r="CH15" s="231"/>
      <c r="CI15" s="231"/>
    </row>
    <row r="16" spans="1:87" ht="25.2" customHeight="1" outlineLevel="1">
      <c r="A16" s="204">
        <v>11</v>
      </c>
      <c r="B16" s="207">
        <v>1011</v>
      </c>
      <c r="C16" s="208" t="s">
        <v>191</v>
      </c>
      <c r="D16" s="194" t="s">
        <v>181</v>
      </c>
      <c r="E16" s="209">
        <f t="shared" si="3"/>
        <v>51.9</v>
      </c>
      <c r="F16" s="216">
        <v>86.8</v>
      </c>
      <c r="G16" s="217">
        <v>0.9</v>
      </c>
      <c r="H16" s="218">
        <v>0.3</v>
      </c>
      <c r="I16" s="230">
        <f t="shared" si="0"/>
        <v>11.4</v>
      </c>
      <c r="J16" s="216">
        <v>0.1</v>
      </c>
      <c r="K16" s="216">
        <v>0.6</v>
      </c>
      <c r="L16" s="233"/>
      <c r="M16" s="236">
        <v>50</v>
      </c>
      <c r="N16" s="236">
        <v>19</v>
      </c>
      <c r="O16" s="236">
        <v>0.4</v>
      </c>
      <c r="P16" s="236">
        <v>0</v>
      </c>
      <c r="Q16" s="236"/>
      <c r="R16" s="236"/>
      <c r="S16" s="236"/>
      <c r="T16" s="231"/>
      <c r="U16" s="231"/>
      <c r="V16" s="231"/>
      <c r="W16" s="242"/>
      <c r="X16" s="232"/>
      <c r="Y16" s="231"/>
      <c r="Z16" s="231"/>
      <c r="AA16" s="241"/>
      <c r="AB16" s="241"/>
      <c r="AC16" s="240"/>
      <c r="AD16" s="240"/>
      <c r="AE16" s="236"/>
      <c r="AF16" s="236"/>
      <c r="AG16" s="240">
        <v>0</v>
      </c>
      <c r="AH16" s="240">
        <f t="shared" si="1"/>
        <v>0</v>
      </c>
      <c r="AI16" s="236">
        <f t="shared" si="2"/>
        <v>0</v>
      </c>
      <c r="AJ16" s="252"/>
      <c r="AK16" s="233"/>
      <c r="AL16" s="216"/>
      <c r="AM16" s="236">
        <v>0</v>
      </c>
      <c r="AN16" s="236">
        <v>0</v>
      </c>
      <c r="AO16" s="236">
        <v>0</v>
      </c>
      <c r="AP16" s="236">
        <v>0</v>
      </c>
      <c r="AQ16" s="236">
        <v>0</v>
      </c>
      <c r="AR16" s="231"/>
      <c r="AS16" s="231"/>
      <c r="AT16" s="231"/>
      <c r="AU16" s="231"/>
      <c r="AV16" s="231"/>
      <c r="AW16" s="236"/>
      <c r="AX16" s="242"/>
      <c r="AY16" s="242"/>
      <c r="AZ16" s="242"/>
      <c r="BA16" s="242"/>
      <c r="BB16" s="242"/>
      <c r="BC16" s="242"/>
      <c r="BD16" s="242"/>
      <c r="BE16" s="231"/>
      <c r="BF16" s="242"/>
      <c r="BG16" s="242"/>
      <c r="BH16" s="242"/>
      <c r="BI16" s="242"/>
      <c r="BJ16" s="242"/>
      <c r="BK16" s="242"/>
      <c r="BL16" s="242"/>
      <c r="BM16" s="242"/>
      <c r="BN16" s="242"/>
      <c r="BO16" s="231">
        <v>0</v>
      </c>
      <c r="BP16" s="231"/>
      <c r="BQ16" s="231"/>
      <c r="BR16" s="231"/>
      <c r="BS16" s="231"/>
      <c r="BT16" s="231"/>
      <c r="BU16" s="231"/>
      <c r="BV16" s="231"/>
      <c r="BW16" s="231"/>
      <c r="BX16" s="231"/>
      <c r="BY16" s="231"/>
      <c r="BZ16" s="231"/>
      <c r="CA16" s="231"/>
      <c r="CB16" s="231"/>
      <c r="CC16" s="231"/>
      <c r="CD16" s="231"/>
      <c r="CE16" s="231"/>
      <c r="CF16" s="231"/>
      <c r="CG16" s="231"/>
      <c r="CH16" s="231"/>
      <c r="CI16" s="231"/>
    </row>
    <row r="17" spans="1:87" ht="25.2" customHeight="1" outlineLevel="1">
      <c r="A17" s="204">
        <v>12</v>
      </c>
      <c r="B17" s="207">
        <v>1012</v>
      </c>
      <c r="C17" s="208" t="s">
        <v>192</v>
      </c>
      <c r="D17" s="194" t="s">
        <v>181</v>
      </c>
      <c r="E17" s="209">
        <f t="shared" si="3"/>
        <v>250</v>
      </c>
      <c r="F17" s="216">
        <v>37.200000000000003</v>
      </c>
      <c r="G17" s="217">
        <v>7.9</v>
      </c>
      <c r="H17" s="218">
        <v>0.8</v>
      </c>
      <c r="I17" s="230">
        <f t="shared" si="0"/>
        <v>52.8</v>
      </c>
      <c r="J17" s="216">
        <v>0.2</v>
      </c>
      <c r="K17" s="216">
        <v>1.3</v>
      </c>
      <c r="L17" s="233"/>
      <c r="M17" s="216">
        <v>28</v>
      </c>
      <c r="N17" s="216">
        <v>164</v>
      </c>
      <c r="O17" s="216">
        <v>2</v>
      </c>
      <c r="P17" s="216">
        <v>0</v>
      </c>
      <c r="Q17" s="216">
        <v>0.1</v>
      </c>
      <c r="R17" s="216">
        <v>7.0000000000000007E-2</v>
      </c>
      <c r="S17" s="216">
        <v>0.7</v>
      </c>
      <c r="T17" s="231"/>
      <c r="U17" s="231"/>
      <c r="V17" s="231"/>
      <c r="W17" s="242"/>
      <c r="X17" s="232"/>
      <c r="Y17" s="231"/>
      <c r="Z17" s="231"/>
      <c r="AA17" s="241"/>
      <c r="AB17" s="241"/>
      <c r="AC17" s="240"/>
      <c r="AD17" s="240"/>
      <c r="AE17" s="233"/>
      <c r="AF17" s="233"/>
      <c r="AG17" s="240">
        <v>0</v>
      </c>
      <c r="AH17" s="240">
        <f t="shared" si="1"/>
        <v>0</v>
      </c>
      <c r="AI17" s="236">
        <f t="shared" si="2"/>
        <v>0</v>
      </c>
      <c r="AJ17" s="252"/>
      <c r="AK17" s="233"/>
      <c r="AL17" s="216"/>
      <c r="AM17" s="236">
        <v>0</v>
      </c>
      <c r="AN17" s="236">
        <v>0</v>
      </c>
      <c r="AO17" s="236">
        <v>0</v>
      </c>
      <c r="AP17" s="236">
        <v>0</v>
      </c>
      <c r="AQ17" s="236">
        <v>0</v>
      </c>
      <c r="AR17" s="231"/>
      <c r="AS17" s="231"/>
      <c r="AT17" s="231"/>
      <c r="AU17" s="231"/>
      <c r="AV17" s="231"/>
      <c r="AW17" s="236"/>
      <c r="AX17" s="242"/>
      <c r="AY17" s="242"/>
      <c r="AZ17" s="242"/>
      <c r="BA17" s="242"/>
      <c r="BB17" s="242"/>
      <c r="BC17" s="242"/>
      <c r="BD17" s="242"/>
      <c r="BE17" s="231"/>
      <c r="BF17" s="242"/>
      <c r="BG17" s="242"/>
      <c r="BH17" s="242"/>
      <c r="BI17" s="242"/>
      <c r="BJ17" s="242"/>
      <c r="BK17" s="242"/>
      <c r="BL17" s="242"/>
      <c r="BM17" s="242"/>
      <c r="BN17" s="242"/>
      <c r="BO17" s="231">
        <v>0</v>
      </c>
      <c r="BP17" s="231"/>
      <c r="BQ17" s="204">
        <v>163</v>
      </c>
      <c r="BR17" s="204">
        <v>133</v>
      </c>
      <c r="BS17" s="204">
        <v>66</v>
      </c>
      <c r="BT17" s="204">
        <v>314</v>
      </c>
      <c r="BU17" s="204">
        <v>216</v>
      </c>
      <c r="BV17" s="204">
        <v>366</v>
      </c>
      <c r="BW17" s="204">
        <v>460</v>
      </c>
      <c r="BX17" s="204">
        <v>294</v>
      </c>
      <c r="BY17" s="204">
        <v>294</v>
      </c>
      <c r="BZ17" s="204">
        <v>133</v>
      </c>
      <c r="CA17" s="204">
        <v>188</v>
      </c>
      <c r="CB17" s="204">
        <v>208</v>
      </c>
      <c r="CC17" s="204">
        <v>280</v>
      </c>
      <c r="CD17" s="204">
        <v>392</v>
      </c>
      <c r="CE17" s="204">
        <v>1924</v>
      </c>
      <c r="CF17" s="204">
        <v>331</v>
      </c>
      <c r="CG17" s="204">
        <v>732</v>
      </c>
      <c r="CH17" s="204">
        <v>345</v>
      </c>
      <c r="CI17" s="231"/>
    </row>
    <row r="18" spans="1:87" ht="25.2" customHeight="1" outlineLevel="1">
      <c r="A18" s="204">
        <v>13</v>
      </c>
      <c r="B18" s="207">
        <v>1013</v>
      </c>
      <c r="C18" s="208" t="s">
        <v>193</v>
      </c>
      <c r="D18" s="194" t="s">
        <v>181</v>
      </c>
      <c r="E18" s="209">
        <f t="shared" si="3"/>
        <v>141.19999999999999</v>
      </c>
      <c r="F18" s="216">
        <v>64.3</v>
      </c>
      <c r="G18" s="217">
        <v>3.2</v>
      </c>
      <c r="H18" s="218"/>
      <c r="I18" s="230">
        <f t="shared" si="0"/>
        <v>32.1</v>
      </c>
      <c r="J18" s="216"/>
      <c r="K18" s="216">
        <v>0.4</v>
      </c>
      <c r="L18" s="233"/>
      <c r="M18" s="236">
        <v>16</v>
      </c>
      <c r="N18" s="236">
        <v>64</v>
      </c>
      <c r="O18" s="236">
        <v>0.3</v>
      </c>
      <c r="P18" s="236">
        <v>0</v>
      </c>
      <c r="Q18" s="236">
        <v>0.01</v>
      </c>
      <c r="R18" s="236">
        <v>0.01</v>
      </c>
      <c r="S18" s="236">
        <v>0.2</v>
      </c>
      <c r="T18" s="231">
        <v>3</v>
      </c>
      <c r="U18" s="231">
        <v>15</v>
      </c>
      <c r="V18" s="231"/>
      <c r="W18" s="242"/>
      <c r="X18" s="232"/>
      <c r="Y18" s="231"/>
      <c r="Z18" s="231"/>
      <c r="AA18" s="241"/>
      <c r="AB18" s="241"/>
      <c r="AC18" s="240"/>
      <c r="AD18" s="240"/>
      <c r="AE18" s="236"/>
      <c r="AF18" s="236"/>
      <c r="AG18" s="240">
        <v>0</v>
      </c>
      <c r="AH18" s="240">
        <f t="shared" si="1"/>
        <v>0</v>
      </c>
      <c r="AI18" s="236">
        <f t="shared" si="2"/>
        <v>0</v>
      </c>
      <c r="AJ18" s="252"/>
      <c r="AK18" s="233"/>
      <c r="AL18" s="216"/>
      <c r="AM18" s="236">
        <v>0</v>
      </c>
      <c r="AN18" s="236">
        <v>0</v>
      </c>
      <c r="AO18" s="236">
        <v>0</v>
      </c>
      <c r="AP18" s="236">
        <v>0</v>
      </c>
      <c r="AQ18" s="236">
        <v>0</v>
      </c>
      <c r="AR18" s="231"/>
      <c r="AS18" s="231"/>
      <c r="AT18" s="231"/>
      <c r="AU18" s="231"/>
      <c r="AV18" s="231"/>
      <c r="AW18" s="236"/>
      <c r="AX18" s="242"/>
      <c r="AY18" s="242"/>
      <c r="AZ18" s="242"/>
      <c r="BA18" s="242"/>
      <c r="BB18" s="242"/>
      <c r="BC18" s="242"/>
      <c r="BD18" s="242"/>
      <c r="BE18" s="231"/>
      <c r="BF18" s="242"/>
      <c r="BG18" s="242"/>
      <c r="BH18" s="242"/>
      <c r="BI18" s="242"/>
      <c r="BJ18" s="242"/>
      <c r="BK18" s="242"/>
      <c r="BL18" s="242"/>
      <c r="BM18" s="242"/>
      <c r="BN18" s="242"/>
      <c r="BO18" s="231">
        <v>0</v>
      </c>
      <c r="BP18" s="231"/>
      <c r="BQ18" s="231"/>
      <c r="BR18" s="231"/>
      <c r="BS18" s="231"/>
      <c r="BT18" s="231"/>
      <c r="BU18" s="231"/>
      <c r="BV18" s="231"/>
      <c r="BW18" s="231"/>
      <c r="BX18" s="231"/>
      <c r="BY18" s="231"/>
      <c r="BZ18" s="231"/>
      <c r="CA18" s="231"/>
      <c r="CB18" s="231"/>
      <c r="CC18" s="231"/>
      <c r="CD18" s="231"/>
      <c r="CE18" s="231"/>
      <c r="CF18" s="231"/>
      <c r="CG18" s="231"/>
      <c r="CH18" s="231"/>
      <c r="CI18" s="231"/>
    </row>
    <row r="19" spans="1:87" ht="25.2" customHeight="1" outlineLevel="1">
      <c r="A19" s="204">
        <v>14</v>
      </c>
      <c r="B19" s="207">
        <v>1014</v>
      </c>
      <c r="C19" s="208" t="s">
        <v>194</v>
      </c>
      <c r="D19" s="194" t="s">
        <v>181</v>
      </c>
      <c r="E19" s="209">
        <f t="shared" si="3"/>
        <v>200.4</v>
      </c>
      <c r="F19" s="222">
        <v>57.6</v>
      </c>
      <c r="G19" s="223">
        <v>3.7</v>
      </c>
      <c r="H19" s="224">
        <v>6.8</v>
      </c>
      <c r="I19" s="234">
        <f t="shared" si="0"/>
        <v>31.1</v>
      </c>
      <c r="J19" s="235">
        <v>0.15251299826689799</v>
      </c>
      <c r="K19" s="222">
        <v>0.8</v>
      </c>
      <c r="L19" s="232"/>
      <c r="M19" s="236">
        <v>47.9</v>
      </c>
      <c r="N19" s="236">
        <v>18.940000000000001</v>
      </c>
      <c r="O19" s="236">
        <v>0.94</v>
      </c>
      <c r="P19" s="236">
        <v>0</v>
      </c>
      <c r="Q19" s="236"/>
      <c r="R19" s="236"/>
      <c r="S19" s="236"/>
      <c r="T19" s="231"/>
      <c r="U19" s="231"/>
      <c r="V19" s="231"/>
      <c r="W19" s="242"/>
      <c r="X19" s="222">
        <v>0.27</v>
      </c>
      <c r="Y19" s="231"/>
      <c r="Z19" s="231"/>
      <c r="AA19" s="241"/>
      <c r="AB19" s="241"/>
      <c r="AC19" s="240"/>
      <c r="AD19" s="240"/>
      <c r="AE19" s="236"/>
      <c r="AF19" s="236"/>
      <c r="AG19" s="240">
        <v>0</v>
      </c>
      <c r="AH19" s="240">
        <f t="shared" si="1"/>
        <v>0</v>
      </c>
      <c r="AI19" s="236">
        <f t="shared" si="2"/>
        <v>0</v>
      </c>
      <c r="AJ19" s="252"/>
      <c r="AK19" s="233"/>
      <c r="AL19" s="216"/>
      <c r="AM19" s="236">
        <v>0</v>
      </c>
      <c r="AN19" s="236">
        <v>0</v>
      </c>
      <c r="AO19" s="236">
        <v>0</v>
      </c>
      <c r="AP19" s="236">
        <v>0</v>
      </c>
      <c r="AQ19" s="236">
        <v>0</v>
      </c>
      <c r="AR19" s="231"/>
      <c r="AS19" s="231"/>
      <c r="AT19" s="231"/>
      <c r="AU19" s="231"/>
      <c r="AV19" s="231"/>
      <c r="AW19" s="236"/>
      <c r="AX19" s="242"/>
      <c r="AY19" s="242"/>
      <c r="AZ19" s="242"/>
      <c r="BA19" s="242"/>
      <c r="BB19" s="242"/>
      <c r="BC19" s="242"/>
      <c r="BD19" s="242"/>
      <c r="BE19" s="231"/>
      <c r="BF19" s="242"/>
      <c r="BG19" s="242"/>
      <c r="BH19" s="242"/>
      <c r="BI19" s="242"/>
      <c r="BJ19" s="242"/>
      <c r="BK19" s="242"/>
      <c r="BL19" s="242"/>
      <c r="BM19" s="242"/>
      <c r="BN19" s="242"/>
      <c r="BO19" s="231">
        <v>0</v>
      </c>
      <c r="BP19" s="231"/>
      <c r="BQ19" s="231"/>
      <c r="BR19" s="231"/>
      <c r="BS19" s="231"/>
      <c r="BT19" s="231"/>
      <c r="BU19" s="231"/>
      <c r="BV19" s="231"/>
      <c r="BW19" s="231"/>
      <c r="BX19" s="231"/>
      <c r="BY19" s="231"/>
      <c r="BZ19" s="231"/>
      <c r="CA19" s="231"/>
      <c r="CB19" s="231"/>
      <c r="CC19" s="231"/>
      <c r="CD19" s="231"/>
      <c r="CE19" s="231"/>
      <c r="CF19" s="231"/>
      <c r="CG19" s="231"/>
      <c r="CH19" s="231"/>
      <c r="CI19" s="231"/>
    </row>
    <row r="20" spans="1:87" ht="25.2" customHeight="1" outlineLevel="1">
      <c r="A20" s="204">
        <v>15</v>
      </c>
      <c r="B20" s="207">
        <v>1015</v>
      </c>
      <c r="C20" s="208" t="s">
        <v>195</v>
      </c>
      <c r="D20" s="194" t="s">
        <v>181</v>
      </c>
      <c r="E20" s="209">
        <f t="shared" si="3"/>
        <v>385.6</v>
      </c>
      <c r="F20" s="216">
        <v>3</v>
      </c>
      <c r="G20" s="217">
        <v>8.6</v>
      </c>
      <c r="H20" s="218">
        <v>1.6</v>
      </c>
      <c r="I20" s="230">
        <f t="shared" si="0"/>
        <v>84.2</v>
      </c>
      <c r="J20" s="216">
        <v>3.4</v>
      </c>
      <c r="K20" s="216">
        <v>2.6</v>
      </c>
      <c r="L20" s="233"/>
      <c r="M20" s="216">
        <v>3</v>
      </c>
      <c r="N20" s="216">
        <v>47</v>
      </c>
      <c r="O20" s="216">
        <v>0.6</v>
      </c>
      <c r="P20" s="216">
        <v>0</v>
      </c>
      <c r="Q20" s="216">
        <v>0.02</v>
      </c>
      <c r="R20" s="216">
        <v>0.03</v>
      </c>
      <c r="S20" s="216">
        <v>0.6</v>
      </c>
      <c r="T20" s="231">
        <v>346</v>
      </c>
      <c r="U20" s="231">
        <v>609</v>
      </c>
      <c r="V20" s="231">
        <v>334</v>
      </c>
      <c r="W20" s="242"/>
      <c r="X20" s="232"/>
      <c r="Y20" s="231"/>
      <c r="Z20" s="231"/>
      <c r="AA20" s="241"/>
      <c r="AB20" s="241"/>
      <c r="AC20" s="240"/>
      <c r="AD20" s="240"/>
      <c r="AE20" s="233"/>
      <c r="AF20" s="233"/>
      <c r="AG20" s="240">
        <v>0</v>
      </c>
      <c r="AH20" s="240">
        <f t="shared" si="1"/>
        <v>0</v>
      </c>
      <c r="AI20" s="236">
        <f t="shared" si="2"/>
        <v>0</v>
      </c>
      <c r="AJ20" s="252"/>
      <c r="AK20" s="233"/>
      <c r="AL20" s="216"/>
      <c r="AM20" s="236">
        <v>0</v>
      </c>
      <c r="AN20" s="236">
        <v>0</v>
      </c>
      <c r="AO20" s="236">
        <v>0</v>
      </c>
      <c r="AP20" s="236">
        <v>0</v>
      </c>
      <c r="AQ20" s="236">
        <v>0</v>
      </c>
      <c r="AR20" s="231"/>
      <c r="AS20" s="231"/>
      <c r="AT20" s="231"/>
      <c r="AU20" s="231"/>
      <c r="AV20" s="231"/>
      <c r="AW20" s="236"/>
      <c r="AX20" s="242"/>
      <c r="AY20" s="242"/>
      <c r="AZ20" s="242"/>
      <c r="BA20" s="242"/>
      <c r="BB20" s="242"/>
      <c r="BC20" s="242"/>
      <c r="BD20" s="242"/>
      <c r="BE20" s="231"/>
      <c r="BF20" s="242"/>
      <c r="BG20" s="242"/>
      <c r="BH20" s="242"/>
      <c r="BI20" s="242"/>
      <c r="BJ20" s="242"/>
      <c r="BK20" s="242"/>
      <c r="BL20" s="242"/>
      <c r="BM20" s="242"/>
      <c r="BN20" s="242"/>
      <c r="BO20" s="231">
        <v>0</v>
      </c>
      <c r="BP20" s="231"/>
      <c r="BQ20" s="204">
        <v>230</v>
      </c>
      <c r="BR20" s="204">
        <v>166</v>
      </c>
      <c r="BS20" s="204">
        <v>61</v>
      </c>
      <c r="BT20" s="204">
        <v>421</v>
      </c>
      <c r="BU20" s="204">
        <v>310</v>
      </c>
      <c r="BV20" s="204">
        <v>418</v>
      </c>
      <c r="BW20" s="204">
        <v>1081</v>
      </c>
      <c r="BX20" s="204">
        <v>316</v>
      </c>
      <c r="BY20" s="204">
        <v>362</v>
      </c>
      <c r="BZ20" s="204">
        <v>235</v>
      </c>
      <c r="CA20" s="204">
        <v>134</v>
      </c>
      <c r="CB20" s="204">
        <v>330</v>
      </c>
      <c r="CC20" s="204">
        <v>650</v>
      </c>
      <c r="CD20" s="204">
        <v>541</v>
      </c>
      <c r="CE20" s="204">
        <v>1634</v>
      </c>
      <c r="CF20" s="204">
        <v>319</v>
      </c>
      <c r="CG20" s="204">
        <v>771</v>
      </c>
      <c r="CH20" s="204">
        <v>429</v>
      </c>
      <c r="CI20" s="231"/>
    </row>
    <row r="21" spans="1:87" ht="25.2" customHeight="1" outlineLevel="1">
      <c r="A21" s="204">
        <v>16</v>
      </c>
      <c r="B21" s="207">
        <v>1016</v>
      </c>
      <c r="C21" s="208" t="s">
        <v>196</v>
      </c>
      <c r="D21" s="194" t="s">
        <v>181</v>
      </c>
      <c r="E21" s="209">
        <f t="shared" si="3"/>
        <v>364.8</v>
      </c>
      <c r="F21" s="216">
        <v>10</v>
      </c>
      <c r="G21" s="217">
        <v>8.1999999999999993</v>
      </c>
      <c r="H21" s="218">
        <v>1.6</v>
      </c>
      <c r="I21" s="230">
        <f t="shared" si="0"/>
        <v>79.400000000000006</v>
      </c>
      <c r="J21" s="216">
        <v>0.6</v>
      </c>
      <c r="K21" s="216">
        <v>0.8</v>
      </c>
      <c r="L21" s="233"/>
      <c r="M21" s="216">
        <v>12</v>
      </c>
      <c r="N21" s="216">
        <v>148</v>
      </c>
      <c r="O21" s="216">
        <v>0.8</v>
      </c>
      <c r="P21" s="216">
        <v>0</v>
      </c>
      <c r="Q21" s="216">
        <v>0.1</v>
      </c>
      <c r="R21" s="216">
        <v>0.02</v>
      </c>
      <c r="S21" s="216">
        <v>1.7</v>
      </c>
      <c r="T21" s="209">
        <v>3.1177829099307202</v>
      </c>
      <c r="U21" s="209">
        <v>293.07159353348698</v>
      </c>
      <c r="V21" s="209">
        <v>17.6674364896074</v>
      </c>
      <c r="W21" s="242">
        <v>1.1431870669746</v>
      </c>
      <c r="X21" s="232">
        <v>2.2863741339491899</v>
      </c>
      <c r="Y21" s="209">
        <v>290.99307159353401</v>
      </c>
      <c r="Z21" s="210">
        <v>15.6928406466513</v>
      </c>
      <c r="AA21" s="242">
        <v>0.295150115473441</v>
      </c>
      <c r="AB21" s="242">
        <v>0.11120092378752899</v>
      </c>
      <c r="AC21" s="209">
        <v>7.2748267898383396</v>
      </c>
      <c r="AD21" s="209">
        <v>0</v>
      </c>
      <c r="AE21" s="233"/>
      <c r="AF21" s="209">
        <v>0</v>
      </c>
      <c r="AG21" s="240">
        <v>0</v>
      </c>
      <c r="AH21" s="240">
        <f t="shared" si="1"/>
        <v>0</v>
      </c>
      <c r="AI21" s="236">
        <f t="shared" si="2"/>
        <v>0</v>
      </c>
      <c r="AJ21" s="252"/>
      <c r="AK21" s="233"/>
      <c r="AL21" s="216"/>
      <c r="AM21" s="236">
        <v>0</v>
      </c>
      <c r="AN21" s="236">
        <v>0</v>
      </c>
      <c r="AO21" s="236">
        <v>0</v>
      </c>
      <c r="AP21" s="236">
        <v>0</v>
      </c>
      <c r="AQ21" s="236">
        <v>0</v>
      </c>
      <c r="AR21" s="231"/>
      <c r="AS21" s="231"/>
      <c r="AT21" s="231"/>
      <c r="AU21" s="231"/>
      <c r="AV21" s="231"/>
      <c r="AW21" s="236">
        <v>0.108357142857143</v>
      </c>
      <c r="AX21" s="242">
        <v>9.1761904761904795E-2</v>
      </c>
      <c r="AY21" s="242">
        <v>0</v>
      </c>
      <c r="AZ21" s="242">
        <v>9.7619047619047598E-3</v>
      </c>
      <c r="BA21" s="242">
        <v>0</v>
      </c>
      <c r="BB21" s="242">
        <v>0</v>
      </c>
      <c r="BC21" s="242">
        <v>0</v>
      </c>
      <c r="BD21" s="242">
        <v>0.19523809523809499</v>
      </c>
      <c r="BE21" s="231">
        <v>0</v>
      </c>
      <c r="BF21" s="242">
        <v>1.95238095238095E-3</v>
      </c>
      <c r="BG21" s="242">
        <v>0.19328571428571401</v>
      </c>
      <c r="BH21" s="242">
        <v>0.19328571428571401</v>
      </c>
      <c r="BI21" s="242">
        <v>0.1845</v>
      </c>
      <c r="BJ21" s="242">
        <v>7.8095238095238096E-3</v>
      </c>
      <c r="BK21" s="242">
        <v>0</v>
      </c>
      <c r="BL21" s="242">
        <v>0</v>
      </c>
      <c r="BM21" s="242">
        <v>0</v>
      </c>
      <c r="BN21" s="242"/>
      <c r="BO21" s="231">
        <v>0</v>
      </c>
      <c r="BP21" s="231"/>
      <c r="BQ21" s="209">
        <v>240.142857142857</v>
      </c>
      <c r="BR21" s="209">
        <v>156.19047619047601</v>
      </c>
      <c r="BS21" s="209">
        <v>77.119047619047606</v>
      </c>
      <c r="BT21" s="209">
        <v>355.33333333333297</v>
      </c>
      <c r="BU21" s="209">
        <v>238.19047619047601</v>
      </c>
      <c r="BV21" s="209">
        <v>406.09523809523802</v>
      </c>
      <c r="BW21" s="209">
        <v>549.59523809523796</v>
      </c>
      <c r="BX21" s="209">
        <v>287</v>
      </c>
      <c r="BY21" s="209">
        <v>554.47619047619003</v>
      </c>
      <c r="BZ21" s="209">
        <v>156.19047619047601</v>
      </c>
      <c r="CA21" s="209">
        <v>136.666666666667</v>
      </c>
      <c r="CB21" s="209">
        <v>222.57142857142901</v>
      </c>
      <c r="CC21" s="209">
        <v>385.59523809523802</v>
      </c>
      <c r="CD21" s="209">
        <v>624.76190476190504</v>
      </c>
      <c r="CE21" s="209">
        <v>1296.38095238095</v>
      </c>
      <c r="CF21" s="209">
        <v>302.61904761904799</v>
      </c>
      <c r="CG21" s="209">
        <v>313.357142857143</v>
      </c>
      <c r="CH21" s="209">
        <v>349.47619047619003</v>
      </c>
      <c r="CI21" s="231"/>
    </row>
    <row r="22" spans="1:87" ht="25.2" customHeight="1" outlineLevel="1">
      <c r="A22" s="204">
        <v>17</v>
      </c>
      <c r="B22" s="207">
        <v>1017</v>
      </c>
      <c r="C22" s="208" t="s">
        <v>197</v>
      </c>
      <c r="D22" s="194" t="s">
        <v>181</v>
      </c>
      <c r="E22" s="209">
        <f t="shared" si="3"/>
        <v>360.4</v>
      </c>
      <c r="F22" s="216">
        <v>10</v>
      </c>
      <c r="G22" s="217">
        <v>6.6</v>
      </c>
      <c r="H22" s="218">
        <v>0.4</v>
      </c>
      <c r="I22" s="230">
        <f t="shared" si="0"/>
        <v>82.6</v>
      </c>
      <c r="J22" s="216">
        <v>0.4</v>
      </c>
      <c r="K22" s="216">
        <v>0.4</v>
      </c>
      <c r="L22" s="233"/>
      <c r="M22" s="216">
        <v>24</v>
      </c>
      <c r="N22" s="216">
        <v>135</v>
      </c>
      <c r="O22" s="216">
        <v>1.9</v>
      </c>
      <c r="P22" s="216">
        <v>0</v>
      </c>
      <c r="Q22" s="216">
        <v>0.08</v>
      </c>
      <c r="R22" s="216">
        <v>0.05</v>
      </c>
      <c r="S22" s="216">
        <v>2.1</v>
      </c>
      <c r="T22" s="231">
        <v>0</v>
      </c>
      <c r="U22" s="231">
        <v>76</v>
      </c>
      <c r="V22" s="231">
        <v>35</v>
      </c>
      <c r="W22" s="242">
        <v>1.2</v>
      </c>
      <c r="X22" s="232">
        <v>0.8</v>
      </c>
      <c r="Y22" s="231">
        <v>130</v>
      </c>
      <c r="Z22" s="231">
        <v>15.1</v>
      </c>
      <c r="AA22" s="241">
        <v>0.81899999999999995</v>
      </c>
      <c r="AB22" s="241">
        <v>0.436</v>
      </c>
      <c r="AC22" s="240">
        <v>4</v>
      </c>
      <c r="AD22" s="240">
        <v>0</v>
      </c>
      <c r="AE22" s="233">
        <v>1</v>
      </c>
      <c r="AF22" s="233">
        <v>0</v>
      </c>
      <c r="AG22" s="240">
        <v>0</v>
      </c>
      <c r="AH22" s="240">
        <f t="shared" si="1"/>
        <v>0</v>
      </c>
      <c r="AI22" s="236">
        <f t="shared" si="2"/>
        <v>0</v>
      </c>
      <c r="AJ22" s="252"/>
      <c r="AK22" s="233">
        <v>0.11</v>
      </c>
      <c r="AL22" s="216">
        <v>0</v>
      </c>
      <c r="AM22" s="236">
        <v>0</v>
      </c>
      <c r="AN22" s="236">
        <v>0</v>
      </c>
      <c r="AO22" s="236">
        <v>0</v>
      </c>
      <c r="AP22" s="236">
        <v>0</v>
      </c>
      <c r="AQ22" s="236">
        <v>0</v>
      </c>
      <c r="AR22" s="231"/>
      <c r="AS22" s="231"/>
      <c r="AT22" s="231"/>
      <c r="AU22" s="231"/>
      <c r="AV22" s="231"/>
      <c r="AW22" s="236">
        <v>0.38600000000000001</v>
      </c>
      <c r="AX22" s="242">
        <v>0.34499999999999997</v>
      </c>
      <c r="AY22" s="242">
        <v>0</v>
      </c>
      <c r="AZ22" s="242">
        <v>2.5999999999999999E-2</v>
      </c>
      <c r="BA22" s="242">
        <v>0</v>
      </c>
      <c r="BB22" s="242">
        <v>0</v>
      </c>
      <c r="BC22" s="242">
        <v>0</v>
      </c>
      <c r="BD22" s="242">
        <v>0.442</v>
      </c>
      <c r="BE22" s="231">
        <v>0</v>
      </c>
      <c r="BF22" s="242">
        <v>5.0000000000000001E-3</v>
      </c>
      <c r="BG22" s="242">
        <v>0.436</v>
      </c>
      <c r="BH22" s="242">
        <v>0.379</v>
      </c>
      <c r="BI22" s="242">
        <v>0.313</v>
      </c>
      <c r="BJ22" s="242">
        <v>6.7000000000000004E-2</v>
      </c>
      <c r="BK22" s="242">
        <v>0</v>
      </c>
      <c r="BL22" s="242">
        <v>0</v>
      </c>
      <c r="BM22" s="242">
        <v>0</v>
      </c>
      <c r="BN22" s="242"/>
      <c r="BO22" s="231">
        <v>0</v>
      </c>
      <c r="BP22" s="231"/>
      <c r="BQ22" s="231">
        <v>207</v>
      </c>
      <c r="BR22" s="231">
        <v>144</v>
      </c>
      <c r="BS22" s="231">
        <v>72</v>
      </c>
      <c r="BT22" s="231">
        <v>317</v>
      </c>
      <c r="BU22" s="231">
        <v>210</v>
      </c>
      <c r="BV22" s="231">
        <v>348</v>
      </c>
      <c r="BW22" s="231">
        <v>488</v>
      </c>
      <c r="BX22" s="231">
        <v>244</v>
      </c>
      <c r="BY22" s="231">
        <v>516</v>
      </c>
      <c r="BZ22" s="231">
        <v>149</v>
      </c>
      <c r="CA22" s="231">
        <v>107</v>
      </c>
      <c r="CB22" s="231">
        <v>314</v>
      </c>
      <c r="CC22" s="231">
        <v>332</v>
      </c>
      <c r="CD22" s="231">
        <v>549</v>
      </c>
      <c r="CE22" s="231">
        <v>1097</v>
      </c>
      <c r="CF22" s="231">
        <v>267</v>
      </c>
      <c r="CG22" s="231">
        <v>278</v>
      </c>
      <c r="CH22" s="231">
        <v>310</v>
      </c>
      <c r="CI22" s="231"/>
    </row>
    <row r="23" spans="1:87" ht="25.2" customHeight="1" outlineLevel="1">
      <c r="A23" s="204">
        <v>18</v>
      </c>
      <c r="B23" s="207">
        <v>1018</v>
      </c>
      <c r="C23" s="208" t="s">
        <v>198</v>
      </c>
      <c r="D23" s="194" t="s">
        <v>181</v>
      </c>
      <c r="E23" s="209">
        <f t="shared" si="3"/>
        <v>346.7</v>
      </c>
      <c r="F23" s="216">
        <v>14</v>
      </c>
      <c r="G23" s="217">
        <v>11</v>
      </c>
      <c r="H23" s="218">
        <v>1.1000000000000001</v>
      </c>
      <c r="I23" s="230">
        <f t="shared" si="0"/>
        <v>73.2</v>
      </c>
      <c r="J23" s="216">
        <v>0.3</v>
      </c>
      <c r="K23" s="216">
        <v>0.7</v>
      </c>
      <c r="L23" s="233"/>
      <c r="M23" s="216">
        <v>29</v>
      </c>
      <c r="N23" s="216">
        <v>132</v>
      </c>
      <c r="O23" s="216">
        <v>2</v>
      </c>
      <c r="P23" s="216">
        <v>0</v>
      </c>
      <c r="Q23" s="216">
        <v>0.18</v>
      </c>
      <c r="R23" s="216">
        <v>0.13</v>
      </c>
      <c r="S23" s="216">
        <v>1</v>
      </c>
      <c r="T23" s="240">
        <v>4</v>
      </c>
      <c r="U23" s="240">
        <v>186</v>
      </c>
      <c r="V23" s="240">
        <v>173</v>
      </c>
      <c r="W23" s="241">
        <v>2</v>
      </c>
      <c r="X23" s="233">
        <v>2.5</v>
      </c>
      <c r="Y23" s="240">
        <v>21</v>
      </c>
      <c r="Z23" s="216">
        <v>28</v>
      </c>
      <c r="AA23" s="241">
        <v>1.008</v>
      </c>
      <c r="AB23" s="241">
        <v>0.34100000000000003</v>
      </c>
      <c r="AC23" s="240">
        <v>44</v>
      </c>
      <c r="AD23" s="240">
        <v>0</v>
      </c>
      <c r="AE23" s="233">
        <v>1.9</v>
      </c>
      <c r="AF23" s="233">
        <v>0</v>
      </c>
      <c r="AG23" s="240">
        <v>0</v>
      </c>
      <c r="AH23" s="240">
        <f t="shared" si="1"/>
        <v>0</v>
      </c>
      <c r="AI23" s="236">
        <f t="shared" si="2"/>
        <v>0</v>
      </c>
      <c r="AJ23" s="252"/>
      <c r="AK23" s="233">
        <v>0.82</v>
      </c>
      <c r="AL23" s="216">
        <v>1.9</v>
      </c>
      <c r="AM23" s="236">
        <v>0</v>
      </c>
      <c r="AN23" s="236">
        <v>0</v>
      </c>
      <c r="AO23" s="236">
        <v>0</v>
      </c>
      <c r="AP23" s="236">
        <v>0</v>
      </c>
      <c r="AQ23" s="236">
        <v>0</v>
      </c>
      <c r="AR23" s="231"/>
      <c r="AS23" s="231"/>
      <c r="AT23" s="231"/>
      <c r="AU23" s="231"/>
      <c r="AV23" s="231">
        <v>14</v>
      </c>
      <c r="AW23" s="236">
        <v>0.32200000000000001</v>
      </c>
      <c r="AX23" s="244">
        <v>0.27100000000000002</v>
      </c>
      <c r="AY23" s="242">
        <v>0</v>
      </c>
      <c r="AZ23" s="244">
        <v>1.4999999999999999E-2</v>
      </c>
      <c r="BA23" s="242">
        <v>0</v>
      </c>
      <c r="BB23" s="242">
        <v>0</v>
      </c>
      <c r="BC23" s="242">
        <v>0</v>
      </c>
      <c r="BD23" s="244">
        <v>0.23200000000000001</v>
      </c>
      <c r="BE23" s="231">
        <v>0</v>
      </c>
      <c r="BF23" s="244">
        <v>1.2999999999999999E-2</v>
      </c>
      <c r="BG23" s="244">
        <v>0.219</v>
      </c>
      <c r="BH23" s="244">
        <v>0.77900000000000003</v>
      </c>
      <c r="BI23" s="244">
        <v>0.73799999999999999</v>
      </c>
      <c r="BJ23" s="244">
        <v>3.7999999999999999E-2</v>
      </c>
      <c r="BK23" s="244">
        <v>2E-3</v>
      </c>
      <c r="BL23" s="244">
        <v>0</v>
      </c>
      <c r="BM23" s="244">
        <v>0</v>
      </c>
      <c r="BN23" s="244"/>
      <c r="BO23" s="231">
        <v>0</v>
      </c>
      <c r="BP23" s="231"/>
      <c r="BQ23" s="204">
        <v>340</v>
      </c>
      <c r="BR23" s="204">
        <v>140</v>
      </c>
      <c r="BS23" s="204">
        <v>110</v>
      </c>
      <c r="BT23" s="204">
        <v>630</v>
      </c>
      <c r="BU23" s="204">
        <v>380</v>
      </c>
      <c r="BV23" s="204">
        <v>520</v>
      </c>
      <c r="BW23" s="204">
        <v>780</v>
      </c>
      <c r="BX23" s="204">
        <v>380</v>
      </c>
      <c r="BY23" s="204">
        <v>320</v>
      </c>
      <c r="BZ23" s="204">
        <v>170</v>
      </c>
      <c r="CA23" s="204">
        <v>265</v>
      </c>
      <c r="CB23" s="204">
        <v>142</v>
      </c>
      <c r="CC23" s="204">
        <v>278</v>
      </c>
      <c r="CD23" s="204">
        <v>329</v>
      </c>
      <c r="CE23" s="204">
        <v>3480</v>
      </c>
      <c r="CF23" s="204">
        <v>341</v>
      </c>
      <c r="CG23" s="204">
        <v>1254</v>
      </c>
      <c r="CH23" s="204">
        <v>449</v>
      </c>
      <c r="CI23" s="231"/>
    </row>
    <row r="24" spans="1:87" ht="25.2" customHeight="1" outlineLevel="1">
      <c r="A24" s="204">
        <v>19</v>
      </c>
      <c r="B24" s="207">
        <v>1019</v>
      </c>
      <c r="C24" s="208" t="s">
        <v>199</v>
      </c>
      <c r="D24" s="194" t="s">
        <v>181</v>
      </c>
      <c r="E24" s="209">
        <f t="shared" si="3"/>
        <v>367.2</v>
      </c>
      <c r="F24" s="216">
        <v>12</v>
      </c>
      <c r="G24" s="217">
        <v>8.3000000000000007</v>
      </c>
      <c r="H24" s="218">
        <v>4</v>
      </c>
      <c r="I24" s="230">
        <f t="shared" si="0"/>
        <v>74.5</v>
      </c>
      <c r="J24" s="216">
        <v>1.5</v>
      </c>
      <c r="K24" s="216">
        <v>1.2</v>
      </c>
      <c r="L24" s="233"/>
      <c r="M24" s="216">
        <v>15</v>
      </c>
      <c r="N24" s="216">
        <v>170</v>
      </c>
      <c r="O24" s="216">
        <v>2.1</v>
      </c>
      <c r="P24" s="216">
        <v>0</v>
      </c>
      <c r="Q24" s="216">
        <v>0.17</v>
      </c>
      <c r="R24" s="216">
        <v>0.08</v>
      </c>
      <c r="S24" s="216">
        <v>1.9</v>
      </c>
      <c r="T24" s="243">
        <v>5</v>
      </c>
      <c r="U24" s="243">
        <v>315</v>
      </c>
      <c r="V24" s="243">
        <v>93</v>
      </c>
      <c r="W24" s="244">
        <v>0.46</v>
      </c>
      <c r="X24" s="213">
        <v>1.73</v>
      </c>
      <c r="Y24" s="243">
        <v>230</v>
      </c>
      <c r="Z24" s="237">
        <v>15.4</v>
      </c>
      <c r="AA24" s="241">
        <v>0.65800000000000003</v>
      </c>
      <c r="AB24" s="241">
        <v>0.37</v>
      </c>
      <c r="AC24" s="240">
        <v>25</v>
      </c>
      <c r="AD24" s="240">
        <v>0</v>
      </c>
      <c r="AE24" s="233"/>
      <c r="AF24" s="233">
        <v>0</v>
      </c>
      <c r="AG24" s="240">
        <v>0</v>
      </c>
      <c r="AH24" s="240">
        <f t="shared" si="1"/>
        <v>0</v>
      </c>
      <c r="AI24" s="236">
        <f t="shared" si="2"/>
        <v>10.7083333333333</v>
      </c>
      <c r="AJ24" s="252"/>
      <c r="AK24" s="233">
        <v>0.42</v>
      </c>
      <c r="AL24" s="216">
        <v>0.3</v>
      </c>
      <c r="AM24" s="236">
        <v>97</v>
      </c>
      <c r="AN24" s="231">
        <v>63</v>
      </c>
      <c r="AO24" s="231">
        <v>0</v>
      </c>
      <c r="AP24" s="231">
        <v>0</v>
      </c>
      <c r="AQ24" s="231">
        <v>1355</v>
      </c>
      <c r="AR24" s="231"/>
      <c r="AS24" s="231"/>
      <c r="AT24" s="231"/>
      <c r="AU24" s="231"/>
      <c r="AV24" s="231"/>
      <c r="AW24" s="236">
        <v>0.54300000000000004</v>
      </c>
      <c r="AX24" s="244">
        <v>0.46300000000000002</v>
      </c>
      <c r="AY24" s="242">
        <v>0</v>
      </c>
      <c r="AZ24" s="244">
        <v>6.0999999999999999E-2</v>
      </c>
      <c r="BA24" s="242">
        <v>0</v>
      </c>
      <c r="BB24" s="242">
        <v>0</v>
      </c>
      <c r="BC24" s="242">
        <v>0</v>
      </c>
      <c r="BD24" s="244">
        <v>1.018</v>
      </c>
      <c r="BE24" s="231">
        <v>0</v>
      </c>
      <c r="BF24" s="244">
        <v>3.0000000000000001E-3</v>
      </c>
      <c r="BG24" s="244">
        <v>1.0149999999999999</v>
      </c>
      <c r="BH24" s="244">
        <v>1.7589999999999999</v>
      </c>
      <c r="BI24" s="244">
        <v>1.706</v>
      </c>
      <c r="BJ24" s="244">
        <v>5.2999999999999999E-2</v>
      </c>
      <c r="BK24" s="244">
        <v>0</v>
      </c>
      <c r="BL24" s="244">
        <v>0</v>
      </c>
      <c r="BM24" s="244">
        <v>0</v>
      </c>
      <c r="BN24" s="244"/>
      <c r="BO24" s="231">
        <v>0</v>
      </c>
      <c r="BP24" s="231"/>
      <c r="BQ24" s="231">
        <v>195</v>
      </c>
      <c r="BR24" s="231">
        <v>145</v>
      </c>
      <c r="BS24" s="231">
        <v>49</v>
      </c>
      <c r="BT24" s="231">
        <v>340</v>
      </c>
      <c r="BU24" s="231">
        <v>261</v>
      </c>
      <c r="BV24" s="231">
        <v>351</v>
      </c>
      <c r="BW24" s="231">
        <v>850</v>
      </c>
      <c r="BX24" s="231">
        <v>248</v>
      </c>
      <c r="BY24" s="231">
        <v>345</v>
      </c>
      <c r="BZ24" s="231">
        <v>211</v>
      </c>
      <c r="CA24" s="231">
        <v>125</v>
      </c>
      <c r="CB24" s="231">
        <v>282</v>
      </c>
      <c r="CC24" s="231">
        <v>518</v>
      </c>
      <c r="CD24" s="231">
        <v>482</v>
      </c>
      <c r="CE24" s="231">
        <v>1300</v>
      </c>
      <c r="CF24" s="231">
        <v>284</v>
      </c>
      <c r="CG24" s="231">
        <v>605</v>
      </c>
      <c r="CH24" s="231">
        <v>329</v>
      </c>
      <c r="CI24" s="231"/>
    </row>
    <row r="25" spans="1:87" ht="25.2" customHeight="1" outlineLevel="1">
      <c r="A25" s="204">
        <v>20</v>
      </c>
      <c r="B25" s="207">
        <v>1020</v>
      </c>
      <c r="C25" s="208" t="s">
        <v>200</v>
      </c>
      <c r="D25" s="194" t="s">
        <v>181</v>
      </c>
      <c r="E25" s="209">
        <f t="shared" si="3"/>
        <v>111.6</v>
      </c>
      <c r="F25" s="216">
        <v>72</v>
      </c>
      <c r="G25" s="217">
        <v>1.7</v>
      </c>
      <c r="H25" s="218"/>
      <c r="I25" s="230">
        <f t="shared" si="0"/>
        <v>26.2</v>
      </c>
      <c r="J25" s="216">
        <v>0.5</v>
      </c>
      <c r="K25" s="216">
        <v>0.1</v>
      </c>
      <c r="L25" s="233"/>
      <c r="M25" s="216">
        <v>12</v>
      </c>
      <c r="N25" s="216">
        <v>32</v>
      </c>
      <c r="O25" s="216">
        <v>0.2</v>
      </c>
      <c r="P25" s="216">
        <v>0</v>
      </c>
      <c r="Q25" s="216">
        <v>0.04</v>
      </c>
      <c r="R25" s="216">
        <v>0.01</v>
      </c>
      <c r="S25" s="216">
        <v>0.08</v>
      </c>
      <c r="T25" s="193"/>
      <c r="U25" s="193"/>
      <c r="V25" s="193"/>
      <c r="W25" s="239"/>
      <c r="X25" s="227"/>
      <c r="Y25" s="193"/>
      <c r="Z25" s="193"/>
      <c r="AA25" s="241"/>
      <c r="AB25" s="241"/>
      <c r="AC25" s="240"/>
      <c r="AD25" s="240"/>
      <c r="AE25" s="233"/>
      <c r="AF25" s="233"/>
      <c r="AG25" s="240">
        <v>0</v>
      </c>
      <c r="AH25" s="240">
        <f t="shared" si="1"/>
        <v>0</v>
      </c>
      <c r="AI25" s="236">
        <f t="shared" si="2"/>
        <v>0</v>
      </c>
      <c r="AJ25" s="252"/>
      <c r="AK25" s="233"/>
      <c r="AL25" s="216"/>
      <c r="AM25" s="236">
        <v>0</v>
      </c>
      <c r="AN25" s="236">
        <v>0</v>
      </c>
      <c r="AO25" s="236">
        <v>0</v>
      </c>
      <c r="AP25" s="236">
        <v>0</v>
      </c>
      <c r="AQ25" s="236">
        <v>0</v>
      </c>
      <c r="AR25" s="231"/>
      <c r="AS25" s="231"/>
      <c r="AT25" s="231"/>
      <c r="AU25" s="231"/>
      <c r="AV25" s="231"/>
      <c r="AW25" s="236"/>
      <c r="AX25" s="242"/>
      <c r="AY25" s="242"/>
      <c r="AZ25" s="242"/>
      <c r="BA25" s="242"/>
      <c r="BB25" s="242"/>
      <c r="BC25" s="242"/>
      <c r="BD25" s="242"/>
      <c r="BE25" s="231"/>
      <c r="BF25" s="242"/>
      <c r="BG25" s="242"/>
      <c r="BH25" s="242"/>
      <c r="BI25" s="242"/>
      <c r="BJ25" s="242"/>
      <c r="BK25" s="242"/>
      <c r="BL25" s="242"/>
      <c r="BM25" s="242"/>
      <c r="BN25" s="242"/>
      <c r="BO25" s="231">
        <v>0</v>
      </c>
      <c r="BP25" s="231"/>
      <c r="BQ25" s="231"/>
      <c r="BR25" s="231"/>
      <c r="BS25" s="231"/>
      <c r="BT25" s="231"/>
      <c r="BU25" s="231"/>
      <c r="BV25" s="231"/>
      <c r="BW25" s="231"/>
      <c r="BX25" s="231"/>
      <c r="BY25" s="231"/>
      <c r="BZ25" s="231"/>
      <c r="CA25" s="231"/>
      <c r="CB25" s="231"/>
      <c r="CC25" s="231"/>
      <c r="CD25" s="231"/>
      <c r="CE25" s="231"/>
      <c r="CF25" s="231"/>
      <c r="CG25" s="231"/>
      <c r="CH25" s="231"/>
      <c r="CI25" s="231"/>
    </row>
    <row r="26" spans="1:87" ht="25.2" customHeight="1" outlineLevel="1">
      <c r="A26" s="204">
        <v>21</v>
      </c>
      <c r="B26" s="207">
        <v>1021</v>
      </c>
      <c r="C26" s="208" t="s">
        <v>201</v>
      </c>
      <c r="D26" s="194" t="s">
        <v>181</v>
      </c>
      <c r="E26" s="209">
        <f t="shared" si="3"/>
        <v>306.89999999999998</v>
      </c>
      <c r="F26" s="222">
        <v>24.4</v>
      </c>
      <c r="G26" s="223">
        <v>4.4000000000000004</v>
      </c>
      <c r="H26" s="224">
        <v>1.7</v>
      </c>
      <c r="I26" s="234">
        <f t="shared" si="0"/>
        <v>68.5</v>
      </c>
      <c r="J26" s="235">
        <v>0.6</v>
      </c>
      <c r="K26" s="219">
        <v>1</v>
      </c>
      <c r="L26" s="232"/>
      <c r="M26" s="222">
        <v>19.600000000000001</v>
      </c>
      <c r="N26" s="222">
        <v>422.7</v>
      </c>
      <c r="O26" s="222">
        <v>2</v>
      </c>
      <c r="P26" s="222"/>
      <c r="Q26" s="222"/>
      <c r="R26" s="222"/>
      <c r="S26" s="222"/>
      <c r="T26" s="222"/>
      <c r="U26" s="222"/>
      <c r="V26" s="231"/>
      <c r="W26" s="242"/>
      <c r="X26" s="235">
        <v>1.83</v>
      </c>
      <c r="Y26" s="231"/>
      <c r="Z26" s="231"/>
      <c r="AA26" s="241"/>
      <c r="AB26" s="241"/>
      <c r="AC26" s="240"/>
      <c r="AD26" s="240"/>
      <c r="AE26" s="236"/>
      <c r="AF26" s="236"/>
      <c r="AG26" s="240">
        <v>0</v>
      </c>
      <c r="AH26" s="240">
        <f t="shared" si="1"/>
        <v>0</v>
      </c>
      <c r="AI26" s="236">
        <f t="shared" si="2"/>
        <v>0</v>
      </c>
      <c r="AJ26" s="252"/>
      <c r="AK26" s="233"/>
      <c r="AL26" s="216"/>
      <c r="AM26" s="236">
        <v>0</v>
      </c>
      <c r="AN26" s="236">
        <v>0</v>
      </c>
      <c r="AO26" s="236">
        <v>0</v>
      </c>
      <c r="AP26" s="236">
        <v>0</v>
      </c>
      <c r="AQ26" s="236">
        <v>0</v>
      </c>
      <c r="AR26" s="231"/>
      <c r="AS26" s="231"/>
      <c r="AT26" s="231"/>
      <c r="AU26" s="231"/>
      <c r="AV26" s="231"/>
      <c r="AW26" s="236"/>
      <c r="AX26" s="242"/>
      <c r="AY26" s="242"/>
      <c r="AZ26" s="242"/>
      <c r="BA26" s="242"/>
      <c r="BB26" s="242"/>
      <c r="BC26" s="242"/>
      <c r="BD26" s="242"/>
      <c r="BE26" s="231"/>
      <c r="BF26" s="242"/>
      <c r="BG26" s="242"/>
      <c r="BH26" s="242"/>
      <c r="BI26" s="242"/>
      <c r="BJ26" s="242"/>
      <c r="BK26" s="242"/>
      <c r="BL26" s="242"/>
      <c r="BM26" s="242"/>
      <c r="BN26" s="242"/>
      <c r="BO26" s="231">
        <v>0</v>
      </c>
      <c r="BP26" s="231"/>
      <c r="BQ26" s="231"/>
      <c r="BR26" s="231"/>
      <c r="BS26" s="231"/>
      <c r="BT26" s="231"/>
      <c r="BU26" s="231"/>
      <c r="BV26" s="231"/>
      <c r="BW26" s="231"/>
      <c r="BX26" s="231"/>
      <c r="BY26" s="231"/>
      <c r="BZ26" s="231"/>
      <c r="CA26" s="231"/>
      <c r="CB26" s="231"/>
      <c r="CC26" s="231"/>
      <c r="CD26" s="231"/>
      <c r="CE26" s="231"/>
      <c r="CF26" s="231"/>
      <c r="CG26" s="231"/>
      <c r="CH26" s="231"/>
      <c r="CI26" s="231"/>
    </row>
    <row r="27" spans="1:87" ht="25.2" customHeight="1" outlineLevel="1">
      <c r="A27" s="204">
        <v>22</v>
      </c>
      <c r="B27" s="207">
        <v>1022</v>
      </c>
      <c r="C27" s="208" t="s">
        <v>202</v>
      </c>
      <c r="D27" s="194" t="s">
        <v>181</v>
      </c>
      <c r="E27" s="209">
        <f t="shared" si="3"/>
        <v>350.1</v>
      </c>
      <c r="F27" s="216">
        <v>13</v>
      </c>
      <c r="G27" s="217">
        <v>11</v>
      </c>
      <c r="H27" s="218">
        <v>0.9</v>
      </c>
      <c r="I27" s="230">
        <f t="shared" si="0"/>
        <v>74.5</v>
      </c>
      <c r="J27" s="216">
        <v>0.3</v>
      </c>
      <c r="K27" s="216">
        <v>0.6</v>
      </c>
      <c r="L27" s="233"/>
      <c r="M27" s="216">
        <v>34</v>
      </c>
      <c r="N27" s="216">
        <v>97</v>
      </c>
      <c r="O27" s="216">
        <v>1.5</v>
      </c>
      <c r="P27" s="216">
        <v>0</v>
      </c>
      <c r="Q27" s="216">
        <v>0.1</v>
      </c>
      <c r="R27" s="216">
        <v>0.04</v>
      </c>
      <c r="S27" s="216">
        <v>1.1000000000000001</v>
      </c>
      <c r="T27" s="231"/>
      <c r="U27" s="231"/>
      <c r="V27" s="231"/>
      <c r="W27" s="242"/>
      <c r="X27" s="232"/>
      <c r="Y27" s="231"/>
      <c r="Z27" s="231"/>
      <c r="AA27" s="241"/>
      <c r="AB27" s="241"/>
      <c r="AC27" s="240">
        <v>13</v>
      </c>
      <c r="AD27" s="240"/>
      <c r="AE27" s="233"/>
      <c r="AF27" s="233"/>
      <c r="AG27" s="240">
        <v>0</v>
      </c>
      <c r="AH27" s="240">
        <f t="shared" si="1"/>
        <v>0</v>
      </c>
      <c r="AI27" s="236">
        <f t="shared" si="2"/>
        <v>0</v>
      </c>
      <c r="AJ27" s="252"/>
      <c r="AK27" s="233"/>
      <c r="AL27" s="216"/>
      <c r="AM27" s="236">
        <v>0</v>
      </c>
      <c r="AN27" s="236">
        <v>0</v>
      </c>
      <c r="AO27" s="236">
        <v>0</v>
      </c>
      <c r="AP27" s="236">
        <v>0</v>
      </c>
      <c r="AQ27" s="236">
        <v>0</v>
      </c>
      <c r="AR27" s="231"/>
      <c r="AS27" s="231"/>
      <c r="AT27" s="231"/>
      <c r="AU27" s="231"/>
      <c r="AV27" s="231"/>
      <c r="AW27" s="236"/>
      <c r="AX27" s="242"/>
      <c r="AY27" s="242"/>
      <c r="AZ27" s="242"/>
      <c r="BA27" s="242"/>
      <c r="BB27" s="242"/>
      <c r="BC27" s="242"/>
      <c r="BD27" s="242"/>
      <c r="BE27" s="231"/>
      <c r="BF27" s="242"/>
      <c r="BG27" s="242"/>
      <c r="BH27" s="242"/>
      <c r="BI27" s="242"/>
      <c r="BJ27" s="242"/>
      <c r="BK27" s="242"/>
      <c r="BL27" s="242"/>
      <c r="BM27" s="242"/>
      <c r="BN27" s="242"/>
      <c r="BO27" s="231">
        <v>0</v>
      </c>
      <c r="BP27" s="231"/>
      <c r="BQ27" s="204">
        <v>432</v>
      </c>
      <c r="BR27" s="204">
        <v>320</v>
      </c>
      <c r="BS27" s="204">
        <v>150</v>
      </c>
      <c r="BT27" s="204">
        <v>702</v>
      </c>
      <c r="BU27" s="204">
        <v>490</v>
      </c>
      <c r="BV27" s="204">
        <v>808</v>
      </c>
      <c r="BW27" s="204">
        <v>1036</v>
      </c>
      <c r="BX27" s="204">
        <v>667</v>
      </c>
      <c r="BY27" s="204">
        <v>679</v>
      </c>
      <c r="BZ27" s="204">
        <v>300</v>
      </c>
      <c r="CA27" s="204"/>
      <c r="CB27" s="204"/>
      <c r="CC27" s="204"/>
      <c r="CD27" s="204"/>
      <c r="CE27" s="204"/>
      <c r="CF27" s="204"/>
      <c r="CG27" s="204"/>
      <c r="CH27" s="204"/>
      <c r="CI27" s="231"/>
    </row>
    <row r="28" spans="1:87" ht="25.2" customHeight="1" outlineLevel="1">
      <c r="A28" s="204">
        <v>23</v>
      </c>
      <c r="B28" s="207">
        <v>1023</v>
      </c>
      <c r="C28" s="208" t="s">
        <v>203</v>
      </c>
      <c r="D28" s="194" t="s">
        <v>181</v>
      </c>
      <c r="E28" s="209">
        <f t="shared" si="3"/>
        <v>171.8</v>
      </c>
      <c r="F28" s="216">
        <v>59</v>
      </c>
      <c r="G28" s="217">
        <v>3.9</v>
      </c>
      <c r="H28" s="218">
        <v>2.2000000000000002</v>
      </c>
      <c r="I28" s="230">
        <f t="shared" si="0"/>
        <v>34.1</v>
      </c>
      <c r="J28" s="216">
        <v>1.2</v>
      </c>
      <c r="K28" s="216">
        <v>0.8</v>
      </c>
      <c r="L28" s="233"/>
      <c r="M28" s="236">
        <v>18</v>
      </c>
      <c r="N28" s="236">
        <v>146</v>
      </c>
      <c r="O28" s="236">
        <v>0.8</v>
      </c>
      <c r="P28" s="236">
        <v>0</v>
      </c>
      <c r="Q28" s="236"/>
      <c r="R28" s="236"/>
      <c r="S28" s="236"/>
      <c r="T28" s="231"/>
      <c r="U28" s="231"/>
      <c r="V28" s="231"/>
      <c r="W28" s="242"/>
      <c r="X28" s="232"/>
      <c r="Y28" s="231"/>
      <c r="Z28" s="231"/>
      <c r="AA28" s="241"/>
      <c r="AB28" s="241"/>
      <c r="AC28" s="240"/>
      <c r="AD28" s="240"/>
      <c r="AE28" s="236"/>
      <c r="AF28" s="236"/>
      <c r="AG28" s="240">
        <v>0</v>
      </c>
      <c r="AH28" s="240">
        <f t="shared" si="1"/>
        <v>0</v>
      </c>
      <c r="AI28" s="236">
        <f t="shared" si="2"/>
        <v>0</v>
      </c>
      <c r="AJ28" s="252"/>
      <c r="AK28" s="233"/>
      <c r="AL28" s="216"/>
      <c r="AM28" s="236">
        <v>0</v>
      </c>
      <c r="AN28" s="236">
        <v>0</v>
      </c>
      <c r="AO28" s="236">
        <v>0</v>
      </c>
      <c r="AP28" s="236">
        <v>0</v>
      </c>
      <c r="AQ28" s="236">
        <v>0</v>
      </c>
      <c r="AR28" s="231"/>
      <c r="AS28" s="231"/>
      <c r="AT28" s="231"/>
      <c r="AU28" s="231"/>
      <c r="AV28" s="231"/>
      <c r="AW28" s="236"/>
      <c r="AX28" s="242"/>
      <c r="AY28" s="242"/>
      <c r="AZ28" s="242"/>
      <c r="BA28" s="242"/>
      <c r="BB28" s="242"/>
      <c r="BC28" s="242"/>
      <c r="BD28" s="242"/>
      <c r="BE28" s="231"/>
      <c r="BF28" s="242"/>
      <c r="BG28" s="242"/>
      <c r="BH28" s="242"/>
      <c r="BI28" s="242"/>
      <c r="BJ28" s="242"/>
      <c r="BK28" s="242"/>
      <c r="BL28" s="242"/>
      <c r="BM28" s="242"/>
      <c r="BN28" s="242"/>
      <c r="BO28" s="231">
        <v>0</v>
      </c>
      <c r="BP28" s="231"/>
      <c r="BQ28" s="231"/>
      <c r="BR28" s="231"/>
      <c r="BS28" s="231"/>
      <c r="BT28" s="231"/>
      <c r="BU28" s="231"/>
      <c r="BV28" s="231"/>
      <c r="BW28" s="231"/>
      <c r="BX28" s="231"/>
      <c r="BY28" s="231"/>
      <c r="BZ28" s="231"/>
      <c r="CA28" s="231"/>
      <c r="CB28" s="231"/>
      <c r="CC28" s="231"/>
      <c r="CD28" s="231"/>
      <c r="CE28" s="231"/>
      <c r="CF28" s="231"/>
      <c r="CG28" s="231"/>
      <c r="CH28" s="231"/>
      <c r="CI28" s="231"/>
    </row>
    <row r="29" spans="1:87" ht="25.2" customHeight="1" outlineLevel="1">
      <c r="A29" s="204">
        <v>24</v>
      </c>
      <c r="B29" s="207">
        <v>1024</v>
      </c>
      <c r="C29" s="208" t="s">
        <v>204</v>
      </c>
      <c r="D29" s="194" t="s">
        <v>181</v>
      </c>
      <c r="E29" s="209">
        <f t="shared" si="3"/>
        <v>456</v>
      </c>
      <c r="F29" s="216">
        <v>4.3</v>
      </c>
      <c r="G29" s="217">
        <v>10.5</v>
      </c>
      <c r="H29" s="218">
        <v>20.399999999999999</v>
      </c>
      <c r="I29" s="230">
        <f t="shared" si="0"/>
        <v>57.6</v>
      </c>
      <c r="J29" s="216">
        <v>4.0999999999999996</v>
      </c>
      <c r="K29" s="216">
        <v>7.2</v>
      </c>
      <c r="L29" s="233"/>
      <c r="M29" s="236">
        <v>27</v>
      </c>
      <c r="N29" s="236">
        <v>120</v>
      </c>
      <c r="O29" s="236">
        <v>0.9</v>
      </c>
      <c r="P29" s="236">
        <v>0</v>
      </c>
      <c r="Q29" s="236">
        <v>0.22</v>
      </c>
      <c r="R29" s="236">
        <v>7.0000000000000007E-2</v>
      </c>
      <c r="S29" s="236">
        <v>1.5</v>
      </c>
      <c r="T29" s="231">
        <v>1975</v>
      </c>
      <c r="U29" s="231">
        <v>130</v>
      </c>
      <c r="V29" s="231"/>
      <c r="W29" s="242"/>
      <c r="X29" s="232"/>
      <c r="Y29" s="231"/>
      <c r="Z29" s="231"/>
      <c r="AA29" s="241"/>
      <c r="AB29" s="241"/>
      <c r="AC29" s="240"/>
      <c r="AD29" s="240"/>
      <c r="AE29" s="236"/>
      <c r="AF29" s="236"/>
      <c r="AG29" s="240"/>
      <c r="AH29" s="240">
        <v>0</v>
      </c>
      <c r="AI29" s="236">
        <f t="shared" si="2"/>
        <v>0.66666666666666696</v>
      </c>
      <c r="AJ29" s="252"/>
      <c r="AK29" s="233"/>
      <c r="AL29" s="216"/>
      <c r="AM29" s="236">
        <v>8</v>
      </c>
      <c r="AN29" s="236"/>
      <c r="AO29" s="236"/>
      <c r="AP29" s="236"/>
      <c r="AQ29" s="236"/>
      <c r="AR29" s="231"/>
      <c r="AS29" s="231"/>
      <c r="AT29" s="231"/>
      <c r="AU29" s="231"/>
      <c r="AV29" s="231"/>
      <c r="AW29" s="236"/>
      <c r="AX29" s="242"/>
      <c r="AY29" s="242"/>
      <c r="AZ29" s="242"/>
      <c r="BA29" s="242"/>
      <c r="BB29" s="242"/>
      <c r="BC29" s="242"/>
      <c r="BD29" s="242"/>
      <c r="BE29" s="231"/>
      <c r="BF29" s="242"/>
      <c r="BG29" s="242"/>
      <c r="BH29" s="242"/>
      <c r="BI29" s="242"/>
      <c r="BJ29" s="242"/>
      <c r="BK29" s="242"/>
      <c r="BL29" s="242"/>
      <c r="BM29" s="242"/>
      <c r="BN29" s="242"/>
      <c r="BO29" s="231"/>
      <c r="BP29" s="231"/>
      <c r="BQ29" s="231"/>
      <c r="BR29" s="231"/>
      <c r="BS29" s="231"/>
      <c r="BT29" s="231"/>
      <c r="BU29" s="231"/>
      <c r="BV29" s="231"/>
      <c r="BW29" s="231"/>
      <c r="BX29" s="231"/>
      <c r="BY29" s="231"/>
      <c r="BZ29" s="231"/>
      <c r="CA29" s="231"/>
      <c r="CB29" s="231"/>
      <c r="CC29" s="231"/>
      <c r="CD29" s="231"/>
      <c r="CE29" s="231"/>
      <c r="CF29" s="231"/>
      <c r="CG29" s="231"/>
      <c r="CH29" s="231"/>
      <c r="CI29" s="231"/>
    </row>
    <row r="30" spans="1:87" s="169" customFormat="1" ht="7.05" customHeight="1">
      <c r="A30" s="196"/>
      <c r="B30" s="196"/>
      <c r="C30" s="197"/>
      <c r="D30" s="198"/>
      <c r="E30" s="199"/>
      <c r="F30" s="199"/>
      <c r="G30" s="200"/>
      <c r="H30" s="201"/>
      <c r="I30" s="228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250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</row>
    <row r="31" spans="1:87" ht="25.2" customHeight="1">
      <c r="A31" s="202" t="s">
        <v>205</v>
      </c>
      <c r="B31" s="202"/>
      <c r="C31" s="203" t="s">
        <v>206</v>
      </c>
      <c r="D31" s="194"/>
      <c r="E31" s="209"/>
      <c r="F31" s="204"/>
      <c r="G31" s="205"/>
      <c r="H31" s="206"/>
      <c r="I31" s="230"/>
      <c r="J31" s="204"/>
      <c r="K31" s="204"/>
      <c r="L31" s="213"/>
      <c r="M31" s="237"/>
      <c r="N31" s="237"/>
      <c r="O31" s="237"/>
      <c r="P31" s="237"/>
      <c r="Q31" s="237"/>
      <c r="R31" s="237"/>
      <c r="S31" s="237"/>
      <c r="T31" s="204"/>
      <c r="U31" s="204"/>
      <c r="V31" s="204"/>
      <c r="W31" s="244"/>
      <c r="X31" s="213"/>
      <c r="Y31" s="204"/>
      <c r="Z31" s="204"/>
      <c r="AA31" s="244"/>
      <c r="AB31" s="244"/>
      <c r="AC31" s="243"/>
      <c r="AD31" s="243"/>
      <c r="AE31" s="204"/>
      <c r="AF31" s="204"/>
      <c r="AG31" s="243"/>
      <c r="AH31" s="243"/>
      <c r="AI31" s="204"/>
      <c r="AJ31" s="253"/>
      <c r="AK31" s="213"/>
      <c r="AL31" s="237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4"/>
      <c r="AX31" s="244"/>
      <c r="AY31" s="244"/>
      <c r="AZ31" s="244"/>
      <c r="BA31" s="244"/>
      <c r="BB31" s="244"/>
      <c r="BC31" s="244"/>
      <c r="BD31" s="244"/>
      <c r="BE31" s="204"/>
      <c r="BF31" s="244"/>
      <c r="BG31" s="244"/>
      <c r="BH31" s="244"/>
      <c r="BI31" s="244"/>
      <c r="BJ31" s="244"/>
      <c r="BK31" s="244"/>
      <c r="BL31" s="244"/>
      <c r="BM31" s="244"/>
      <c r="BN31" s="244"/>
      <c r="BO31" s="204"/>
      <c r="BP31" s="204"/>
      <c r="BQ31" s="204"/>
      <c r="BR31" s="204"/>
      <c r="BS31" s="204"/>
      <c r="BT31" s="204"/>
      <c r="BU31" s="204"/>
      <c r="BV31" s="204"/>
      <c r="BW31" s="204"/>
      <c r="BX31" s="204"/>
      <c r="BY31" s="204"/>
      <c r="BZ31" s="204"/>
      <c r="CA31" s="204"/>
      <c r="CB31" s="204"/>
      <c r="CC31" s="204"/>
      <c r="CD31" s="204"/>
      <c r="CE31" s="204"/>
      <c r="CF31" s="204"/>
      <c r="CG31" s="204"/>
      <c r="CH31" s="204"/>
      <c r="CI31" s="204"/>
    </row>
    <row r="32" spans="1:87" ht="25.2" customHeight="1" outlineLevel="1">
      <c r="A32" s="204">
        <v>25</v>
      </c>
      <c r="B32" s="207">
        <v>2001</v>
      </c>
      <c r="C32" s="208" t="s">
        <v>207</v>
      </c>
      <c r="D32" s="194" t="s">
        <v>181</v>
      </c>
      <c r="E32" s="209">
        <f t="shared" ref="E32:E57" si="4">G32*4+H32*9+I32*4</f>
        <v>159.69999999999999</v>
      </c>
      <c r="F32" s="216">
        <v>59</v>
      </c>
      <c r="G32" s="217">
        <v>3.6</v>
      </c>
      <c r="H32" s="218">
        <v>0.5</v>
      </c>
      <c r="I32" s="230">
        <f t="shared" ref="I32:I57" si="5">100-SUM(F32,G32,H32,K32)</f>
        <v>35.200000000000003</v>
      </c>
      <c r="J32" s="216">
        <v>1</v>
      </c>
      <c r="K32" s="216">
        <v>1.7</v>
      </c>
      <c r="L32" s="233"/>
      <c r="M32" s="216">
        <v>9</v>
      </c>
      <c r="N32" s="216">
        <v>49</v>
      </c>
      <c r="O32" s="216">
        <v>0.7</v>
      </c>
      <c r="P32" s="216">
        <v>5</v>
      </c>
      <c r="Q32" s="216">
        <v>0.23</v>
      </c>
      <c r="R32" s="216">
        <v>0.05</v>
      </c>
      <c r="S32" s="216">
        <v>1.9</v>
      </c>
      <c r="T32" s="231"/>
      <c r="U32" s="231"/>
      <c r="V32" s="231"/>
      <c r="W32" s="242"/>
      <c r="X32" s="232"/>
      <c r="Y32" s="231"/>
      <c r="Z32" s="231"/>
      <c r="AA32" s="241"/>
      <c r="AB32" s="241"/>
      <c r="AC32" s="240"/>
      <c r="AD32" s="240"/>
      <c r="AE32" s="233"/>
      <c r="AF32" s="233"/>
      <c r="AG32" s="240">
        <v>0</v>
      </c>
      <c r="AH32" s="240">
        <f t="shared" ref="AH32:AH57" si="6">AG32*3.33</f>
        <v>0</v>
      </c>
      <c r="AI32" s="236">
        <f t="shared" ref="AI32:AI57" si="7">AG32+AM32/12+AN32/24+AO32/24</f>
        <v>0.41666666666666702</v>
      </c>
      <c r="AJ32" s="252"/>
      <c r="AK32" s="233"/>
      <c r="AL32" s="216"/>
      <c r="AM32" s="236">
        <v>5</v>
      </c>
      <c r="AN32" s="231"/>
      <c r="AO32" s="231"/>
      <c r="AP32" s="231"/>
      <c r="AQ32" s="231"/>
      <c r="AR32" s="231"/>
      <c r="AS32" s="231"/>
      <c r="AT32" s="231"/>
      <c r="AU32" s="231"/>
      <c r="AV32" s="231"/>
      <c r="AW32" s="236"/>
      <c r="AX32" s="242"/>
      <c r="AY32" s="242"/>
      <c r="AZ32" s="242"/>
      <c r="BA32" s="242"/>
      <c r="BB32" s="242"/>
      <c r="BC32" s="242"/>
      <c r="BD32" s="242"/>
      <c r="BE32" s="231"/>
      <c r="BF32" s="242"/>
      <c r="BG32" s="242"/>
      <c r="BH32" s="242"/>
      <c r="BI32" s="242"/>
      <c r="BJ32" s="242"/>
      <c r="BK32" s="242"/>
      <c r="BL32" s="242"/>
      <c r="BM32" s="242"/>
      <c r="BN32" s="242"/>
      <c r="BO32" s="231">
        <v>0</v>
      </c>
      <c r="BP32" s="231"/>
      <c r="BQ32" s="231"/>
      <c r="BR32" s="231"/>
      <c r="BS32" s="231"/>
      <c r="BT32" s="231"/>
      <c r="BU32" s="231"/>
      <c r="BV32" s="231"/>
      <c r="BW32" s="231"/>
      <c r="BX32" s="231"/>
      <c r="BY32" s="231"/>
      <c r="BZ32" s="231"/>
      <c r="CA32" s="231"/>
      <c r="CB32" s="231"/>
      <c r="CC32" s="231"/>
      <c r="CD32" s="231"/>
      <c r="CE32" s="231"/>
      <c r="CF32" s="231"/>
      <c r="CG32" s="231"/>
      <c r="CH32" s="231"/>
      <c r="CI32" s="231"/>
    </row>
    <row r="33" spans="1:101" ht="25.2" customHeight="1" outlineLevel="1">
      <c r="A33" s="204">
        <v>26</v>
      </c>
      <c r="B33" s="207">
        <v>2002</v>
      </c>
      <c r="C33" s="208" t="s">
        <v>208</v>
      </c>
      <c r="D33" s="194" t="s">
        <v>181</v>
      </c>
      <c r="E33" s="209">
        <f t="shared" si="4"/>
        <v>133.6</v>
      </c>
      <c r="F33" s="216">
        <v>65.5</v>
      </c>
      <c r="G33" s="217">
        <v>3.1</v>
      </c>
      <c r="H33" s="218"/>
      <c r="I33" s="230">
        <f t="shared" si="5"/>
        <v>30.3</v>
      </c>
      <c r="J33" s="216">
        <v>1.8</v>
      </c>
      <c r="K33" s="216">
        <v>1.1000000000000001</v>
      </c>
      <c r="L33" s="233"/>
      <c r="M33" s="236">
        <v>20</v>
      </c>
      <c r="N33" s="236">
        <v>32</v>
      </c>
      <c r="O33" s="236">
        <v>2.9</v>
      </c>
      <c r="P33" s="236">
        <v>1</v>
      </c>
      <c r="Q33" s="236"/>
      <c r="R33" s="236"/>
      <c r="S33" s="236"/>
      <c r="T33" s="240">
        <v>12</v>
      </c>
      <c r="U33" s="240">
        <v>397</v>
      </c>
      <c r="V33" s="240">
        <v>20</v>
      </c>
      <c r="W33" s="241"/>
      <c r="X33" s="233">
        <v>11</v>
      </c>
      <c r="Y33" s="240"/>
      <c r="Z33" s="216"/>
      <c r="AA33" s="241">
        <v>0.314</v>
      </c>
      <c r="AB33" s="241">
        <v>0.29299999999999998</v>
      </c>
      <c r="AC33" s="240">
        <v>23</v>
      </c>
      <c r="AD33" s="240">
        <v>0</v>
      </c>
      <c r="AE33" s="236"/>
      <c r="AF33" s="236">
        <v>0</v>
      </c>
      <c r="AG33" s="240">
        <v>0</v>
      </c>
      <c r="AH33" s="240">
        <f t="shared" si="6"/>
        <v>0</v>
      </c>
      <c r="AI33" s="236">
        <f t="shared" si="7"/>
        <v>6.9166666666666696</v>
      </c>
      <c r="AJ33" s="252"/>
      <c r="AK33" s="233">
        <v>0.39</v>
      </c>
      <c r="AL33" s="216">
        <v>2.6</v>
      </c>
      <c r="AM33" s="236">
        <v>83</v>
      </c>
      <c r="AN33" s="231"/>
      <c r="AO33" s="231"/>
      <c r="AP33" s="231"/>
      <c r="AQ33" s="231"/>
      <c r="AR33" s="231"/>
      <c r="AS33" s="231"/>
      <c r="AT33" s="231"/>
      <c r="AU33" s="231"/>
      <c r="AV33" s="231"/>
      <c r="AW33" s="236">
        <v>3.6999999999999998E-2</v>
      </c>
      <c r="AX33" s="242">
        <v>3.4000000000000002E-2</v>
      </c>
      <c r="AY33" s="242">
        <v>0</v>
      </c>
      <c r="AZ33" s="231">
        <v>4.0000000000000001E-3</v>
      </c>
      <c r="BA33" s="242">
        <v>0</v>
      </c>
      <c r="BB33" s="242">
        <v>0</v>
      </c>
      <c r="BC33" s="242">
        <v>0</v>
      </c>
      <c r="BD33" s="242">
        <v>6.0000000000000001E-3</v>
      </c>
      <c r="BE33" s="231">
        <v>0</v>
      </c>
      <c r="BF33" s="242">
        <v>0</v>
      </c>
      <c r="BG33" s="242">
        <v>6.0000000000000001E-3</v>
      </c>
      <c r="BH33" s="242">
        <v>7.5999999999999998E-2</v>
      </c>
      <c r="BI33" s="242">
        <v>6.4000000000000001E-2</v>
      </c>
      <c r="BJ33" s="242">
        <v>1.2E-2</v>
      </c>
      <c r="BK33" s="242">
        <v>0</v>
      </c>
      <c r="BL33" s="242">
        <v>0</v>
      </c>
      <c r="BM33" s="242">
        <v>0</v>
      </c>
      <c r="BN33" s="242"/>
      <c r="BO33" s="231">
        <v>0</v>
      </c>
      <c r="BP33" s="231"/>
      <c r="BQ33" s="231">
        <v>59</v>
      </c>
      <c r="BR33" s="231">
        <v>21</v>
      </c>
      <c r="BS33" s="231">
        <v>12</v>
      </c>
      <c r="BT33" s="231">
        <v>71</v>
      </c>
      <c r="BU33" s="231">
        <v>54</v>
      </c>
      <c r="BV33" s="231">
        <v>62</v>
      </c>
      <c r="BW33" s="231">
        <v>96</v>
      </c>
      <c r="BX33" s="231">
        <v>52</v>
      </c>
      <c r="BY33" s="231">
        <v>127</v>
      </c>
      <c r="BZ33" s="231">
        <v>34</v>
      </c>
      <c r="CA33" s="231">
        <v>19</v>
      </c>
      <c r="CB33" s="231">
        <v>40</v>
      </c>
      <c r="CC33" s="231">
        <v>63</v>
      </c>
      <c r="CD33" s="231">
        <v>155</v>
      </c>
      <c r="CE33" s="231">
        <v>181</v>
      </c>
      <c r="CF33" s="231">
        <v>53</v>
      </c>
      <c r="CG33" s="231">
        <v>54</v>
      </c>
      <c r="CH33" s="231">
        <v>81</v>
      </c>
      <c r="CI33" s="231"/>
    </row>
    <row r="34" spans="1:101" ht="25.2" customHeight="1" outlineLevel="1">
      <c r="A34" s="204">
        <v>27</v>
      </c>
      <c r="B34" s="207">
        <v>2003</v>
      </c>
      <c r="C34" s="208" t="s">
        <v>209</v>
      </c>
      <c r="D34" s="194" t="s">
        <v>181</v>
      </c>
      <c r="E34" s="209">
        <f t="shared" si="4"/>
        <v>128.80000000000001</v>
      </c>
      <c r="F34" s="216">
        <v>66.5</v>
      </c>
      <c r="G34" s="217">
        <v>1.4</v>
      </c>
      <c r="H34" s="218"/>
      <c r="I34" s="230">
        <f t="shared" si="5"/>
        <v>30.8</v>
      </c>
      <c r="J34" s="216">
        <v>2.4</v>
      </c>
      <c r="K34" s="216">
        <v>1.3</v>
      </c>
      <c r="L34" s="233"/>
      <c r="M34" s="236">
        <v>42</v>
      </c>
      <c r="N34" s="236">
        <v>21</v>
      </c>
      <c r="O34" s="236"/>
      <c r="P34" s="236"/>
      <c r="Q34" s="236"/>
      <c r="R34" s="236"/>
      <c r="S34" s="236"/>
      <c r="T34" s="231">
        <v>73</v>
      </c>
      <c r="U34" s="231">
        <v>299</v>
      </c>
      <c r="V34" s="231">
        <v>46</v>
      </c>
      <c r="W34" s="242"/>
      <c r="X34" s="232"/>
      <c r="Y34" s="231"/>
      <c r="Z34" s="231"/>
      <c r="AA34" s="241"/>
      <c r="AB34" s="241"/>
      <c r="AC34" s="240"/>
      <c r="AD34" s="240"/>
      <c r="AE34" s="236"/>
      <c r="AF34" s="236"/>
      <c r="AG34" s="240">
        <v>0</v>
      </c>
      <c r="AH34" s="240">
        <f t="shared" si="6"/>
        <v>0</v>
      </c>
      <c r="AI34" s="236">
        <f t="shared" si="7"/>
        <v>0</v>
      </c>
      <c r="AJ34" s="252"/>
      <c r="AK34" s="233"/>
      <c r="AL34" s="216"/>
      <c r="AM34" s="236">
        <v>0</v>
      </c>
      <c r="AN34" s="236">
        <v>0</v>
      </c>
      <c r="AO34" s="236">
        <v>0</v>
      </c>
      <c r="AP34" s="236">
        <v>0</v>
      </c>
      <c r="AQ34" s="236">
        <v>0</v>
      </c>
      <c r="AR34" s="231"/>
      <c r="AS34" s="231"/>
      <c r="AT34" s="231"/>
      <c r="AU34" s="231"/>
      <c r="AV34" s="231"/>
      <c r="AW34" s="236"/>
      <c r="AX34" s="242"/>
      <c r="AY34" s="242"/>
      <c r="AZ34" s="242"/>
      <c r="BA34" s="242"/>
      <c r="BB34" s="242"/>
      <c r="BC34" s="242"/>
      <c r="BD34" s="242"/>
      <c r="BE34" s="231"/>
      <c r="BF34" s="242"/>
      <c r="BG34" s="242"/>
      <c r="BH34" s="242"/>
      <c r="BI34" s="242"/>
      <c r="BJ34" s="242"/>
      <c r="BK34" s="242"/>
      <c r="BL34" s="242"/>
      <c r="BM34" s="242"/>
      <c r="BN34" s="242"/>
      <c r="BO34" s="231">
        <v>0</v>
      </c>
      <c r="BP34" s="231"/>
      <c r="BQ34" s="231"/>
      <c r="BR34" s="231"/>
      <c r="BS34" s="231"/>
      <c r="BT34" s="231"/>
      <c r="BU34" s="231"/>
      <c r="BV34" s="231"/>
      <c r="BW34" s="231"/>
      <c r="BX34" s="231"/>
      <c r="BY34" s="231"/>
      <c r="BZ34" s="231"/>
      <c r="CA34" s="231"/>
      <c r="CB34" s="231"/>
      <c r="CC34" s="231"/>
      <c r="CD34" s="231"/>
      <c r="CE34" s="231"/>
      <c r="CF34" s="231"/>
      <c r="CG34" s="231"/>
      <c r="CH34" s="231"/>
      <c r="CI34" s="231"/>
    </row>
    <row r="35" spans="1:101" s="172" customFormat="1" ht="25.2" customHeight="1">
      <c r="A35" s="204">
        <v>28</v>
      </c>
      <c r="B35" s="207">
        <v>2004</v>
      </c>
      <c r="C35" s="208" t="s">
        <v>210</v>
      </c>
      <c r="D35" s="194" t="s">
        <v>181</v>
      </c>
      <c r="E35" s="209">
        <f t="shared" si="4"/>
        <v>157.80000000000001</v>
      </c>
      <c r="F35" s="216">
        <v>60</v>
      </c>
      <c r="G35" s="217">
        <v>1.1000000000000001</v>
      </c>
      <c r="H35" s="218">
        <v>0.2</v>
      </c>
      <c r="I35" s="230">
        <f t="shared" si="5"/>
        <v>37.9</v>
      </c>
      <c r="J35" s="216">
        <v>1.5</v>
      </c>
      <c r="K35" s="216">
        <v>0.8</v>
      </c>
      <c r="L35" s="233"/>
      <c r="M35" s="216">
        <v>25</v>
      </c>
      <c r="N35" s="216">
        <v>30</v>
      </c>
      <c r="O35" s="216">
        <v>1.2</v>
      </c>
      <c r="P35" s="216">
        <v>34</v>
      </c>
      <c r="Q35" s="216">
        <v>0.03</v>
      </c>
      <c r="R35" s="216">
        <v>0.03</v>
      </c>
      <c r="S35" s="216">
        <v>0.6</v>
      </c>
      <c r="T35" s="240">
        <v>2</v>
      </c>
      <c r="U35" s="240">
        <v>394</v>
      </c>
      <c r="V35" s="240">
        <v>4</v>
      </c>
      <c r="W35" s="241"/>
      <c r="X35" s="233"/>
      <c r="Y35" s="240"/>
      <c r="Z35" s="216"/>
      <c r="AA35" s="241">
        <v>0.107</v>
      </c>
      <c r="AB35" s="241">
        <v>8.7999999999999995E-2</v>
      </c>
      <c r="AC35" s="240">
        <v>27</v>
      </c>
      <c r="AD35" s="240">
        <v>0</v>
      </c>
      <c r="AE35" s="233"/>
      <c r="AF35" s="233">
        <v>0</v>
      </c>
      <c r="AG35" s="240">
        <v>0</v>
      </c>
      <c r="AH35" s="240">
        <f t="shared" si="6"/>
        <v>0</v>
      </c>
      <c r="AI35" s="236">
        <f t="shared" si="7"/>
        <v>0.66666666666666696</v>
      </c>
      <c r="AJ35" s="252"/>
      <c r="AK35" s="233">
        <v>0.19</v>
      </c>
      <c r="AL35" s="216">
        <v>1.9</v>
      </c>
      <c r="AM35" s="236">
        <v>8</v>
      </c>
      <c r="AN35" s="231">
        <v>0</v>
      </c>
      <c r="AO35" s="231">
        <v>0</v>
      </c>
      <c r="AP35" s="231">
        <v>0</v>
      </c>
      <c r="AQ35" s="231">
        <v>0</v>
      </c>
      <c r="AR35" s="231"/>
      <c r="AS35" s="231"/>
      <c r="AT35" s="231"/>
      <c r="AU35" s="231"/>
      <c r="AV35" s="231"/>
      <c r="AW35" s="236">
        <v>7.3999999999999996E-2</v>
      </c>
      <c r="AX35" s="242">
        <v>6.9000000000000006E-2</v>
      </c>
      <c r="AY35" s="242">
        <v>0</v>
      </c>
      <c r="AZ35" s="242">
        <v>5.0000000000000001E-3</v>
      </c>
      <c r="BA35" s="242">
        <v>0</v>
      </c>
      <c r="BB35" s="242">
        <v>0</v>
      </c>
      <c r="BC35" s="242">
        <v>0</v>
      </c>
      <c r="BD35" s="242">
        <v>7.4999999999999997E-2</v>
      </c>
      <c r="BE35" s="231">
        <v>0</v>
      </c>
      <c r="BF35" s="242">
        <v>0</v>
      </c>
      <c r="BG35" s="242">
        <v>7.4999999999999997E-2</v>
      </c>
      <c r="BH35" s="242">
        <v>4.8000000000000001E-2</v>
      </c>
      <c r="BI35" s="242">
        <v>3.2000000000000001E-2</v>
      </c>
      <c r="BJ35" s="242">
        <v>1.7000000000000001E-2</v>
      </c>
      <c r="BK35" s="242">
        <v>0</v>
      </c>
      <c r="BL35" s="242">
        <v>0</v>
      </c>
      <c r="BM35" s="242">
        <v>0</v>
      </c>
      <c r="BN35" s="242"/>
      <c r="BO35" s="231">
        <v>0</v>
      </c>
      <c r="BP35" s="231"/>
      <c r="BQ35" s="231">
        <v>44</v>
      </c>
      <c r="BR35" s="231">
        <v>11</v>
      </c>
      <c r="BS35" s="231">
        <v>19</v>
      </c>
      <c r="BT35" s="231">
        <v>26</v>
      </c>
      <c r="BU35" s="231">
        <v>28</v>
      </c>
      <c r="BV35" s="231">
        <v>35</v>
      </c>
      <c r="BW35" s="231">
        <v>39</v>
      </c>
      <c r="BX35" s="231">
        <v>27</v>
      </c>
      <c r="BY35" s="231">
        <v>137</v>
      </c>
      <c r="BZ35" s="231">
        <v>20</v>
      </c>
      <c r="CA35" s="231">
        <v>28</v>
      </c>
      <c r="CB35" s="231">
        <v>17</v>
      </c>
      <c r="CC35" s="231">
        <v>38</v>
      </c>
      <c r="CD35" s="231">
        <v>79</v>
      </c>
      <c r="CE35" s="231">
        <v>206</v>
      </c>
      <c r="CF35" s="231">
        <v>28</v>
      </c>
      <c r="CG35" s="231">
        <v>33</v>
      </c>
      <c r="CH35" s="231">
        <v>33</v>
      </c>
      <c r="CI35" s="231"/>
      <c r="CM35" s="173"/>
      <c r="CN35" s="173"/>
      <c r="CO35" s="173"/>
      <c r="CP35" s="173"/>
      <c r="CQ35" s="173"/>
      <c r="CR35" s="173"/>
      <c r="CS35" s="173"/>
      <c r="CT35" s="173"/>
      <c r="CU35" s="173"/>
      <c r="CV35" s="173"/>
      <c r="CW35" s="173"/>
    </row>
    <row r="36" spans="1:101" ht="25.2" customHeight="1" outlineLevel="1">
      <c r="A36" s="204">
        <v>29</v>
      </c>
      <c r="B36" s="207">
        <v>2005</v>
      </c>
      <c r="C36" s="208" t="s">
        <v>211</v>
      </c>
      <c r="D36" s="194" t="s">
        <v>181</v>
      </c>
      <c r="E36" s="209">
        <f t="shared" si="4"/>
        <v>156.1</v>
      </c>
      <c r="F36" s="216">
        <v>60.3</v>
      </c>
      <c r="G36" s="217">
        <v>1.6</v>
      </c>
      <c r="H36" s="218">
        <v>0.1</v>
      </c>
      <c r="I36" s="230">
        <f t="shared" si="5"/>
        <v>37.200000000000003</v>
      </c>
      <c r="J36" s="216">
        <v>9.1999999999999993</v>
      </c>
      <c r="K36" s="216">
        <v>0.8</v>
      </c>
      <c r="L36" s="233"/>
      <c r="M36" s="236">
        <v>28</v>
      </c>
      <c r="N36" s="236">
        <v>45</v>
      </c>
      <c r="O36" s="236">
        <v>0.2</v>
      </c>
      <c r="P36" s="236"/>
      <c r="Q36" s="236"/>
      <c r="R36" s="236"/>
      <c r="S36" s="236"/>
      <c r="T36" s="231"/>
      <c r="U36" s="231"/>
      <c r="V36" s="231"/>
      <c r="W36" s="242"/>
      <c r="X36" s="232"/>
      <c r="Y36" s="231"/>
      <c r="Z36" s="231"/>
      <c r="AA36" s="241"/>
      <c r="AB36" s="241"/>
      <c r="AC36" s="240"/>
      <c r="AD36" s="240"/>
      <c r="AE36" s="236"/>
      <c r="AF36" s="236"/>
      <c r="AG36" s="240">
        <v>0</v>
      </c>
      <c r="AH36" s="240">
        <f t="shared" si="6"/>
        <v>0</v>
      </c>
      <c r="AI36" s="236">
        <f t="shared" si="7"/>
        <v>0</v>
      </c>
      <c r="AJ36" s="252"/>
      <c r="AK36" s="233"/>
      <c r="AL36" s="216"/>
      <c r="AM36" s="236">
        <v>0</v>
      </c>
      <c r="AN36" s="236">
        <v>0</v>
      </c>
      <c r="AO36" s="236">
        <v>0</v>
      </c>
      <c r="AP36" s="236">
        <v>0</v>
      </c>
      <c r="AQ36" s="236">
        <v>0</v>
      </c>
      <c r="AR36" s="231"/>
      <c r="AS36" s="231"/>
      <c r="AT36" s="231"/>
      <c r="AU36" s="231"/>
      <c r="AV36" s="231"/>
      <c r="AW36" s="236"/>
      <c r="AX36" s="242"/>
      <c r="AY36" s="242"/>
      <c r="AZ36" s="242"/>
      <c r="BA36" s="242"/>
      <c r="BB36" s="242"/>
      <c r="BC36" s="242"/>
      <c r="BD36" s="242"/>
      <c r="BE36" s="231"/>
      <c r="BF36" s="242"/>
      <c r="BG36" s="242"/>
      <c r="BH36" s="242"/>
      <c r="BI36" s="242"/>
      <c r="BJ36" s="242"/>
      <c r="BK36" s="242"/>
      <c r="BL36" s="242"/>
      <c r="BM36" s="242"/>
      <c r="BN36" s="242"/>
      <c r="BO36" s="231">
        <v>0</v>
      </c>
      <c r="BP36" s="231"/>
      <c r="BQ36" s="231"/>
      <c r="BR36" s="231"/>
      <c r="BS36" s="231"/>
      <c r="BT36" s="231"/>
      <c r="BU36" s="231"/>
      <c r="BV36" s="231"/>
      <c r="BW36" s="231"/>
      <c r="BX36" s="231"/>
      <c r="BY36" s="231"/>
      <c r="BZ36" s="231"/>
      <c r="CA36" s="231"/>
      <c r="CB36" s="231"/>
      <c r="CC36" s="231"/>
      <c r="CD36" s="231"/>
      <c r="CE36" s="231"/>
      <c r="CF36" s="231"/>
      <c r="CG36" s="231"/>
      <c r="CH36" s="231"/>
      <c r="CI36" s="231"/>
    </row>
    <row r="37" spans="1:101" ht="25.2" customHeight="1" outlineLevel="1">
      <c r="A37" s="204">
        <v>30</v>
      </c>
      <c r="B37" s="207">
        <v>2006</v>
      </c>
      <c r="C37" s="208" t="s">
        <v>212</v>
      </c>
      <c r="D37" s="194" t="s">
        <v>181</v>
      </c>
      <c r="E37" s="209">
        <f t="shared" si="4"/>
        <v>359.3</v>
      </c>
      <c r="F37" s="216">
        <v>8.6</v>
      </c>
      <c r="G37" s="217">
        <v>16.100000000000001</v>
      </c>
      <c r="H37" s="218">
        <v>0.5</v>
      </c>
      <c r="I37" s="230">
        <f t="shared" si="5"/>
        <v>72.599999999999994</v>
      </c>
      <c r="J37" s="216">
        <v>2.2999999999999998</v>
      </c>
      <c r="K37" s="216">
        <v>2.2000000000000002</v>
      </c>
      <c r="L37" s="233"/>
      <c r="M37" s="236">
        <v>100</v>
      </c>
      <c r="N37" s="236">
        <v>720</v>
      </c>
      <c r="O37" s="236">
        <v>0.2</v>
      </c>
      <c r="P37" s="236"/>
      <c r="Q37" s="236"/>
      <c r="R37" s="236"/>
      <c r="S37" s="236"/>
      <c r="T37" s="231"/>
      <c r="U37" s="231"/>
      <c r="V37" s="231"/>
      <c r="W37" s="242"/>
      <c r="X37" s="232"/>
      <c r="Y37" s="231"/>
      <c r="Z37" s="231"/>
      <c r="AA37" s="241"/>
      <c r="AB37" s="241"/>
      <c r="AC37" s="240"/>
      <c r="AD37" s="240"/>
      <c r="AE37" s="236"/>
      <c r="AF37" s="236"/>
      <c r="AG37" s="240">
        <v>0</v>
      </c>
      <c r="AH37" s="240">
        <f t="shared" si="6"/>
        <v>0</v>
      </c>
      <c r="AI37" s="236">
        <f t="shared" si="7"/>
        <v>0</v>
      </c>
      <c r="AJ37" s="252"/>
      <c r="AK37" s="233"/>
      <c r="AL37" s="216"/>
      <c r="AM37" s="236">
        <v>0</v>
      </c>
      <c r="AN37" s="236">
        <v>0</v>
      </c>
      <c r="AO37" s="236">
        <v>0</v>
      </c>
      <c r="AP37" s="236">
        <v>0</v>
      </c>
      <c r="AQ37" s="236">
        <v>0</v>
      </c>
      <c r="AR37" s="231"/>
      <c r="AS37" s="231"/>
      <c r="AT37" s="231"/>
      <c r="AU37" s="231"/>
      <c r="AV37" s="231"/>
      <c r="AW37" s="236"/>
      <c r="AX37" s="242"/>
      <c r="AY37" s="242"/>
      <c r="AZ37" s="242"/>
      <c r="BA37" s="242"/>
      <c r="BB37" s="242"/>
      <c r="BC37" s="242"/>
      <c r="BD37" s="242"/>
      <c r="BE37" s="231"/>
      <c r="BF37" s="242"/>
      <c r="BG37" s="242"/>
      <c r="BH37" s="242"/>
      <c r="BI37" s="242"/>
      <c r="BJ37" s="242"/>
      <c r="BK37" s="242"/>
      <c r="BL37" s="242"/>
      <c r="BM37" s="242"/>
      <c r="BN37" s="242"/>
      <c r="BO37" s="231">
        <v>0</v>
      </c>
      <c r="BP37" s="231"/>
      <c r="BQ37" s="231"/>
      <c r="BR37" s="231"/>
      <c r="BS37" s="231"/>
      <c r="BT37" s="231"/>
      <c r="BU37" s="231"/>
      <c r="BV37" s="231"/>
      <c r="BW37" s="231"/>
      <c r="BX37" s="231"/>
      <c r="BY37" s="231"/>
      <c r="BZ37" s="231"/>
      <c r="CA37" s="231"/>
      <c r="CB37" s="231"/>
      <c r="CC37" s="231"/>
      <c r="CD37" s="231"/>
      <c r="CE37" s="231"/>
      <c r="CF37" s="231"/>
      <c r="CG37" s="231"/>
      <c r="CH37" s="231"/>
      <c r="CI37" s="231"/>
    </row>
    <row r="38" spans="1:101" ht="25.2" customHeight="1" outlineLevel="1">
      <c r="A38" s="204">
        <v>31</v>
      </c>
      <c r="B38" s="207">
        <v>2007</v>
      </c>
      <c r="C38" s="208" t="s">
        <v>213</v>
      </c>
      <c r="D38" s="194" t="s">
        <v>181</v>
      </c>
      <c r="E38" s="209">
        <f t="shared" si="4"/>
        <v>96.8</v>
      </c>
      <c r="F38" s="216">
        <v>75</v>
      </c>
      <c r="G38" s="217">
        <v>1.5</v>
      </c>
      <c r="H38" s="218"/>
      <c r="I38" s="230">
        <f t="shared" si="5"/>
        <v>22.7</v>
      </c>
      <c r="J38" s="216">
        <v>1.2</v>
      </c>
      <c r="K38" s="216">
        <v>0.8</v>
      </c>
      <c r="L38" s="233"/>
      <c r="M38" s="236">
        <v>28</v>
      </c>
      <c r="N38" s="236">
        <v>30</v>
      </c>
      <c r="O38" s="236">
        <v>0.2</v>
      </c>
      <c r="P38" s="236">
        <v>2</v>
      </c>
      <c r="Q38" s="236"/>
      <c r="R38" s="236"/>
      <c r="S38" s="236"/>
      <c r="T38" s="231">
        <v>71</v>
      </c>
      <c r="U38" s="231">
        <v>264</v>
      </c>
      <c r="V38" s="231">
        <v>28</v>
      </c>
      <c r="W38" s="242"/>
      <c r="X38" s="232"/>
      <c r="Y38" s="231"/>
      <c r="Z38" s="231"/>
      <c r="AA38" s="241"/>
      <c r="AB38" s="241"/>
      <c r="AC38" s="240"/>
      <c r="AD38" s="240"/>
      <c r="AE38" s="236"/>
      <c r="AF38" s="236"/>
      <c r="AG38" s="240">
        <v>0</v>
      </c>
      <c r="AH38" s="240">
        <f t="shared" si="6"/>
        <v>0</v>
      </c>
      <c r="AI38" s="236">
        <f t="shared" si="7"/>
        <v>0</v>
      </c>
      <c r="AJ38" s="252"/>
      <c r="AK38" s="233"/>
      <c r="AL38" s="216"/>
      <c r="AM38" s="236">
        <v>0</v>
      </c>
      <c r="AN38" s="236">
        <v>0</v>
      </c>
      <c r="AO38" s="236">
        <v>0</v>
      </c>
      <c r="AP38" s="236">
        <v>0</v>
      </c>
      <c r="AQ38" s="236">
        <v>0</v>
      </c>
      <c r="AR38" s="231"/>
      <c r="AS38" s="231"/>
      <c r="AT38" s="231"/>
      <c r="AU38" s="231"/>
      <c r="AV38" s="231"/>
      <c r="AW38" s="236"/>
      <c r="AX38" s="242"/>
      <c r="AY38" s="242"/>
      <c r="AZ38" s="242"/>
      <c r="BA38" s="242"/>
      <c r="BB38" s="242"/>
      <c r="BC38" s="242"/>
      <c r="BD38" s="242"/>
      <c r="BE38" s="231"/>
      <c r="BF38" s="242"/>
      <c r="BG38" s="242"/>
      <c r="BH38" s="242"/>
      <c r="BI38" s="242"/>
      <c r="BJ38" s="242"/>
      <c r="BK38" s="242"/>
      <c r="BL38" s="242"/>
      <c r="BM38" s="242"/>
      <c r="BN38" s="242"/>
      <c r="BO38" s="231">
        <v>0</v>
      </c>
      <c r="BP38" s="231"/>
      <c r="BQ38" s="231"/>
      <c r="BR38" s="231"/>
      <c r="BS38" s="231"/>
      <c r="BT38" s="231"/>
      <c r="BU38" s="231"/>
      <c r="BV38" s="231"/>
      <c r="BW38" s="231"/>
      <c r="BX38" s="231"/>
      <c r="BY38" s="231"/>
      <c r="BZ38" s="231"/>
      <c r="CA38" s="231"/>
      <c r="CB38" s="231"/>
      <c r="CC38" s="231"/>
      <c r="CD38" s="231"/>
      <c r="CE38" s="231"/>
      <c r="CF38" s="231"/>
      <c r="CG38" s="231"/>
      <c r="CH38" s="231"/>
      <c r="CI38" s="231"/>
    </row>
    <row r="39" spans="1:101" ht="25.2" customHeight="1" outlineLevel="1">
      <c r="A39" s="204">
        <v>32</v>
      </c>
      <c r="B39" s="207">
        <v>2008</v>
      </c>
      <c r="C39" s="208" t="s">
        <v>214</v>
      </c>
      <c r="D39" s="194" t="s">
        <v>181</v>
      </c>
      <c r="E39" s="209">
        <f t="shared" si="4"/>
        <v>124.2</v>
      </c>
      <c r="F39" s="216">
        <v>68</v>
      </c>
      <c r="G39" s="217">
        <v>0.8</v>
      </c>
      <c r="H39" s="218">
        <v>0.2</v>
      </c>
      <c r="I39" s="230">
        <f t="shared" si="5"/>
        <v>29.8</v>
      </c>
      <c r="J39" s="216">
        <v>1.3</v>
      </c>
      <c r="K39" s="216">
        <v>1.2</v>
      </c>
      <c r="L39" s="233"/>
      <c r="M39" s="216">
        <v>34</v>
      </c>
      <c r="N39" s="216">
        <v>49.4</v>
      </c>
      <c r="O39" s="216">
        <v>1</v>
      </c>
      <c r="P39" s="216">
        <v>23</v>
      </c>
      <c r="Q39" s="216">
        <v>0.05</v>
      </c>
      <c r="R39" s="216">
        <v>0.05</v>
      </c>
      <c r="S39" s="216">
        <v>0.6</v>
      </c>
      <c r="T39" s="240">
        <v>31</v>
      </c>
      <c r="U39" s="240">
        <v>210</v>
      </c>
      <c r="V39" s="240">
        <v>201</v>
      </c>
      <c r="W39" s="241">
        <v>0.38700000000000001</v>
      </c>
      <c r="X39" s="233">
        <v>0.2</v>
      </c>
      <c r="Y39" s="240">
        <v>260</v>
      </c>
      <c r="Z39" s="216">
        <v>7.1</v>
      </c>
      <c r="AA39" s="241">
        <v>0.8</v>
      </c>
      <c r="AB39" s="241">
        <v>0.20899999999999999</v>
      </c>
      <c r="AC39" s="240">
        <v>11</v>
      </c>
      <c r="AD39" s="240">
        <v>0</v>
      </c>
      <c r="AE39" s="233"/>
      <c r="AF39" s="233">
        <v>0</v>
      </c>
      <c r="AG39" s="240">
        <v>0</v>
      </c>
      <c r="AH39" s="240">
        <f t="shared" si="6"/>
        <v>0</v>
      </c>
      <c r="AI39" s="236">
        <f t="shared" si="7"/>
        <v>12.5</v>
      </c>
      <c r="AJ39" s="252"/>
      <c r="AK39" s="233">
        <v>0.26</v>
      </c>
      <c r="AL39" s="216">
        <v>1.8</v>
      </c>
      <c r="AM39" s="236">
        <v>150</v>
      </c>
      <c r="AN39" s="231"/>
      <c r="AO39" s="231"/>
      <c r="AP39" s="231"/>
      <c r="AQ39" s="231"/>
      <c r="AR39" s="231"/>
      <c r="AS39" s="231"/>
      <c r="AT39" s="231"/>
      <c r="AU39" s="231"/>
      <c r="AV39" s="231"/>
      <c r="AW39" s="236">
        <v>1.7999999999999999E-2</v>
      </c>
      <c r="AX39" s="242">
        <v>1.7999999999999999E-2</v>
      </c>
      <c r="AY39" s="242">
        <v>0</v>
      </c>
      <c r="AZ39" s="242">
        <v>1E-3</v>
      </c>
      <c r="BA39" s="242">
        <v>0</v>
      </c>
      <c r="BB39" s="242">
        <v>0</v>
      </c>
      <c r="BC39" s="242">
        <v>0</v>
      </c>
      <c r="BD39" s="242">
        <v>1E-3</v>
      </c>
      <c r="BE39" s="231">
        <v>0</v>
      </c>
      <c r="BF39" s="242">
        <v>0</v>
      </c>
      <c r="BG39" s="242">
        <v>1E-3</v>
      </c>
      <c r="BH39" s="242">
        <v>1.4E-2</v>
      </c>
      <c r="BI39" s="242">
        <v>1.2999999999999999E-2</v>
      </c>
      <c r="BJ39" s="242">
        <v>1E-3</v>
      </c>
      <c r="BK39" s="242">
        <v>0</v>
      </c>
      <c r="BL39" s="242">
        <v>0</v>
      </c>
      <c r="BM39" s="242">
        <v>0</v>
      </c>
      <c r="BN39" s="242"/>
      <c r="BO39" s="231">
        <v>0</v>
      </c>
      <c r="BP39" s="231"/>
      <c r="BQ39" s="204">
        <v>30</v>
      </c>
      <c r="BR39" s="204">
        <v>10</v>
      </c>
      <c r="BS39" s="204">
        <v>2</v>
      </c>
      <c r="BT39" s="204">
        <v>40</v>
      </c>
      <c r="BU39" s="204">
        <v>40</v>
      </c>
      <c r="BV39" s="204">
        <v>30</v>
      </c>
      <c r="BW39" s="204">
        <v>40</v>
      </c>
      <c r="BX39" s="204">
        <v>30</v>
      </c>
      <c r="BY39" s="204">
        <v>30</v>
      </c>
      <c r="BZ39" s="204">
        <v>10</v>
      </c>
      <c r="CA39" s="204">
        <v>12</v>
      </c>
      <c r="CB39" s="204">
        <v>48</v>
      </c>
      <c r="CC39" s="204">
        <v>58</v>
      </c>
      <c r="CD39" s="204">
        <v>176</v>
      </c>
      <c r="CE39" s="204">
        <v>139</v>
      </c>
      <c r="CF39" s="204">
        <v>42</v>
      </c>
      <c r="CG39" s="204">
        <v>34</v>
      </c>
      <c r="CH39" s="204">
        <v>50</v>
      </c>
      <c r="CI39" s="231"/>
    </row>
    <row r="40" spans="1:101" ht="25.2" customHeight="1" outlineLevel="1">
      <c r="A40" s="204">
        <v>33</v>
      </c>
      <c r="B40" s="207">
        <v>2009</v>
      </c>
      <c r="C40" s="208" t="s">
        <v>215</v>
      </c>
      <c r="D40" s="194" t="s">
        <v>181</v>
      </c>
      <c r="E40" s="209">
        <f t="shared" si="4"/>
        <v>119.1</v>
      </c>
      <c r="F40" s="216">
        <v>69.900000000000006</v>
      </c>
      <c r="G40" s="217">
        <v>1.2</v>
      </c>
      <c r="H40" s="218">
        <v>0.3</v>
      </c>
      <c r="I40" s="230">
        <f t="shared" si="5"/>
        <v>27.9</v>
      </c>
      <c r="J40" s="216">
        <v>0.8</v>
      </c>
      <c r="K40" s="216">
        <v>0.7</v>
      </c>
      <c r="L40" s="233"/>
      <c r="M40" s="216">
        <v>36</v>
      </c>
      <c r="N40" s="216">
        <v>56</v>
      </c>
      <c r="O40" s="216">
        <v>0.9</v>
      </c>
      <c r="P40" s="216">
        <v>30</v>
      </c>
      <c r="Q40" s="216">
        <v>0.12</v>
      </c>
      <c r="R40" s="216">
        <v>0.05</v>
      </c>
      <c r="S40" s="216">
        <v>0.6</v>
      </c>
      <c r="T40" s="231">
        <v>350</v>
      </c>
      <c r="U40" s="231">
        <v>107</v>
      </c>
      <c r="V40" s="231">
        <v>68</v>
      </c>
      <c r="W40" s="242"/>
      <c r="X40" s="232"/>
      <c r="Y40" s="231"/>
      <c r="Z40" s="231"/>
      <c r="AA40" s="241"/>
      <c r="AB40" s="241"/>
      <c r="AC40" s="240"/>
      <c r="AD40" s="240"/>
      <c r="AE40" s="233"/>
      <c r="AF40" s="233"/>
      <c r="AG40" s="240">
        <v>0</v>
      </c>
      <c r="AH40" s="240">
        <f t="shared" si="6"/>
        <v>0</v>
      </c>
      <c r="AI40" s="236">
        <f t="shared" si="7"/>
        <v>122.5</v>
      </c>
      <c r="AJ40" s="252"/>
      <c r="AK40" s="233"/>
      <c r="AL40" s="216"/>
      <c r="AM40" s="236">
        <v>1470</v>
      </c>
      <c r="AN40" s="231"/>
      <c r="AO40" s="231"/>
      <c r="AP40" s="231"/>
      <c r="AQ40" s="231"/>
      <c r="AR40" s="231"/>
      <c r="AS40" s="231"/>
      <c r="AT40" s="231"/>
      <c r="AU40" s="231"/>
      <c r="AV40" s="231"/>
      <c r="AW40" s="236"/>
      <c r="AX40" s="242"/>
      <c r="AY40" s="242"/>
      <c r="AZ40" s="242"/>
      <c r="BA40" s="242"/>
      <c r="BB40" s="242"/>
      <c r="BC40" s="242"/>
      <c r="BD40" s="242"/>
      <c r="BE40" s="231"/>
      <c r="BF40" s="242"/>
      <c r="BG40" s="242"/>
      <c r="BH40" s="242"/>
      <c r="BI40" s="242"/>
      <c r="BJ40" s="242"/>
      <c r="BK40" s="242"/>
      <c r="BL40" s="242"/>
      <c r="BM40" s="242"/>
      <c r="BN40" s="242"/>
      <c r="BO40" s="231">
        <v>0</v>
      </c>
      <c r="BP40" s="231"/>
      <c r="BQ40" s="204">
        <v>42</v>
      </c>
      <c r="BR40" s="204">
        <v>11</v>
      </c>
      <c r="BS40" s="204">
        <v>12</v>
      </c>
      <c r="BT40" s="204">
        <v>42</v>
      </c>
      <c r="BU40" s="204">
        <v>50</v>
      </c>
      <c r="BV40" s="204">
        <v>61</v>
      </c>
      <c r="BW40" s="204">
        <v>64</v>
      </c>
      <c r="BX40" s="204">
        <v>40</v>
      </c>
      <c r="BY40" s="204">
        <v>35</v>
      </c>
      <c r="BZ40" s="204">
        <v>19</v>
      </c>
      <c r="CA40" s="204">
        <v>12</v>
      </c>
      <c r="CB40" s="204">
        <v>48</v>
      </c>
      <c r="CC40" s="204">
        <v>58</v>
      </c>
      <c r="CD40" s="204">
        <v>176</v>
      </c>
      <c r="CE40" s="204">
        <v>130</v>
      </c>
      <c r="CF40" s="204">
        <v>12</v>
      </c>
      <c r="CG40" s="204">
        <v>34</v>
      </c>
      <c r="CH40" s="204">
        <v>50</v>
      </c>
      <c r="CI40" s="231"/>
    </row>
    <row r="41" spans="1:101" ht="25.2" customHeight="1" outlineLevel="1">
      <c r="A41" s="204">
        <v>34</v>
      </c>
      <c r="B41" s="207">
        <v>2010</v>
      </c>
      <c r="C41" s="208" t="s">
        <v>216</v>
      </c>
      <c r="D41" s="194" t="s">
        <v>181</v>
      </c>
      <c r="E41" s="209">
        <f t="shared" si="4"/>
        <v>113.4</v>
      </c>
      <c r="F41" s="216">
        <v>70.8</v>
      </c>
      <c r="G41" s="217">
        <v>1.5</v>
      </c>
      <c r="H41" s="218">
        <v>0.2</v>
      </c>
      <c r="I41" s="230">
        <f t="shared" si="5"/>
        <v>26.4</v>
      </c>
      <c r="J41" s="216">
        <v>1.2</v>
      </c>
      <c r="K41" s="216">
        <v>1.1000000000000001</v>
      </c>
      <c r="L41" s="233"/>
      <c r="M41" s="216">
        <v>44</v>
      </c>
      <c r="N41" s="216">
        <v>44</v>
      </c>
      <c r="O41" s="216">
        <v>0.8</v>
      </c>
      <c r="P41" s="216">
        <v>4</v>
      </c>
      <c r="Q41" s="216">
        <v>0.09</v>
      </c>
      <c r="R41" s="216">
        <v>0.03</v>
      </c>
      <c r="S41" s="216">
        <v>0.1</v>
      </c>
      <c r="T41" s="231"/>
      <c r="U41" s="231"/>
      <c r="V41" s="231"/>
      <c r="W41" s="242"/>
      <c r="X41" s="232"/>
      <c r="Y41" s="231"/>
      <c r="Z41" s="231"/>
      <c r="AA41" s="241"/>
      <c r="AB41" s="241"/>
      <c r="AC41" s="240"/>
      <c r="AD41" s="240"/>
      <c r="AE41" s="233"/>
      <c r="AF41" s="233"/>
      <c r="AG41" s="240">
        <v>0</v>
      </c>
      <c r="AH41" s="240">
        <f t="shared" si="6"/>
        <v>0</v>
      </c>
      <c r="AI41" s="236">
        <f t="shared" si="7"/>
        <v>0</v>
      </c>
      <c r="AJ41" s="252"/>
      <c r="AK41" s="233"/>
      <c r="AL41" s="216"/>
      <c r="AM41" s="236"/>
      <c r="AN41" s="231"/>
      <c r="AO41" s="231"/>
      <c r="AP41" s="231"/>
      <c r="AQ41" s="231"/>
      <c r="AR41" s="231"/>
      <c r="AS41" s="231"/>
      <c r="AT41" s="231"/>
      <c r="AU41" s="231"/>
      <c r="AV41" s="231"/>
      <c r="AW41" s="236"/>
      <c r="AX41" s="242"/>
      <c r="AY41" s="242"/>
      <c r="AZ41" s="242"/>
      <c r="BA41" s="242"/>
      <c r="BB41" s="242"/>
      <c r="BC41" s="242"/>
      <c r="BD41" s="242"/>
      <c r="BE41" s="231"/>
      <c r="BF41" s="242"/>
      <c r="BG41" s="242"/>
      <c r="BH41" s="242"/>
      <c r="BI41" s="242"/>
      <c r="BJ41" s="242"/>
      <c r="BK41" s="242"/>
      <c r="BL41" s="242"/>
      <c r="BM41" s="242"/>
      <c r="BN41" s="242"/>
      <c r="BO41" s="231">
        <v>0</v>
      </c>
      <c r="BP41" s="231"/>
      <c r="BQ41" s="231"/>
      <c r="BR41" s="231"/>
      <c r="BS41" s="231"/>
      <c r="BT41" s="231"/>
      <c r="BU41" s="231"/>
      <c r="BV41" s="231"/>
      <c r="BW41" s="231"/>
      <c r="BX41" s="231"/>
      <c r="BY41" s="231"/>
      <c r="BZ41" s="231"/>
      <c r="CA41" s="231"/>
      <c r="CB41" s="231"/>
      <c r="CC41" s="231"/>
      <c r="CD41" s="231"/>
      <c r="CE41" s="231"/>
      <c r="CF41" s="231"/>
      <c r="CG41" s="231"/>
      <c r="CH41" s="231"/>
      <c r="CI41" s="231"/>
    </row>
    <row r="42" spans="1:101" ht="25.2" customHeight="1" outlineLevel="1">
      <c r="A42" s="204">
        <v>35</v>
      </c>
      <c r="B42" s="207">
        <v>2011</v>
      </c>
      <c r="C42" s="208" t="s">
        <v>217</v>
      </c>
      <c r="D42" s="194" t="s">
        <v>181</v>
      </c>
      <c r="E42" s="209">
        <f t="shared" si="4"/>
        <v>106.1</v>
      </c>
      <c r="F42" s="216">
        <v>72.5</v>
      </c>
      <c r="G42" s="217">
        <v>1</v>
      </c>
      <c r="H42" s="218">
        <v>0.1</v>
      </c>
      <c r="I42" s="230">
        <f t="shared" si="5"/>
        <v>25.3</v>
      </c>
      <c r="J42" s="216">
        <v>2</v>
      </c>
      <c r="K42" s="216">
        <v>1.1000000000000001</v>
      </c>
      <c r="L42" s="233"/>
      <c r="M42" s="236">
        <v>52</v>
      </c>
      <c r="N42" s="236">
        <v>35</v>
      </c>
      <c r="O42" s="236">
        <v>0.2</v>
      </c>
      <c r="P42" s="236">
        <v>3</v>
      </c>
      <c r="Q42" s="236"/>
      <c r="R42" s="236"/>
      <c r="S42" s="236"/>
      <c r="T42" s="231"/>
      <c r="U42" s="231"/>
      <c r="V42" s="231"/>
      <c r="W42" s="242"/>
      <c r="X42" s="232"/>
      <c r="Y42" s="231"/>
      <c r="Z42" s="231"/>
      <c r="AA42" s="241"/>
      <c r="AB42" s="241"/>
      <c r="AC42" s="240"/>
      <c r="AD42" s="240"/>
      <c r="AE42" s="236"/>
      <c r="AF42" s="236"/>
      <c r="AG42" s="240">
        <v>0</v>
      </c>
      <c r="AH42" s="240">
        <f t="shared" si="6"/>
        <v>0</v>
      </c>
      <c r="AI42" s="236">
        <f t="shared" si="7"/>
        <v>0</v>
      </c>
      <c r="AJ42" s="252"/>
      <c r="AK42" s="233"/>
      <c r="AL42" s="216"/>
      <c r="AM42" s="236"/>
      <c r="AN42" s="231"/>
      <c r="AO42" s="231"/>
      <c r="AP42" s="231"/>
      <c r="AQ42" s="231"/>
      <c r="AR42" s="231"/>
      <c r="AS42" s="231"/>
      <c r="AT42" s="231"/>
      <c r="AU42" s="231"/>
      <c r="AV42" s="231"/>
      <c r="AW42" s="236"/>
      <c r="AX42" s="242"/>
      <c r="AY42" s="242"/>
      <c r="AZ42" s="242"/>
      <c r="BA42" s="242"/>
      <c r="BB42" s="242"/>
      <c r="BC42" s="242"/>
      <c r="BD42" s="242"/>
      <c r="BE42" s="231"/>
      <c r="BF42" s="242"/>
      <c r="BG42" s="242"/>
      <c r="BH42" s="242"/>
      <c r="BI42" s="242"/>
      <c r="BJ42" s="242"/>
      <c r="BK42" s="242"/>
      <c r="BL42" s="242"/>
      <c r="BM42" s="242"/>
      <c r="BN42" s="242"/>
      <c r="BO42" s="231">
        <v>0</v>
      </c>
      <c r="BP42" s="231"/>
      <c r="BQ42" s="231"/>
      <c r="BR42" s="231"/>
      <c r="BS42" s="231"/>
      <c r="BT42" s="231"/>
      <c r="BU42" s="231"/>
      <c r="BV42" s="231"/>
      <c r="BW42" s="231"/>
      <c r="BX42" s="231"/>
      <c r="BY42" s="231"/>
      <c r="BZ42" s="231"/>
      <c r="CA42" s="231"/>
      <c r="CB42" s="231"/>
      <c r="CC42" s="231"/>
      <c r="CD42" s="231"/>
      <c r="CE42" s="231"/>
      <c r="CF42" s="231"/>
      <c r="CG42" s="231"/>
      <c r="CH42" s="231"/>
      <c r="CI42" s="231"/>
    </row>
    <row r="43" spans="1:101" ht="25.2" customHeight="1" outlineLevel="1">
      <c r="A43" s="204">
        <v>36</v>
      </c>
      <c r="B43" s="207">
        <v>2012</v>
      </c>
      <c r="C43" s="208" t="s">
        <v>218</v>
      </c>
      <c r="D43" s="194" t="s">
        <v>181</v>
      </c>
      <c r="E43" s="209">
        <f t="shared" si="4"/>
        <v>113.6</v>
      </c>
      <c r="F43" s="216">
        <v>70</v>
      </c>
      <c r="G43" s="217">
        <v>0.8</v>
      </c>
      <c r="H43" s="218"/>
      <c r="I43" s="230">
        <f t="shared" si="5"/>
        <v>27.6</v>
      </c>
      <c r="J43" s="216">
        <v>2.5</v>
      </c>
      <c r="K43" s="216">
        <v>1.6</v>
      </c>
      <c r="L43" s="233"/>
      <c r="M43" s="236">
        <v>64</v>
      </c>
      <c r="N43" s="236">
        <v>107</v>
      </c>
      <c r="O43" s="236">
        <v>1.7</v>
      </c>
      <c r="P43" s="236"/>
      <c r="Q43" s="236"/>
      <c r="R43" s="236"/>
      <c r="S43" s="236"/>
      <c r="T43" s="231"/>
      <c r="U43" s="231"/>
      <c r="V43" s="231"/>
      <c r="W43" s="242"/>
      <c r="X43" s="232"/>
      <c r="Y43" s="231"/>
      <c r="Z43" s="231"/>
      <c r="AA43" s="241"/>
      <c r="AB43" s="241"/>
      <c r="AC43" s="240"/>
      <c r="AD43" s="240"/>
      <c r="AE43" s="236"/>
      <c r="AF43" s="236"/>
      <c r="AG43" s="240">
        <v>0</v>
      </c>
      <c r="AH43" s="240">
        <f t="shared" si="6"/>
        <v>0</v>
      </c>
      <c r="AI43" s="236">
        <f t="shared" si="7"/>
        <v>0</v>
      </c>
      <c r="AJ43" s="252"/>
      <c r="AK43" s="233"/>
      <c r="AL43" s="216"/>
      <c r="AM43" s="236"/>
      <c r="AN43" s="231"/>
      <c r="AO43" s="231"/>
      <c r="AP43" s="231"/>
      <c r="AQ43" s="231"/>
      <c r="AR43" s="231"/>
      <c r="AS43" s="231"/>
      <c r="AT43" s="231"/>
      <c r="AU43" s="231"/>
      <c r="AV43" s="231"/>
      <c r="AW43" s="236"/>
      <c r="AX43" s="242"/>
      <c r="AY43" s="242"/>
      <c r="AZ43" s="242"/>
      <c r="BA43" s="242"/>
      <c r="BB43" s="242"/>
      <c r="BC43" s="242"/>
      <c r="BD43" s="242"/>
      <c r="BE43" s="231"/>
      <c r="BF43" s="242"/>
      <c r="BG43" s="242"/>
      <c r="BH43" s="242"/>
      <c r="BI43" s="242"/>
      <c r="BJ43" s="242"/>
      <c r="BK43" s="242"/>
      <c r="BL43" s="242"/>
      <c r="BM43" s="242"/>
      <c r="BN43" s="242"/>
      <c r="BO43" s="231">
        <v>0</v>
      </c>
      <c r="BP43" s="231"/>
      <c r="BQ43" s="231"/>
      <c r="BR43" s="231"/>
      <c r="BS43" s="231"/>
      <c r="BT43" s="231"/>
      <c r="BU43" s="231"/>
      <c r="BV43" s="231"/>
      <c r="BW43" s="231"/>
      <c r="BX43" s="231"/>
      <c r="BY43" s="231"/>
      <c r="BZ43" s="231"/>
      <c r="CA43" s="231"/>
      <c r="CB43" s="231"/>
      <c r="CC43" s="231"/>
      <c r="CD43" s="231"/>
      <c r="CE43" s="231"/>
      <c r="CF43" s="231"/>
      <c r="CG43" s="231"/>
      <c r="CH43" s="231"/>
      <c r="CI43" s="231"/>
    </row>
    <row r="44" spans="1:101" ht="25.2" customHeight="1" outlineLevel="1">
      <c r="A44" s="204">
        <v>37</v>
      </c>
      <c r="B44" s="207">
        <v>2013</v>
      </c>
      <c r="C44" s="208" t="s">
        <v>219</v>
      </c>
      <c r="D44" s="194" t="s">
        <v>181</v>
      </c>
      <c r="E44" s="209">
        <f t="shared" si="4"/>
        <v>118.9</v>
      </c>
      <c r="F44" s="216">
        <v>69</v>
      </c>
      <c r="G44" s="217">
        <v>1.8</v>
      </c>
      <c r="H44" s="218">
        <v>0.1</v>
      </c>
      <c r="I44" s="230">
        <f t="shared" si="5"/>
        <v>27.7</v>
      </c>
      <c r="J44" s="216">
        <v>1.2</v>
      </c>
      <c r="K44" s="216">
        <v>1.4</v>
      </c>
      <c r="L44" s="233"/>
      <c r="M44" s="216">
        <v>45</v>
      </c>
      <c r="N44" s="216">
        <v>75</v>
      </c>
      <c r="O44" s="216">
        <v>1.5</v>
      </c>
      <c r="P44" s="216">
        <v>4</v>
      </c>
      <c r="Q44" s="216">
        <v>0.06</v>
      </c>
      <c r="R44" s="216">
        <v>0.03</v>
      </c>
      <c r="S44" s="216">
        <v>0.1</v>
      </c>
      <c r="T44" s="240">
        <v>10</v>
      </c>
      <c r="U44" s="240">
        <v>448</v>
      </c>
      <c r="V44" s="240">
        <v>33</v>
      </c>
      <c r="W44" s="241">
        <v>0.38300000000000001</v>
      </c>
      <c r="X44" s="233"/>
      <c r="Y44" s="240"/>
      <c r="Z44" s="216"/>
      <c r="AA44" s="241">
        <v>0.30299999999999999</v>
      </c>
      <c r="AB44" s="241">
        <v>0.28299999999999997</v>
      </c>
      <c r="AC44" s="240">
        <v>22</v>
      </c>
      <c r="AD44" s="240">
        <v>0</v>
      </c>
      <c r="AE44" s="233"/>
      <c r="AF44" s="233">
        <v>0</v>
      </c>
      <c r="AG44" s="240">
        <v>0</v>
      </c>
      <c r="AH44" s="240">
        <f t="shared" si="6"/>
        <v>0</v>
      </c>
      <c r="AI44" s="236">
        <f t="shared" si="7"/>
        <v>3.75</v>
      </c>
      <c r="AJ44" s="252"/>
      <c r="AK44" s="233">
        <v>2.38</v>
      </c>
      <c r="AL44" s="216">
        <v>1</v>
      </c>
      <c r="AM44" s="236">
        <v>35</v>
      </c>
      <c r="AN44" s="231"/>
      <c r="AO44" s="231">
        <v>20</v>
      </c>
      <c r="AP44" s="231"/>
      <c r="AQ44" s="231"/>
      <c r="AR44" s="231"/>
      <c r="AS44" s="231"/>
      <c r="AT44" s="231"/>
      <c r="AU44" s="231"/>
      <c r="AV44" s="231"/>
      <c r="AW44" s="236">
        <v>4.1000000000000002E-2</v>
      </c>
      <c r="AX44" s="242">
        <v>3.5000000000000003E-2</v>
      </c>
      <c r="AY44" s="242">
        <v>0</v>
      </c>
      <c r="AZ44" s="231">
        <v>6.0000000000000001E-3</v>
      </c>
      <c r="BA44" s="242">
        <v>0</v>
      </c>
      <c r="BB44" s="242">
        <v>0</v>
      </c>
      <c r="BC44" s="242">
        <v>0</v>
      </c>
      <c r="BD44" s="242">
        <v>1.6E-2</v>
      </c>
      <c r="BE44" s="231">
        <v>0</v>
      </c>
      <c r="BF44" s="242">
        <v>0</v>
      </c>
      <c r="BG44" s="242">
        <v>1.6E-2</v>
      </c>
      <c r="BH44" s="242">
        <v>8.3000000000000004E-2</v>
      </c>
      <c r="BI44" s="242">
        <v>5.8000000000000003E-2</v>
      </c>
      <c r="BJ44" s="242">
        <v>2.5000000000000001E-2</v>
      </c>
      <c r="BK44" s="242">
        <v>0</v>
      </c>
      <c r="BL44" s="242">
        <v>0</v>
      </c>
      <c r="BM44" s="242">
        <v>0</v>
      </c>
      <c r="BN44" s="242"/>
      <c r="BO44" s="231">
        <v>0</v>
      </c>
      <c r="BP44" s="231"/>
      <c r="BQ44" s="204">
        <v>70</v>
      </c>
      <c r="BR44" s="204">
        <v>10</v>
      </c>
      <c r="BS44" s="204">
        <v>20</v>
      </c>
      <c r="BT44" s="204">
        <v>90</v>
      </c>
      <c r="BU44" s="204">
        <v>80</v>
      </c>
      <c r="BV44" s="204">
        <v>90</v>
      </c>
      <c r="BW44" s="204">
        <v>150</v>
      </c>
      <c r="BX44" s="204">
        <v>70</v>
      </c>
      <c r="BY44" s="204">
        <v>140</v>
      </c>
      <c r="BZ44" s="204">
        <v>30</v>
      </c>
      <c r="CA44" s="204">
        <v>17</v>
      </c>
      <c r="CB44" s="204">
        <v>54</v>
      </c>
      <c r="CC44" s="204">
        <v>40</v>
      </c>
      <c r="CD44" s="204">
        <v>180</v>
      </c>
      <c r="CE44" s="204">
        <v>80</v>
      </c>
      <c r="CF44" s="204">
        <v>68</v>
      </c>
      <c r="CG44" s="204">
        <v>61</v>
      </c>
      <c r="CH44" s="204">
        <v>110</v>
      </c>
      <c r="CI44" s="231"/>
      <c r="CV44" s="172"/>
      <c r="CW44" s="172"/>
    </row>
    <row r="45" spans="1:101" ht="25.2" customHeight="1" outlineLevel="1">
      <c r="A45" s="204">
        <v>38</v>
      </c>
      <c r="B45" s="207">
        <v>2014</v>
      </c>
      <c r="C45" s="208" t="s">
        <v>220</v>
      </c>
      <c r="D45" s="194" t="s">
        <v>181</v>
      </c>
      <c r="E45" s="209">
        <f t="shared" si="4"/>
        <v>96</v>
      </c>
      <c r="F45" s="216">
        <v>75</v>
      </c>
      <c r="G45" s="217">
        <v>2</v>
      </c>
      <c r="H45" s="218"/>
      <c r="I45" s="230">
        <f t="shared" si="5"/>
        <v>22</v>
      </c>
      <c r="J45" s="216">
        <v>1</v>
      </c>
      <c r="K45" s="216">
        <v>1</v>
      </c>
      <c r="L45" s="233"/>
      <c r="M45" s="216">
        <v>10</v>
      </c>
      <c r="N45" s="216">
        <v>50</v>
      </c>
      <c r="O45" s="216">
        <v>1.2</v>
      </c>
      <c r="P45" s="216">
        <v>10</v>
      </c>
      <c r="Q45" s="216">
        <v>0.1</v>
      </c>
      <c r="R45" s="216">
        <v>0.05</v>
      </c>
      <c r="S45" s="216">
        <v>0.9</v>
      </c>
      <c r="T45" s="240">
        <v>7</v>
      </c>
      <c r="U45" s="240">
        <v>396</v>
      </c>
      <c r="V45" s="240">
        <v>32</v>
      </c>
      <c r="W45" s="241">
        <v>0.2</v>
      </c>
      <c r="X45" s="233">
        <v>0.3</v>
      </c>
      <c r="Y45" s="240">
        <v>230</v>
      </c>
      <c r="Z45" s="216">
        <v>0.5</v>
      </c>
      <c r="AA45" s="241">
        <v>0.28100000000000003</v>
      </c>
      <c r="AB45" s="241">
        <v>0.20300000000000001</v>
      </c>
      <c r="AC45" s="240">
        <v>18</v>
      </c>
      <c r="AD45" s="240">
        <v>0</v>
      </c>
      <c r="AE45" s="233">
        <v>0.47</v>
      </c>
      <c r="AF45" s="233">
        <v>0</v>
      </c>
      <c r="AG45" s="240">
        <v>0</v>
      </c>
      <c r="AH45" s="240">
        <f t="shared" si="6"/>
        <v>0</v>
      </c>
      <c r="AI45" s="236">
        <f t="shared" si="7"/>
        <v>0.41666666666666702</v>
      </c>
      <c r="AJ45" s="252"/>
      <c r="AK45" s="233">
        <v>0.01</v>
      </c>
      <c r="AL45" s="216">
        <v>1.6</v>
      </c>
      <c r="AM45" s="236">
        <v>5</v>
      </c>
      <c r="AN45" s="231">
        <v>0</v>
      </c>
      <c r="AO45" s="231">
        <v>0</v>
      </c>
      <c r="AP45" s="231">
        <v>0</v>
      </c>
      <c r="AQ45" s="231">
        <v>13</v>
      </c>
      <c r="AR45" s="231"/>
      <c r="AS45" s="231"/>
      <c r="AT45" s="231"/>
      <c r="AU45" s="231"/>
      <c r="AV45" s="231">
        <v>16</v>
      </c>
      <c r="AW45" s="236">
        <v>2.5999999999999999E-2</v>
      </c>
      <c r="AX45" s="242">
        <v>1.6E-2</v>
      </c>
      <c r="AY45" s="242">
        <v>0</v>
      </c>
      <c r="AZ45" s="231">
        <v>4.0000000000000001E-3</v>
      </c>
      <c r="BA45" s="242">
        <v>0</v>
      </c>
      <c r="BB45" s="242">
        <v>0</v>
      </c>
      <c r="BC45" s="242">
        <v>0</v>
      </c>
      <c r="BD45" s="242">
        <v>2E-3</v>
      </c>
      <c r="BE45" s="231">
        <v>0</v>
      </c>
      <c r="BF45" s="242">
        <v>1E-3</v>
      </c>
      <c r="BG45" s="242">
        <v>1E-3</v>
      </c>
      <c r="BH45" s="242">
        <v>4.2000000000000003E-2</v>
      </c>
      <c r="BI45" s="242">
        <v>3.2000000000000001E-2</v>
      </c>
      <c r="BJ45" s="242">
        <v>0.01</v>
      </c>
      <c r="BK45" s="242">
        <v>0</v>
      </c>
      <c r="BL45" s="242">
        <v>0</v>
      </c>
      <c r="BM45" s="242">
        <v>0</v>
      </c>
      <c r="BN45" s="242"/>
      <c r="BO45" s="231">
        <v>0</v>
      </c>
      <c r="BP45" s="231"/>
      <c r="BQ45" s="204">
        <v>100</v>
      </c>
      <c r="BR45" s="204">
        <v>30</v>
      </c>
      <c r="BS45" s="204">
        <v>20</v>
      </c>
      <c r="BT45" s="204">
        <v>110</v>
      </c>
      <c r="BU45" s="204">
        <v>70</v>
      </c>
      <c r="BV45" s="204">
        <v>100</v>
      </c>
      <c r="BW45" s="204">
        <v>230</v>
      </c>
      <c r="BX45" s="204">
        <v>230</v>
      </c>
      <c r="BY45" s="204">
        <v>90</v>
      </c>
      <c r="BZ45" s="204">
        <v>30</v>
      </c>
      <c r="CA45" s="204">
        <v>10</v>
      </c>
      <c r="CB45" s="204">
        <v>47</v>
      </c>
      <c r="CC45" s="204">
        <v>76</v>
      </c>
      <c r="CD45" s="204">
        <v>211</v>
      </c>
      <c r="CE45" s="204">
        <v>174</v>
      </c>
      <c r="CF45" s="204">
        <v>64</v>
      </c>
      <c r="CG45" s="204">
        <v>64</v>
      </c>
      <c r="CH45" s="204">
        <v>70</v>
      </c>
      <c r="CI45" s="231"/>
    </row>
    <row r="46" spans="1:101" ht="25.2" customHeight="1" outlineLevel="1">
      <c r="A46" s="204">
        <v>39</v>
      </c>
      <c r="B46" s="207">
        <v>2015</v>
      </c>
      <c r="C46" s="208" t="s">
        <v>221</v>
      </c>
      <c r="D46" s="194" t="s">
        <v>181</v>
      </c>
      <c r="E46" s="209">
        <f t="shared" si="4"/>
        <v>338.1</v>
      </c>
      <c r="F46" s="216">
        <v>14.5</v>
      </c>
      <c r="G46" s="217">
        <v>0.6</v>
      </c>
      <c r="H46" s="218">
        <v>0.1</v>
      </c>
      <c r="I46" s="230">
        <f t="shared" si="5"/>
        <v>83.7</v>
      </c>
      <c r="J46" s="216">
        <v>1.5</v>
      </c>
      <c r="K46" s="216">
        <v>1.1000000000000001</v>
      </c>
      <c r="L46" s="233"/>
      <c r="M46" s="236">
        <v>40</v>
      </c>
      <c r="N46" s="236">
        <v>120</v>
      </c>
      <c r="O46" s="236">
        <v>1</v>
      </c>
      <c r="P46" s="236"/>
      <c r="Q46" s="236"/>
      <c r="R46" s="236"/>
      <c r="S46" s="236"/>
      <c r="T46" s="240"/>
      <c r="U46" s="240"/>
      <c r="V46" s="240"/>
      <c r="W46" s="241"/>
      <c r="X46" s="233"/>
      <c r="Y46" s="240"/>
      <c r="Z46" s="216"/>
      <c r="AA46" s="241"/>
      <c r="AB46" s="241"/>
      <c r="AC46" s="240"/>
      <c r="AD46" s="240"/>
      <c r="AE46" s="236"/>
      <c r="AF46" s="236"/>
      <c r="AG46" s="240">
        <v>0</v>
      </c>
      <c r="AH46" s="240">
        <f t="shared" si="6"/>
        <v>0</v>
      </c>
      <c r="AI46" s="236">
        <f t="shared" si="7"/>
        <v>0</v>
      </c>
      <c r="AJ46" s="252"/>
      <c r="AK46" s="233"/>
      <c r="AL46" s="216"/>
      <c r="AM46" s="236">
        <v>0</v>
      </c>
      <c r="AN46" s="236">
        <v>0</v>
      </c>
      <c r="AO46" s="236">
        <v>0</v>
      </c>
      <c r="AP46" s="236">
        <v>0</v>
      </c>
      <c r="AQ46" s="236">
        <v>0</v>
      </c>
      <c r="AR46" s="231"/>
      <c r="AS46" s="231"/>
      <c r="AT46" s="231"/>
      <c r="AU46" s="231"/>
      <c r="AV46" s="231"/>
      <c r="AW46" s="236"/>
      <c r="AX46" s="242"/>
      <c r="AY46" s="242"/>
      <c r="AZ46" s="242"/>
      <c r="BA46" s="242"/>
      <c r="BB46" s="242"/>
      <c r="BC46" s="242"/>
      <c r="BD46" s="242"/>
      <c r="BE46" s="231"/>
      <c r="BF46" s="242"/>
      <c r="BG46" s="242"/>
      <c r="BH46" s="242"/>
      <c r="BI46" s="242"/>
      <c r="BJ46" s="242"/>
      <c r="BK46" s="242"/>
      <c r="BL46" s="242"/>
      <c r="BM46" s="242"/>
      <c r="BN46" s="242"/>
      <c r="BO46" s="231">
        <v>0</v>
      </c>
      <c r="BP46" s="231"/>
      <c r="BQ46" s="231"/>
      <c r="BR46" s="231"/>
      <c r="BS46" s="231"/>
      <c r="BT46" s="231"/>
      <c r="BU46" s="231"/>
      <c r="BV46" s="231"/>
      <c r="BW46" s="231"/>
      <c r="BX46" s="231"/>
      <c r="BY46" s="231"/>
      <c r="BZ46" s="231"/>
      <c r="CA46" s="231"/>
      <c r="CB46" s="231"/>
      <c r="CC46" s="231"/>
      <c r="CD46" s="231"/>
      <c r="CE46" s="231"/>
      <c r="CF46" s="231"/>
      <c r="CG46" s="231"/>
      <c r="CH46" s="231"/>
      <c r="CI46" s="231"/>
    </row>
    <row r="47" spans="1:101" ht="25.2" customHeight="1" outlineLevel="1">
      <c r="A47" s="204">
        <v>40</v>
      </c>
      <c r="B47" s="207">
        <v>2016</v>
      </c>
      <c r="C47" s="208" t="s">
        <v>222</v>
      </c>
      <c r="D47" s="194" t="s">
        <v>181</v>
      </c>
      <c r="E47" s="209">
        <f t="shared" si="4"/>
        <v>343.2</v>
      </c>
      <c r="F47" s="216">
        <v>14</v>
      </c>
      <c r="G47" s="217">
        <v>0.6</v>
      </c>
      <c r="H47" s="218"/>
      <c r="I47" s="230">
        <f t="shared" si="5"/>
        <v>85.2</v>
      </c>
      <c r="J47" s="216">
        <v>0.5</v>
      </c>
      <c r="K47" s="216">
        <v>0.2</v>
      </c>
      <c r="L47" s="233"/>
      <c r="M47" s="236">
        <v>37</v>
      </c>
      <c r="N47" s="236">
        <v>18</v>
      </c>
      <c r="O47" s="236">
        <v>1.7</v>
      </c>
      <c r="P47" s="236"/>
      <c r="Q47" s="236"/>
      <c r="R47" s="236"/>
      <c r="S47" s="236"/>
      <c r="T47" s="193"/>
      <c r="U47" s="193"/>
      <c r="V47" s="193"/>
      <c r="W47" s="239"/>
      <c r="X47" s="227"/>
      <c r="Y47" s="246"/>
      <c r="Z47" s="193"/>
      <c r="AA47" s="241"/>
      <c r="AB47" s="241"/>
      <c r="AC47" s="240"/>
      <c r="AD47" s="240"/>
      <c r="AE47" s="236"/>
      <c r="AF47" s="236"/>
      <c r="AG47" s="240">
        <v>0</v>
      </c>
      <c r="AH47" s="240">
        <f t="shared" si="6"/>
        <v>0</v>
      </c>
      <c r="AI47" s="236">
        <f t="shared" si="7"/>
        <v>0</v>
      </c>
      <c r="AJ47" s="252"/>
      <c r="AK47" s="233"/>
      <c r="AL47" s="216"/>
      <c r="AM47" s="236">
        <v>0</v>
      </c>
      <c r="AN47" s="236">
        <v>0</v>
      </c>
      <c r="AO47" s="236">
        <v>0</v>
      </c>
      <c r="AP47" s="236">
        <v>0</v>
      </c>
      <c r="AQ47" s="236">
        <v>0</v>
      </c>
      <c r="AR47" s="231"/>
      <c r="AS47" s="231"/>
      <c r="AT47" s="231"/>
      <c r="AU47" s="231"/>
      <c r="AV47" s="231"/>
      <c r="AW47" s="236"/>
      <c r="AX47" s="242"/>
      <c r="AY47" s="242"/>
      <c r="AZ47" s="242"/>
      <c r="BA47" s="242"/>
      <c r="BB47" s="242"/>
      <c r="BC47" s="242"/>
      <c r="BD47" s="242"/>
      <c r="BE47" s="231"/>
      <c r="BF47" s="242"/>
      <c r="BG47" s="242"/>
      <c r="BH47" s="242"/>
      <c r="BI47" s="242"/>
      <c r="BJ47" s="242"/>
      <c r="BK47" s="242"/>
      <c r="BL47" s="242"/>
      <c r="BM47" s="242"/>
      <c r="BN47" s="242"/>
      <c r="BO47" s="231">
        <v>0</v>
      </c>
      <c r="BP47" s="231"/>
      <c r="BQ47" s="231"/>
      <c r="BR47" s="231"/>
      <c r="BS47" s="231"/>
      <c r="BT47" s="231"/>
      <c r="BU47" s="231"/>
      <c r="BV47" s="231"/>
      <c r="BW47" s="231"/>
      <c r="BX47" s="231"/>
      <c r="BY47" s="231"/>
      <c r="BZ47" s="231"/>
      <c r="CA47" s="231"/>
      <c r="CB47" s="231"/>
      <c r="CC47" s="231"/>
      <c r="CD47" s="231"/>
      <c r="CE47" s="231"/>
      <c r="CF47" s="231"/>
      <c r="CG47" s="231"/>
      <c r="CH47" s="231"/>
      <c r="CI47" s="231"/>
      <c r="CQ47" s="172"/>
      <c r="CR47" s="172"/>
      <c r="CS47" s="172"/>
      <c r="CT47" s="172"/>
      <c r="CU47" s="172"/>
    </row>
    <row r="48" spans="1:101" ht="25.2" customHeight="1" outlineLevel="1">
      <c r="A48" s="204">
        <v>41</v>
      </c>
      <c r="B48" s="207">
        <v>2017</v>
      </c>
      <c r="C48" s="208" t="s">
        <v>223</v>
      </c>
      <c r="D48" s="194" t="s">
        <v>181</v>
      </c>
      <c r="E48" s="209">
        <f t="shared" si="4"/>
        <v>340.5</v>
      </c>
      <c r="F48" s="216">
        <v>14</v>
      </c>
      <c r="G48" s="217">
        <v>2.2000000000000002</v>
      </c>
      <c r="H48" s="218">
        <v>0.5</v>
      </c>
      <c r="I48" s="230">
        <f t="shared" si="5"/>
        <v>81.8</v>
      </c>
      <c r="J48" s="216">
        <v>1.6</v>
      </c>
      <c r="K48" s="216">
        <v>1.5</v>
      </c>
      <c r="L48" s="233"/>
      <c r="M48" s="216">
        <v>50</v>
      </c>
      <c r="N48" s="216">
        <v>95</v>
      </c>
      <c r="O48" s="216">
        <v>2</v>
      </c>
      <c r="P48" s="216"/>
      <c r="Q48" s="216">
        <v>0.24</v>
      </c>
      <c r="R48" s="216">
        <v>0.09</v>
      </c>
      <c r="S48" s="216">
        <v>1.5</v>
      </c>
      <c r="T48" s="231"/>
      <c r="U48" s="231"/>
      <c r="V48" s="231"/>
      <c r="W48" s="242"/>
      <c r="X48" s="232"/>
      <c r="Y48" s="231"/>
      <c r="Z48" s="231"/>
      <c r="AA48" s="241"/>
      <c r="AB48" s="241"/>
      <c r="AC48" s="240"/>
      <c r="AD48" s="240"/>
      <c r="AE48" s="233"/>
      <c r="AF48" s="233"/>
      <c r="AG48" s="240">
        <v>0</v>
      </c>
      <c r="AH48" s="240">
        <f t="shared" si="6"/>
        <v>0</v>
      </c>
      <c r="AI48" s="236">
        <f t="shared" si="7"/>
        <v>0</v>
      </c>
      <c r="AJ48" s="252"/>
      <c r="AK48" s="233"/>
      <c r="AL48" s="216"/>
      <c r="AM48" s="236">
        <v>0</v>
      </c>
      <c r="AN48" s="236">
        <v>0</v>
      </c>
      <c r="AO48" s="236">
        <v>0</v>
      </c>
      <c r="AP48" s="236">
        <v>0</v>
      </c>
      <c r="AQ48" s="236">
        <v>0</v>
      </c>
      <c r="AR48" s="231"/>
      <c r="AS48" s="231"/>
      <c r="AT48" s="231"/>
      <c r="AU48" s="231"/>
      <c r="AV48" s="231"/>
      <c r="AW48" s="236"/>
      <c r="AX48" s="242"/>
      <c r="AY48" s="242"/>
      <c r="AZ48" s="242"/>
      <c r="BA48" s="242"/>
      <c r="BB48" s="242"/>
      <c r="BC48" s="242"/>
      <c r="BD48" s="242"/>
      <c r="BE48" s="231"/>
      <c r="BF48" s="242"/>
      <c r="BG48" s="242"/>
      <c r="BH48" s="242"/>
      <c r="BI48" s="242"/>
      <c r="BJ48" s="242"/>
      <c r="BK48" s="242"/>
      <c r="BL48" s="242"/>
      <c r="BM48" s="242"/>
      <c r="BN48" s="242"/>
      <c r="BO48" s="231">
        <v>0</v>
      </c>
      <c r="BP48" s="231"/>
      <c r="BQ48" s="231"/>
      <c r="BR48" s="231"/>
      <c r="BS48" s="231"/>
      <c r="BT48" s="231"/>
      <c r="BU48" s="231"/>
      <c r="BV48" s="231"/>
      <c r="BW48" s="231"/>
      <c r="BX48" s="231"/>
      <c r="BY48" s="231"/>
      <c r="BZ48" s="231"/>
      <c r="CA48" s="231"/>
      <c r="CB48" s="231"/>
      <c r="CC48" s="231"/>
      <c r="CD48" s="231"/>
      <c r="CE48" s="231"/>
      <c r="CF48" s="231"/>
      <c r="CG48" s="231"/>
      <c r="CH48" s="231"/>
      <c r="CI48" s="231"/>
      <c r="CM48" s="172"/>
      <c r="CN48" s="172"/>
      <c r="CO48" s="172"/>
      <c r="CP48" s="172"/>
    </row>
    <row r="49" spans="1:101" ht="25.2" customHeight="1" outlineLevel="1">
      <c r="A49" s="204">
        <v>42</v>
      </c>
      <c r="B49" s="207">
        <v>2018</v>
      </c>
      <c r="C49" s="208" t="s">
        <v>224</v>
      </c>
      <c r="D49" s="194" t="s">
        <v>181</v>
      </c>
      <c r="E49" s="209">
        <f t="shared" si="4"/>
        <v>343.2</v>
      </c>
      <c r="F49" s="216">
        <v>14</v>
      </c>
      <c r="G49" s="217">
        <v>0.2</v>
      </c>
      <c r="H49" s="218"/>
      <c r="I49" s="230">
        <f t="shared" si="5"/>
        <v>85.6</v>
      </c>
      <c r="J49" s="216">
        <v>1.5</v>
      </c>
      <c r="K49" s="216">
        <v>0.2</v>
      </c>
      <c r="L49" s="233"/>
      <c r="M49" s="233">
        <v>16</v>
      </c>
      <c r="N49" s="233">
        <v>17</v>
      </c>
      <c r="O49" s="233"/>
      <c r="P49" s="233"/>
      <c r="Q49" s="233"/>
      <c r="R49" s="233"/>
      <c r="S49" s="233"/>
      <c r="T49" s="231"/>
      <c r="U49" s="231"/>
      <c r="V49" s="231"/>
      <c r="W49" s="242"/>
      <c r="X49" s="232"/>
      <c r="Y49" s="231"/>
      <c r="Z49" s="231"/>
      <c r="AA49" s="241"/>
      <c r="AB49" s="241"/>
      <c r="AC49" s="240"/>
      <c r="AD49" s="240"/>
      <c r="AE49" s="233"/>
      <c r="AF49" s="233"/>
      <c r="AG49" s="240">
        <v>0</v>
      </c>
      <c r="AH49" s="240">
        <f t="shared" si="6"/>
        <v>0</v>
      </c>
      <c r="AI49" s="236">
        <f t="shared" si="7"/>
        <v>0</v>
      </c>
      <c r="AJ49" s="252"/>
      <c r="AK49" s="233"/>
      <c r="AL49" s="216"/>
      <c r="AM49" s="236">
        <v>0</v>
      </c>
      <c r="AN49" s="236">
        <v>0</v>
      </c>
      <c r="AO49" s="236">
        <v>0</v>
      </c>
      <c r="AP49" s="236">
        <v>0</v>
      </c>
      <c r="AQ49" s="236">
        <v>0</v>
      </c>
      <c r="AR49" s="231"/>
      <c r="AS49" s="231"/>
      <c r="AT49" s="231"/>
      <c r="AU49" s="231"/>
      <c r="AV49" s="231"/>
      <c r="AW49" s="236"/>
      <c r="AX49" s="242"/>
      <c r="AY49" s="242"/>
      <c r="AZ49" s="242"/>
      <c r="BA49" s="242"/>
      <c r="BB49" s="242"/>
      <c r="BC49" s="242"/>
      <c r="BD49" s="242"/>
      <c r="BE49" s="231"/>
      <c r="BF49" s="242"/>
      <c r="BG49" s="242"/>
      <c r="BH49" s="242"/>
      <c r="BI49" s="242"/>
      <c r="BJ49" s="242"/>
      <c r="BK49" s="242"/>
      <c r="BL49" s="242"/>
      <c r="BM49" s="242"/>
      <c r="BN49" s="242"/>
      <c r="BO49" s="231">
        <v>0</v>
      </c>
      <c r="BP49" s="231"/>
      <c r="BQ49" s="231"/>
      <c r="BR49" s="231"/>
      <c r="BS49" s="231"/>
      <c r="BT49" s="231"/>
      <c r="BU49" s="231"/>
      <c r="BV49" s="231"/>
      <c r="BW49" s="231"/>
      <c r="BX49" s="231"/>
      <c r="BY49" s="231"/>
      <c r="BZ49" s="231"/>
      <c r="CA49" s="231"/>
      <c r="CB49" s="231"/>
      <c r="CC49" s="231"/>
      <c r="CD49" s="231"/>
      <c r="CE49" s="231"/>
      <c r="CF49" s="231"/>
      <c r="CG49" s="231"/>
      <c r="CH49" s="231"/>
      <c r="CI49" s="231"/>
    </row>
    <row r="50" spans="1:101" ht="25.2" customHeight="1" outlineLevel="1">
      <c r="A50" s="204">
        <v>43</v>
      </c>
      <c r="B50" s="207">
        <v>2019</v>
      </c>
      <c r="C50" s="208" t="s">
        <v>225</v>
      </c>
      <c r="D50" s="194" t="s">
        <v>181</v>
      </c>
      <c r="E50" s="209">
        <f t="shared" si="4"/>
        <v>344.4</v>
      </c>
      <c r="F50" s="216">
        <v>13.6</v>
      </c>
      <c r="G50" s="217">
        <v>1</v>
      </c>
      <c r="H50" s="218"/>
      <c r="I50" s="230">
        <f t="shared" si="5"/>
        <v>85.1</v>
      </c>
      <c r="J50" s="216">
        <v>0.4</v>
      </c>
      <c r="K50" s="216">
        <v>0.3</v>
      </c>
      <c r="L50" s="233"/>
      <c r="M50" s="216">
        <v>30</v>
      </c>
      <c r="N50" s="216">
        <v>125</v>
      </c>
      <c r="O50" s="216">
        <v>3</v>
      </c>
      <c r="P50" s="216"/>
      <c r="Q50" s="216">
        <v>0.01</v>
      </c>
      <c r="R50" s="216"/>
      <c r="S50" s="216">
        <v>0.35</v>
      </c>
      <c r="T50" s="231"/>
      <c r="U50" s="231"/>
      <c r="V50" s="231"/>
      <c r="W50" s="242"/>
      <c r="X50" s="232"/>
      <c r="Y50" s="231"/>
      <c r="Z50" s="231"/>
      <c r="AA50" s="241">
        <v>0.47399999999999998</v>
      </c>
      <c r="AB50" s="241">
        <v>0.76900000000000002</v>
      </c>
      <c r="AC50" s="240">
        <v>25</v>
      </c>
      <c r="AD50" s="240">
        <v>0</v>
      </c>
      <c r="AE50" s="233"/>
      <c r="AF50" s="233">
        <v>0</v>
      </c>
      <c r="AG50" s="240">
        <v>0</v>
      </c>
      <c r="AH50" s="240">
        <f t="shared" si="6"/>
        <v>0</v>
      </c>
      <c r="AI50" s="236">
        <f t="shared" si="7"/>
        <v>0</v>
      </c>
      <c r="AJ50" s="252"/>
      <c r="AK50" s="233">
        <v>0.25</v>
      </c>
      <c r="AL50" s="216">
        <v>0</v>
      </c>
      <c r="AM50" s="236">
        <v>0</v>
      </c>
      <c r="AN50" s="236">
        <v>0</v>
      </c>
      <c r="AO50" s="236">
        <v>0</v>
      </c>
      <c r="AP50" s="236">
        <v>0</v>
      </c>
      <c r="AQ50" s="236">
        <v>0</v>
      </c>
      <c r="AR50" s="231"/>
      <c r="AS50" s="231"/>
      <c r="AT50" s="231"/>
      <c r="AU50" s="231"/>
      <c r="AV50" s="231"/>
      <c r="AW50" s="236">
        <v>0.09</v>
      </c>
      <c r="AX50" s="242">
        <v>5.6000000000000001E-2</v>
      </c>
      <c r="AY50" s="242">
        <v>0</v>
      </c>
      <c r="AZ50" s="242">
        <v>1.2E-2</v>
      </c>
      <c r="BA50" s="242">
        <v>0</v>
      </c>
      <c r="BB50" s="242">
        <v>0</v>
      </c>
      <c r="BC50" s="242">
        <v>0</v>
      </c>
      <c r="BD50" s="242">
        <v>8.0000000000000002E-3</v>
      </c>
      <c r="BE50" s="231">
        <v>0</v>
      </c>
      <c r="BF50" s="242">
        <v>3.0000000000000001E-3</v>
      </c>
      <c r="BG50" s="242">
        <v>4.0000000000000001E-3</v>
      </c>
      <c r="BH50" s="242">
        <v>0.15</v>
      </c>
      <c r="BI50" s="242">
        <v>0.112</v>
      </c>
      <c r="BJ50" s="242">
        <v>3.5000000000000003E-2</v>
      </c>
      <c r="BK50" s="242">
        <v>0</v>
      </c>
      <c r="BL50" s="242">
        <v>0</v>
      </c>
      <c r="BM50" s="242">
        <v>0</v>
      </c>
      <c r="BN50" s="242"/>
      <c r="BO50" s="231">
        <v>0</v>
      </c>
      <c r="BP50" s="231"/>
      <c r="BQ50" s="204">
        <v>35</v>
      </c>
      <c r="BR50" s="204">
        <v>8</v>
      </c>
      <c r="BS50" s="204">
        <v>9</v>
      </c>
      <c r="BT50" s="204">
        <v>24</v>
      </c>
      <c r="BU50" s="204">
        <v>20</v>
      </c>
      <c r="BV50" s="204">
        <v>36</v>
      </c>
      <c r="BW50" s="204">
        <v>33</v>
      </c>
      <c r="BX50" s="204">
        <v>22</v>
      </c>
      <c r="BY50" s="204">
        <v>25</v>
      </c>
      <c r="BZ50" s="204">
        <v>10</v>
      </c>
      <c r="CA50" s="204">
        <v>5</v>
      </c>
      <c r="CB50" s="204">
        <v>12</v>
      </c>
      <c r="CC50" s="204">
        <v>21</v>
      </c>
      <c r="CD50" s="204">
        <v>91</v>
      </c>
      <c r="CE50" s="204">
        <v>80</v>
      </c>
      <c r="CF50" s="204">
        <v>17</v>
      </c>
      <c r="CG50" s="204">
        <v>21</v>
      </c>
      <c r="CH50" s="204">
        <v>21</v>
      </c>
      <c r="CI50" s="231"/>
    </row>
    <row r="51" spans="1:101" ht="25.2" customHeight="1" outlineLevel="1">
      <c r="A51" s="204">
        <v>44</v>
      </c>
      <c r="B51" s="207">
        <v>2020</v>
      </c>
      <c r="C51" s="208" t="s">
        <v>226</v>
      </c>
      <c r="D51" s="194" t="s">
        <v>181</v>
      </c>
      <c r="E51" s="209">
        <f t="shared" si="4"/>
        <v>341.3</v>
      </c>
      <c r="F51" s="216">
        <v>14</v>
      </c>
      <c r="G51" s="217">
        <v>2.4</v>
      </c>
      <c r="H51" s="218">
        <v>0.5</v>
      </c>
      <c r="I51" s="230">
        <f t="shared" si="5"/>
        <v>81.8</v>
      </c>
      <c r="J51" s="216">
        <v>2.2000000000000002</v>
      </c>
      <c r="K51" s="216">
        <v>1.3</v>
      </c>
      <c r="L51" s="233"/>
      <c r="M51" s="216">
        <v>84</v>
      </c>
      <c r="N51" s="216">
        <v>37</v>
      </c>
      <c r="O51" s="216"/>
      <c r="P51" s="216"/>
      <c r="Q51" s="216">
        <v>0.02</v>
      </c>
      <c r="R51" s="216">
        <v>0.03</v>
      </c>
      <c r="S51" s="216">
        <v>0.06</v>
      </c>
      <c r="T51" s="231"/>
      <c r="U51" s="231"/>
      <c r="V51" s="231"/>
      <c r="W51" s="242"/>
      <c r="X51" s="232"/>
      <c r="Y51" s="231"/>
      <c r="Z51" s="231"/>
      <c r="AA51" s="241"/>
      <c r="AB51" s="241"/>
      <c r="AC51" s="240"/>
      <c r="AD51" s="240"/>
      <c r="AE51" s="233"/>
      <c r="AF51" s="233"/>
      <c r="AG51" s="240">
        <v>0</v>
      </c>
      <c r="AH51" s="240">
        <f t="shared" si="6"/>
        <v>0</v>
      </c>
      <c r="AI51" s="236">
        <f t="shared" si="7"/>
        <v>0</v>
      </c>
      <c r="AJ51" s="252"/>
      <c r="AK51" s="233"/>
      <c r="AL51" s="216"/>
      <c r="AM51" s="236">
        <v>0</v>
      </c>
      <c r="AN51" s="236">
        <v>0</v>
      </c>
      <c r="AO51" s="236">
        <v>0</v>
      </c>
      <c r="AP51" s="236">
        <v>0</v>
      </c>
      <c r="AQ51" s="236">
        <v>0</v>
      </c>
      <c r="AR51" s="231"/>
      <c r="AS51" s="231"/>
      <c r="AT51" s="231"/>
      <c r="AU51" s="231"/>
      <c r="AV51" s="231"/>
      <c r="AW51" s="236"/>
      <c r="AX51" s="242"/>
      <c r="AY51" s="242"/>
      <c r="AZ51" s="242"/>
      <c r="BA51" s="242"/>
      <c r="BB51" s="242"/>
      <c r="BC51" s="242"/>
      <c r="BD51" s="242"/>
      <c r="BE51" s="231"/>
      <c r="BF51" s="242"/>
      <c r="BG51" s="242"/>
      <c r="BH51" s="242"/>
      <c r="BI51" s="242"/>
      <c r="BJ51" s="242"/>
      <c r="BK51" s="242"/>
      <c r="BL51" s="242"/>
      <c r="BM51" s="242"/>
      <c r="BN51" s="242"/>
      <c r="BO51" s="231">
        <v>0</v>
      </c>
      <c r="BP51" s="231"/>
      <c r="BQ51" s="231"/>
      <c r="BR51" s="231"/>
      <c r="BS51" s="231"/>
      <c r="BT51" s="231"/>
      <c r="BU51" s="231"/>
      <c r="BV51" s="231"/>
      <c r="BW51" s="231"/>
      <c r="BX51" s="231"/>
      <c r="BY51" s="231"/>
      <c r="BZ51" s="231"/>
      <c r="CA51" s="231"/>
      <c r="CB51" s="231"/>
      <c r="CC51" s="231"/>
      <c r="CD51" s="231"/>
      <c r="CE51" s="231"/>
      <c r="CF51" s="231"/>
      <c r="CG51" s="231"/>
      <c r="CH51" s="231"/>
      <c r="CI51" s="231"/>
    </row>
    <row r="52" spans="1:101" ht="25.2" customHeight="1" outlineLevel="1">
      <c r="A52" s="204">
        <v>45</v>
      </c>
      <c r="B52" s="207">
        <v>2021</v>
      </c>
      <c r="C52" s="208" t="s">
        <v>227</v>
      </c>
      <c r="D52" s="194" t="s">
        <v>181</v>
      </c>
      <c r="E52" s="209">
        <f t="shared" si="4"/>
        <v>343.2</v>
      </c>
      <c r="F52" s="216">
        <v>14</v>
      </c>
      <c r="G52" s="217">
        <v>0.7</v>
      </c>
      <c r="H52" s="218"/>
      <c r="I52" s="230">
        <f t="shared" si="5"/>
        <v>85.1</v>
      </c>
      <c r="J52" s="216">
        <v>0.8</v>
      </c>
      <c r="K52" s="216">
        <v>0.2</v>
      </c>
      <c r="L52" s="233"/>
      <c r="M52" s="236">
        <v>18</v>
      </c>
      <c r="N52" s="236">
        <v>20</v>
      </c>
      <c r="O52" s="236">
        <v>1.5</v>
      </c>
      <c r="P52" s="236"/>
      <c r="Q52" s="236"/>
      <c r="R52" s="236"/>
      <c r="S52" s="236"/>
      <c r="T52" s="231"/>
      <c r="U52" s="231"/>
      <c r="V52" s="231"/>
      <c r="W52" s="242"/>
      <c r="X52" s="232"/>
      <c r="Y52" s="231"/>
      <c r="Z52" s="231"/>
      <c r="AA52" s="241"/>
      <c r="AB52" s="241"/>
      <c r="AC52" s="240"/>
      <c r="AD52" s="240"/>
      <c r="AE52" s="236"/>
      <c r="AF52" s="236"/>
      <c r="AG52" s="240">
        <v>0</v>
      </c>
      <c r="AH52" s="240">
        <f t="shared" si="6"/>
        <v>0</v>
      </c>
      <c r="AI52" s="236">
        <f t="shared" si="7"/>
        <v>0</v>
      </c>
      <c r="AJ52" s="252"/>
      <c r="AK52" s="233"/>
      <c r="AL52" s="216"/>
      <c r="AM52" s="236">
        <v>0</v>
      </c>
      <c r="AN52" s="236">
        <v>0</v>
      </c>
      <c r="AO52" s="236">
        <v>0</v>
      </c>
      <c r="AP52" s="236">
        <v>0</v>
      </c>
      <c r="AQ52" s="236">
        <v>0</v>
      </c>
      <c r="AR52" s="231"/>
      <c r="AS52" s="231"/>
      <c r="AT52" s="231"/>
      <c r="AU52" s="231"/>
      <c r="AV52" s="231"/>
      <c r="AW52" s="236"/>
      <c r="AX52" s="242"/>
      <c r="AY52" s="242"/>
      <c r="AZ52" s="242"/>
      <c r="BA52" s="242"/>
      <c r="BB52" s="242"/>
      <c r="BC52" s="242"/>
      <c r="BD52" s="242"/>
      <c r="BE52" s="231"/>
      <c r="BF52" s="242"/>
      <c r="BG52" s="242"/>
      <c r="BH52" s="242"/>
      <c r="BI52" s="242"/>
      <c r="BJ52" s="242"/>
      <c r="BK52" s="242"/>
      <c r="BL52" s="242"/>
      <c r="BM52" s="242"/>
      <c r="BN52" s="242"/>
      <c r="BO52" s="231">
        <v>0</v>
      </c>
      <c r="BP52" s="231"/>
      <c r="BQ52" s="231"/>
      <c r="BR52" s="231"/>
      <c r="BS52" s="231"/>
      <c r="BT52" s="231"/>
      <c r="BU52" s="231"/>
      <c r="BV52" s="231"/>
      <c r="BW52" s="231"/>
      <c r="BX52" s="231"/>
      <c r="BY52" s="231"/>
      <c r="BZ52" s="231"/>
      <c r="CA52" s="231"/>
      <c r="CB52" s="231"/>
      <c r="CC52" s="231"/>
      <c r="CD52" s="231"/>
      <c r="CE52" s="231"/>
      <c r="CF52" s="231"/>
      <c r="CG52" s="231"/>
      <c r="CH52" s="231"/>
      <c r="CI52" s="231"/>
    </row>
    <row r="53" spans="1:101" ht="25.2" customHeight="1" outlineLevel="1">
      <c r="A53" s="204">
        <v>46</v>
      </c>
      <c r="B53" s="207">
        <v>2022</v>
      </c>
      <c r="C53" s="208" t="s">
        <v>228</v>
      </c>
      <c r="D53" s="194" t="s">
        <v>181</v>
      </c>
      <c r="E53" s="209">
        <f t="shared" si="4"/>
        <v>347.7</v>
      </c>
      <c r="F53" s="216">
        <v>11</v>
      </c>
      <c r="G53" s="217">
        <v>2.2000000000000002</v>
      </c>
      <c r="H53" s="218">
        <v>0.5</v>
      </c>
      <c r="I53" s="230">
        <f t="shared" si="5"/>
        <v>83.6</v>
      </c>
      <c r="J53" s="216">
        <v>3.6</v>
      </c>
      <c r="K53" s="216">
        <v>2.7</v>
      </c>
      <c r="L53" s="233"/>
      <c r="M53" s="216">
        <v>94.5625</v>
      </c>
      <c r="N53" s="216">
        <v>137.39375000000001</v>
      </c>
      <c r="O53" s="216">
        <v>2.78125</v>
      </c>
      <c r="P53" s="216"/>
      <c r="Q53" s="216">
        <v>0.09</v>
      </c>
      <c r="R53" s="216">
        <v>7.0000000000000007E-2</v>
      </c>
      <c r="S53" s="216">
        <v>1.66875</v>
      </c>
      <c r="T53" s="240">
        <v>86.21875</v>
      </c>
      <c r="U53" s="240">
        <v>584.0625</v>
      </c>
      <c r="V53" s="240">
        <v>559.03125</v>
      </c>
      <c r="W53" s="241">
        <v>1.0763437499999999</v>
      </c>
      <c r="X53" s="233">
        <v>0.55625000000000002</v>
      </c>
      <c r="Y53" s="240">
        <v>723.125</v>
      </c>
      <c r="Z53" s="216">
        <v>19.746874999999999</v>
      </c>
      <c r="AA53" s="241">
        <v>2.2250000000000001</v>
      </c>
      <c r="AB53" s="241">
        <v>0.58128124999999997</v>
      </c>
      <c r="AC53" s="240">
        <v>30.59375</v>
      </c>
      <c r="AD53" s="240">
        <v>0</v>
      </c>
      <c r="AE53" s="233"/>
      <c r="AF53" s="240">
        <v>0</v>
      </c>
      <c r="AG53" s="240">
        <v>0</v>
      </c>
      <c r="AH53" s="240">
        <f t="shared" si="6"/>
        <v>0</v>
      </c>
      <c r="AI53" s="240">
        <f t="shared" si="7"/>
        <v>34.765625</v>
      </c>
      <c r="AJ53" s="252"/>
      <c r="AK53" s="233">
        <v>0.72312500000000002</v>
      </c>
      <c r="AL53" s="216">
        <v>5.0062499999999996</v>
      </c>
      <c r="AM53" s="240">
        <v>417.1875</v>
      </c>
      <c r="AN53" s="231"/>
      <c r="AO53" s="231"/>
      <c r="AP53" s="231"/>
      <c r="AQ53" s="231"/>
      <c r="AR53" s="231"/>
      <c r="AS53" s="231"/>
      <c r="AT53" s="231"/>
      <c r="AU53" s="231"/>
      <c r="AV53" s="231"/>
      <c r="AW53" s="240">
        <v>4.4999999999999998E-2</v>
      </c>
      <c r="AX53" s="242">
        <v>4.4999999999999998E-2</v>
      </c>
      <c r="AY53" s="242">
        <v>0</v>
      </c>
      <c r="AZ53" s="242">
        <v>2.5000000000000001E-3</v>
      </c>
      <c r="BA53" s="242">
        <v>0</v>
      </c>
      <c r="BB53" s="242">
        <v>0</v>
      </c>
      <c r="BC53" s="242">
        <v>0</v>
      </c>
      <c r="BD53" s="242">
        <v>2.5000000000000001E-3</v>
      </c>
      <c r="BE53" s="242">
        <v>0</v>
      </c>
      <c r="BF53" s="242">
        <v>0</v>
      </c>
      <c r="BG53" s="242">
        <v>2.5000000000000001E-3</v>
      </c>
      <c r="BH53" s="242">
        <v>3.5000000000000003E-2</v>
      </c>
      <c r="BI53" s="242">
        <v>3.2500000000000001E-2</v>
      </c>
      <c r="BJ53" s="242">
        <v>2.5000000000000001E-3</v>
      </c>
      <c r="BK53" s="242">
        <v>0</v>
      </c>
      <c r="BL53" s="242">
        <v>0</v>
      </c>
      <c r="BM53" s="242">
        <v>0</v>
      </c>
      <c r="BN53" s="242"/>
      <c r="BO53" s="231">
        <v>0</v>
      </c>
      <c r="BP53" s="231"/>
      <c r="BQ53" s="204">
        <v>70</v>
      </c>
      <c r="BR53" s="204">
        <v>30</v>
      </c>
      <c r="BS53" s="204">
        <v>4</v>
      </c>
      <c r="BT53" s="204">
        <v>100</v>
      </c>
      <c r="BU53" s="204">
        <v>110</v>
      </c>
      <c r="BV53" s="204">
        <v>90</v>
      </c>
      <c r="BW53" s="204">
        <v>120</v>
      </c>
      <c r="BX53" s="204">
        <v>90</v>
      </c>
      <c r="BY53" s="204">
        <v>90</v>
      </c>
      <c r="BZ53" s="204">
        <v>40</v>
      </c>
      <c r="CA53" s="243">
        <v>33</v>
      </c>
      <c r="CB53" s="243">
        <v>132</v>
      </c>
      <c r="CC53" s="243">
        <v>159.5</v>
      </c>
      <c r="CD53" s="243">
        <v>484</v>
      </c>
      <c r="CE53" s="243">
        <v>382.25</v>
      </c>
      <c r="CF53" s="243">
        <v>115.5</v>
      </c>
      <c r="CG53" s="243">
        <v>93.5</v>
      </c>
      <c r="CH53" s="243">
        <v>137.5</v>
      </c>
      <c r="CI53" s="231"/>
    </row>
    <row r="54" spans="1:101" ht="25.2" customHeight="1" outlineLevel="1">
      <c r="A54" s="204">
        <v>47</v>
      </c>
      <c r="B54" s="207">
        <v>2023</v>
      </c>
      <c r="C54" s="208" t="s">
        <v>229</v>
      </c>
      <c r="D54" s="194" t="s">
        <v>181</v>
      </c>
      <c r="E54" s="209">
        <f t="shared" si="4"/>
        <v>343.1</v>
      </c>
      <c r="F54" s="216">
        <v>11</v>
      </c>
      <c r="G54" s="217">
        <v>6.6</v>
      </c>
      <c r="H54" s="218">
        <v>0.3</v>
      </c>
      <c r="I54" s="230">
        <f t="shared" si="5"/>
        <v>78.5</v>
      </c>
      <c r="J54" s="216">
        <v>3.4</v>
      </c>
      <c r="K54" s="216">
        <v>3.6</v>
      </c>
      <c r="L54" s="233"/>
      <c r="M54" s="210">
        <v>37</v>
      </c>
      <c r="N54" s="210">
        <v>180</v>
      </c>
      <c r="O54" s="210">
        <v>4.3</v>
      </c>
      <c r="P54" s="210"/>
      <c r="Q54" s="210">
        <v>0.35599999999999998</v>
      </c>
      <c r="R54" s="210">
        <v>0.17799999999999999</v>
      </c>
      <c r="S54" s="210">
        <v>3.2040000000000002</v>
      </c>
      <c r="T54" s="209">
        <v>24.92</v>
      </c>
      <c r="U54" s="209">
        <v>1409.76</v>
      </c>
      <c r="V54" s="209">
        <v>113.92</v>
      </c>
      <c r="W54" s="231">
        <v>0.71199999999999997</v>
      </c>
      <c r="X54" s="232">
        <v>1.0680000000000001</v>
      </c>
      <c r="Y54" s="209">
        <v>818.8</v>
      </c>
      <c r="Z54" s="210">
        <v>1.78</v>
      </c>
      <c r="AA54" s="242">
        <v>1.0003599999999999</v>
      </c>
      <c r="AB54" s="231">
        <v>0.72267999999999999</v>
      </c>
      <c r="AC54" s="209">
        <v>64.08</v>
      </c>
      <c r="AD54" s="231">
        <v>0</v>
      </c>
      <c r="AE54" s="236"/>
      <c r="AF54" s="209">
        <v>0</v>
      </c>
      <c r="AG54" s="240">
        <v>0</v>
      </c>
      <c r="AH54" s="240">
        <f t="shared" si="6"/>
        <v>0</v>
      </c>
      <c r="AI54" s="209">
        <f t="shared" si="7"/>
        <v>1.4833333333333301</v>
      </c>
      <c r="AJ54" s="252"/>
      <c r="AK54" s="232">
        <v>3.56E-2</v>
      </c>
      <c r="AL54" s="210">
        <v>5.6959999999999997</v>
      </c>
      <c r="AM54" s="209">
        <v>17.8</v>
      </c>
      <c r="AN54" s="209">
        <v>0</v>
      </c>
      <c r="AO54" s="209">
        <v>0</v>
      </c>
      <c r="AP54" s="209">
        <v>0</v>
      </c>
      <c r="AQ54" s="209">
        <v>46.28</v>
      </c>
      <c r="AR54" s="231"/>
      <c r="AS54" s="231"/>
      <c r="AT54" s="231"/>
      <c r="AU54" s="231"/>
      <c r="AV54" s="231"/>
      <c r="AW54" s="209">
        <v>7.8E-2</v>
      </c>
      <c r="AX54" s="242">
        <v>4.8000000000000001E-2</v>
      </c>
      <c r="AY54" s="242">
        <v>0</v>
      </c>
      <c r="AZ54" s="242">
        <v>1.2E-2</v>
      </c>
      <c r="BA54" s="242">
        <v>0</v>
      </c>
      <c r="BB54" s="242">
        <v>0</v>
      </c>
      <c r="BC54" s="242">
        <v>0</v>
      </c>
      <c r="BD54" s="242">
        <v>6.0000000000000001E-3</v>
      </c>
      <c r="BE54" s="242">
        <v>0</v>
      </c>
      <c r="BF54" s="242">
        <v>3.0000000000000001E-3</v>
      </c>
      <c r="BG54" s="242">
        <v>3.0000000000000001E-3</v>
      </c>
      <c r="BH54" s="242">
        <v>0.126</v>
      </c>
      <c r="BI54" s="242">
        <v>9.6000000000000002E-2</v>
      </c>
      <c r="BJ54" s="242">
        <v>0.03</v>
      </c>
      <c r="BK54" s="242">
        <v>0</v>
      </c>
      <c r="BL54" s="242">
        <v>0</v>
      </c>
      <c r="BM54" s="242">
        <v>0</v>
      </c>
      <c r="BN54" s="242"/>
      <c r="BO54" s="231">
        <v>0</v>
      </c>
      <c r="BP54" s="231"/>
      <c r="BQ54" s="204">
        <v>330</v>
      </c>
      <c r="BR54" s="204">
        <v>110</v>
      </c>
      <c r="BS54" s="204">
        <v>50</v>
      </c>
      <c r="BT54" s="204">
        <v>360</v>
      </c>
      <c r="BU54" s="204">
        <v>240</v>
      </c>
      <c r="BV54" s="204">
        <v>320</v>
      </c>
      <c r="BW54" s="204">
        <v>750</v>
      </c>
      <c r="BX54" s="204">
        <v>750</v>
      </c>
      <c r="BY54" s="204">
        <v>290</v>
      </c>
      <c r="BZ54" s="204">
        <v>110</v>
      </c>
      <c r="CA54" s="243">
        <v>33</v>
      </c>
      <c r="CB54" s="243">
        <v>155.1</v>
      </c>
      <c r="CC54" s="243">
        <v>250.8</v>
      </c>
      <c r="CD54" s="243">
        <v>696.3</v>
      </c>
      <c r="CE54" s="243">
        <v>574.20000000000005</v>
      </c>
      <c r="CF54" s="243">
        <v>211.2</v>
      </c>
      <c r="CG54" s="243">
        <v>211.2</v>
      </c>
      <c r="CH54" s="243">
        <v>231</v>
      </c>
      <c r="CI54" s="231"/>
    </row>
    <row r="55" spans="1:101" ht="25.2" customHeight="1" outlineLevel="1">
      <c r="A55" s="204">
        <v>48</v>
      </c>
      <c r="B55" s="207">
        <v>2024</v>
      </c>
      <c r="C55" s="208" t="s">
        <v>230</v>
      </c>
      <c r="D55" s="194" t="s">
        <v>181</v>
      </c>
      <c r="E55" s="209">
        <f t="shared" si="4"/>
        <v>549.79999999999995</v>
      </c>
      <c r="F55" s="216">
        <v>3</v>
      </c>
      <c r="G55" s="217">
        <v>2.2000000000000002</v>
      </c>
      <c r="H55" s="218">
        <v>35.4</v>
      </c>
      <c r="I55" s="230">
        <f t="shared" si="5"/>
        <v>55.6</v>
      </c>
      <c r="J55" s="216">
        <v>6.3</v>
      </c>
      <c r="K55" s="216">
        <v>3.8</v>
      </c>
      <c r="L55" s="233"/>
      <c r="M55" s="216">
        <v>37</v>
      </c>
      <c r="N55" s="216">
        <v>130</v>
      </c>
      <c r="O55" s="216">
        <v>2.1</v>
      </c>
      <c r="P55" s="216">
        <v>1</v>
      </c>
      <c r="Q55" s="216">
        <v>0.15</v>
      </c>
      <c r="R55" s="216">
        <v>0.02</v>
      </c>
      <c r="S55" s="216">
        <v>4.5999999999999996</v>
      </c>
      <c r="T55" s="231"/>
      <c r="U55" s="231"/>
      <c r="V55" s="231"/>
      <c r="W55" s="242"/>
      <c r="X55" s="232"/>
      <c r="Y55" s="231"/>
      <c r="Z55" s="231"/>
      <c r="AA55" s="241"/>
      <c r="AB55" s="241"/>
      <c r="AC55" s="240"/>
      <c r="AD55" s="240"/>
      <c r="AE55" s="233"/>
      <c r="AF55" s="233"/>
      <c r="AG55" s="240">
        <v>0</v>
      </c>
      <c r="AH55" s="240">
        <f t="shared" si="6"/>
        <v>0</v>
      </c>
      <c r="AI55" s="236">
        <f t="shared" si="7"/>
        <v>0</v>
      </c>
      <c r="AJ55" s="252"/>
      <c r="AK55" s="233"/>
      <c r="AL55" s="216"/>
      <c r="AM55" s="236"/>
      <c r="AN55" s="231"/>
      <c r="AO55" s="231"/>
      <c r="AP55" s="231"/>
      <c r="AQ55" s="231"/>
      <c r="AR55" s="231"/>
      <c r="AS55" s="231"/>
      <c r="AT55" s="231"/>
      <c r="AU55" s="231"/>
      <c r="AV55" s="231"/>
      <c r="AW55" s="236"/>
      <c r="AX55" s="242"/>
      <c r="AY55" s="242"/>
      <c r="AZ55" s="242"/>
      <c r="BA55" s="242"/>
      <c r="BB55" s="242"/>
      <c r="BC55" s="242"/>
      <c r="BD55" s="242"/>
      <c r="BE55" s="231"/>
      <c r="BF55" s="242"/>
      <c r="BG55" s="242"/>
      <c r="BH55" s="242"/>
      <c r="BI55" s="242"/>
      <c r="BJ55" s="242"/>
      <c r="BK55" s="242"/>
      <c r="BL55" s="242"/>
      <c r="BM55" s="242"/>
      <c r="BN55" s="242"/>
      <c r="BO55" s="231">
        <v>0</v>
      </c>
      <c r="BP55" s="231"/>
      <c r="BQ55" s="231"/>
      <c r="BR55" s="231"/>
      <c r="BS55" s="231"/>
      <c r="BT55" s="231"/>
      <c r="BU55" s="231"/>
      <c r="BV55" s="231"/>
      <c r="BW55" s="231"/>
      <c r="BX55" s="231"/>
      <c r="BY55" s="231"/>
      <c r="BZ55" s="231"/>
      <c r="CA55" s="231"/>
      <c r="CB55" s="231"/>
      <c r="CC55" s="231"/>
      <c r="CD55" s="231"/>
      <c r="CE55" s="231"/>
      <c r="CF55" s="231"/>
      <c r="CG55" s="231"/>
      <c r="CH55" s="231"/>
      <c r="CI55" s="231"/>
    </row>
    <row r="56" spans="1:101" ht="25.2" customHeight="1" outlineLevel="1">
      <c r="A56" s="204">
        <v>49</v>
      </c>
      <c r="B56" s="207">
        <v>2025</v>
      </c>
      <c r="C56" s="208" t="s">
        <v>231</v>
      </c>
      <c r="D56" s="194" t="s">
        <v>181</v>
      </c>
      <c r="E56" s="209">
        <f t="shared" si="4"/>
        <v>351.5</v>
      </c>
      <c r="F56" s="216">
        <v>11</v>
      </c>
      <c r="G56" s="217">
        <v>3</v>
      </c>
      <c r="H56" s="218">
        <v>0.7</v>
      </c>
      <c r="I56" s="230">
        <f t="shared" si="5"/>
        <v>83.3</v>
      </c>
      <c r="J56" s="216">
        <v>3</v>
      </c>
      <c r="K56" s="216">
        <v>2</v>
      </c>
      <c r="L56" s="233"/>
      <c r="M56" s="216">
        <v>96</v>
      </c>
      <c r="N56" s="216">
        <v>81</v>
      </c>
      <c r="O56" s="216">
        <v>7.9</v>
      </c>
      <c r="P56" s="216"/>
      <c r="Q56" s="216">
        <v>0.06</v>
      </c>
      <c r="R56" s="216">
        <v>0.05</v>
      </c>
      <c r="S56" s="216">
        <v>0.8</v>
      </c>
      <c r="T56" s="231"/>
      <c r="U56" s="231"/>
      <c r="V56" s="231"/>
      <c r="W56" s="242"/>
      <c r="X56" s="232"/>
      <c r="Y56" s="231"/>
      <c r="Z56" s="231"/>
      <c r="AA56" s="241"/>
      <c r="AB56" s="241"/>
      <c r="AC56" s="240"/>
      <c r="AD56" s="240"/>
      <c r="AE56" s="233"/>
      <c r="AF56" s="233"/>
      <c r="AG56" s="240">
        <v>0</v>
      </c>
      <c r="AH56" s="240">
        <f t="shared" si="6"/>
        <v>0</v>
      </c>
      <c r="AI56" s="236">
        <f t="shared" si="7"/>
        <v>0</v>
      </c>
      <c r="AJ56" s="252"/>
      <c r="AK56" s="233"/>
      <c r="AL56" s="216"/>
      <c r="AM56" s="236">
        <v>0</v>
      </c>
      <c r="AN56" s="236">
        <v>0</v>
      </c>
      <c r="AO56" s="236">
        <v>0</v>
      </c>
      <c r="AP56" s="236">
        <v>0</v>
      </c>
      <c r="AQ56" s="236">
        <v>0</v>
      </c>
      <c r="AR56" s="231"/>
      <c r="AS56" s="231"/>
      <c r="AT56" s="231"/>
      <c r="AU56" s="231"/>
      <c r="AV56" s="231"/>
      <c r="AW56" s="236"/>
      <c r="AX56" s="242"/>
      <c r="AY56" s="242"/>
      <c r="AZ56" s="242"/>
      <c r="BA56" s="242"/>
      <c r="BB56" s="242"/>
      <c r="BC56" s="242"/>
      <c r="BD56" s="242"/>
      <c r="BE56" s="231"/>
      <c r="BF56" s="242"/>
      <c r="BG56" s="242"/>
      <c r="BH56" s="242"/>
      <c r="BI56" s="242"/>
      <c r="BJ56" s="242"/>
      <c r="BK56" s="242"/>
      <c r="BL56" s="242"/>
      <c r="BM56" s="242"/>
      <c r="BN56" s="242"/>
      <c r="BO56" s="231">
        <v>0</v>
      </c>
      <c r="BP56" s="231"/>
      <c r="BQ56" s="231"/>
      <c r="BR56" s="231"/>
      <c r="BS56" s="231"/>
      <c r="BT56" s="231"/>
      <c r="BU56" s="231"/>
      <c r="BV56" s="231"/>
      <c r="BW56" s="231"/>
      <c r="BX56" s="231"/>
      <c r="BY56" s="231"/>
      <c r="BZ56" s="231"/>
      <c r="CA56" s="231"/>
      <c r="CB56" s="231"/>
      <c r="CC56" s="231"/>
      <c r="CD56" s="231"/>
      <c r="CE56" s="231"/>
      <c r="CF56" s="231"/>
      <c r="CG56" s="231"/>
      <c r="CH56" s="231"/>
      <c r="CI56" s="231"/>
    </row>
    <row r="57" spans="1:101" ht="25.2" customHeight="1" outlineLevel="1">
      <c r="A57" s="204">
        <v>50</v>
      </c>
      <c r="B57" s="207">
        <v>2026</v>
      </c>
      <c r="C57" s="208" t="s">
        <v>232</v>
      </c>
      <c r="D57" s="194" t="s">
        <v>181</v>
      </c>
      <c r="E57" s="209">
        <f t="shared" si="4"/>
        <v>343.6</v>
      </c>
      <c r="F57" s="216">
        <v>14</v>
      </c>
      <c r="G57" s="217">
        <v>1</v>
      </c>
      <c r="H57" s="218"/>
      <c r="I57" s="230">
        <f t="shared" si="5"/>
        <v>84.9</v>
      </c>
      <c r="J57" s="216">
        <v>0.6</v>
      </c>
      <c r="K57" s="216">
        <v>0.1</v>
      </c>
      <c r="L57" s="233"/>
      <c r="M57" s="236">
        <v>30</v>
      </c>
      <c r="N57" s="236">
        <v>50</v>
      </c>
      <c r="O57" s="236">
        <v>2</v>
      </c>
      <c r="P57" s="236"/>
      <c r="Q57" s="236">
        <v>0.04</v>
      </c>
      <c r="R57" s="236"/>
      <c r="S57" s="236"/>
      <c r="T57" s="231"/>
      <c r="U57" s="231"/>
      <c r="V57" s="231"/>
      <c r="W57" s="242"/>
      <c r="X57" s="232"/>
      <c r="Y57" s="231"/>
      <c r="Z57" s="231"/>
      <c r="AA57" s="241"/>
      <c r="AB57" s="241"/>
      <c r="AC57" s="240"/>
      <c r="AD57" s="240"/>
      <c r="AE57" s="236"/>
      <c r="AF57" s="236"/>
      <c r="AG57" s="240">
        <v>0</v>
      </c>
      <c r="AH57" s="240">
        <f t="shared" si="6"/>
        <v>0</v>
      </c>
      <c r="AI57" s="236">
        <f t="shared" si="7"/>
        <v>0</v>
      </c>
      <c r="AJ57" s="252"/>
      <c r="AK57" s="233"/>
      <c r="AL57" s="216"/>
      <c r="AM57" s="236">
        <v>0</v>
      </c>
      <c r="AN57" s="236">
        <v>0</v>
      </c>
      <c r="AO57" s="236">
        <v>0</v>
      </c>
      <c r="AP57" s="236">
        <v>0</v>
      </c>
      <c r="AQ57" s="236">
        <v>0</v>
      </c>
      <c r="AR57" s="231"/>
      <c r="AS57" s="231"/>
      <c r="AT57" s="231"/>
      <c r="AU57" s="231"/>
      <c r="AV57" s="231"/>
      <c r="AW57" s="236"/>
      <c r="AX57" s="242"/>
      <c r="AY57" s="242"/>
      <c r="AZ57" s="242"/>
      <c r="BA57" s="242"/>
      <c r="BB57" s="242"/>
      <c r="BC57" s="242"/>
      <c r="BD57" s="242"/>
      <c r="BE57" s="231"/>
      <c r="BF57" s="242"/>
      <c r="BG57" s="242"/>
      <c r="BH57" s="242"/>
      <c r="BI57" s="242"/>
      <c r="BJ57" s="242"/>
      <c r="BK57" s="242"/>
      <c r="BL57" s="242"/>
      <c r="BM57" s="242"/>
      <c r="BN57" s="242"/>
      <c r="BO57" s="231">
        <v>0</v>
      </c>
      <c r="BP57" s="231"/>
      <c r="BQ57" s="231"/>
      <c r="BR57" s="231"/>
      <c r="BS57" s="231"/>
      <c r="BT57" s="231"/>
      <c r="BU57" s="231"/>
      <c r="BV57" s="231"/>
      <c r="BW57" s="231"/>
      <c r="BX57" s="231"/>
      <c r="BY57" s="231"/>
      <c r="BZ57" s="231"/>
      <c r="CA57" s="231"/>
      <c r="CB57" s="231"/>
      <c r="CC57" s="231"/>
      <c r="CD57" s="231"/>
      <c r="CE57" s="231"/>
      <c r="CF57" s="231"/>
      <c r="CG57" s="231"/>
      <c r="CH57" s="231"/>
      <c r="CI57" s="231"/>
    </row>
    <row r="58" spans="1:101" s="169" customFormat="1" ht="7.05" customHeight="1">
      <c r="A58" s="196"/>
      <c r="B58" s="196"/>
      <c r="C58" s="197"/>
      <c r="D58" s="198"/>
      <c r="E58" s="199"/>
      <c r="F58" s="199"/>
      <c r="G58" s="200"/>
      <c r="H58" s="201"/>
      <c r="I58" s="228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250"/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  <c r="BA58" s="199"/>
      <c r="BB58" s="199"/>
      <c r="BC58" s="199"/>
      <c r="BD58" s="199"/>
      <c r="BE58" s="199"/>
      <c r="BF58" s="199"/>
      <c r="BG58" s="199"/>
      <c r="BH58" s="199"/>
      <c r="BI58" s="199"/>
      <c r="BJ58" s="199"/>
      <c r="BK58" s="199"/>
      <c r="BL58" s="199"/>
      <c r="BM58" s="199"/>
      <c r="BN58" s="199"/>
      <c r="BO58" s="199"/>
      <c r="BP58" s="199"/>
      <c r="BQ58" s="199"/>
      <c r="BR58" s="199"/>
      <c r="BS58" s="199"/>
      <c r="BT58" s="199"/>
      <c r="BU58" s="199"/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</row>
    <row r="59" spans="1:101" ht="25.2" customHeight="1">
      <c r="A59" s="202" t="s">
        <v>233</v>
      </c>
      <c r="B59" s="202"/>
      <c r="C59" s="203" t="s">
        <v>234</v>
      </c>
      <c r="D59" s="194"/>
      <c r="E59" s="209"/>
      <c r="F59" s="204"/>
      <c r="G59" s="205"/>
      <c r="H59" s="206"/>
      <c r="I59" s="230"/>
      <c r="J59" s="204"/>
      <c r="K59" s="204"/>
      <c r="L59" s="213"/>
      <c r="M59" s="237"/>
      <c r="N59" s="237"/>
      <c r="O59" s="237"/>
      <c r="P59" s="237"/>
      <c r="Q59" s="237"/>
      <c r="R59" s="237"/>
      <c r="S59" s="237"/>
      <c r="T59" s="204"/>
      <c r="U59" s="204"/>
      <c r="V59" s="204"/>
      <c r="W59" s="244"/>
      <c r="X59" s="213"/>
      <c r="Y59" s="204"/>
      <c r="Z59" s="204"/>
      <c r="AA59" s="244"/>
      <c r="AB59" s="244"/>
      <c r="AC59" s="243"/>
      <c r="AD59" s="243"/>
      <c r="AE59" s="204"/>
      <c r="AF59" s="204"/>
      <c r="AG59" s="243"/>
      <c r="AH59" s="243"/>
      <c r="AI59" s="204"/>
      <c r="AJ59" s="253"/>
      <c r="AK59" s="213"/>
      <c r="AL59" s="237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44"/>
      <c r="AY59" s="244"/>
      <c r="AZ59" s="244"/>
      <c r="BA59" s="244"/>
      <c r="BB59" s="244"/>
      <c r="BC59" s="244"/>
      <c r="BD59" s="244"/>
      <c r="BE59" s="204"/>
      <c r="BF59" s="244"/>
      <c r="BG59" s="244"/>
      <c r="BH59" s="244"/>
      <c r="BI59" s="244"/>
      <c r="BJ59" s="244"/>
      <c r="BK59" s="244"/>
      <c r="BL59" s="244"/>
      <c r="BM59" s="244"/>
      <c r="BN59" s="24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4"/>
      <c r="CG59" s="204"/>
      <c r="CH59" s="204"/>
      <c r="CI59" s="204"/>
    </row>
    <row r="60" spans="1:101" ht="25.2" customHeight="1" outlineLevel="1">
      <c r="A60" s="204">
        <v>51</v>
      </c>
      <c r="B60" s="207">
        <v>3001</v>
      </c>
      <c r="C60" s="208" t="s">
        <v>235</v>
      </c>
      <c r="D60" s="194" t="s">
        <v>181</v>
      </c>
      <c r="E60" s="209">
        <f t="shared" ref="E60:E92" si="8">G60*4+H60*9+I60*4</f>
        <v>384.8</v>
      </c>
      <c r="F60" s="216">
        <v>47.6</v>
      </c>
      <c r="G60" s="217">
        <v>4.8</v>
      </c>
      <c r="H60" s="218">
        <v>36</v>
      </c>
      <c r="I60" s="230">
        <f t="shared" ref="I60:I92" si="9">100-SUM(F60,G60,H60,K60)</f>
        <v>10.4</v>
      </c>
      <c r="J60" s="216">
        <v>4.2</v>
      </c>
      <c r="K60" s="216">
        <v>1.2</v>
      </c>
      <c r="L60" s="233"/>
      <c r="M60" s="216">
        <v>30</v>
      </c>
      <c r="N60" s="216">
        <v>154</v>
      </c>
      <c r="O60" s="216">
        <v>30</v>
      </c>
      <c r="P60" s="216">
        <v>2</v>
      </c>
      <c r="Q60" s="216">
        <v>0.1</v>
      </c>
      <c r="R60" s="216">
        <v>0.01</v>
      </c>
      <c r="S60" s="216">
        <v>0.2</v>
      </c>
      <c r="T60" s="240">
        <v>7</v>
      </c>
      <c r="U60" s="240">
        <v>555</v>
      </c>
      <c r="V60" s="240">
        <v>160</v>
      </c>
      <c r="W60" s="241">
        <v>1.3</v>
      </c>
      <c r="X60" s="233">
        <v>5</v>
      </c>
      <c r="Y60" s="240">
        <v>50</v>
      </c>
      <c r="Z60" s="216"/>
      <c r="AA60" s="241">
        <v>0.3</v>
      </c>
      <c r="AB60" s="241">
        <v>5.3999999999999999E-2</v>
      </c>
      <c r="AC60" s="240">
        <v>26</v>
      </c>
      <c r="AD60" s="240">
        <v>0</v>
      </c>
      <c r="AE60" s="233"/>
      <c r="AF60" s="233">
        <v>0</v>
      </c>
      <c r="AG60" s="240">
        <v>0</v>
      </c>
      <c r="AH60" s="240">
        <f t="shared" ref="AH60:AH92" si="10">AG60*3.33</f>
        <v>0</v>
      </c>
      <c r="AI60" s="236">
        <f t="shared" ref="AI60:AI92" si="11">AG60+AM60/12+AN60/24+AO60/24</f>
        <v>0</v>
      </c>
      <c r="AJ60" s="252"/>
      <c r="AK60" s="233">
        <v>0.24</v>
      </c>
      <c r="AL60" s="216">
        <v>0.2</v>
      </c>
      <c r="AM60" s="236">
        <v>0</v>
      </c>
      <c r="AN60" s="236">
        <v>0</v>
      </c>
      <c r="AO60" s="236">
        <v>0</v>
      </c>
      <c r="AP60" s="236">
        <v>0</v>
      </c>
      <c r="AQ60" s="236">
        <v>0</v>
      </c>
      <c r="AR60" s="231"/>
      <c r="AS60" s="231"/>
      <c r="AT60" s="231"/>
      <c r="AU60" s="231"/>
      <c r="AV60" s="231"/>
      <c r="AW60" s="236">
        <v>29.698</v>
      </c>
      <c r="AX60" s="242">
        <v>2.839</v>
      </c>
      <c r="AY60" s="242">
        <v>0</v>
      </c>
      <c r="AZ60" s="242">
        <v>1.734</v>
      </c>
      <c r="BA60" s="242">
        <v>0</v>
      </c>
      <c r="BB60" s="242">
        <v>0</v>
      </c>
      <c r="BC60" s="242">
        <v>0</v>
      </c>
      <c r="BD60" s="242">
        <v>1.425</v>
      </c>
      <c r="BE60" s="231">
        <v>0</v>
      </c>
      <c r="BF60" s="242">
        <v>0</v>
      </c>
      <c r="BG60" s="242">
        <v>1.425</v>
      </c>
      <c r="BH60" s="242">
        <v>0.36599999999999999</v>
      </c>
      <c r="BI60" s="242">
        <v>0.36599999999999999</v>
      </c>
      <c r="BJ60" s="242">
        <v>0</v>
      </c>
      <c r="BK60" s="242">
        <v>0</v>
      </c>
      <c r="BL60" s="242">
        <v>0</v>
      </c>
      <c r="BM60" s="242">
        <v>0</v>
      </c>
      <c r="BN60" s="242"/>
      <c r="BO60" s="231">
        <v>0</v>
      </c>
      <c r="BP60" s="231"/>
      <c r="BQ60" s="231">
        <v>147</v>
      </c>
      <c r="BR60" s="231">
        <v>62</v>
      </c>
      <c r="BS60" s="231">
        <v>39</v>
      </c>
      <c r="BT60" s="231">
        <v>169</v>
      </c>
      <c r="BU60" s="231">
        <v>121</v>
      </c>
      <c r="BV60" s="231">
        <v>202</v>
      </c>
      <c r="BW60" s="231">
        <v>247</v>
      </c>
      <c r="BX60" s="231">
        <v>131</v>
      </c>
      <c r="BY60" s="231">
        <v>546</v>
      </c>
      <c r="BZ60" s="231">
        <v>77</v>
      </c>
      <c r="CA60" s="231">
        <v>66</v>
      </c>
      <c r="CB60" s="231">
        <v>103</v>
      </c>
      <c r="CC60" s="231">
        <v>170</v>
      </c>
      <c r="CD60" s="231">
        <v>325</v>
      </c>
      <c r="CE60" s="231">
        <v>761</v>
      </c>
      <c r="CF60" s="231">
        <v>158</v>
      </c>
      <c r="CG60" s="231">
        <v>138</v>
      </c>
      <c r="CH60" s="231">
        <v>172</v>
      </c>
      <c r="CI60" s="231"/>
    </row>
    <row r="61" spans="1:101" ht="25.2" customHeight="1" outlineLevel="1">
      <c r="A61" s="204">
        <v>52</v>
      </c>
      <c r="B61" s="207">
        <v>3002</v>
      </c>
      <c r="C61" s="208" t="s">
        <v>236</v>
      </c>
      <c r="D61" s="194" t="s">
        <v>181</v>
      </c>
      <c r="E61" s="209">
        <f t="shared" si="8"/>
        <v>53.7</v>
      </c>
      <c r="F61" s="216">
        <v>87.8</v>
      </c>
      <c r="G61" s="217">
        <v>3.5</v>
      </c>
      <c r="H61" s="218">
        <v>1.7</v>
      </c>
      <c r="I61" s="230">
        <f t="shared" si="9"/>
        <v>6.0999999999999899</v>
      </c>
      <c r="J61" s="216">
        <v>3.5</v>
      </c>
      <c r="K61" s="216">
        <v>0.9</v>
      </c>
      <c r="L61" s="233"/>
      <c r="M61" s="216">
        <v>4</v>
      </c>
      <c r="N61" s="216">
        <v>53</v>
      </c>
      <c r="O61" s="216">
        <v>1</v>
      </c>
      <c r="P61" s="216">
        <v>6</v>
      </c>
      <c r="Q61" s="216">
        <v>0.04</v>
      </c>
      <c r="R61" s="216">
        <v>0.03</v>
      </c>
      <c r="S61" s="216">
        <v>0.8</v>
      </c>
      <c r="T61" s="231">
        <v>141</v>
      </c>
      <c r="U61" s="231">
        <v>454</v>
      </c>
      <c r="V61" s="231">
        <v>74</v>
      </c>
      <c r="W61" s="242"/>
      <c r="X61" s="232"/>
      <c r="Y61" s="231"/>
      <c r="Z61" s="231"/>
      <c r="AA61" s="241"/>
      <c r="AB61" s="241"/>
      <c r="AC61" s="240"/>
      <c r="AD61" s="240"/>
      <c r="AE61" s="233"/>
      <c r="AF61" s="233"/>
      <c r="AG61" s="240">
        <v>0</v>
      </c>
      <c r="AH61" s="240">
        <f t="shared" si="10"/>
        <v>0</v>
      </c>
      <c r="AI61" s="236">
        <f t="shared" si="11"/>
        <v>0</v>
      </c>
      <c r="AJ61" s="252"/>
      <c r="AK61" s="233"/>
      <c r="AL61" s="216"/>
      <c r="AM61" s="236">
        <v>0</v>
      </c>
      <c r="AN61" s="236">
        <v>0</v>
      </c>
      <c r="AO61" s="236">
        <v>0</v>
      </c>
      <c r="AP61" s="236">
        <v>0</v>
      </c>
      <c r="AQ61" s="236">
        <v>0</v>
      </c>
      <c r="AR61" s="231"/>
      <c r="AS61" s="231"/>
      <c r="AT61" s="231"/>
      <c r="AU61" s="231"/>
      <c r="AV61" s="231"/>
      <c r="AW61" s="236"/>
      <c r="AX61" s="242"/>
      <c r="AY61" s="242"/>
      <c r="AZ61" s="242"/>
      <c r="BA61" s="242"/>
      <c r="BB61" s="242"/>
      <c r="BC61" s="242"/>
      <c r="BD61" s="242"/>
      <c r="BE61" s="231"/>
      <c r="BF61" s="242"/>
      <c r="BG61" s="242"/>
      <c r="BH61" s="242"/>
      <c r="BI61" s="242"/>
      <c r="BJ61" s="242"/>
      <c r="BK61" s="242"/>
      <c r="BL61" s="242"/>
      <c r="BM61" s="242"/>
      <c r="BN61" s="242"/>
      <c r="BO61" s="231">
        <v>0</v>
      </c>
      <c r="BP61" s="231"/>
      <c r="BQ61" s="231"/>
      <c r="BR61" s="231"/>
      <c r="BS61" s="231"/>
      <c r="BT61" s="231"/>
      <c r="BU61" s="231"/>
      <c r="BV61" s="231"/>
      <c r="BW61" s="231"/>
      <c r="BX61" s="231"/>
      <c r="BY61" s="231"/>
      <c r="BZ61" s="231"/>
      <c r="CA61" s="231"/>
      <c r="CB61" s="231"/>
      <c r="CC61" s="231"/>
      <c r="CD61" s="231"/>
      <c r="CE61" s="231"/>
      <c r="CF61" s="231"/>
      <c r="CG61" s="231"/>
      <c r="CH61" s="231"/>
      <c r="CI61" s="231"/>
    </row>
    <row r="62" spans="1:101" ht="25.2" customHeight="1" outlineLevel="1">
      <c r="A62" s="204">
        <v>53</v>
      </c>
      <c r="B62" s="207">
        <v>3003</v>
      </c>
      <c r="C62" s="208" t="s">
        <v>237</v>
      </c>
      <c r="D62" s="194" t="s">
        <v>181</v>
      </c>
      <c r="E62" s="209">
        <f t="shared" si="8"/>
        <v>335.2</v>
      </c>
      <c r="F62" s="216">
        <v>14</v>
      </c>
      <c r="G62" s="217">
        <v>21.8</v>
      </c>
      <c r="H62" s="218">
        <v>1.6</v>
      </c>
      <c r="I62" s="230">
        <f t="shared" si="9"/>
        <v>58.4</v>
      </c>
      <c r="J62" s="216">
        <v>3.5</v>
      </c>
      <c r="K62" s="216">
        <v>4.2</v>
      </c>
      <c r="L62" s="233"/>
      <c r="M62" s="236">
        <v>96</v>
      </c>
      <c r="N62" s="236">
        <v>360</v>
      </c>
      <c r="O62" s="236"/>
      <c r="P62" s="236"/>
      <c r="Q62" s="236"/>
      <c r="R62" s="236"/>
      <c r="S62" s="236"/>
      <c r="T62" s="231"/>
      <c r="U62" s="231"/>
      <c r="V62" s="231"/>
      <c r="W62" s="242"/>
      <c r="X62" s="232"/>
      <c r="Y62" s="231"/>
      <c r="Z62" s="231"/>
      <c r="AA62" s="241"/>
      <c r="AB62" s="241"/>
      <c r="AC62" s="240"/>
      <c r="AD62" s="240"/>
      <c r="AE62" s="236"/>
      <c r="AF62" s="236"/>
      <c r="AG62" s="240">
        <v>0</v>
      </c>
      <c r="AH62" s="240">
        <f t="shared" si="10"/>
        <v>0</v>
      </c>
      <c r="AI62" s="236">
        <f t="shared" si="11"/>
        <v>0</v>
      </c>
      <c r="AJ62" s="252"/>
      <c r="AK62" s="233"/>
      <c r="AL62" s="216"/>
      <c r="AM62" s="236"/>
      <c r="AN62" s="231"/>
      <c r="AO62" s="231"/>
      <c r="AP62" s="231"/>
      <c r="AQ62" s="231"/>
      <c r="AR62" s="231"/>
      <c r="AS62" s="231"/>
      <c r="AT62" s="231"/>
      <c r="AU62" s="231"/>
      <c r="AV62" s="231">
        <v>37</v>
      </c>
      <c r="AW62" s="236"/>
      <c r="AX62" s="242"/>
      <c r="AY62" s="242"/>
      <c r="AZ62" s="242"/>
      <c r="BA62" s="242"/>
      <c r="BB62" s="242"/>
      <c r="BC62" s="242"/>
      <c r="BD62" s="242"/>
      <c r="BE62" s="231"/>
      <c r="BF62" s="242"/>
      <c r="BG62" s="242"/>
      <c r="BH62" s="242"/>
      <c r="BI62" s="242"/>
      <c r="BJ62" s="242"/>
      <c r="BK62" s="242"/>
      <c r="BL62" s="242"/>
      <c r="BM62" s="242"/>
      <c r="BN62" s="242"/>
      <c r="BO62" s="231">
        <v>0</v>
      </c>
      <c r="BP62" s="231"/>
      <c r="BQ62" s="231"/>
      <c r="BR62" s="231"/>
      <c r="BS62" s="231"/>
      <c r="BT62" s="231"/>
      <c r="BU62" s="231"/>
      <c r="BV62" s="231"/>
      <c r="BW62" s="231"/>
      <c r="BX62" s="231"/>
      <c r="BY62" s="231"/>
      <c r="BZ62" s="231"/>
      <c r="CA62" s="231"/>
      <c r="CB62" s="231"/>
      <c r="CC62" s="231"/>
      <c r="CD62" s="231"/>
      <c r="CE62" s="231"/>
      <c r="CF62" s="231"/>
      <c r="CG62" s="231"/>
      <c r="CH62" s="231"/>
      <c r="CI62" s="231"/>
    </row>
    <row r="63" spans="1:101" ht="25.2" customHeight="1" outlineLevel="1">
      <c r="A63" s="204">
        <v>54</v>
      </c>
      <c r="B63" s="207">
        <v>3004</v>
      </c>
      <c r="C63" s="208" t="s">
        <v>238</v>
      </c>
      <c r="D63" s="194" t="s">
        <v>181</v>
      </c>
      <c r="E63" s="209">
        <f t="shared" si="8"/>
        <v>341.3</v>
      </c>
      <c r="F63" s="216">
        <v>14</v>
      </c>
      <c r="G63" s="217">
        <v>24.2</v>
      </c>
      <c r="H63" s="218">
        <v>1.7</v>
      </c>
      <c r="I63" s="230">
        <f t="shared" si="9"/>
        <v>57.3</v>
      </c>
      <c r="J63" s="216">
        <v>4</v>
      </c>
      <c r="K63" s="216">
        <v>2.8</v>
      </c>
      <c r="L63" s="233"/>
      <c r="M63" s="216">
        <v>56</v>
      </c>
      <c r="N63" s="216">
        <v>354</v>
      </c>
      <c r="O63" s="216">
        <v>6.1</v>
      </c>
      <c r="P63" s="216">
        <v>3</v>
      </c>
      <c r="Q63" s="216">
        <v>0.5</v>
      </c>
      <c r="R63" s="216">
        <v>0.21</v>
      </c>
      <c r="S63" s="216">
        <v>1.8</v>
      </c>
      <c r="T63" s="231"/>
      <c r="U63" s="231"/>
      <c r="V63" s="231"/>
      <c r="W63" s="242"/>
      <c r="X63" s="232"/>
      <c r="Y63" s="231"/>
      <c r="Z63" s="231"/>
      <c r="AA63" s="241">
        <v>0.89900000000000002</v>
      </c>
      <c r="AB63" s="241">
        <v>0.28599999999999998</v>
      </c>
      <c r="AC63" s="240">
        <v>444</v>
      </c>
      <c r="AD63" s="240">
        <v>0</v>
      </c>
      <c r="AE63" s="233"/>
      <c r="AF63" s="233"/>
      <c r="AG63" s="240">
        <v>0</v>
      </c>
      <c r="AH63" s="240">
        <f t="shared" si="10"/>
        <v>0</v>
      </c>
      <c r="AI63" s="236">
        <f t="shared" si="11"/>
        <v>2.5</v>
      </c>
      <c r="AJ63" s="252"/>
      <c r="AK63" s="233">
        <v>0.22</v>
      </c>
      <c r="AL63" s="216">
        <v>6</v>
      </c>
      <c r="AM63" s="236">
        <v>30</v>
      </c>
      <c r="AN63" s="231"/>
      <c r="AO63" s="231"/>
      <c r="AP63" s="231"/>
      <c r="AQ63" s="231"/>
      <c r="AR63" s="231">
        <v>0</v>
      </c>
      <c r="AS63" s="231">
        <v>0</v>
      </c>
      <c r="AT63" s="231">
        <v>0</v>
      </c>
      <c r="AU63" s="231">
        <v>0</v>
      </c>
      <c r="AV63" s="231">
        <v>222</v>
      </c>
      <c r="AW63" s="236">
        <v>0.36599999999999999</v>
      </c>
      <c r="AX63" s="244">
        <v>0.34300000000000003</v>
      </c>
      <c r="AY63" s="244">
        <v>0</v>
      </c>
      <c r="AZ63" s="244">
        <v>2.1999999999999999E-2</v>
      </c>
      <c r="BA63" s="244">
        <v>0</v>
      </c>
      <c r="BB63" s="244">
        <v>0</v>
      </c>
      <c r="BC63" s="244">
        <v>0</v>
      </c>
      <c r="BD63" s="244">
        <v>0.123</v>
      </c>
      <c r="BE63" s="237">
        <v>0</v>
      </c>
      <c r="BF63" s="244">
        <v>0</v>
      </c>
      <c r="BG63" s="244">
        <v>0.123</v>
      </c>
      <c r="BH63" s="244">
        <v>0.61</v>
      </c>
      <c r="BI63" s="244">
        <v>0.33200000000000002</v>
      </c>
      <c r="BJ63" s="244">
        <v>0.27800000000000002</v>
      </c>
      <c r="BK63" s="244">
        <v>0</v>
      </c>
      <c r="BL63" s="244">
        <v>0</v>
      </c>
      <c r="BM63" s="244">
        <v>0</v>
      </c>
      <c r="BN63" s="244"/>
      <c r="BO63" s="231">
        <v>0</v>
      </c>
      <c r="BP63" s="231"/>
      <c r="BQ63" s="204">
        <v>1483</v>
      </c>
      <c r="BR63" s="204">
        <v>325</v>
      </c>
      <c r="BS63" s="204">
        <v>256</v>
      </c>
      <c r="BT63" s="204">
        <v>1168</v>
      </c>
      <c r="BU63" s="204">
        <v>909</v>
      </c>
      <c r="BV63" s="204">
        <v>1130</v>
      </c>
      <c r="BW63" s="204">
        <v>1725</v>
      </c>
      <c r="BX63" s="204">
        <v>954</v>
      </c>
      <c r="BY63" s="204">
        <v>1337</v>
      </c>
      <c r="BZ63" s="204">
        <v>601</v>
      </c>
      <c r="CA63" s="204">
        <v>235</v>
      </c>
      <c r="CB63" s="204">
        <v>608</v>
      </c>
      <c r="CC63" s="204">
        <v>905</v>
      </c>
      <c r="CD63" s="204">
        <v>2613</v>
      </c>
      <c r="CE63" s="204">
        <v>3294</v>
      </c>
      <c r="CF63" s="204">
        <v>843</v>
      </c>
      <c r="CG63" s="204">
        <v>916</v>
      </c>
      <c r="CH63" s="204">
        <v>1175</v>
      </c>
      <c r="CI63" s="231"/>
    </row>
    <row r="64" spans="1:101" s="172" customFormat="1" ht="25.2" customHeight="1">
      <c r="A64" s="204">
        <v>55</v>
      </c>
      <c r="B64" s="207">
        <v>3005</v>
      </c>
      <c r="C64" s="208" t="s">
        <v>239</v>
      </c>
      <c r="D64" s="194" t="s">
        <v>181</v>
      </c>
      <c r="E64" s="209">
        <f t="shared" si="8"/>
        <v>337.6</v>
      </c>
      <c r="F64" s="216">
        <v>14</v>
      </c>
      <c r="G64" s="217">
        <v>23.7</v>
      </c>
      <c r="H64" s="218">
        <v>2</v>
      </c>
      <c r="I64" s="230">
        <f t="shared" si="9"/>
        <v>56.2</v>
      </c>
      <c r="J64" s="216">
        <v>4.3</v>
      </c>
      <c r="K64" s="216">
        <v>4.0999999999999996</v>
      </c>
      <c r="L64" s="233"/>
      <c r="M64" s="216">
        <v>110</v>
      </c>
      <c r="N64" s="216">
        <v>382</v>
      </c>
      <c r="O64" s="216">
        <v>6.5</v>
      </c>
      <c r="P64" s="216">
        <v>1</v>
      </c>
      <c r="Q64" s="216">
        <v>0.59</v>
      </c>
      <c r="R64" s="216">
        <v>0.22</v>
      </c>
      <c r="S64" s="216">
        <v>2.2999999999999998</v>
      </c>
      <c r="T64" s="231"/>
      <c r="U64" s="231"/>
      <c r="V64" s="231"/>
      <c r="W64" s="242"/>
      <c r="X64" s="232"/>
      <c r="Y64" s="231"/>
      <c r="Z64" s="231"/>
      <c r="AA64" s="241">
        <v>1.496</v>
      </c>
      <c r="AB64" s="241">
        <v>0.35699999999999998</v>
      </c>
      <c r="AC64" s="240">
        <v>633</v>
      </c>
      <c r="AD64" s="240">
        <v>0</v>
      </c>
      <c r="AE64" s="233"/>
      <c r="AF64" s="233">
        <v>0</v>
      </c>
      <c r="AG64" s="240">
        <v>0</v>
      </c>
      <c r="AH64" s="240">
        <f t="shared" si="10"/>
        <v>0</v>
      </c>
      <c r="AI64" s="236">
        <f t="shared" si="11"/>
        <v>0.83333333333333304</v>
      </c>
      <c r="AJ64" s="252"/>
      <c r="AK64" s="233">
        <v>0.39</v>
      </c>
      <c r="AL64" s="216">
        <v>5</v>
      </c>
      <c r="AM64" s="236">
        <v>10</v>
      </c>
      <c r="AN64" s="231"/>
      <c r="AO64" s="231"/>
      <c r="AP64" s="231"/>
      <c r="AQ64" s="231"/>
      <c r="AR64" s="231">
        <v>0.03</v>
      </c>
      <c r="AS64" s="231">
        <v>0.01</v>
      </c>
      <c r="AT64" s="231">
        <v>0.02</v>
      </c>
      <c r="AU64" s="231"/>
      <c r="AV64" s="231"/>
      <c r="AW64" s="236">
        <v>0.33100000000000002</v>
      </c>
      <c r="AX64" s="242">
        <v>0.254</v>
      </c>
      <c r="AY64" s="244">
        <v>0</v>
      </c>
      <c r="AZ64" s="242">
        <v>5.2999999999999999E-2</v>
      </c>
      <c r="BA64" s="244">
        <v>0</v>
      </c>
      <c r="BB64" s="244">
        <v>0</v>
      </c>
      <c r="BC64" s="244">
        <v>0</v>
      </c>
      <c r="BD64" s="242">
        <v>0.106</v>
      </c>
      <c r="BE64" s="237">
        <v>0</v>
      </c>
      <c r="BF64" s="242">
        <v>4.0000000000000001E-3</v>
      </c>
      <c r="BG64" s="242">
        <v>8.7999999999999995E-2</v>
      </c>
      <c r="BH64" s="242">
        <v>0.54200000000000004</v>
      </c>
      <c r="BI64" s="242">
        <v>0.34300000000000003</v>
      </c>
      <c r="BJ64" s="242">
        <v>0.19900000000000001</v>
      </c>
      <c r="BK64" s="244">
        <v>0</v>
      </c>
      <c r="BL64" s="244">
        <v>0</v>
      </c>
      <c r="BM64" s="244">
        <v>0</v>
      </c>
      <c r="BN64" s="242"/>
      <c r="BO64" s="231">
        <v>0</v>
      </c>
      <c r="BP64" s="231"/>
      <c r="BQ64" s="204">
        <v>1503</v>
      </c>
      <c r="BR64" s="204">
        <v>312</v>
      </c>
      <c r="BS64" s="204">
        <v>323</v>
      </c>
      <c r="BT64" s="204">
        <v>1176</v>
      </c>
      <c r="BU64" s="204">
        <v>911</v>
      </c>
      <c r="BV64" s="204">
        <v>1554</v>
      </c>
      <c r="BW64" s="204">
        <v>1931</v>
      </c>
      <c r="BX64" s="204">
        <v>1514</v>
      </c>
      <c r="BY64" s="204">
        <v>1975</v>
      </c>
      <c r="BZ64" s="204">
        <v>1140</v>
      </c>
      <c r="CA64" s="204">
        <v>123</v>
      </c>
      <c r="CB64" s="204">
        <v>592</v>
      </c>
      <c r="CC64" s="204">
        <v>908</v>
      </c>
      <c r="CD64" s="204">
        <v>2904</v>
      </c>
      <c r="CE64" s="204">
        <v>3594</v>
      </c>
      <c r="CF64" s="204">
        <v>871</v>
      </c>
      <c r="CG64" s="204">
        <v>1488</v>
      </c>
      <c r="CH64" s="204">
        <v>1198</v>
      </c>
      <c r="CI64" s="231"/>
      <c r="CQ64" s="173"/>
      <c r="CR64" s="173"/>
      <c r="CS64" s="173"/>
      <c r="CT64" s="173"/>
      <c r="CU64" s="173"/>
      <c r="CV64" s="173"/>
      <c r="CW64" s="173"/>
    </row>
    <row r="65" spans="1:101" ht="25.2" customHeight="1" outlineLevel="1">
      <c r="A65" s="204">
        <v>56</v>
      </c>
      <c r="B65" s="207">
        <v>3006</v>
      </c>
      <c r="C65" s="208" t="s">
        <v>240</v>
      </c>
      <c r="D65" s="194" t="s">
        <v>181</v>
      </c>
      <c r="E65" s="209">
        <f t="shared" si="8"/>
        <v>341.8</v>
      </c>
      <c r="F65" s="216">
        <v>13.6</v>
      </c>
      <c r="G65" s="217">
        <v>22.2</v>
      </c>
      <c r="H65" s="218">
        <v>1.4</v>
      </c>
      <c r="I65" s="230">
        <f t="shared" si="9"/>
        <v>60.1</v>
      </c>
      <c r="J65" s="216">
        <v>6</v>
      </c>
      <c r="K65" s="216">
        <v>2.7</v>
      </c>
      <c r="L65" s="233"/>
      <c r="M65" s="216">
        <v>57</v>
      </c>
      <c r="N65" s="216">
        <v>303</v>
      </c>
      <c r="O65" s="216">
        <v>4.4000000000000004</v>
      </c>
      <c r="P65" s="216">
        <v>2</v>
      </c>
      <c r="Q65" s="216">
        <v>0.77</v>
      </c>
      <c r="R65" s="216">
        <v>0.18</v>
      </c>
      <c r="S65" s="216">
        <v>3.1</v>
      </c>
      <c r="T65" s="240">
        <v>9</v>
      </c>
      <c r="U65" s="240">
        <v>135</v>
      </c>
      <c r="V65" s="240">
        <v>145</v>
      </c>
      <c r="W65" s="241"/>
      <c r="X65" s="233">
        <v>4</v>
      </c>
      <c r="Y65" s="240">
        <v>930</v>
      </c>
      <c r="Z65" s="216">
        <v>0.4</v>
      </c>
      <c r="AA65" s="241">
        <v>1.758</v>
      </c>
      <c r="AB65" s="241">
        <v>0.17399999999999999</v>
      </c>
      <c r="AC65" s="240">
        <v>274</v>
      </c>
      <c r="AD65" s="240">
        <v>0</v>
      </c>
      <c r="AE65" s="233"/>
      <c r="AF65" s="233">
        <v>0</v>
      </c>
      <c r="AG65" s="240">
        <v>0</v>
      </c>
      <c r="AH65" s="240">
        <f t="shared" si="10"/>
        <v>0</v>
      </c>
      <c r="AI65" s="236">
        <f t="shared" si="11"/>
        <v>5.8333333333333304</v>
      </c>
      <c r="AJ65" s="252"/>
      <c r="AK65" s="233">
        <v>0.09</v>
      </c>
      <c r="AL65" s="216">
        <v>14.5</v>
      </c>
      <c r="AM65" s="236">
        <v>70</v>
      </c>
      <c r="AN65" s="231"/>
      <c r="AO65" s="231"/>
      <c r="AP65" s="231"/>
      <c r="AQ65" s="231"/>
      <c r="AR65" s="231">
        <v>2.42</v>
      </c>
      <c r="AS65" s="231">
        <v>2.42</v>
      </c>
      <c r="AT65" s="231"/>
      <c r="AU65" s="231"/>
      <c r="AV65" s="231"/>
      <c r="AW65" s="236">
        <v>0.161</v>
      </c>
      <c r="AX65" s="242">
        <v>0.125</v>
      </c>
      <c r="AY65" s="244">
        <v>0</v>
      </c>
      <c r="AZ65" s="231">
        <v>3.1E-2</v>
      </c>
      <c r="BA65" s="244">
        <v>0</v>
      </c>
      <c r="BB65" s="244">
        <v>0</v>
      </c>
      <c r="BC65" s="244">
        <v>0</v>
      </c>
      <c r="BD65" s="242">
        <v>0.24199999999999999</v>
      </c>
      <c r="BE65" s="237">
        <v>0</v>
      </c>
      <c r="BF65" s="242">
        <v>0</v>
      </c>
      <c r="BG65" s="242">
        <v>0.23200000000000001</v>
      </c>
      <c r="BH65" s="242">
        <v>0.495</v>
      </c>
      <c r="BI65" s="242">
        <v>0.41099999999999998</v>
      </c>
      <c r="BJ65" s="242">
        <v>8.4000000000000005E-2</v>
      </c>
      <c r="BK65" s="244">
        <v>0</v>
      </c>
      <c r="BL65" s="244">
        <v>0</v>
      </c>
      <c r="BM65" s="244">
        <v>0</v>
      </c>
      <c r="BN65" s="242"/>
      <c r="BO65" s="231">
        <v>0</v>
      </c>
      <c r="BP65" s="231">
        <v>135</v>
      </c>
      <c r="BQ65" s="231">
        <v>1772</v>
      </c>
      <c r="BR65" s="231">
        <v>251</v>
      </c>
      <c r="BS65" s="231">
        <v>275</v>
      </c>
      <c r="BT65" s="231">
        <v>1132</v>
      </c>
      <c r="BU65" s="231">
        <v>872</v>
      </c>
      <c r="BV65" s="231">
        <v>1159</v>
      </c>
      <c r="BW65" s="231">
        <v>1760</v>
      </c>
      <c r="BX65" s="231">
        <v>1014</v>
      </c>
      <c r="BY65" s="231">
        <v>2188</v>
      </c>
      <c r="BZ65" s="231">
        <v>597</v>
      </c>
      <c r="CA65" s="231">
        <v>373</v>
      </c>
      <c r="CB65" s="231">
        <v>711</v>
      </c>
      <c r="CC65" s="231">
        <v>1080</v>
      </c>
      <c r="CD65" s="231">
        <v>2896</v>
      </c>
      <c r="CE65" s="231">
        <v>4196</v>
      </c>
      <c r="CF65" s="231">
        <v>1092</v>
      </c>
      <c r="CG65" s="231">
        <v>1014</v>
      </c>
      <c r="CH65" s="231">
        <v>1080</v>
      </c>
      <c r="CI65" s="231"/>
    </row>
    <row r="66" spans="1:101" ht="25.2" customHeight="1" outlineLevel="1">
      <c r="A66" s="204">
        <v>57</v>
      </c>
      <c r="B66" s="207">
        <v>3007</v>
      </c>
      <c r="C66" s="208" t="s">
        <v>241</v>
      </c>
      <c r="D66" s="194" t="s">
        <v>181</v>
      </c>
      <c r="E66" s="209">
        <f t="shared" si="8"/>
        <v>418</v>
      </c>
      <c r="F66" s="216">
        <v>14</v>
      </c>
      <c r="G66" s="217">
        <v>34</v>
      </c>
      <c r="H66" s="218">
        <v>18.399999999999999</v>
      </c>
      <c r="I66" s="230">
        <f t="shared" si="9"/>
        <v>29.1</v>
      </c>
      <c r="J66" s="216">
        <v>4.5</v>
      </c>
      <c r="K66" s="216">
        <v>4.5</v>
      </c>
      <c r="L66" s="233"/>
      <c r="M66" s="216">
        <v>165</v>
      </c>
      <c r="N66" s="216">
        <v>690</v>
      </c>
      <c r="O66" s="216">
        <v>11</v>
      </c>
      <c r="P66" s="216">
        <v>4</v>
      </c>
      <c r="Q66" s="216">
        <v>0.54</v>
      </c>
      <c r="R66" s="216">
        <v>0.28999999999999998</v>
      </c>
      <c r="S66" s="216">
        <v>2.2999999999999998</v>
      </c>
      <c r="T66" s="240">
        <v>2</v>
      </c>
      <c r="U66" s="240">
        <v>1504</v>
      </c>
      <c r="V66" s="240">
        <v>236</v>
      </c>
      <c r="W66" s="241">
        <v>1.2</v>
      </c>
      <c r="X66" s="233">
        <v>3.8</v>
      </c>
      <c r="Y66" s="240">
        <v>300</v>
      </c>
      <c r="Z66" s="216">
        <v>1.5</v>
      </c>
      <c r="AA66" s="241">
        <v>0.79300000000000004</v>
      </c>
      <c r="AB66" s="241">
        <v>0.377</v>
      </c>
      <c r="AC66" s="240">
        <v>375</v>
      </c>
      <c r="AD66" s="240">
        <v>0</v>
      </c>
      <c r="AE66" s="233">
        <v>60</v>
      </c>
      <c r="AF66" s="233">
        <v>0</v>
      </c>
      <c r="AG66" s="240">
        <v>0</v>
      </c>
      <c r="AH66" s="240">
        <f t="shared" si="10"/>
        <v>0</v>
      </c>
      <c r="AI66" s="236">
        <f t="shared" si="11"/>
        <v>2.5</v>
      </c>
      <c r="AJ66" s="252"/>
      <c r="AK66" s="233">
        <v>0.85</v>
      </c>
      <c r="AL66" s="216">
        <v>47</v>
      </c>
      <c r="AM66" s="236">
        <v>30</v>
      </c>
      <c r="AN66" s="231"/>
      <c r="AO66" s="231"/>
      <c r="AP66" s="231"/>
      <c r="AQ66" s="231"/>
      <c r="AR66" s="231">
        <v>151.16999999999999</v>
      </c>
      <c r="AS66" s="231">
        <v>67.790000000000006</v>
      </c>
      <c r="AT66" s="231">
        <v>72.510000000000005</v>
      </c>
      <c r="AU66" s="231">
        <v>10.88</v>
      </c>
      <c r="AV66" s="231"/>
      <c r="AW66" s="236">
        <v>2.8839999999999999</v>
      </c>
      <c r="AX66" s="244">
        <v>2.1160000000000001</v>
      </c>
      <c r="AY66" s="244">
        <v>0</v>
      </c>
      <c r="AZ66" s="244">
        <v>0.71199999999999997</v>
      </c>
      <c r="BA66" s="244">
        <v>0</v>
      </c>
      <c r="BB66" s="244">
        <v>0</v>
      </c>
      <c r="BC66" s="244">
        <v>0</v>
      </c>
      <c r="BD66" s="244">
        <v>4.4039999999999999</v>
      </c>
      <c r="BE66" s="237">
        <v>0</v>
      </c>
      <c r="BF66" s="244">
        <v>5.5E-2</v>
      </c>
      <c r="BG66" s="244">
        <v>4.3479999999999999</v>
      </c>
      <c r="BH66" s="244">
        <v>11.255000000000001</v>
      </c>
      <c r="BI66" s="244">
        <v>9.9250000000000007</v>
      </c>
      <c r="BJ66" s="244">
        <v>1.33</v>
      </c>
      <c r="BK66" s="244">
        <v>0</v>
      </c>
      <c r="BL66" s="244">
        <v>0</v>
      </c>
      <c r="BM66" s="244">
        <v>0</v>
      </c>
      <c r="BN66" s="244"/>
      <c r="BO66" s="231">
        <v>0</v>
      </c>
      <c r="BP66" s="231">
        <v>161</v>
      </c>
      <c r="BQ66" s="204">
        <v>1970</v>
      </c>
      <c r="BR66" s="204">
        <v>680</v>
      </c>
      <c r="BS66" s="204">
        <v>480</v>
      </c>
      <c r="BT66" s="204">
        <v>1800</v>
      </c>
      <c r="BU66" s="204">
        <v>1600</v>
      </c>
      <c r="BV66" s="204">
        <v>1430</v>
      </c>
      <c r="BW66" s="204">
        <v>2240</v>
      </c>
      <c r="BX66" s="204">
        <v>1670</v>
      </c>
      <c r="BY66" s="204">
        <v>2410</v>
      </c>
      <c r="BZ66" s="204">
        <v>780</v>
      </c>
      <c r="CA66" s="204">
        <v>485</v>
      </c>
      <c r="CB66" s="204">
        <v>988</v>
      </c>
      <c r="CC66" s="204">
        <v>1671</v>
      </c>
      <c r="CD66" s="204">
        <v>4361</v>
      </c>
      <c r="CE66" s="204">
        <v>7098</v>
      </c>
      <c r="CF66" s="204">
        <v>1551</v>
      </c>
      <c r="CG66" s="204">
        <v>1989</v>
      </c>
      <c r="CH66" s="204">
        <v>1851</v>
      </c>
      <c r="CI66" s="231"/>
    </row>
    <row r="67" spans="1:101" ht="25.2" customHeight="1" outlineLevel="1">
      <c r="A67" s="204">
        <v>58</v>
      </c>
      <c r="B67" s="207">
        <v>3008</v>
      </c>
      <c r="C67" s="208" t="s">
        <v>242</v>
      </c>
      <c r="D67" s="194" t="s">
        <v>181</v>
      </c>
      <c r="E67" s="209">
        <f t="shared" si="8"/>
        <v>341.3</v>
      </c>
      <c r="F67" s="216">
        <v>14</v>
      </c>
      <c r="G67" s="217">
        <v>23.2</v>
      </c>
      <c r="H67" s="218">
        <v>2.1</v>
      </c>
      <c r="I67" s="230">
        <f t="shared" si="9"/>
        <v>57.4</v>
      </c>
      <c r="J67" s="216">
        <v>3.6</v>
      </c>
      <c r="K67" s="216">
        <v>3.3</v>
      </c>
      <c r="L67" s="233"/>
      <c r="M67" s="216">
        <v>160</v>
      </c>
      <c r="N67" s="216">
        <v>514</v>
      </c>
      <c r="O67" s="216">
        <v>6.8</v>
      </c>
      <c r="P67" s="216">
        <v>3</v>
      </c>
      <c r="Q67" s="216">
        <v>0.54</v>
      </c>
      <c r="R67" s="216">
        <v>0.18</v>
      </c>
      <c r="S67" s="216">
        <v>2.1</v>
      </c>
      <c r="T67" s="231"/>
      <c r="U67" s="231"/>
      <c r="V67" s="231"/>
      <c r="W67" s="242"/>
      <c r="X67" s="232"/>
      <c r="Y67" s="231"/>
      <c r="Z67" s="231"/>
      <c r="AA67" s="241">
        <v>0.78</v>
      </c>
      <c r="AB67" s="241">
        <v>0.39700000000000002</v>
      </c>
      <c r="AC67" s="240">
        <v>394</v>
      </c>
      <c r="AD67" s="240">
        <v>0</v>
      </c>
      <c r="AE67" s="233"/>
      <c r="AF67" s="233">
        <v>0</v>
      </c>
      <c r="AG67" s="240">
        <v>0</v>
      </c>
      <c r="AH67" s="240">
        <f t="shared" si="10"/>
        <v>0</v>
      </c>
      <c r="AI67" s="236">
        <f t="shared" si="11"/>
        <v>0.83333333333333304</v>
      </c>
      <c r="AJ67" s="252"/>
      <c r="AK67" s="233">
        <v>0.22</v>
      </c>
      <c r="AL67" s="216">
        <v>19</v>
      </c>
      <c r="AM67" s="236">
        <v>10</v>
      </c>
      <c r="AN67" s="231"/>
      <c r="AO67" s="231"/>
      <c r="AP67" s="231"/>
      <c r="AQ67" s="231"/>
      <c r="AR67" s="232">
        <v>0.06</v>
      </c>
      <c r="AS67" s="232">
        <v>0.02</v>
      </c>
      <c r="AT67" s="232">
        <v>0.04</v>
      </c>
      <c r="AU67" s="231"/>
      <c r="AV67" s="231">
        <v>128</v>
      </c>
      <c r="AW67" s="236">
        <v>0.12</v>
      </c>
      <c r="AX67" s="242">
        <v>0.106</v>
      </c>
      <c r="AY67" s="244">
        <v>0</v>
      </c>
      <c r="AZ67" s="231">
        <v>1.4E-2</v>
      </c>
      <c r="BA67" s="244">
        <v>0</v>
      </c>
      <c r="BB67" s="244">
        <v>0</v>
      </c>
      <c r="BC67" s="244">
        <v>0</v>
      </c>
      <c r="BD67" s="242">
        <v>6.4000000000000001E-2</v>
      </c>
      <c r="BE67" s="237">
        <v>0</v>
      </c>
      <c r="BF67" s="242">
        <v>0</v>
      </c>
      <c r="BG67" s="242">
        <v>6.4000000000000001E-2</v>
      </c>
      <c r="BH67" s="242">
        <v>0.45700000000000002</v>
      </c>
      <c r="BI67" s="242">
        <v>0.17799999999999999</v>
      </c>
      <c r="BJ67" s="242">
        <v>0.27900000000000003</v>
      </c>
      <c r="BK67" s="244">
        <v>0</v>
      </c>
      <c r="BL67" s="244">
        <v>0</v>
      </c>
      <c r="BM67" s="244">
        <v>0</v>
      </c>
      <c r="BN67" s="242"/>
      <c r="BO67" s="231">
        <v>0</v>
      </c>
      <c r="BP67" s="231">
        <v>127</v>
      </c>
      <c r="BQ67" s="204">
        <v>1160</v>
      </c>
      <c r="BR67" s="204">
        <v>300</v>
      </c>
      <c r="BS67" s="204">
        <v>320</v>
      </c>
      <c r="BT67" s="204">
        <v>1280</v>
      </c>
      <c r="BU67" s="204">
        <v>740</v>
      </c>
      <c r="BV67" s="204">
        <v>930</v>
      </c>
      <c r="BW67" s="204">
        <v>1460</v>
      </c>
      <c r="BX67" s="204">
        <v>950</v>
      </c>
      <c r="BY67" s="204">
        <v>1620</v>
      </c>
      <c r="BZ67" s="204">
        <v>600</v>
      </c>
      <c r="CA67" s="204">
        <v>133</v>
      </c>
      <c r="CB67" s="204">
        <v>631</v>
      </c>
      <c r="CC67" s="204">
        <v>551</v>
      </c>
      <c r="CD67" s="204">
        <v>1976</v>
      </c>
      <c r="CE67" s="204">
        <v>3564</v>
      </c>
      <c r="CF67" s="204">
        <v>680</v>
      </c>
      <c r="CG67" s="204">
        <v>778</v>
      </c>
      <c r="CH67" s="204">
        <v>1069</v>
      </c>
      <c r="CI67" s="231"/>
    </row>
    <row r="68" spans="1:101" ht="25.2" customHeight="1" outlineLevel="1">
      <c r="A68" s="204">
        <v>59</v>
      </c>
      <c r="B68" s="207">
        <v>3009</v>
      </c>
      <c r="C68" s="208" t="s">
        <v>243</v>
      </c>
      <c r="D68" s="194" t="s">
        <v>181</v>
      </c>
      <c r="E68" s="209">
        <f t="shared" si="8"/>
        <v>340.4</v>
      </c>
      <c r="F68" s="216">
        <v>14</v>
      </c>
      <c r="G68" s="217">
        <v>25.8</v>
      </c>
      <c r="H68" s="218">
        <v>2</v>
      </c>
      <c r="I68" s="230">
        <f t="shared" si="9"/>
        <v>54.8</v>
      </c>
      <c r="J68" s="216">
        <v>4.8</v>
      </c>
      <c r="K68" s="216">
        <v>3.4</v>
      </c>
      <c r="L68" s="233"/>
      <c r="M68" s="236"/>
      <c r="N68" s="236"/>
      <c r="O68" s="236"/>
      <c r="P68" s="236"/>
      <c r="Q68" s="236"/>
      <c r="R68" s="236"/>
      <c r="S68" s="236"/>
      <c r="T68" s="231"/>
      <c r="U68" s="231"/>
      <c r="V68" s="231"/>
      <c r="W68" s="242"/>
      <c r="X68" s="232"/>
      <c r="Y68" s="231"/>
      <c r="Z68" s="231"/>
      <c r="AA68" s="241"/>
      <c r="AB68" s="241"/>
      <c r="AC68" s="240"/>
      <c r="AD68" s="240"/>
      <c r="AE68" s="236"/>
      <c r="AF68" s="236"/>
      <c r="AG68" s="240">
        <v>0</v>
      </c>
      <c r="AH68" s="240">
        <f t="shared" si="10"/>
        <v>0</v>
      </c>
      <c r="AI68" s="236">
        <f t="shared" si="11"/>
        <v>0</v>
      </c>
      <c r="AJ68" s="252"/>
      <c r="AK68" s="233"/>
      <c r="AL68" s="216"/>
      <c r="AM68" s="236"/>
      <c r="AN68" s="231"/>
      <c r="AO68" s="231"/>
      <c r="AP68" s="231"/>
      <c r="AQ68" s="231"/>
      <c r="AR68" s="231"/>
      <c r="AS68" s="231"/>
      <c r="AT68" s="231"/>
      <c r="AU68" s="231"/>
      <c r="AV68" s="231"/>
      <c r="AW68" s="236"/>
      <c r="AX68" s="242"/>
      <c r="AY68" s="244"/>
      <c r="AZ68" s="242"/>
      <c r="BA68" s="244"/>
      <c r="BB68" s="244"/>
      <c r="BC68" s="244"/>
      <c r="BD68" s="242"/>
      <c r="BE68" s="231"/>
      <c r="BF68" s="242"/>
      <c r="BG68" s="242"/>
      <c r="BH68" s="242"/>
      <c r="BI68" s="242"/>
      <c r="BJ68" s="242"/>
      <c r="BK68" s="242"/>
      <c r="BL68" s="242"/>
      <c r="BM68" s="242"/>
      <c r="BN68" s="242"/>
      <c r="BO68" s="231">
        <v>0</v>
      </c>
      <c r="BP68" s="231"/>
      <c r="BQ68" s="231"/>
      <c r="BR68" s="231"/>
      <c r="BS68" s="231"/>
      <c r="BT68" s="231"/>
      <c r="BU68" s="231"/>
      <c r="BV68" s="231"/>
      <c r="BW68" s="231"/>
      <c r="BX68" s="231"/>
      <c r="BY68" s="231"/>
      <c r="BZ68" s="231"/>
      <c r="CA68" s="231"/>
      <c r="CB68" s="231"/>
      <c r="CC68" s="231"/>
      <c r="CD68" s="231"/>
      <c r="CE68" s="231"/>
      <c r="CF68" s="231"/>
      <c r="CG68" s="231"/>
      <c r="CH68" s="231"/>
      <c r="CI68" s="231"/>
    </row>
    <row r="69" spans="1:101" ht="25.2" customHeight="1" outlineLevel="1">
      <c r="A69" s="204">
        <v>60</v>
      </c>
      <c r="B69" s="207">
        <v>3010</v>
      </c>
      <c r="C69" s="208" t="s">
        <v>244</v>
      </c>
      <c r="D69" s="194" t="s">
        <v>181</v>
      </c>
      <c r="E69" s="209">
        <f t="shared" si="8"/>
        <v>346.4</v>
      </c>
      <c r="F69" s="216">
        <v>14</v>
      </c>
      <c r="G69" s="217">
        <v>23.4</v>
      </c>
      <c r="H69" s="218">
        <v>2.4</v>
      </c>
      <c r="I69" s="230">
        <f t="shared" si="9"/>
        <v>57.8</v>
      </c>
      <c r="J69" s="216">
        <v>4.7</v>
      </c>
      <c r="K69" s="216">
        <v>2.4</v>
      </c>
      <c r="L69" s="233"/>
      <c r="M69" s="216">
        <v>64</v>
      </c>
      <c r="N69" s="216">
        <v>377</v>
      </c>
      <c r="O69" s="216">
        <v>4.8</v>
      </c>
      <c r="P69" s="216">
        <v>4</v>
      </c>
      <c r="Q69" s="216">
        <v>0.72</v>
      </c>
      <c r="R69" s="216">
        <v>0.15</v>
      </c>
      <c r="S69" s="216">
        <v>2.4</v>
      </c>
      <c r="T69" s="240">
        <v>6</v>
      </c>
      <c r="U69" s="240">
        <v>1132</v>
      </c>
      <c r="V69" s="240">
        <v>270</v>
      </c>
      <c r="W69" s="241"/>
      <c r="X69" s="233">
        <v>1.1000000000000001</v>
      </c>
      <c r="Y69" s="240">
        <v>880</v>
      </c>
      <c r="Z69" s="216"/>
      <c r="AA69" s="241">
        <v>1.91</v>
      </c>
      <c r="AB69" s="241">
        <v>0.38200000000000001</v>
      </c>
      <c r="AC69" s="240">
        <v>625</v>
      </c>
      <c r="AD69" s="240">
        <v>0</v>
      </c>
      <c r="AE69" s="233">
        <v>0.7</v>
      </c>
      <c r="AF69" s="233">
        <v>0</v>
      </c>
      <c r="AG69" s="240">
        <v>0</v>
      </c>
      <c r="AH69" s="240">
        <f t="shared" si="10"/>
        <v>0</v>
      </c>
      <c r="AI69" s="236">
        <f t="shared" si="11"/>
        <v>2.5</v>
      </c>
      <c r="AJ69" s="252"/>
      <c r="AK69" s="233">
        <v>0.51</v>
      </c>
      <c r="AL69" s="216">
        <v>9</v>
      </c>
      <c r="AM69" s="236">
        <v>30</v>
      </c>
      <c r="AN69" s="231"/>
      <c r="AO69" s="231"/>
      <c r="AP69" s="231"/>
      <c r="AQ69" s="231"/>
      <c r="AR69" s="231">
        <v>0.19</v>
      </c>
      <c r="AS69" s="231">
        <v>0.01</v>
      </c>
      <c r="AT69" s="231">
        <v>0.18</v>
      </c>
      <c r="AU69" s="231"/>
      <c r="AV69" s="231"/>
      <c r="AW69" s="236">
        <v>0.34799999999999998</v>
      </c>
      <c r="AX69" s="242">
        <v>0.25</v>
      </c>
      <c r="AY69" s="244">
        <v>0</v>
      </c>
      <c r="AZ69" s="231">
        <v>7.0999999999999994E-2</v>
      </c>
      <c r="BA69" s="244">
        <v>0</v>
      </c>
      <c r="BB69" s="244">
        <v>0</v>
      </c>
      <c r="BC69" s="244">
        <v>0</v>
      </c>
      <c r="BD69" s="242">
        <v>0.161</v>
      </c>
      <c r="BE69" s="231">
        <v>0</v>
      </c>
      <c r="BF69" s="242">
        <v>0</v>
      </c>
      <c r="BG69" s="242">
        <v>0.161</v>
      </c>
      <c r="BH69" s="242">
        <v>0.38400000000000001</v>
      </c>
      <c r="BI69" s="242">
        <v>0.35699999999999998</v>
      </c>
      <c r="BJ69" s="242">
        <v>2.7E-2</v>
      </c>
      <c r="BK69" s="242">
        <v>0</v>
      </c>
      <c r="BL69" s="242">
        <v>0</v>
      </c>
      <c r="BM69" s="242">
        <v>0</v>
      </c>
      <c r="BN69" s="242"/>
      <c r="BO69" s="231">
        <v>0</v>
      </c>
      <c r="BP69" s="231">
        <v>23</v>
      </c>
      <c r="BQ69" s="204">
        <v>2145</v>
      </c>
      <c r="BR69" s="204">
        <v>458</v>
      </c>
      <c r="BS69" s="204">
        <v>432</v>
      </c>
      <c r="BT69" s="204">
        <v>1259</v>
      </c>
      <c r="BU69" s="204">
        <v>736</v>
      </c>
      <c r="BV69" s="204">
        <v>989</v>
      </c>
      <c r="BW69" s="204">
        <v>1607</v>
      </c>
      <c r="BX69" s="204">
        <v>941</v>
      </c>
      <c r="BY69" s="204">
        <v>1470</v>
      </c>
      <c r="BZ69" s="204">
        <v>663</v>
      </c>
      <c r="CA69" s="204">
        <v>113</v>
      </c>
      <c r="CB69" s="204">
        <v>556</v>
      </c>
      <c r="CC69" s="204">
        <v>809</v>
      </c>
      <c r="CD69" s="204">
        <v>2449</v>
      </c>
      <c r="CE69" s="204">
        <v>3122</v>
      </c>
      <c r="CF69" s="204">
        <v>758</v>
      </c>
      <c r="CG69" s="204">
        <v>802</v>
      </c>
      <c r="CH69" s="204">
        <v>908</v>
      </c>
      <c r="CI69" s="231"/>
    </row>
    <row r="70" spans="1:101" ht="25.2" customHeight="1" outlineLevel="1">
      <c r="A70" s="204">
        <v>61</v>
      </c>
      <c r="B70" s="207">
        <v>3011</v>
      </c>
      <c r="C70" s="208" t="s">
        <v>245</v>
      </c>
      <c r="D70" s="194" t="s">
        <v>181</v>
      </c>
      <c r="E70" s="209">
        <f t="shared" si="8"/>
        <v>651.79999999999995</v>
      </c>
      <c r="F70" s="216">
        <v>9</v>
      </c>
      <c r="G70" s="217">
        <v>18</v>
      </c>
      <c r="H70" s="218">
        <v>59</v>
      </c>
      <c r="I70" s="230">
        <f t="shared" si="9"/>
        <v>12.2</v>
      </c>
      <c r="J70" s="216">
        <v>3.5</v>
      </c>
      <c r="K70" s="216">
        <v>1.8</v>
      </c>
      <c r="L70" s="233"/>
      <c r="M70" s="216">
        <v>61</v>
      </c>
      <c r="N70" s="216">
        <v>510</v>
      </c>
      <c r="O70" s="216">
        <v>2.2999999999999998</v>
      </c>
      <c r="P70" s="216">
        <v>3</v>
      </c>
      <c r="Q70" s="216">
        <v>0.48</v>
      </c>
      <c r="R70" s="216">
        <v>0.13</v>
      </c>
      <c r="S70" s="216">
        <v>1.2</v>
      </c>
      <c r="T70" s="240"/>
      <c r="U70" s="240"/>
      <c r="V70" s="240"/>
      <c r="W70" s="241"/>
      <c r="X70" s="233"/>
      <c r="Y70" s="240"/>
      <c r="Z70" s="216"/>
      <c r="AA70" s="241"/>
      <c r="AB70" s="241"/>
      <c r="AC70" s="240"/>
      <c r="AD70" s="240"/>
      <c r="AE70" s="233"/>
      <c r="AF70" s="233"/>
      <c r="AG70" s="240"/>
      <c r="AH70" s="240">
        <f t="shared" si="10"/>
        <v>0</v>
      </c>
      <c r="AI70" s="236">
        <f t="shared" si="11"/>
        <v>0.83333333333333304</v>
      </c>
      <c r="AJ70" s="252"/>
      <c r="AK70" s="233"/>
      <c r="AL70" s="216"/>
      <c r="AM70" s="236">
        <v>10</v>
      </c>
      <c r="AN70" s="231"/>
      <c r="AO70" s="231"/>
      <c r="AP70" s="231"/>
      <c r="AQ70" s="231"/>
      <c r="AR70" s="231"/>
      <c r="AS70" s="231"/>
      <c r="AT70" s="231"/>
      <c r="AU70" s="231"/>
      <c r="AV70" s="231"/>
      <c r="AW70" s="236"/>
      <c r="AX70" s="242"/>
      <c r="AY70" s="244"/>
      <c r="AZ70" s="231"/>
      <c r="BA70" s="244"/>
      <c r="BB70" s="244"/>
      <c r="BC70" s="244"/>
      <c r="BD70" s="242"/>
      <c r="BE70" s="231"/>
      <c r="BF70" s="242"/>
      <c r="BG70" s="242"/>
      <c r="BH70" s="242"/>
      <c r="BI70" s="242"/>
      <c r="BJ70" s="242"/>
      <c r="BK70" s="242"/>
      <c r="BL70" s="242"/>
      <c r="BM70" s="242"/>
      <c r="BN70" s="242"/>
      <c r="BO70" s="231"/>
      <c r="BP70" s="231"/>
      <c r="BQ70" s="204"/>
      <c r="BR70" s="204"/>
      <c r="BS70" s="204"/>
      <c r="BT70" s="204"/>
      <c r="BU70" s="204"/>
      <c r="BV70" s="204"/>
      <c r="BW70" s="204"/>
      <c r="BX70" s="204"/>
      <c r="BY70" s="204"/>
      <c r="BZ70" s="204"/>
      <c r="CA70" s="204"/>
      <c r="CB70" s="204"/>
      <c r="CC70" s="204"/>
      <c r="CD70" s="204"/>
      <c r="CE70" s="204"/>
      <c r="CF70" s="204"/>
      <c r="CG70" s="204"/>
      <c r="CH70" s="204"/>
      <c r="CI70" s="231"/>
    </row>
    <row r="71" spans="1:101" ht="25.2" customHeight="1" outlineLevel="1">
      <c r="A71" s="204">
        <v>62</v>
      </c>
      <c r="B71" s="207">
        <v>3012</v>
      </c>
      <c r="C71" s="208" t="s">
        <v>246</v>
      </c>
      <c r="D71" s="194" t="s">
        <v>181</v>
      </c>
      <c r="E71" s="209">
        <f t="shared" si="8"/>
        <v>223.07</v>
      </c>
      <c r="F71" s="216">
        <v>43.95</v>
      </c>
      <c r="G71" s="217">
        <v>4.2</v>
      </c>
      <c r="H71" s="218">
        <v>1.1100000000000001</v>
      </c>
      <c r="I71" s="230">
        <f t="shared" si="9"/>
        <v>49.07</v>
      </c>
      <c r="J71" s="216" t="s">
        <v>247</v>
      </c>
      <c r="K71" s="216">
        <v>1.67</v>
      </c>
      <c r="L71" s="233"/>
      <c r="M71" s="216">
        <v>18</v>
      </c>
      <c r="N71" s="216">
        <v>96</v>
      </c>
      <c r="O71" s="216">
        <v>1.41</v>
      </c>
      <c r="P71" s="216">
        <v>36</v>
      </c>
      <c r="Q71" s="216">
        <v>0.16</v>
      </c>
      <c r="R71" s="216">
        <v>0.18</v>
      </c>
      <c r="S71" s="216">
        <v>0.8</v>
      </c>
      <c r="T71" s="231">
        <v>3</v>
      </c>
      <c r="U71" s="231">
        <v>447</v>
      </c>
      <c r="V71" s="231">
        <v>84</v>
      </c>
      <c r="W71" s="242">
        <v>1.601</v>
      </c>
      <c r="X71" s="232">
        <v>0.87</v>
      </c>
      <c r="Y71" s="231">
        <v>363</v>
      </c>
      <c r="Z71" s="231"/>
      <c r="AA71" s="241">
        <v>0.55500000000000005</v>
      </c>
      <c r="AB71" s="241">
        <v>0.41</v>
      </c>
      <c r="AC71" s="240">
        <v>68</v>
      </c>
      <c r="AD71" s="240">
        <v>0</v>
      </c>
      <c r="AE71" s="233">
        <v>1.3</v>
      </c>
      <c r="AF71" s="233">
        <v>0</v>
      </c>
      <c r="AG71" s="240">
        <v>0</v>
      </c>
      <c r="AH71" s="240">
        <f t="shared" si="10"/>
        <v>0</v>
      </c>
      <c r="AI71" s="236">
        <f t="shared" si="11"/>
        <v>0</v>
      </c>
      <c r="AJ71" s="252"/>
      <c r="AK71" s="233"/>
      <c r="AL71" s="216"/>
      <c r="AM71" s="236"/>
      <c r="AN71" s="231"/>
      <c r="AO71" s="231"/>
      <c r="AP71" s="231"/>
      <c r="AQ71" s="231"/>
      <c r="AR71" s="231"/>
      <c r="AS71" s="231"/>
      <c r="AT71" s="231"/>
      <c r="AU71" s="231"/>
      <c r="AV71" s="231"/>
      <c r="AW71" s="236">
        <v>0.16400000000000001</v>
      </c>
      <c r="AX71" s="242">
        <v>0.151</v>
      </c>
      <c r="AY71" s="242">
        <v>0</v>
      </c>
      <c r="AZ71" s="242">
        <v>1.0999999999999999E-2</v>
      </c>
      <c r="BA71" s="242">
        <v>0</v>
      </c>
      <c r="BB71" s="242">
        <v>0</v>
      </c>
      <c r="BC71" s="242">
        <v>0</v>
      </c>
      <c r="BD71" s="242">
        <v>0.58099999999999996</v>
      </c>
      <c r="BE71" s="231">
        <v>0</v>
      </c>
      <c r="BF71" s="242">
        <v>8.0000000000000002E-3</v>
      </c>
      <c r="BG71" s="242">
        <v>0.55900000000000005</v>
      </c>
      <c r="BH71" s="242">
        <v>0.28799999999999998</v>
      </c>
      <c r="BI71" s="242">
        <v>0.25800000000000001</v>
      </c>
      <c r="BJ71" s="242">
        <v>2.8000000000000001E-2</v>
      </c>
      <c r="BK71" s="242">
        <v>0</v>
      </c>
      <c r="BL71" s="242">
        <v>0</v>
      </c>
      <c r="BM71" s="242">
        <v>0</v>
      </c>
      <c r="BN71" s="242"/>
      <c r="BO71" s="231">
        <v>0</v>
      </c>
      <c r="BP71" s="231"/>
      <c r="BQ71" s="231">
        <v>228</v>
      </c>
      <c r="BR71" s="231">
        <v>101</v>
      </c>
      <c r="BS71" s="231">
        <v>49</v>
      </c>
      <c r="BT71" s="231">
        <v>190</v>
      </c>
      <c r="BU71" s="231">
        <v>167</v>
      </c>
      <c r="BV71" s="231">
        <v>220</v>
      </c>
      <c r="BW71" s="231">
        <v>259</v>
      </c>
      <c r="BX71" s="231">
        <v>157</v>
      </c>
      <c r="BY71" s="231">
        <v>430</v>
      </c>
      <c r="BZ71" s="231">
        <v>121</v>
      </c>
      <c r="CA71" s="231">
        <v>110</v>
      </c>
      <c r="CB71" s="231">
        <v>125</v>
      </c>
      <c r="CC71" s="231">
        <v>200</v>
      </c>
      <c r="CD71" s="231">
        <v>852</v>
      </c>
      <c r="CE71" s="231">
        <v>537</v>
      </c>
      <c r="CF71" s="231">
        <v>184</v>
      </c>
      <c r="CG71" s="231">
        <v>162</v>
      </c>
      <c r="CH71" s="231">
        <v>184</v>
      </c>
      <c r="CI71" s="231"/>
    </row>
    <row r="72" spans="1:101" ht="25.2" customHeight="1" outlineLevel="1">
      <c r="A72" s="204">
        <v>63</v>
      </c>
      <c r="B72" s="207">
        <v>3013</v>
      </c>
      <c r="C72" s="208" t="s">
        <v>248</v>
      </c>
      <c r="D72" s="194" t="s">
        <v>181</v>
      </c>
      <c r="E72" s="209">
        <f t="shared" si="8"/>
        <v>362.61</v>
      </c>
      <c r="F72" s="216">
        <v>8.9</v>
      </c>
      <c r="G72" s="217">
        <v>6.82</v>
      </c>
      <c r="H72" s="218">
        <v>1.81</v>
      </c>
      <c r="I72" s="230">
        <f t="shared" si="9"/>
        <v>79.760000000000005</v>
      </c>
      <c r="J72" s="216" t="s">
        <v>247</v>
      </c>
      <c r="K72" s="216">
        <v>2.71</v>
      </c>
      <c r="L72" s="233"/>
      <c r="M72" s="216">
        <v>29</v>
      </c>
      <c r="N72" s="216">
        <v>155</v>
      </c>
      <c r="O72" s="216">
        <v>2.29</v>
      </c>
      <c r="P72" s="216">
        <v>58.5</v>
      </c>
      <c r="Q72" s="216">
        <v>0.26</v>
      </c>
      <c r="R72" s="216">
        <v>0.29299999999999998</v>
      </c>
      <c r="S72" s="216">
        <v>1.3</v>
      </c>
      <c r="T72" s="231">
        <v>5</v>
      </c>
      <c r="U72" s="231">
        <v>726</v>
      </c>
      <c r="V72" s="231">
        <v>137</v>
      </c>
      <c r="W72" s="242">
        <v>2.601</v>
      </c>
      <c r="X72" s="232">
        <v>1.41</v>
      </c>
      <c r="Y72" s="231">
        <v>590</v>
      </c>
      <c r="Z72" s="231"/>
      <c r="AA72" s="241">
        <v>0.90200000000000002</v>
      </c>
      <c r="AB72" s="241">
        <v>0.66600000000000004</v>
      </c>
      <c r="AC72" s="240">
        <v>110</v>
      </c>
      <c r="AD72" s="240">
        <v>0</v>
      </c>
      <c r="AE72" s="233"/>
      <c r="AF72" s="233">
        <v>0</v>
      </c>
      <c r="AG72" s="240">
        <v>0</v>
      </c>
      <c r="AH72" s="240">
        <f t="shared" si="10"/>
        <v>0</v>
      </c>
      <c r="AI72" s="236">
        <f t="shared" si="11"/>
        <v>0</v>
      </c>
      <c r="AJ72" s="252"/>
      <c r="AK72" s="233"/>
      <c r="AL72" s="216"/>
      <c r="AM72" s="236"/>
      <c r="AN72" s="231"/>
      <c r="AO72" s="231"/>
      <c r="AP72" s="231"/>
      <c r="AQ72" s="231"/>
      <c r="AR72" s="231"/>
      <c r="AS72" s="231"/>
      <c r="AT72" s="231"/>
      <c r="AU72" s="231"/>
      <c r="AV72" s="231"/>
      <c r="AW72" s="236">
        <v>0.26600000000000001</v>
      </c>
      <c r="AX72" s="242">
        <v>0.246</v>
      </c>
      <c r="AY72" s="242">
        <v>0</v>
      </c>
      <c r="AZ72" s="242">
        <v>1.9E-2</v>
      </c>
      <c r="BA72" s="242">
        <v>0</v>
      </c>
      <c r="BB72" s="242">
        <v>0</v>
      </c>
      <c r="BC72" s="242">
        <v>0</v>
      </c>
      <c r="BD72" s="242">
        <v>0.94499999999999995</v>
      </c>
      <c r="BE72" s="231">
        <v>0</v>
      </c>
      <c r="BF72" s="242">
        <v>1.2E-2</v>
      </c>
      <c r="BG72" s="242">
        <v>0.90900000000000003</v>
      </c>
      <c r="BH72" s="242">
        <v>0.46800000000000003</v>
      </c>
      <c r="BI72" s="242">
        <v>0.41899999999999998</v>
      </c>
      <c r="BJ72" s="242">
        <v>4.4999999999999998E-2</v>
      </c>
      <c r="BK72" s="242">
        <v>0</v>
      </c>
      <c r="BL72" s="242">
        <v>0</v>
      </c>
      <c r="BM72" s="242">
        <v>0</v>
      </c>
      <c r="BN72" s="242"/>
      <c r="BO72" s="231">
        <v>0</v>
      </c>
      <c r="BP72" s="231"/>
      <c r="BQ72" s="231">
        <v>371</v>
      </c>
      <c r="BR72" s="231">
        <v>0.16500000000000001</v>
      </c>
      <c r="BS72" s="231">
        <v>80</v>
      </c>
      <c r="BT72" s="231">
        <v>309</v>
      </c>
      <c r="BU72" s="231">
        <v>272</v>
      </c>
      <c r="BV72" s="231">
        <v>358</v>
      </c>
      <c r="BW72" s="231">
        <v>421</v>
      </c>
      <c r="BX72" s="231">
        <v>255</v>
      </c>
      <c r="BY72" s="231">
        <v>699</v>
      </c>
      <c r="BZ72" s="231">
        <v>197</v>
      </c>
      <c r="CA72" s="231">
        <v>179</v>
      </c>
      <c r="CB72" s="231">
        <v>203</v>
      </c>
      <c r="CC72" s="231">
        <v>324</v>
      </c>
      <c r="CD72" s="231">
        <v>1385</v>
      </c>
      <c r="CE72" s="231">
        <v>873</v>
      </c>
      <c r="CF72" s="231">
        <v>299</v>
      </c>
      <c r="CG72" s="231">
        <v>263</v>
      </c>
      <c r="CH72" s="231">
        <v>299</v>
      </c>
      <c r="CI72" s="231"/>
    </row>
    <row r="73" spans="1:101" ht="25.2" customHeight="1" outlineLevel="1">
      <c r="A73" s="204">
        <v>64</v>
      </c>
      <c r="B73" s="207">
        <v>3014</v>
      </c>
      <c r="C73" s="208" t="s">
        <v>249</v>
      </c>
      <c r="D73" s="194" t="s">
        <v>181</v>
      </c>
      <c r="E73" s="209">
        <f t="shared" si="8"/>
        <v>486.2</v>
      </c>
      <c r="F73" s="216">
        <v>12</v>
      </c>
      <c r="G73" s="217">
        <v>17.3</v>
      </c>
      <c r="H73" s="218">
        <v>29</v>
      </c>
      <c r="I73" s="230">
        <f t="shared" si="9"/>
        <v>39</v>
      </c>
      <c r="J73" s="216">
        <v>3.5</v>
      </c>
      <c r="K73" s="216">
        <v>2.7</v>
      </c>
      <c r="L73" s="233"/>
      <c r="M73" s="236">
        <v>84</v>
      </c>
      <c r="N73" s="236">
        <v>255</v>
      </c>
      <c r="O73" s="236"/>
      <c r="P73" s="236"/>
      <c r="Q73" s="236"/>
      <c r="R73" s="236"/>
      <c r="S73" s="236"/>
      <c r="T73" s="231"/>
      <c r="U73" s="231"/>
      <c r="V73" s="231"/>
      <c r="W73" s="242"/>
      <c r="X73" s="232"/>
      <c r="Y73" s="231"/>
      <c r="Z73" s="231"/>
      <c r="AA73" s="241"/>
      <c r="AB73" s="241"/>
      <c r="AC73" s="240"/>
      <c r="AD73" s="240"/>
      <c r="AE73" s="236"/>
      <c r="AF73" s="236"/>
      <c r="AG73" s="240">
        <v>0</v>
      </c>
      <c r="AH73" s="240">
        <f t="shared" si="10"/>
        <v>0</v>
      </c>
      <c r="AI73" s="236">
        <f t="shared" si="11"/>
        <v>0</v>
      </c>
      <c r="AJ73" s="252"/>
      <c r="AK73" s="233"/>
      <c r="AL73" s="216"/>
      <c r="AM73" s="236"/>
      <c r="AN73" s="231"/>
      <c r="AO73" s="231"/>
      <c r="AP73" s="231"/>
      <c r="AQ73" s="231"/>
      <c r="AR73" s="231"/>
      <c r="AS73" s="231"/>
      <c r="AT73" s="231"/>
      <c r="AU73" s="231"/>
      <c r="AV73" s="231"/>
      <c r="AW73" s="236"/>
      <c r="AX73" s="242"/>
      <c r="AY73" s="242"/>
      <c r="AZ73" s="242"/>
      <c r="BA73" s="242"/>
      <c r="BB73" s="242"/>
      <c r="BC73" s="242"/>
      <c r="BD73" s="242"/>
      <c r="BE73" s="231"/>
      <c r="BF73" s="242"/>
      <c r="BG73" s="242"/>
      <c r="BH73" s="242"/>
      <c r="BI73" s="242"/>
      <c r="BJ73" s="242"/>
      <c r="BK73" s="242"/>
      <c r="BL73" s="242"/>
      <c r="BM73" s="242"/>
      <c r="BN73" s="242"/>
      <c r="BO73" s="231">
        <v>0</v>
      </c>
      <c r="BP73" s="231"/>
      <c r="BQ73" s="231"/>
      <c r="BR73" s="231"/>
      <c r="BS73" s="231"/>
      <c r="BT73" s="231"/>
      <c r="BU73" s="231"/>
      <c r="BV73" s="231"/>
      <c r="BW73" s="231"/>
      <c r="BX73" s="231"/>
      <c r="BY73" s="231"/>
      <c r="BZ73" s="231"/>
      <c r="CA73" s="231"/>
      <c r="CB73" s="231"/>
      <c r="CC73" s="231"/>
      <c r="CD73" s="231"/>
      <c r="CE73" s="231"/>
      <c r="CF73" s="231"/>
      <c r="CG73" s="231"/>
      <c r="CH73" s="231"/>
      <c r="CI73" s="231"/>
      <c r="CV73" s="172"/>
      <c r="CW73" s="172"/>
    </row>
    <row r="74" spans="1:101" ht="25.2" customHeight="1" outlineLevel="1">
      <c r="A74" s="204">
        <v>65</v>
      </c>
      <c r="B74" s="207">
        <v>3015</v>
      </c>
      <c r="C74" s="208" t="s">
        <v>250</v>
      </c>
      <c r="D74" s="194" t="s">
        <v>181</v>
      </c>
      <c r="E74" s="209">
        <f t="shared" si="8"/>
        <v>607.5</v>
      </c>
      <c r="F74" s="216">
        <v>3.4</v>
      </c>
      <c r="G74" s="217">
        <v>18.399999999999999</v>
      </c>
      <c r="H74" s="218">
        <v>46.3</v>
      </c>
      <c r="I74" s="230">
        <f t="shared" si="9"/>
        <v>29.3</v>
      </c>
      <c r="J74" s="216">
        <v>0.6</v>
      </c>
      <c r="K74" s="216">
        <v>2.6</v>
      </c>
      <c r="L74" s="233">
        <v>5.91</v>
      </c>
      <c r="M74" s="236">
        <v>28</v>
      </c>
      <c r="N74" s="236">
        <v>462</v>
      </c>
      <c r="O74" s="236">
        <v>3.6</v>
      </c>
      <c r="P74" s="236">
        <v>1</v>
      </c>
      <c r="Q74" s="236">
        <v>0.25</v>
      </c>
      <c r="R74" s="236">
        <v>0.34</v>
      </c>
      <c r="S74" s="236">
        <v>2.4</v>
      </c>
      <c r="T74" s="231">
        <v>12</v>
      </c>
      <c r="U74" s="231">
        <v>660</v>
      </c>
      <c r="V74" s="231">
        <v>292</v>
      </c>
      <c r="W74" s="242">
        <v>1.655</v>
      </c>
      <c r="X74" s="232">
        <v>5.78</v>
      </c>
      <c r="Y74" s="231">
        <v>2195</v>
      </c>
      <c r="Z74" s="231">
        <v>19.899999999999999</v>
      </c>
      <c r="AA74" s="241">
        <v>0.86399999999999999</v>
      </c>
      <c r="AB74" s="241">
        <v>0.41699999999999998</v>
      </c>
      <c r="AC74" s="240">
        <v>25</v>
      </c>
      <c r="AD74" s="240">
        <v>0</v>
      </c>
      <c r="AE74" s="236"/>
      <c r="AF74" s="236">
        <v>0</v>
      </c>
      <c r="AG74" s="240">
        <v>0</v>
      </c>
      <c r="AH74" s="240">
        <f t="shared" si="10"/>
        <v>0</v>
      </c>
      <c r="AI74" s="236">
        <f t="shared" si="11"/>
        <v>0.41666666666666702</v>
      </c>
      <c r="AJ74" s="252"/>
      <c r="AK74" s="233">
        <v>0.9</v>
      </c>
      <c r="AL74" s="216">
        <v>34.1</v>
      </c>
      <c r="AM74" s="236">
        <v>5</v>
      </c>
      <c r="AN74" s="231"/>
      <c r="AO74" s="231"/>
      <c r="AP74" s="231"/>
      <c r="AQ74" s="231"/>
      <c r="AR74" s="231"/>
      <c r="AS74" s="231"/>
      <c r="AT74" s="231"/>
      <c r="AU74" s="231"/>
      <c r="AV74" s="231"/>
      <c r="AW74" s="236">
        <v>7.7830000000000004</v>
      </c>
      <c r="AX74" s="242">
        <v>3.9159999999999999</v>
      </c>
      <c r="AY74" s="242">
        <v>4.5999999999999999E-2</v>
      </c>
      <c r="AZ74" s="242">
        <v>3.2229999999999999</v>
      </c>
      <c r="BA74" s="242">
        <v>0.26600000000000001</v>
      </c>
      <c r="BB74" s="242">
        <v>0.17299999999999999</v>
      </c>
      <c r="BC74" s="242">
        <v>0.10100000000000001</v>
      </c>
      <c r="BD74" s="242">
        <v>23.797000000000001</v>
      </c>
      <c r="BE74" s="231">
        <v>0</v>
      </c>
      <c r="BF74" s="242">
        <v>0.13600000000000001</v>
      </c>
      <c r="BG74" s="242">
        <v>23.523</v>
      </c>
      <c r="BH74" s="242">
        <v>7.8449999999999998</v>
      </c>
      <c r="BI74" s="242">
        <v>7.782</v>
      </c>
      <c r="BJ74" s="242">
        <v>6.2E-2</v>
      </c>
      <c r="BK74" s="242">
        <v>0</v>
      </c>
      <c r="BL74" s="242">
        <v>0</v>
      </c>
      <c r="BM74" s="242">
        <v>0</v>
      </c>
      <c r="BN74" s="242"/>
      <c r="BO74" s="231">
        <v>0</v>
      </c>
      <c r="BP74" s="231"/>
      <c r="BQ74" s="231">
        <v>928</v>
      </c>
      <c r="BR74" s="231">
        <v>362</v>
      </c>
      <c r="BS74" s="231">
        <v>287</v>
      </c>
      <c r="BT74" s="231">
        <v>951</v>
      </c>
      <c r="BU74" s="231">
        <v>688</v>
      </c>
      <c r="BV74" s="231">
        <v>1094</v>
      </c>
      <c r="BW74" s="231">
        <v>1472</v>
      </c>
      <c r="BX74" s="231">
        <v>789</v>
      </c>
      <c r="BY74" s="231">
        <v>2123</v>
      </c>
      <c r="BZ74" s="231">
        <v>456</v>
      </c>
      <c r="CA74" s="231">
        <v>393</v>
      </c>
      <c r="CB74" s="231">
        <v>508</v>
      </c>
      <c r="CC74" s="231">
        <v>837</v>
      </c>
      <c r="CD74" s="231">
        <v>1795</v>
      </c>
      <c r="CE74" s="231">
        <v>4506</v>
      </c>
      <c r="CF74" s="231">
        <v>937</v>
      </c>
      <c r="CG74" s="231">
        <v>812</v>
      </c>
      <c r="CH74" s="231">
        <v>1079</v>
      </c>
      <c r="CI74" s="231"/>
    </row>
    <row r="75" spans="1:101" ht="25.2" customHeight="1" outlineLevel="1">
      <c r="A75" s="204">
        <v>66</v>
      </c>
      <c r="B75" s="207">
        <v>3016</v>
      </c>
      <c r="C75" s="208" t="s">
        <v>251</v>
      </c>
      <c r="D75" s="194" t="s">
        <v>181</v>
      </c>
      <c r="E75" s="209">
        <f t="shared" si="8"/>
        <v>165.9</v>
      </c>
      <c r="F75" s="216">
        <v>58.2</v>
      </c>
      <c r="G75" s="217">
        <v>0.7</v>
      </c>
      <c r="H75" s="218">
        <v>1.1000000000000001</v>
      </c>
      <c r="I75" s="230">
        <f t="shared" si="9"/>
        <v>38.299999999999997</v>
      </c>
      <c r="J75" s="216" t="s">
        <v>247</v>
      </c>
      <c r="K75" s="216">
        <v>1.7</v>
      </c>
      <c r="L75" s="233"/>
      <c r="M75" s="236">
        <v>46</v>
      </c>
      <c r="N75" s="236">
        <v>34.4</v>
      </c>
      <c r="O75" s="236">
        <v>3.4</v>
      </c>
      <c r="P75" s="236"/>
      <c r="Q75" s="236"/>
      <c r="R75" s="236"/>
      <c r="S75" s="236"/>
      <c r="T75" s="231"/>
      <c r="U75" s="231"/>
      <c r="V75" s="231"/>
      <c r="W75" s="242"/>
      <c r="X75" s="232"/>
      <c r="Y75" s="231"/>
      <c r="Z75" s="231"/>
      <c r="AA75" s="241"/>
      <c r="AB75" s="241"/>
      <c r="AC75" s="240"/>
      <c r="AD75" s="240"/>
      <c r="AE75" s="236"/>
      <c r="AF75" s="236"/>
      <c r="AG75" s="240">
        <v>0</v>
      </c>
      <c r="AH75" s="240">
        <f t="shared" si="10"/>
        <v>0</v>
      </c>
      <c r="AI75" s="236">
        <f t="shared" si="11"/>
        <v>0</v>
      </c>
      <c r="AJ75" s="252"/>
      <c r="AK75" s="233"/>
      <c r="AL75" s="216"/>
      <c r="AM75" s="236">
        <v>0</v>
      </c>
      <c r="AN75" s="236">
        <v>0</v>
      </c>
      <c r="AO75" s="236">
        <v>0</v>
      </c>
      <c r="AP75" s="236">
        <v>0</v>
      </c>
      <c r="AQ75" s="236">
        <v>0</v>
      </c>
      <c r="AR75" s="231"/>
      <c r="AS75" s="231"/>
      <c r="AT75" s="231"/>
      <c r="AU75" s="231"/>
      <c r="AV75" s="231"/>
      <c r="AW75" s="236"/>
      <c r="AX75" s="242"/>
      <c r="AY75" s="242"/>
      <c r="AZ75" s="242"/>
      <c r="BA75" s="242"/>
      <c r="BB75" s="242"/>
      <c r="BC75" s="242"/>
      <c r="BD75" s="242"/>
      <c r="BE75" s="231"/>
      <c r="BF75" s="242"/>
      <c r="BG75" s="242"/>
      <c r="BH75" s="242"/>
      <c r="BI75" s="242"/>
      <c r="BJ75" s="242"/>
      <c r="BK75" s="242"/>
      <c r="BL75" s="242"/>
      <c r="BM75" s="242"/>
      <c r="BN75" s="242"/>
      <c r="BO75" s="231">
        <v>0</v>
      </c>
      <c r="BP75" s="231"/>
      <c r="BQ75" s="231"/>
      <c r="BR75" s="231"/>
      <c r="BS75" s="231"/>
      <c r="BT75" s="231"/>
      <c r="BU75" s="231"/>
      <c r="BV75" s="231"/>
      <c r="BW75" s="231"/>
      <c r="BX75" s="231"/>
      <c r="BY75" s="231"/>
      <c r="BZ75" s="231"/>
      <c r="CA75" s="231"/>
      <c r="CB75" s="231"/>
      <c r="CC75" s="231"/>
      <c r="CD75" s="231"/>
      <c r="CE75" s="231"/>
      <c r="CF75" s="231"/>
      <c r="CG75" s="231"/>
      <c r="CH75" s="231"/>
      <c r="CI75" s="231"/>
    </row>
    <row r="76" spans="1:101" ht="25.2" customHeight="1" outlineLevel="1">
      <c r="A76" s="204">
        <v>67</v>
      </c>
      <c r="B76" s="207">
        <v>3017</v>
      </c>
      <c r="C76" s="208" t="s">
        <v>252</v>
      </c>
      <c r="D76" s="194" t="s">
        <v>181</v>
      </c>
      <c r="E76" s="209">
        <f t="shared" si="8"/>
        <v>582.5</v>
      </c>
      <c r="F76" s="216">
        <v>7.5</v>
      </c>
      <c r="G76" s="217">
        <v>27.5</v>
      </c>
      <c r="H76" s="218">
        <v>44.5</v>
      </c>
      <c r="I76" s="230">
        <f t="shared" si="9"/>
        <v>18</v>
      </c>
      <c r="J76" s="216">
        <v>2.5</v>
      </c>
      <c r="K76" s="216">
        <v>2.5</v>
      </c>
      <c r="L76" s="231"/>
      <c r="M76" s="216">
        <v>68</v>
      </c>
      <c r="N76" s="216">
        <v>420</v>
      </c>
      <c r="O76" s="216">
        <v>2.2000000000000002</v>
      </c>
      <c r="P76" s="216">
        <v>0.8</v>
      </c>
      <c r="Q76" s="216">
        <v>0.44</v>
      </c>
      <c r="R76" s="216">
        <v>0.12</v>
      </c>
      <c r="S76" s="216">
        <v>16</v>
      </c>
      <c r="T76" s="240">
        <v>4</v>
      </c>
      <c r="U76" s="240">
        <v>421</v>
      </c>
      <c r="V76" s="240">
        <v>185</v>
      </c>
      <c r="W76" s="241">
        <v>1.6</v>
      </c>
      <c r="X76" s="233">
        <v>1.9</v>
      </c>
      <c r="Y76" s="240">
        <v>420</v>
      </c>
      <c r="Z76" s="216"/>
      <c r="AA76" s="241">
        <v>1.7669999999999999</v>
      </c>
      <c r="AB76" s="241">
        <v>0.34799999999999998</v>
      </c>
      <c r="AC76" s="240">
        <v>240</v>
      </c>
      <c r="AD76" s="240">
        <v>0</v>
      </c>
      <c r="AE76" s="233"/>
      <c r="AF76" s="233">
        <v>0</v>
      </c>
      <c r="AG76" s="240">
        <v>0</v>
      </c>
      <c r="AH76" s="240">
        <f t="shared" si="10"/>
        <v>0</v>
      </c>
      <c r="AI76" s="236">
        <f t="shared" si="11"/>
        <v>0.83333333333333304</v>
      </c>
      <c r="AJ76" s="252"/>
      <c r="AK76" s="233">
        <v>8.33</v>
      </c>
      <c r="AL76" s="216">
        <v>0</v>
      </c>
      <c r="AM76" s="236">
        <v>10</v>
      </c>
      <c r="AN76" s="231"/>
      <c r="AO76" s="231"/>
      <c r="AP76" s="231"/>
      <c r="AQ76" s="231"/>
      <c r="AR76" s="231">
        <v>0.26</v>
      </c>
      <c r="AS76" s="231">
        <v>0.03</v>
      </c>
      <c r="AT76" s="231">
        <v>0.24</v>
      </c>
      <c r="AU76" s="231"/>
      <c r="AV76" s="231">
        <v>74</v>
      </c>
      <c r="AW76" s="236">
        <v>6.8339999999999996</v>
      </c>
      <c r="AX76" s="242">
        <v>5.1539999999999999</v>
      </c>
      <c r="AY76" s="242">
        <v>0</v>
      </c>
      <c r="AZ76" s="242">
        <v>1.1000000000000001</v>
      </c>
      <c r="BA76" s="242">
        <v>0</v>
      </c>
      <c r="BB76" s="242">
        <v>0</v>
      </c>
      <c r="BC76" s="242">
        <v>0</v>
      </c>
      <c r="BD76" s="242">
        <v>24.428999999999998</v>
      </c>
      <c r="BE76" s="231">
        <v>0</v>
      </c>
      <c r="BF76" s="242">
        <v>8.9999999999999993E-3</v>
      </c>
      <c r="BG76" s="242">
        <v>23.756</v>
      </c>
      <c r="BH76" s="242">
        <v>15.558999999999999</v>
      </c>
      <c r="BI76" s="242">
        <v>15.555</v>
      </c>
      <c r="BJ76" s="242">
        <v>3.0000000000000001E-3</v>
      </c>
      <c r="BK76" s="242">
        <v>0</v>
      </c>
      <c r="BL76" s="242">
        <v>0</v>
      </c>
      <c r="BM76" s="242">
        <v>0</v>
      </c>
      <c r="BN76" s="242"/>
      <c r="BO76" s="231">
        <v>0</v>
      </c>
      <c r="BP76" s="231">
        <v>220</v>
      </c>
      <c r="BQ76" s="204">
        <v>990</v>
      </c>
      <c r="BR76" s="204">
        <v>360</v>
      </c>
      <c r="BS76" s="204">
        <v>300</v>
      </c>
      <c r="BT76" s="204">
        <v>1680</v>
      </c>
      <c r="BU76" s="204">
        <v>770</v>
      </c>
      <c r="BV76" s="204">
        <v>1290</v>
      </c>
      <c r="BW76" s="204">
        <v>1760</v>
      </c>
      <c r="BX76" s="204">
        <v>880</v>
      </c>
      <c r="BY76" s="204">
        <v>2720</v>
      </c>
      <c r="BZ76" s="204">
        <v>580</v>
      </c>
      <c r="CA76" s="204">
        <v>249</v>
      </c>
      <c r="CB76" s="204">
        <v>669</v>
      </c>
      <c r="CC76" s="204">
        <v>669</v>
      </c>
      <c r="CD76" s="204">
        <v>2952</v>
      </c>
      <c r="CE76" s="204">
        <v>5070</v>
      </c>
      <c r="CF76" s="204">
        <v>1287</v>
      </c>
      <c r="CG76" s="204">
        <v>1236</v>
      </c>
      <c r="CH76" s="204">
        <v>1557</v>
      </c>
      <c r="CI76" s="231"/>
    </row>
    <row r="77" spans="1:101" ht="25.2" customHeight="1" outlineLevel="1">
      <c r="A77" s="204">
        <v>68</v>
      </c>
      <c r="B77" s="207">
        <v>3018</v>
      </c>
      <c r="C77" s="208" t="s">
        <v>253</v>
      </c>
      <c r="D77" s="194" t="s">
        <v>181</v>
      </c>
      <c r="E77" s="209">
        <f t="shared" si="8"/>
        <v>192.2</v>
      </c>
      <c r="F77" s="216">
        <v>67.099999999999994</v>
      </c>
      <c r="G77" s="217">
        <v>2.2999999999999998</v>
      </c>
      <c r="H77" s="218">
        <v>13.4</v>
      </c>
      <c r="I77" s="230">
        <f t="shared" si="9"/>
        <v>15.6</v>
      </c>
      <c r="J77" s="216">
        <v>3.5</v>
      </c>
      <c r="K77" s="216">
        <v>1.6</v>
      </c>
      <c r="L77" s="233"/>
      <c r="M77" s="236">
        <v>38</v>
      </c>
      <c r="N77" s="236">
        <v>34</v>
      </c>
      <c r="O77" s="236">
        <v>0.2</v>
      </c>
      <c r="P77" s="236">
        <v>8</v>
      </c>
      <c r="Q77" s="236">
        <v>0.05</v>
      </c>
      <c r="R77" s="236">
        <v>0.18</v>
      </c>
      <c r="S77" s="236">
        <v>0.9</v>
      </c>
      <c r="T77" s="231">
        <v>14</v>
      </c>
      <c r="U77" s="231">
        <v>1806</v>
      </c>
      <c r="V77" s="231">
        <v>10</v>
      </c>
      <c r="W77" s="242"/>
      <c r="X77" s="232">
        <v>3.73</v>
      </c>
      <c r="Y77" s="231">
        <v>644</v>
      </c>
      <c r="Z77" s="231">
        <v>0.7</v>
      </c>
      <c r="AA77" s="241"/>
      <c r="AB77" s="241">
        <v>0.81</v>
      </c>
      <c r="AC77" s="240">
        <v>24</v>
      </c>
      <c r="AD77" s="240">
        <v>0</v>
      </c>
      <c r="AE77" s="236"/>
      <c r="AF77" s="236">
        <v>0</v>
      </c>
      <c r="AG77" s="240">
        <v>0</v>
      </c>
      <c r="AH77" s="240">
        <f t="shared" si="10"/>
        <v>0</v>
      </c>
      <c r="AI77" s="236">
        <f t="shared" si="11"/>
        <v>3.4166666666666701</v>
      </c>
      <c r="AJ77" s="252"/>
      <c r="AK77" s="233">
        <v>0.5</v>
      </c>
      <c r="AL77" s="216"/>
      <c r="AM77" s="236">
        <v>41</v>
      </c>
      <c r="AN77" s="231"/>
      <c r="AO77" s="231"/>
      <c r="AP77" s="231"/>
      <c r="AQ77" s="231"/>
      <c r="AR77" s="231"/>
      <c r="AS77" s="231"/>
      <c r="AT77" s="231"/>
      <c r="AU77" s="231"/>
      <c r="AV77" s="231"/>
      <c r="AW77" s="236">
        <v>4.5999999999999999E-2</v>
      </c>
      <c r="AX77" s="242">
        <v>3.4000000000000002E-2</v>
      </c>
      <c r="AY77" s="242">
        <v>0</v>
      </c>
      <c r="AZ77" s="231">
        <v>4.0000000000000001E-3</v>
      </c>
      <c r="BA77" s="242">
        <v>0</v>
      </c>
      <c r="BB77" s="242">
        <v>0</v>
      </c>
      <c r="BC77" s="242">
        <v>0</v>
      </c>
      <c r="BD77" s="242">
        <v>5.0000000000000001E-3</v>
      </c>
      <c r="BE77" s="231">
        <v>0</v>
      </c>
      <c r="BF77" s="242">
        <v>5.0000000000000001E-3</v>
      </c>
      <c r="BG77" s="242">
        <v>0</v>
      </c>
      <c r="BH77" s="242">
        <v>8.8999999999999996E-2</v>
      </c>
      <c r="BI77" s="242">
        <v>7.5999999999999998E-2</v>
      </c>
      <c r="BJ77" s="242">
        <v>1.2999999999999999E-2</v>
      </c>
      <c r="BK77" s="242">
        <v>0</v>
      </c>
      <c r="BL77" s="242">
        <v>0</v>
      </c>
      <c r="BM77" s="242">
        <v>0</v>
      </c>
      <c r="BN77" s="242"/>
      <c r="BO77" s="231">
        <v>0</v>
      </c>
      <c r="BP77" s="231"/>
      <c r="BQ77" s="231"/>
      <c r="BR77" s="231"/>
      <c r="BS77" s="231"/>
      <c r="BT77" s="231"/>
      <c r="BU77" s="231"/>
      <c r="BV77" s="231"/>
      <c r="BW77" s="231"/>
      <c r="BX77" s="231"/>
      <c r="BY77" s="231"/>
      <c r="BZ77" s="231"/>
      <c r="CA77" s="231"/>
      <c r="CB77" s="231"/>
      <c r="CC77" s="231"/>
      <c r="CD77" s="231"/>
      <c r="CE77" s="231"/>
      <c r="CF77" s="231"/>
      <c r="CG77" s="231"/>
      <c r="CH77" s="231"/>
      <c r="CI77" s="231"/>
    </row>
    <row r="78" spans="1:101" ht="25.2" customHeight="1" outlineLevel="1">
      <c r="A78" s="204">
        <v>69</v>
      </c>
      <c r="B78" s="207">
        <v>3019</v>
      </c>
      <c r="C78" s="208" t="s">
        <v>254</v>
      </c>
      <c r="D78" s="194" t="s">
        <v>181</v>
      </c>
      <c r="E78" s="209">
        <f t="shared" si="8"/>
        <v>440.4</v>
      </c>
      <c r="F78" s="216">
        <v>35</v>
      </c>
      <c r="G78" s="217">
        <v>20</v>
      </c>
      <c r="H78" s="218">
        <v>38</v>
      </c>
      <c r="I78" s="230">
        <f t="shared" si="9"/>
        <v>4.5999999999999899</v>
      </c>
      <c r="J78" s="216">
        <v>3.4</v>
      </c>
      <c r="K78" s="216">
        <v>2.4</v>
      </c>
      <c r="L78" s="233"/>
      <c r="M78" s="236">
        <v>66</v>
      </c>
      <c r="N78" s="236">
        <v>440</v>
      </c>
      <c r="O78" s="236">
        <v>3.1</v>
      </c>
      <c r="P78" s="236"/>
      <c r="Q78" s="236"/>
      <c r="R78" s="236"/>
      <c r="S78" s="236"/>
      <c r="T78" s="240"/>
      <c r="U78" s="240"/>
      <c r="V78" s="240"/>
      <c r="W78" s="241"/>
      <c r="X78" s="233"/>
      <c r="Y78" s="240"/>
      <c r="Z78" s="216"/>
      <c r="AA78" s="241"/>
      <c r="AB78" s="241"/>
      <c r="AC78" s="240"/>
      <c r="AD78" s="240"/>
      <c r="AE78" s="236"/>
      <c r="AF78" s="236"/>
      <c r="AG78" s="240">
        <v>0</v>
      </c>
      <c r="AH78" s="240">
        <f t="shared" si="10"/>
        <v>0</v>
      </c>
      <c r="AI78" s="236">
        <f t="shared" si="11"/>
        <v>0</v>
      </c>
      <c r="AJ78" s="252"/>
      <c r="AK78" s="233"/>
      <c r="AL78" s="216"/>
      <c r="AM78" s="236"/>
      <c r="AN78" s="231"/>
      <c r="AO78" s="231"/>
      <c r="AP78" s="231"/>
      <c r="AQ78" s="231"/>
      <c r="AR78" s="231"/>
      <c r="AS78" s="231"/>
      <c r="AT78" s="231"/>
      <c r="AU78" s="231"/>
      <c r="AV78" s="231"/>
      <c r="AW78" s="236"/>
      <c r="AX78" s="242"/>
      <c r="AY78" s="242"/>
      <c r="AZ78" s="242"/>
      <c r="BA78" s="242"/>
      <c r="BB78" s="242"/>
      <c r="BC78" s="242"/>
      <c r="BD78" s="242"/>
      <c r="BE78" s="231"/>
      <c r="BF78" s="242"/>
      <c r="BG78" s="242"/>
      <c r="BH78" s="242"/>
      <c r="BI78" s="242"/>
      <c r="BJ78" s="242"/>
      <c r="BK78" s="242"/>
      <c r="BL78" s="242"/>
      <c r="BM78" s="242"/>
      <c r="BN78" s="242"/>
      <c r="BO78" s="231">
        <v>0</v>
      </c>
      <c r="BP78" s="231"/>
      <c r="BQ78" s="231"/>
      <c r="BR78" s="231"/>
      <c r="BS78" s="231"/>
      <c r="BT78" s="231"/>
      <c r="BU78" s="231"/>
      <c r="BV78" s="231"/>
      <c r="BW78" s="231"/>
      <c r="BX78" s="231"/>
      <c r="BY78" s="231"/>
      <c r="BZ78" s="231"/>
      <c r="CA78" s="231"/>
      <c r="CB78" s="231"/>
      <c r="CC78" s="231"/>
      <c r="CD78" s="231"/>
      <c r="CE78" s="231"/>
      <c r="CF78" s="231"/>
      <c r="CG78" s="231"/>
      <c r="CH78" s="231"/>
      <c r="CI78" s="231"/>
      <c r="CR78" s="172"/>
      <c r="CS78" s="172"/>
      <c r="CT78" s="172"/>
      <c r="CU78" s="172"/>
    </row>
    <row r="79" spans="1:101" ht="25.2" customHeight="1" outlineLevel="1">
      <c r="A79" s="204">
        <v>70</v>
      </c>
      <c r="B79" s="207">
        <v>3020</v>
      </c>
      <c r="C79" s="208" t="s">
        <v>255</v>
      </c>
      <c r="D79" s="194" t="s">
        <v>181</v>
      </c>
      <c r="E79" s="209">
        <f t="shared" si="8"/>
        <v>582.4</v>
      </c>
      <c r="F79" s="216">
        <v>7.6</v>
      </c>
      <c r="G79" s="217">
        <v>20.100000000000001</v>
      </c>
      <c r="H79" s="218">
        <v>46.4</v>
      </c>
      <c r="I79" s="230">
        <f t="shared" si="9"/>
        <v>21.1</v>
      </c>
      <c r="J79" s="216">
        <v>3.5</v>
      </c>
      <c r="K79" s="216">
        <v>4.8</v>
      </c>
      <c r="L79" s="233">
        <v>0.3</v>
      </c>
      <c r="M79" s="241">
        <v>975</v>
      </c>
      <c r="N79" s="241">
        <v>629</v>
      </c>
      <c r="O79" s="241">
        <v>14.55</v>
      </c>
      <c r="P79" s="241">
        <v>0</v>
      </c>
      <c r="Q79" s="241">
        <v>0.79100000000000004</v>
      </c>
      <c r="R79" s="241">
        <v>0.247</v>
      </c>
      <c r="S79" s="241">
        <v>4.5149999999999997</v>
      </c>
      <c r="T79" s="240">
        <v>11</v>
      </c>
      <c r="U79" s="240">
        <v>468</v>
      </c>
      <c r="V79" s="240">
        <v>351</v>
      </c>
      <c r="W79" s="241">
        <v>2.46</v>
      </c>
      <c r="X79" s="233">
        <v>7.75</v>
      </c>
      <c r="Y79" s="240">
        <v>4082</v>
      </c>
      <c r="Z79" s="216">
        <v>5.7</v>
      </c>
      <c r="AA79" s="241">
        <v>0.05</v>
      </c>
      <c r="AB79" s="241">
        <v>0.79</v>
      </c>
      <c r="AC79" s="240">
        <v>97</v>
      </c>
      <c r="AD79" s="240">
        <v>0</v>
      </c>
      <c r="AE79" s="233"/>
      <c r="AF79" s="233">
        <v>0</v>
      </c>
      <c r="AG79" s="240">
        <v>0</v>
      </c>
      <c r="AH79" s="240">
        <f t="shared" si="10"/>
        <v>0</v>
      </c>
      <c r="AI79" s="236">
        <f t="shared" si="11"/>
        <v>1.25</v>
      </c>
      <c r="AJ79" s="252"/>
      <c r="AK79" s="233">
        <v>0.25</v>
      </c>
      <c r="AL79" s="216">
        <v>0</v>
      </c>
      <c r="AM79" s="236">
        <v>15</v>
      </c>
      <c r="AN79" s="231"/>
      <c r="AO79" s="231"/>
      <c r="AP79" s="231"/>
      <c r="AQ79" s="231"/>
      <c r="AR79" s="231"/>
      <c r="AS79" s="231"/>
      <c r="AT79" s="231"/>
      <c r="AU79" s="231"/>
      <c r="AV79" s="231">
        <v>62</v>
      </c>
      <c r="AW79" s="236">
        <v>6.9569999999999999</v>
      </c>
      <c r="AX79" s="244">
        <v>4.4409999999999998</v>
      </c>
      <c r="AY79" s="244">
        <v>0</v>
      </c>
      <c r="AZ79" s="244">
        <v>2.09</v>
      </c>
      <c r="BA79" s="244">
        <v>0</v>
      </c>
      <c r="BB79" s="244">
        <v>0</v>
      </c>
      <c r="BC79" s="244">
        <v>0</v>
      </c>
      <c r="BD79" s="244">
        <v>18.759</v>
      </c>
      <c r="BE79" s="237">
        <v>0</v>
      </c>
      <c r="BF79" s="244">
        <v>0.14899999999999999</v>
      </c>
      <c r="BG79" s="244">
        <v>18.521000000000001</v>
      </c>
      <c r="BH79" s="244">
        <v>21.773</v>
      </c>
      <c r="BI79" s="244">
        <v>21.375</v>
      </c>
      <c r="BJ79" s="244">
        <v>0.376</v>
      </c>
      <c r="BK79" s="244">
        <v>0</v>
      </c>
      <c r="BL79" s="244">
        <v>0</v>
      </c>
      <c r="BM79" s="244">
        <v>0</v>
      </c>
      <c r="BN79" s="244"/>
      <c r="BO79" s="231">
        <v>0</v>
      </c>
      <c r="BP79" s="231">
        <v>714</v>
      </c>
      <c r="BQ79" s="204">
        <v>680</v>
      </c>
      <c r="BR79" s="204">
        <v>600</v>
      </c>
      <c r="BS79" s="204">
        <v>360</v>
      </c>
      <c r="BT79" s="204">
        <v>1410</v>
      </c>
      <c r="BU79" s="204">
        <v>680</v>
      </c>
      <c r="BV79" s="204">
        <v>1000</v>
      </c>
      <c r="BW79" s="204">
        <v>1410</v>
      </c>
      <c r="BX79" s="204">
        <v>840</v>
      </c>
      <c r="BY79" s="204">
        <v>1850</v>
      </c>
      <c r="BZ79" s="204">
        <v>300</v>
      </c>
      <c r="CA79" s="204">
        <v>202</v>
      </c>
      <c r="CB79" s="204">
        <v>712</v>
      </c>
      <c r="CC79" s="204">
        <v>1082</v>
      </c>
      <c r="CD79" s="204">
        <v>1134</v>
      </c>
      <c r="CE79" s="204">
        <v>4154</v>
      </c>
      <c r="CF79" s="204">
        <v>1245</v>
      </c>
      <c r="CG79" s="204">
        <v>1245</v>
      </c>
      <c r="CH79" s="204">
        <v>982</v>
      </c>
      <c r="CI79" s="231"/>
    </row>
    <row r="80" spans="1:101" ht="25.2" customHeight="1" outlineLevel="1">
      <c r="A80" s="204">
        <v>71</v>
      </c>
      <c r="B80" s="207">
        <v>3021</v>
      </c>
      <c r="C80" s="208" t="s">
        <v>256</v>
      </c>
      <c r="D80" s="194" t="s">
        <v>181</v>
      </c>
      <c r="E80" s="209">
        <f t="shared" si="8"/>
        <v>331</v>
      </c>
      <c r="F80" s="216">
        <v>14</v>
      </c>
      <c r="G80" s="217">
        <v>49</v>
      </c>
      <c r="H80" s="218">
        <v>1</v>
      </c>
      <c r="I80" s="230">
        <f t="shared" si="9"/>
        <v>31.5</v>
      </c>
      <c r="J80" s="216">
        <v>2.5</v>
      </c>
      <c r="K80" s="216">
        <v>4.5</v>
      </c>
      <c r="L80" s="233"/>
      <c r="M80" s="216">
        <v>247</v>
      </c>
      <c r="N80" s="216">
        <v>602</v>
      </c>
      <c r="O80" s="216">
        <v>7.6</v>
      </c>
      <c r="P80" s="216">
        <v>0</v>
      </c>
      <c r="Q80" s="216">
        <v>0.7</v>
      </c>
      <c r="R80" s="216">
        <v>0.3</v>
      </c>
      <c r="S80" s="216">
        <v>2</v>
      </c>
      <c r="T80" s="231">
        <v>20</v>
      </c>
      <c r="U80" s="231">
        <v>2384</v>
      </c>
      <c r="V80" s="231">
        <v>290</v>
      </c>
      <c r="W80" s="242">
        <v>3.0179999999999998</v>
      </c>
      <c r="X80" s="232">
        <v>2.46</v>
      </c>
      <c r="Y80" s="231">
        <v>4067</v>
      </c>
      <c r="Z80" s="231">
        <v>1.7</v>
      </c>
      <c r="AA80" s="241">
        <v>1.9950000000000001</v>
      </c>
      <c r="AB80" s="241">
        <v>0.57399999999999995</v>
      </c>
      <c r="AC80" s="240">
        <v>305</v>
      </c>
      <c r="AD80" s="240">
        <v>0</v>
      </c>
      <c r="AE80" s="233"/>
      <c r="AF80" s="233">
        <v>0</v>
      </c>
      <c r="AG80" s="240">
        <v>0</v>
      </c>
      <c r="AH80" s="240">
        <f t="shared" si="10"/>
        <v>0</v>
      </c>
      <c r="AI80" s="236">
        <f t="shared" si="11"/>
        <v>2.9166666666666701</v>
      </c>
      <c r="AJ80" s="252"/>
      <c r="AK80" s="233">
        <v>0.2</v>
      </c>
      <c r="AL80" s="216">
        <v>4.0999999999999996</v>
      </c>
      <c r="AM80" s="236">
        <v>35</v>
      </c>
      <c r="AN80" s="231"/>
      <c r="AO80" s="231"/>
      <c r="AP80" s="231"/>
      <c r="AQ80" s="231"/>
      <c r="AR80" s="232">
        <v>131.19</v>
      </c>
      <c r="AS80" s="232">
        <v>57.47</v>
      </c>
      <c r="AT80" s="232">
        <v>71.209999999999994</v>
      </c>
      <c r="AU80" s="231">
        <v>7.55</v>
      </c>
      <c r="AV80" s="231"/>
      <c r="AW80" s="236">
        <v>0.13600000000000001</v>
      </c>
      <c r="AX80" s="242">
        <v>0.1</v>
      </c>
      <c r="AY80" s="244">
        <v>0</v>
      </c>
      <c r="AZ80" s="231">
        <v>3.4000000000000002E-2</v>
      </c>
      <c r="BA80" s="244">
        <v>0</v>
      </c>
      <c r="BB80" s="244">
        <v>0</v>
      </c>
      <c r="BC80" s="244">
        <v>0</v>
      </c>
      <c r="BD80" s="242">
        <v>0.20799999999999999</v>
      </c>
      <c r="BE80" s="237">
        <v>0</v>
      </c>
      <c r="BF80" s="242">
        <v>3.0000000000000001E-3</v>
      </c>
      <c r="BG80" s="242">
        <v>0.20599999999999999</v>
      </c>
      <c r="BH80" s="242">
        <v>0.53300000000000003</v>
      </c>
      <c r="BI80" s="242">
        <v>0.47</v>
      </c>
      <c r="BJ80" s="242">
        <v>6.3E-2</v>
      </c>
      <c r="BK80" s="244">
        <v>0</v>
      </c>
      <c r="BL80" s="244">
        <v>0</v>
      </c>
      <c r="BM80" s="244">
        <v>0</v>
      </c>
      <c r="BN80" s="242"/>
      <c r="BO80" s="231">
        <v>0</v>
      </c>
      <c r="BP80" s="231"/>
      <c r="BQ80" s="204">
        <v>3129</v>
      </c>
      <c r="BR80" s="204">
        <v>634</v>
      </c>
      <c r="BS80" s="204">
        <v>683</v>
      </c>
      <c r="BT80" s="204">
        <v>2453</v>
      </c>
      <c r="BU80" s="204">
        <v>2042</v>
      </c>
      <c r="BV80" s="204">
        <v>2346</v>
      </c>
      <c r="BW80" s="204">
        <v>3828</v>
      </c>
      <c r="BX80" s="204">
        <v>2281</v>
      </c>
      <c r="BY80" s="204">
        <v>3647</v>
      </c>
      <c r="BZ80" s="204">
        <v>1268</v>
      </c>
      <c r="CA80" s="204">
        <v>757</v>
      </c>
      <c r="CB80" s="204">
        <v>1778</v>
      </c>
      <c r="CC80" s="204">
        <v>2215</v>
      </c>
      <c r="CD80" s="204">
        <v>5911</v>
      </c>
      <c r="CE80" s="204">
        <v>9106</v>
      </c>
      <c r="CF80" s="204">
        <v>2174</v>
      </c>
      <c r="CG80" s="204">
        <v>2750</v>
      </c>
      <c r="CH80" s="204">
        <v>2725</v>
      </c>
      <c r="CI80" s="231"/>
    </row>
    <row r="81" spans="1:95" ht="25.2" customHeight="1" outlineLevel="1">
      <c r="A81" s="204">
        <v>72</v>
      </c>
      <c r="B81" s="207">
        <v>3022</v>
      </c>
      <c r="C81" s="208" t="s">
        <v>257</v>
      </c>
      <c r="D81" s="194" t="s">
        <v>181</v>
      </c>
      <c r="E81" s="209">
        <f t="shared" si="8"/>
        <v>427.6</v>
      </c>
      <c r="F81" s="216">
        <v>10</v>
      </c>
      <c r="G81" s="217">
        <v>41</v>
      </c>
      <c r="H81" s="218">
        <v>18</v>
      </c>
      <c r="I81" s="230">
        <f t="shared" si="9"/>
        <v>25.4</v>
      </c>
      <c r="J81" s="216">
        <v>2.5</v>
      </c>
      <c r="K81" s="216">
        <v>5.6</v>
      </c>
      <c r="L81" s="233"/>
      <c r="M81" s="216">
        <v>189</v>
      </c>
      <c r="N81" s="216">
        <v>540</v>
      </c>
      <c r="O81" s="216">
        <v>7.5</v>
      </c>
      <c r="P81" s="216"/>
      <c r="Q81" s="216">
        <v>0.4</v>
      </c>
      <c r="R81" s="216">
        <v>0.16</v>
      </c>
      <c r="S81" s="216">
        <v>2</v>
      </c>
      <c r="T81" s="231"/>
      <c r="U81" s="231"/>
      <c r="V81" s="231"/>
      <c r="W81" s="242"/>
      <c r="X81" s="232"/>
      <c r="Y81" s="231"/>
      <c r="Z81" s="231"/>
      <c r="AA81" s="241"/>
      <c r="AB81" s="241"/>
      <c r="AC81" s="240"/>
      <c r="AD81" s="240"/>
      <c r="AE81" s="233"/>
      <c r="AF81" s="233"/>
      <c r="AG81" s="240">
        <v>0</v>
      </c>
      <c r="AH81" s="240">
        <f t="shared" si="10"/>
        <v>0</v>
      </c>
      <c r="AI81" s="236">
        <f t="shared" si="11"/>
        <v>0</v>
      </c>
      <c r="AJ81" s="252"/>
      <c r="AK81" s="233"/>
      <c r="AL81" s="216"/>
      <c r="AM81" s="236"/>
      <c r="AN81" s="231"/>
      <c r="AO81" s="231"/>
      <c r="AP81" s="231"/>
      <c r="AQ81" s="231"/>
      <c r="AR81" s="231">
        <v>198.95</v>
      </c>
      <c r="AS81" s="231">
        <v>99.27</v>
      </c>
      <c r="AT81" s="231">
        <v>98.75</v>
      </c>
      <c r="AU81" s="231">
        <v>16.399999999999999</v>
      </c>
      <c r="AV81" s="231"/>
      <c r="AW81" s="236">
        <v>3.1619999999999999</v>
      </c>
      <c r="AX81" s="242">
        <v>2.3199999999999998</v>
      </c>
      <c r="AY81" s="244">
        <v>0</v>
      </c>
      <c r="AZ81" s="231">
        <v>0.78</v>
      </c>
      <c r="BA81" s="244">
        <v>0</v>
      </c>
      <c r="BB81" s="244">
        <v>0</v>
      </c>
      <c r="BC81" s="244">
        <v>0</v>
      </c>
      <c r="BD81" s="242">
        <v>4.2889999999999997</v>
      </c>
      <c r="BE81" s="237">
        <v>0</v>
      </c>
      <c r="BF81" s="242">
        <v>6.0999999999999999E-2</v>
      </c>
      <c r="BG81" s="242">
        <v>4.7679999999999998</v>
      </c>
      <c r="BH81" s="242">
        <v>12.340999999999999</v>
      </c>
      <c r="BI81" s="242">
        <v>10.882999999999999</v>
      </c>
      <c r="BJ81" s="242">
        <v>1.458</v>
      </c>
      <c r="BK81" s="244">
        <v>0</v>
      </c>
      <c r="BL81" s="244">
        <v>0</v>
      </c>
      <c r="BM81" s="244">
        <v>0</v>
      </c>
      <c r="BN81" s="242"/>
      <c r="BO81" s="231">
        <v>0</v>
      </c>
      <c r="BP81" s="231"/>
      <c r="BQ81" s="231">
        <v>2316</v>
      </c>
      <c r="BR81" s="231">
        <v>469</v>
      </c>
      <c r="BS81" s="231">
        <v>506</v>
      </c>
      <c r="BT81" s="231">
        <v>1816</v>
      </c>
      <c r="BU81" s="231">
        <v>1511</v>
      </c>
      <c r="BV81" s="231">
        <v>1737</v>
      </c>
      <c r="BW81" s="231">
        <v>2834</v>
      </c>
      <c r="BX81" s="231">
        <v>1688</v>
      </c>
      <c r="BY81" s="231">
        <v>2700</v>
      </c>
      <c r="BZ81" s="231">
        <v>938</v>
      </c>
      <c r="CA81" s="231">
        <v>561</v>
      </c>
      <c r="CB81" s="231">
        <v>1316</v>
      </c>
      <c r="CC81" s="231">
        <v>1639</v>
      </c>
      <c r="CD81" s="231">
        <v>4375</v>
      </c>
      <c r="CE81" s="231">
        <v>6740</v>
      </c>
      <c r="CF81" s="231">
        <v>1609</v>
      </c>
      <c r="CG81" s="231">
        <v>2035</v>
      </c>
      <c r="CH81" s="231">
        <v>2017</v>
      </c>
      <c r="CI81" s="231"/>
    </row>
    <row r="82" spans="1:95" ht="25.2" customHeight="1" outlineLevel="1">
      <c r="A82" s="204">
        <v>73</v>
      </c>
      <c r="B82" s="207">
        <v>3023</v>
      </c>
      <c r="C82" s="208" t="s">
        <v>258</v>
      </c>
      <c r="D82" s="194" t="s">
        <v>181</v>
      </c>
      <c r="E82" s="209">
        <f t="shared" si="8"/>
        <v>362.5</v>
      </c>
      <c r="F82" s="216">
        <v>10</v>
      </c>
      <c r="G82" s="217">
        <v>24.6</v>
      </c>
      <c r="H82" s="218">
        <v>2.5</v>
      </c>
      <c r="I82" s="230">
        <f t="shared" si="9"/>
        <v>60.4</v>
      </c>
      <c r="J82" s="216">
        <v>3.9</v>
      </c>
      <c r="K82" s="216">
        <v>2.5</v>
      </c>
      <c r="L82" s="233"/>
      <c r="M82" s="210">
        <v>50</v>
      </c>
      <c r="N82" s="210">
        <v>100</v>
      </c>
      <c r="O82" s="210">
        <v>5</v>
      </c>
      <c r="P82" s="210">
        <v>4.18604651162791</v>
      </c>
      <c r="Q82" s="210">
        <v>0.753488372093023</v>
      </c>
      <c r="R82" s="210">
        <v>0.15697674418604701</v>
      </c>
      <c r="S82" s="210">
        <v>2.5116279069767402</v>
      </c>
      <c r="T82" s="209">
        <v>6.2790697674418601</v>
      </c>
      <c r="U82" s="231">
        <v>1185</v>
      </c>
      <c r="V82" s="231">
        <v>283</v>
      </c>
      <c r="W82" s="231"/>
      <c r="X82" s="232">
        <v>1.15116279069767</v>
      </c>
      <c r="Y82" s="209">
        <v>920.93023255814001</v>
      </c>
      <c r="Z82" s="231"/>
      <c r="AA82" s="242">
        <v>1.9988372093023301</v>
      </c>
      <c r="AB82" s="242">
        <v>0.39976744186046498</v>
      </c>
      <c r="AC82" s="231">
        <v>654.06976744185999</v>
      </c>
      <c r="AD82" s="231">
        <v>0</v>
      </c>
      <c r="AE82" s="232">
        <v>0.73255813953488402</v>
      </c>
      <c r="AF82" s="231">
        <v>0</v>
      </c>
      <c r="AG82" s="240">
        <v>0</v>
      </c>
      <c r="AH82" s="240">
        <f t="shared" si="10"/>
        <v>0</v>
      </c>
      <c r="AI82" s="209">
        <f t="shared" si="11"/>
        <v>0</v>
      </c>
      <c r="AJ82" s="252"/>
      <c r="AK82" s="232">
        <v>0.53372093023255796</v>
      </c>
      <c r="AL82" s="210">
        <v>9.4186046511627897</v>
      </c>
      <c r="AM82" s="209"/>
      <c r="AN82" s="231"/>
      <c r="AO82" s="231"/>
      <c r="AP82" s="231"/>
      <c r="AQ82" s="231"/>
      <c r="AR82" s="232">
        <v>0.19883720930232601</v>
      </c>
      <c r="AS82" s="232">
        <v>1.04651162790698E-2</v>
      </c>
      <c r="AT82" s="232">
        <v>0.188372093023256</v>
      </c>
      <c r="AU82" s="231"/>
      <c r="AV82" s="231"/>
      <c r="AW82" s="209">
        <v>0.36249999999999999</v>
      </c>
      <c r="AX82" s="242">
        <v>0.26041666666666702</v>
      </c>
      <c r="AY82" s="242">
        <v>0</v>
      </c>
      <c r="AZ82" s="242">
        <v>7.3958333333333307E-2</v>
      </c>
      <c r="BA82" s="242">
        <v>0</v>
      </c>
      <c r="BB82" s="242">
        <v>0</v>
      </c>
      <c r="BC82" s="242">
        <v>0</v>
      </c>
      <c r="BD82" s="242">
        <v>0.16770833333333299</v>
      </c>
      <c r="BE82" s="242">
        <v>0</v>
      </c>
      <c r="BF82" s="242">
        <v>0</v>
      </c>
      <c r="BG82" s="242">
        <v>0.16770833333333299</v>
      </c>
      <c r="BH82" s="242">
        <v>0.4</v>
      </c>
      <c r="BI82" s="242">
        <v>0.37187500000000001</v>
      </c>
      <c r="BJ82" s="242">
        <v>2.8125000000000001E-2</v>
      </c>
      <c r="BK82" s="244">
        <v>0</v>
      </c>
      <c r="BL82" s="244">
        <v>0</v>
      </c>
      <c r="BM82" s="244">
        <v>0</v>
      </c>
      <c r="BN82" s="242"/>
      <c r="BO82" s="231">
        <v>0</v>
      </c>
      <c r="BP82" s="231"/>
      <c r="BQ82" s="209">
        <v>2255</v>
      </c>
      <c r="BR82" s="209">
        <v>481.48717948718001</v>
      </c>
      <c r="BS82" s="209">
        <v>454.15384615384602</v>
      </c>
      <c r="BT82" s="209">
        <v>1323.5641025641</v>
      </c>
      <c r="BU82" s="209">
        <v>773.74358974358995</v>
      </c>
      <c r="BV82" s="209">
        <v>1039.7179487179501</v>
      </c>
      <c r="BW82" s="209">
        <v>1689.41025641026</v>
      </c>
      <c r="BX82" s="209">
        <v>989.25641025641005</v>
      </c>
      <c r="BY82" s="209">
        <v>1545.38461538462</v>
      </c>
      <c r="BZ82" s="209">
        <v>697</v>
      </c>
      <c r="CA82" s="209">
        <v>118.79487179487199</v>
      </c>
      <c r="CB82" s="209">
        <v>584.51282051282101</v>
      </c>
      <c r="CC82" s="209">
        <v>850.48717948718001</v>
      </c>
      <c r="CD82" s="209">
        <v>2574.58974358974</v>
      </c>
      <c r="CE82" s="209">
        <v>3282.1025641025599</v>
      </c>
      <c r="CF82" s="209">
        <v>796.87179487179503</v>
      </c>
      <c r="CG82" s="209">
        <v>843.12820512820497</v>
      </c>
      <c r="CH82" s="209">
        <v>954.564102564103</v>
      </c>
      <c r="CI82" s="231"/>
    </row>
    <row r="83" spans="1:95" ht="25.2" customHeight="1" outlineLevel="1">
      <c r="A83" s="204">
        <v>74</v>
      </c>
      <c r="B83" s="207">
        <v>3024</v>
      </c>
      <c r="C83" s="208" t="s">
        <v>259</v>
      </c>
      <c r="D83" s="194" t="s">
        <v>181</v>
      </c>
      <c r="E83" s="209">
        <f t="shared" si="8"/>
        <v>583.4</v>
      </c>
      <c r="F83" s="216">
        <v>8</v>
      </c>
      <c r="G83" s="217">
        <v>27.5</v>
      </c>
      <c r="H83" s="218">
        <v>45</v>
      </c>
      <c r="I83" s="230">
        <f t="shared" si="9"/>
        <v>17.100000000000001</v>
      </c>
      <c r="J83" s="216">
        <v>2.1</v>
      </c>
      <c r="K83" s="216">
        <v>2.4</v>
      </c>
      <c r="L83" s="233"/>
      <c r="M83" s="216">
        <v>80</v>
      </c>
      <c r="N83" s="216">
        <v>380</v>
      </c>
      <c r="O83" s="216">
        <v>3</v>
      </c>
      <c r="P83" s="216"/>
      <c r="Q83" s="216">
        <v>0.4</v>
      </c>
      <c r="R83" s="216">
        <v>0.11</v>
      </c>
      <c r="S83" s="216">
        <v>15.3</v>
      </c>
      <c r="T83" s="209">
        <v>3.93582887700535</v>
      </c>
      <c r="U83" s="209">
        <v>414.24598930481301</v>
      </c>
      <c r="V83" s="231">
        <v>182</v>
      </c>
      <c r="W83" s="242">
        <v>1.57433155080214</v>
      </c>
      <c r="X83" s="231">
        <v>1.87</v>
      </c>
      <c r="Y83" s="209">
        <v>413.26203208556097</v>
      </c>
      <c r="Z83" s="231"/>
      <c r="AA83" s="242">
        <v>1.7386524064171101</v>
      </c>
      <c r="AB83" s="242">
        <v>0.34241711229946498</v>
      </c>
      <c r="AC83" s="209">
        <v>236.149732620321</v>
      </c>
      <c r="AD83" s="209">
        <v>0</v>
      </c>
      <c r="AE83" s="233"/>
      <c r="AF83" s="209">
        <v>0</v>
      </c>
      <c r="AG83" s="240">
        <v>0</v>
      </c>
      <c r="AH83" s="240">
        <f t="shared" si="10"/>
        <v>0</v>
      </c>
      <c r="AI83" s="209">
        <f t="shared" si="11"/>
        <v>0.81996434937611395</v>
      </c>
      <c r="AJ83" s="252"/>
      <c r="AK83" s="232">
        <v>8.1963636363636407</v>
      </c>
      <c r="AL83" s="210">
        <v>0</v>
      </c>
      <c r="AM83" s="209">
        <v>9.8395721925133692</v>
      </c>
      <c r="AN83" s="231"/>
      <c r="AO83" s="231"/>
      <c r="AP83" s="231"/>
      <c r="AQ83" s="231"/>
      <c r="AR83" s="232">
        <v>0.25582887700534801</v>
      </c>
      <c r="AS83" s="232">
        <v>2.9518716577540099E-2</v>
      </c>
      <c r="AT83" s="232">
        <v>0.23614973262032099</v>
      </c>
      <c r="AU83" s="231"/>
      <c r="AV83" s="209">
        <v>72.812834224598902</v>
      </c>
      <c r="AW83" s="209">
        <v>6.2455320877335501</v>
      </c>
      <c r="AX83" s="242">
        <v>4.7101949634443496</v>
      </c>
      <c r="AY83" s="242">
        <v>0</v>
      </c>
      <c r="AZ83" s="242">
        <v>1.00528025995126</v>
      </c>
      <c r="BA83" s="242">
        <v>0</v>
      </c>
      <c r="BB83" s="242">
        <v>0</v>
      </c>
      <c r="BC83" s="242">
        <v>0</v>
      </c>
      <c r="BD83" s="242">
        <v>22.3254467912266</v>
      </c>
      <c r="BE83" s="242">
        <v>0</v>
      </c>
      <c r="BF83" s="242">
        <v>8.22502030869212E-3</v>
      </c>
      <c r="BG83" s="242">
        <v>21.710398050365601</v>
      </c>
      <c r="BH83" s="242">
        <v>14.219232331437899</v>
      </c>
      <c r="BI83" s="242">
        <v>14.2155767668562</v>
      </c>
      <c r="BJ83" s="242">
        <v>2.74167343623071E-3</v>
      </c>
      <c r="BK83" s="244">
        <v>0</v>
      </c>
      <c r="BL83" s="244">
        <v>0</v>
      </c>
      <c r="BM83" s="244">
        <v>0</v>
      </c>
      <c r="BN83" s="242"/>
      <c r="BO83" s="231">
        <v>0</v>
      </c>
      <c r="BP83" s="231"/>
      <c r="BQ83" s="209">
        <v>1055.2325581395301</v>
      </c>
      <c r="BR83" s="209">
        <v>383.72093023255798</v>
      </c>
      <c r="BS83" s="209">
        <v>319.767441860465</v>
      </c>
      <c r="BT83" s="209">
        <v>1790.6976744185999</v>
      </c>
      <c r="BU83" s="209">
        <v>820.73643410852696</v>
      </c>
      <c r="BV83" s="209">
        <v>1375</v>
      </c>
      <c r="BW83" s="209">
        <v>1875.96899224806</v>
      </c>
      <c r="BX83" s="209">
        <v>937.98449612403101</v>
      </c>
      <c r="BY83" s="209">
        <v>2899.2248062015501</v>
      </c>
      <c r="BZ83" s="209">
        <v>618.21705426356596</v>
      </c>
      <c r="CA83" s="209">
        <v>265.40697674418601</v>
      </c>
      <c r="CB83" s="209">
        <v>713.08139534883696</v>
      </c>
      <c r="CC83" s="209">
        <v>713.08139534883696</v>
      </c>
      <c r="CD83" s="209">
        <v>3146.5116279069798</v>
      </c>
      <c r="CE83" s="209">
        <v>5404.0697674418598</v>
      </c>
      <c r="CF83" s="209">
        <v>1371.8023255814001</v>
      </c>
      <c r="CG83" s="209">
        <v>1317.44186046512</v>
      </c>
      <c r="CH83" s="209">
        <v>1659.5930232558101</v>
      </c>
      <c r="CI83" s="231"/>
    </row>
    <row r="84" spans="1:95" ht="25.2" customHeight="1" outlineLevel="1">
      <c r="A84" s="204">
        <v>75</v>
      </c>
      <c r="B84" s="207">
        <v>3025</v>
      </c>
      <c r="C84" s="208" t="s">
        <v>260</v>
      </c>
      <c r="D84" s="194" t="s">
        <v>181</v>
      </c>
      <c r="E84" s="209">
        <f t="shared" si="8"/>
        <v>96.6</v>
      </c>
      <c r="F84" s="216">
        <v>82</v>
      </c>
      <c r="G84" s="217">
        <v>10.9</v>
      </c>
      <c r="H84" s="218">
        <v>5.4</v>
      </c>
      <c r="I84" s="230">
        <f t="shared" si="9"/>
        <v>1.0999999999999901</v>
      </c>
      <c r="J84" s="216">
        <v>0.4</v>
      </c>
      <c r="K84" s="216">
        <v>0.6</v>
      </c>
      <c r="L84" s="233"/>
      <c r="M84" s="216">
        <v>24</v>
      </c>
      <c r="N84" s="216">
        <v>85</v>
      </c>
      <c r="O84" s="216">
        <v>2.2000000000000002</v>
      </c>
      <c r="P84" s="216">
        <v>0.1</v>
      </c>
      <c r="Q84" s="216">
        <v>0.03</v>
      </c>
      <c r="R84" s="216">
        <v>0.02</v>
      </c>
      <c r="S84" s="216">
        <v>0.4</v>
      </c>
      <c r="T84" s="231">
        <v>7</v>
      </c>
      <c r="U84" s="231">
        <v>121</v>
      </c>
      <c r="V84" s="231">
        <v>30</v>
      </c>
      <c r="W84" s="242">
        <v>0.60499999999999998</v>
      </c>
      <c r="X84" s="232">
        <v>0.8</v>
      </c>
      <c r="Y84" s="231">
        <v>193</v>
      </c>
      <c r="Z84" s="231">
        <v>8.9</v>
      </c>
      <c r="AA84" s="241">
        <v>6.8000000000000005E-2</v>
      </c>
      <c r="AB84" s="241">
        <v>4.7E-2</v>
      </c>
      <c r="AC84" s="240">
        <v>15</v>
      </c>
      <c r="AD84" s="240">
        <v>0</v>
      </c>
      <c r="AE84" s="233"/>
      <c r="AF84" s="233">
        <v>0</v>
      </c>
      <c r="AG84" s="240">
        <v>0</v>
      </c>
      <c r="AH84" s="240">
        <f t="shared" si="10"/>
        <v>0</v>
      </c>
      <c r="AI84" s="236">
        <f t="shared" si="11"/>
        <v>0</v>
      </c>
      <c r="AJ84" s="252"/>
      <c r="AK84" s="233"/>
      <c r="AL84" s="216"/>
      <c r="AM84" s="236"/>
      <c r="AN84" s="231"/>
      <c r="AO84" s="231"/>
      <c r="AP84" s="231"/>
      <c r="AQ84" s="231"/>
      <c r="AR84" s="231">
        <v>23.61</v>
      </c>
      <c r="AS84" s="231">
        <v>9.02</v>
      </c>
      <c r="AT84" s="232">
        <v>13.6</v>
      </c>
      <c r="AU84" s="231">
        <v>1.98</v>
      </c>
      <c r="AV84" s="231">
        <v>68</v>
      </c>
      <c r="AW84" s="236">
        <v>0.69099999999999995</v>
      </c>
      <c r="AX84" s="242">
        <v>0.50700000000000001</v>
      </c>
      <c r="AY84" s="242">
        <v>0</v>
      </c>
      <c r="AZ84" s="231">
        <v>0.17100000000000001</v>
      </c>
      <c r="BA84" s="242">
        <v>0</v>
      </c>
      <c r="BB84" s="242">
        <v>0</v>
      </c>
      <c r="BC84" s="242">
        <v>0</v>
      </c>
      <c r="BD84" s="242">
        <v>1.056</v>
      </c>
      <c r="BE84" s="231">
        <v>0</v>
      </c>
      <c r="BF84" s="242">
        <v>1.2999999999999999E-2</v>
      </c>
      <c r="BG84" s="242">
        <v>1.0429999999999999</v>
      </c>
      <c r="BH84" s="242">
        <v>2.6989999999999998</v>
      </c>
      <c r="BI84" s="242">
        <v>2.38</v>
      </c>
      <c r="BJ84" s="242">
        <v>0.31900000000000001</v>
      </c>
      <c r="BK84" s="244">
        <v>0</v>
      </c>
      <c r="BL84" s="244">
        <v>0</v>
      </c>
      <c r="BM84" s="244">
        <v>0</v>
      </c>
      <c r="BN84" s="242"/>
      <c r="BO84" s="231">
        <v>0</v>
      </c>
      <c r="BP84" s="231"/>
      <c r="BQ84" s="204">
        <v>460</v>
      </c>
      <c r="BR84" s="204">
        <v>108</v>
      </c>
      <c r="BS84" s="204">
        <v>133</v>
      </c>
      <c r="BT84" s="204">
        <v>443</v>
      </c>
      <c r="BU84" s="204">
        <v>235</v>
      </c>
      <c r="BV84" s="204">
        <v>364</v>
      </c>
      <c r="BW84" s="204">
        <v>618</v>
      </c>
      <c r="BX84" s="204">
        <v>360</v>
      </c>
      <c r="BY84" s="204">
        <v>472</v>
      </c>
      <c r="BZ84" s="204">
        <v>264</v>
      </c>
      <c r="CA84" s="204">
        <v>108</v>
      </c>
      <c r="CB84" s="204">
        <v>233</v>
      </c>
      <c r="CC84" s="204">
        <v>261</v>
      </c>
      <c r="CD84" s="204">
        <v>845</v>
      </c>
      <c r="CE84" s="204">
        <v>1536</v>
      </c>
      <c r="CF84" s="204">
        <v>293</v>
      </c>
      <c r="CG84" s="204">
        <v>410</v>
      </c>
      <c r="CH84" s="204">
        <v>367</v>
      </c>
      <c r="CI84" s="231"/>
      <c r="CQ84" s="172"/>
    </row>
    <row r="85" spans="1:95" ht="25.2" customHeight="1" outlineLevel="1">
      <c r="A85" s="204">
        <v>76</v>
      </c>
      <c r="B85" s="207">
        <v>3026</v>
      </c>
      <c r="C85" s="208" t="s">
        <v>261</v>
      </c>
      <c r="D85" s="194" t="s">
        <v>181</v>
      </c>
      <c r="E85" s="209">
        <f t="shared" si="8"/>
        <v>415.2</v>
      </c>
      <c r="F85" s="216">
        <v>18.5</v>
      </c>
      <c r="G85" s="217">
        <v>50.2</v>
      </c>
      <c r="H85" s="218">
        <v>20.8</v>
      </c>
      <c r="I85" s="230">
        <f t="shared" si="9"/>
        <v>6.8</v>
      </c>
      <c r="J85" s="216">
        <v>0.3</v>
      </c>
      <c r="K85" s="216">
        <v>3.7</v>
      </c>
      <c r="L85" s="233"/>
      <c r="M85" s="236">
        <v>325</v>
      </c>
      <c r="N85" s="236">
        <v>225</v>
      </c>
      <c r="O85" s="236">
        <v>10.8</v>
      </c>
      <c r="P85" s="236"/>
      <c r="Q85" s="236"/>
      <c r="R85" s="236"/>
      <c r="S85" s="236"/>
      <c r="T85" s="231"/>
      <c r="U85" s="231"/>
      <c r="V85" s="231"/>
      <c r="W85" s="242"/>
      <c r="X85" s="232"/>
      <c r="Y85" s="231"/>
      <c r="Z85" s="231"/>
      <c r="AA85" s="241"/>
      <c r="AB85" s="241"/>
      <c r="AC85" s="240"/>
      <c r="AD85" s="240"/>
      <c r="AE85" s="236"/>
      <c r="AF85" s="236"/>
      <c r="AG85" s="240">
        <v>0</v>
      </c>
      <c r="AH85" s="240">
        <f t="shared" si="10"/>
        <v>0</v>
      </c>
      <c r="AI85" s="236">
        <f t="shared" si="11"/>
        <v>0</v>
      </c>
      <c r="AJ85" s="252"/>
      <c r="AK85" s="233"/>
      <c r="AL85" s="216"/>
      <c r="AM85" s="236"/>
      <c r="AN85" s="231"/>
      <c r="AO85" s="231"/>
      <c r="AP85" s="231"/>
      <c r="AQ85" s="231"/>
      <c r="AR85" s="231"/>
      <c r="AS85" s="231"/>
      <c r="AT85" s="231"/>
      <c r="AU85" s="231"/>
      <c r="AV85" s="231"/>
      <c r="AW85" s="236"/>
      <c r="AX85" s="242"/>
      <c r="AY85" s="242"/>
      <c r="AZ85" s="242"/>
      <c r="BA85" s="242"/>
      <c r="BB85" s="242"/>
      <c r="BC85" s="242"/>
      <c r="BD85" s="242"/>
      <c r="BE85" s="231"/>
      <c r="BF85" s="242"/>
      <c r="BG85" s="242"/>
      <c r="BH85" s="242"/>
      <c r="BI85" s="242"/>
      <c r="BJ85" s="242"/>
      <c r="BK85" s="242"/>
      <c r="BL85" s="242"/>
      <c r="BM85" s="242"/>
      <c r="BN85" s="242"/>
      <c r="BO85" s="231">
        <v>0</v>
      </c>
      <c r="BP85" s="231"/>
      <c r="BQ85" s="231"/>
      <c r="BR85" s="231"/>
      <c r="BS85" s="231"/>
      <c r="BT85" s="231"/>
      <c r="BU85" s="231"/>
      <c r="BV85" s="231"/>
      <c r="BW85" s="231"/>
      <c r="BX85" s="231"/>
      <c r="BY85" s="231"/>
      <c r="BZ85" s="231"/>
      <c r="CA85" s="231"/>
      <c r="CB85" s="231"/>
      <c r="CC85" s="231"/>
      <c r="CD85" s="231"/>
      <c r="CE85" s="231"/>
      <c r="CF85" s="231"/>
      <c r="CG85" s="231"/>
      <c r="CH85" s="231"/>
      <c r="CI85" s="231"/>
    </row>
    <row r="86" spans="1:95" ht="25.2" customHeight="1" outlineLevel="1">
      <c r="A86" s="204">
        <v>77</v>
      </c>
      <c r="B86" s="207">
        <v>3027</v>
      </c>
      <c r="C86" s="208" t="s">
        <v>262</v>
      </c>
      <c r="D86" s="194" t="s">
        <v>181</v>
      </c>
      <c r="E86" s="209">
        <f t="shared" si="8"/>
        <v>116.4</v>
      </c>
      <c r="F86" s="216">
        <v>78.2</v>
      </c>
      <c r="G86" s="217">
        <v>13.4</v>
      </c>
      <c r="H86" s="218">
        <v>6.4</v>
      </c>
      <c r="I86" s="230">
        <f t="shared" si="9"/>
        <v>1.2999999999999801</v>
      </c>
      <c r="J86" s="216">
        <v>0.5</v>
      </c>
      <c r="K86" s="216">
        <v>0.7</v>
      </c>
      <c r="L86" s="233"/>
      <c r="M86" s="216">
        <v>370</v>
      </c>
      <c r="N86" s="216">
        <v>167</v>
      </c>
      <c r="O86" s="216">
        <v>4.7</v>
      </c>
      <c r="P86" s="216"/>
      <c r="Q86" s="216">
        <v>0.04</v>
      </c>
      <c r="R86" s="216">
        <v>0.05</v>
      </c>
      <c r="S86" s="216">
        <v>0.1</v>
      </c>
      <c r="T86" s="231"/>
      <c r="U86" s="231"/>
      <c r="V86" s="231"/>
      <c r="W86" s="242"/>
      <c r="X86" s="232"/>
      <c r="Y86" s="231"/>
      <c r="Z86" s="231"/>
      <c r="AA86" s="241"/>
      <c r="AB86" s="241"/>
      <c r="AC86" s="240"/>
      <c r="AD86" s="240"/>
      <c r="AE86" s="233"/>
      <c r="AF86" s="233"/>
      <c r="AG86" s="240">
        <v>0</v>
      </c>
      <c r="AH86" s="240">
        <f t="shared" si="10"/>
        <v>0</v>
      </c>
      <c r="AI86" s="236">
        <f t="shared" si="11"/>
        <v>0</v>
      </c>
      <c r="AJ86" s="252"/>
      <c r="AK86" s="233"/>
      <c r="AL86" s="216"/>
      <c r="AM86" s="236"/>
      <c r="AN86" s="231"/>
      <c r="AO86" s="231"/>
      <c r="AP86" s="231"/>
      <c r="AQ86" s="231"/>
      <c r="AR86" s="231"/>
      <c r="AS86" s="231"/>
      <c r="AT86" s="231"/>
      <c r="AU86" s="231"/>
      <c r="AV86" s="231"/>
      <c r="AW86" s="236"/>
      <c r="AX86" s="242"/>
      <c r="AY86" s="242"/>
      <c r="AZ86" s="242"/>
      <c r="BA86" s="242"/>
      <c r="BB86" s="242"/>
      <c r="BC86" s="242"/>
      <c r="BD86" s="242"/>
      <c r="BE86" s="231"/>
      <c r="BF86" s="242"/>
      <c r="BG86" s="242"/>
      <c r="BH86" s="242"/>
      <c r="BI86" s="242"/>
      <c r="BJ86" s="242"/>
      <c r="BK86" s="242"/>
      <c r="BL86" s="242"/>
      <c r="BM86" s="242"/>
      <c r="BN86" s="242"/>
      <c r="BO86" s="231">
        <v>0</v>
      </c>
      <c r="BP86" s="231"/>
      <c r="BQ86" s="231"/>
      <c r="BR86" s="231"/>
      <c r="BS86" s="231"/>
      <c r="BT86" s="231"/>
      <c r="BU86" s="231"/>
      <c r="BV86" s="231"/>
      <c r="BW86" s="231"/>
      <c r="BX86" s="231"/>
      <c r="BY86" s="231"/>
      <c r="BZ86" s="231"/>
      <c r="CA86" s="231"/>
      <c r="CB86" s="231"/>
      <c r="CC86" s="231"/>
      <c r="CD86" s="231"/>
      <c r="CE86" s="231"/>
      <c r="CF86" s="231"/>
      <c r="CG86" s="231"/>
      <c r="CH86" s="231"/>
      <c r="CI86" s="231"/>
    </row>
    <row r="87" spans="1:95" ht="25.2" customHeight="1" outlineLevel="1">
      <c r="A87" s="204">
        <v>78</v>
      </c>
      <c r="B87" s="207">
        <v>3028</v>
      </c>
      <c r="C87" s="208" t="s">
        <v>263</v>
      </c>
      <c r="D87" s="194" t="s">
        <v>181</v>
      </c>
      <c r="E87" s="209">
        <f t="shared" si="8"/>
        <v>527.79999999999995</v>
      </c>
      <c r="F87" s="216">
        <v>3.6</v>
      </c>
      <c r="G87" s="217">
        <v>35.1</v>
      </c>
      <c r="H87" s="218">
        <v>31.8</v>
      </c>
      <c r="I87" s="230">
        <f t="shared" si="9"/>
        <v>25.3</v>
      </c>
      <c r="J87" s="216">
        <v>2.2999999999999998</v>
      </c>
      <c r="K87" s="216">
        <v>4.2</v>
      </c>
      <c r="L87" s="233"/>
      <c r="M87" s="216">
        <v>235</v>
      </c>
      <c r="N87" s="216">
        <v>900</v>
      </c>
      <c r="O87" s="216">
        <v>2.2000000000000002</v>
      </c>
      <c r="P87" s="216"/>
      <c r="Q87" s="216">
        <v>0.15</v>
      </c>
      <c r="R87" s="216">
        <v>0.15</v>
      </c>
      <c r="S87" s="216">
        <v>3</v>
      </c>
      <c r="T87" s="231">
        <v>172</v>
      </c>
      <c r="U87" s="231">
        <v>383</v>
      </c>
      <c r="V87" s="231">
        <v>311</v>
      </c>
      <c r="W87" s="242"/>
      <c r="X87" s="232"/>
      <c r="Y87" s="231"/>
      <c r="Z87" s="231"/>
      <c r="AA87" s="241"/>
      <c r="AB87" s="241"/>
      <c r="AC87" s="240"/>
      <c r="AD87" s="240"/>
      <c r="AE87" s="233"/>
      <c r="AF87" s="233"/>
      <c r="AG87" s="240">
        <v>0</v>
      </c>
      <c r="AH87" s="240">
        <f t="shared" si="10"/>
        <v>0</v>
      </c>
      <c r="AI87" s="236">
        <f t="shared" si="11"/>
        <v>19.5833333333333</v>
      </c>
      <c r="AJ87" s="252"/>
      <c r="AK87" s="233"/>
      <c r="AL87" s="216"/>
      <c r="AM87" s="236">
        <v>235</v>
      </c>
      <c r="AN87" s="231"/>
      <c r="AO87" s="231"/>
      <c r="AP87" s="231"/>
      <c r="AQ87" s="231"/>
      <c r="AR87" s="231"/>
      <c r="AS87" s="231"/>
      <c r="AT87" s="231"/>
      <c r="AU87" s="231"/>
      <c r="AV87" s="231"/>
      <c r="AW87" s="236"/>
      <c r="AX87" s="242"/>
      <c r="AY87" s="242"/>
      <c r="AZ87" s="242"/>
      <c r="BA87" s="242"/>
      <c r="BB87" s="242"/>
      <c r="BC87" s="242"/>
      <c r="BD87" s="242"/>
      <c r="BE87" s="231"/>
      <c r="BF87" s="242"/>
      <c r="BG87" s="242"/>
      <c r="BH87" s="242"/>
      <c r="BI87" s="242"/>
      <c r="BJ87" s="242"/>
      <c r="BK87" s="242"/>
      <c r="BL87" s="242"/>
      <c r="BM87" s="242"/>
      <c r="BN87" s="242"/>
      <c r="BO87" s="231">
        <v>0</v>
      </c>
      <c r="BP87" s="231"/>
      <c r="BQ87" s="204">
        <v>1524</v>
      </c>
      <c r="BR87" s="204">
        <v>587</v>
      </c>
      <c r="BS87" s="204">
        <v>554</v>
      </c>
      <c r="BT87" s="204">
        <v>1319</v>
      </c>
      <c r="BU87" s="204">
        <v>1319</v>
      </c>
      <c r="BV87" s="204">
        <v>1834</v>
      </c>
      <c r="BW87" s="204">
        <v>2632</v>
      </c>
      <c r="BX87" s="204">
        <v>1801</v>
      </c>
      <c r="BY87" s="204">
        <v>4920</v>
      </c>
      <c r="BZ87" s="204">
        <v>798</v>
      </c>
      <c r="CA87" s="204">
        <v>349</v>
      </c>
      <c r="CB87" s="204">
        <v>1042</v>
      </c>
      <c r="CC87" s="204">
        <v>1629</v>
      </c>
      <c r="CD87" s="204">
        <v>3080</v>
      </c>
      <c r="CE87" s="204">
        <v>5889</v>
      </c>
      <c r="CF87" s="204">
        <v>1939</v>
      </c>
      <c r="CG87" s="204">
        <v>2150</v>
      </c>
      <c r="CH87" s="204">
        <v>1352</v>
      </c>
      <c r="CI87" s="231"/>
    </row>
    <row r="88" spans="1:95" ht="25.2" customHeight="1" outlineLevel="1">
      <c r="A88" s="204">
        <v>79</v>
      </c>
      <c r="B88" s="207">
        <v>3029</v>
      </c>
      <c r="C88" s="208" t="s">
        <v>264</v>
      </c>
      <c r="D88" s="194" t="s">
        <v>181</v>
      </c>
      <c r="E88" s="209">
        <f t="shared" si="8"/>
        <v>558.29999999999995</v>
      </c>
      <c r="F88" s="216">
        <v>4.8</v>
      </c>
      <c r="G88" s="217">
        <v>31.8</v>
      </c>
      <c r="H88" s="218">
        <v>39.1</v>
      </c>
      <c r="I88" s="230">
        <f t="shared" si="9"/>
        <v>19.8</v>
      </c>
      <c r="J88" s="216">
        <v>1.8</v>
      </c>
      <c r="K88" s="216">
        <v>4.5</v>
      </c>
      <c r="L88" s="233"/>
      <c r="M88" s="216">
        <v>237</v>
      </c>
      <c r="N88" s="216">
        <v>751</v>
      </c>
      <c r="O88" s="216">
        <v>3</v>
      </c>
      <c r="P88" s="216"/>
      <c r="Q88" s="216">
        <v>0.03</v>
      </c>
      <c r="R88" s="216">
        <v>0.14000000000000001</v>
      </c>
      <c r="S88" s="216">
        <v>2.7</v>
      </c>
      <c r="T88" s="231"/>
      <c r="U88" s="231"/>
      <c r="V88" s="231"/>
      <c r="W88" s="242"/>
      <c r="X88" s="232"/>
      <c r="Y88" s="231"/>
      <c r="Z88" s="231"/>
      <c r="AA88" s="241"/>
      <c r="AB88" s="241"/>
      <c r="AC88" s="240"/>
      <c r="AD88" s="240"/>
      <c r="AE88" s="233"/>
      <c r="AF88" s="233"/>
      <c r="AG88" s="240">
        <v>0</v>
      </c>
      <c r="AH88" s="240">
        <f t="shared" si="10"/>
        <v>0</v>
      </c>
      <c r="AI88" s="236">
        <f t="shared" si="11"/>
        <v>7.5</v>
      </c>
      <c r="AJ88" s="252"/>
      <c r="AK88" s="233"/>
      <c r="AL88" s="216"/>
      <c r="AM88" s="236">
        <v>90</v>
      </c>
      <c r="AN88" s="231"/>
      <c r="AO88" s="231"/>
      <c r="AP88" s="231"/>
      <c r="AQ88" s="231"/>
      <c r="AR88" s="231"/>
      <c r="AS88" s="231"/>
      <c r="AT88" s="231"/>
      <c r="AU88" s="231"/>
      <c r="AV88" s="231"/>
      <c r="AW88" s="236">
        <v>8</v>
      </c>
      <c r="AX88" s="244">
        <v>3.8</v>
      </c>
      <c r="AY88" s="244">
        <v>0</v>
      </c>
      <c r="AZ88" s="244">
        <v>4.2</v>
      </c>
      <c r="BA88" s="244">
        <v>0</v>
      </c>
      <c r="BB88" s="244">
        <v>0</v>
      </c>
      <c r="BC88" s="244">
        <v>0</v>
      </c>
      <c r="BD88" s="244">
        <v>29</v>
      </c>
      <c r="BE88" s="237">
        <v>0</v>
      </c>
      <c r="BF88" s="237">
        <v>0</v>
      </c>
      <c r="BG88" s="244">
        <v>5.8</v>
      </c>
      <c r="BH88" s="244"/>
      <c r="BI88" s="244">
        <v>23.3</v>
      </c>
      <c r="BJ88" s="244">
        <v>0</v>
      </c>
      <c r="BK88" s="244">
        <v>0</v>
      </c>
      <c r="BL88" s="244">
        <v>0</v>
      </c>
      <c r="BM88" s="244">
        <v>0</v>
      </c>
      <c r="BN88" s="244"/>
      <c r="BO88" s="231">
        <v>0</v>
      </c>
      <c r="BP88" s="231"/>
      <c r="BQ88" s="204">
        <v>937</v>
      </c>
      <c r="BR88" s="204">
        <v>398</v>
      </c>
      <c r="BS88" s="204">
        <v>428</v>
      </c>
      <c r="BT88" s="204">
        <v>1096</v>
      </c>
      <c r="BU88" s="204">
        <v>1203</v>
      </c>
      <c r="BV88" s="204">
        <v>1447</v>
      </c>
      <c r="BW88" s="204">
        <v>2007</v>
      </c>
      <c r="BX88" s="204">
        <v>1447</v>
      </c>
      <c r="BY88" s="204">
        <v>4468</v>
      </c>
      <c r="BZ88" s="204">
        <v>749</v>
      </c>
      <c r="CA88" s="204">
        <v>295</v>
      </c>
      <c r="CB88" s="204">
        <v>805</v>
      </c>
      <c r="CC88" s="204">
        <v>1447</v>
      </c>
      <c r="CD88" s="204">
        <v>2247</v>
      </c>
      <c r="CE88" s="204">
        <v>5324</v>
      </c>
      <c r="CF88" s="204">
        <v>1498</v>
      </c>
      <c r="CG88" s="204">
        <v>1391</v>
      </c>
      <c r="CH88" s="204">
        <v>1096</v>
      </c>
      <c r="CI88" s="231"/>
    </row>
    <row r="89" spans="1:95" ht="25.2" customHeight="1" outlineLevel="1">
      <c r="A89" s="204">
        <v>80</v>
      </c>
      <c r="B89" s="207">
        <v>3030</v>
      </c>
      <c r="C89" s="208" t="s">
        <v>265</v>
      </c>
      <c r="D89" s="194" t="s">
        <v>181</v>
      </c>
      <c r="E89" s="209">
        <f t="shared" si="8"/>
        <v>585.29999999999995</v>
      </c>
      <c r="F89" s="216">
        <v>12.7</v>
      </c>
      <c r="G89" s="217">
        <v>18.3</v>
      </c>
      <c r="H89" s="218">
        <v>49.3</v>
      </c>
      <c r="I89" s="230">
        <f t="shared" si="9"/>
        <v>17.100000000000001</v>
      </c>
      <c r="J89" s="216">
        <v>0.7</v>
      </c>
      <c r="K89" s="216">
        <v>2.6</v>
      </c>
      <c r="L89" s="233"/>
      <c r="M89" s="216">
        <v>32</v>
      </c>
      <c r="N89" s="216">
        <v>411</v>
      </c>
      <c r="O89" s="216">
        <v>3.9</v>
      </c>
      <c r="P89" s="216"/>
      <c r="Q89" s="216">
        <v>0.36</v>
      </c>
      <c r="R89" s="216">
        <v>0.34</v>
      </c>
      <c r="S89" s="216">
        <v>1.4</v>
      </c>
      <c r="T89" s="231"/>
      <c r="U89" s="231"/>
      <c r="V89" s="231"/>
      <c r="W89" s="242"/>
      <c r="X89" s="232"/>
      <c r="Y89" s="231"/>
      <c r="Z89" s="231"/>
      <c r="AA89" s="241"/>
      <c r="AB89" s="241"/>
      <c r="AC89" s="240"/>
      <c r="AD89" s="240"/>
      <c r="AE89" s="233"/>
      <c r="AF89" s="233"/>
      <c r="AG89" s="240">
        <v>0</v>
      </c>
      <c r="AH89" s="240">
        <f t="shared" si="10"/>
        <v>0</v>
      </c>
      <c r="AI89" s="236">
        <f t="shared" si="11"/>
        <v>0.41666666666666702</v>
      </c>
      <c r="AJ89" s="252"/>
      <c r="AK89" s="233"/>
      <c r="AL89" s="216"/>
      <c r="AM89" s="236">
        <v>5</v>
      </c>
      <c r="AN89" s="231"/>
      <c r="AO89" s="231"/>
      <c r="AP89" s="231"/>
      <c r="AQ89" s="231"/>
      <c r="AR89" s="231"/>
      <c r="AS89" s="231"/>
      <c r="AT89" s="231"/>
      <c r="AU89" s="231"/>
      <c r="AV89" s="231"/>
      <c r="AW89" s="236">
        <v>5.5</v>
      </c>
      <c r="AX89" s="244">
        <v>5.5</v>
      </c>
      <c r="AY89" s="244">
        <v>0</v>
      </c>
      <c r="AZ89" s="244" t="s">
        <v>266</v>
      </c>
      <c r="BA89" s="244">
        <v>0</v>
      </c>
      <c r="BB89" s="244">
        <v>0</v>
      </c>
      <c r="BC89" s="244">
        <v>0</v>
      </c>
      <c r="BD89" s="244">
        <v>41.1</v>
      </c>
      <c r="BE89" s="237">
        <v>0</v>
      </c>
      <c r="BF89" s="237">
        <v>0</v>
      </c>
      <c r="BG89" s="244">
        <v>32.1</v>
      </c>
      <c r="BH89" s="244"/>
      <c r="BI89" s="244">
        <v>8.6</v>
      </c>
      <c r="BJ89" s="244">
        <v>0</v>
      </c>
      <c r="BK89" s="244">
        <v>0</v>
      </c>
      <c r="BL89" s="244">
        <v>0</v>
      </c>
      <c r="BM89" s="244">
        <v>0</v>
      </c>
      <c r="BN89" s="244"/>
      <c r="BO89" s="231">
        <v>0</v>
      </c>
      <c r="BP89" s="231"/>
      <c r="BQ89" s="204">
        <v>1062</v>
      </c>
      <c r="BR89" s="204">
        <v>194</v>
      </c>
      <c r="BS89" s="204">
        <v>347</v>
      </c>
      <c r="BT89" s="204">
        <v>888</v>
      </c>
      <c r="BU89" s="204">
        <v>868</v>
      </c>
      <c r="BV89" s="204">
        <v>1280</v>
      </c>
      <c r="BW89" s="204">
        <v>1388</v>
      </c>
      <c r="BX89" s="204">
        <v>868</v>
      </c>
      <c r="BY89" s="204">
        <v>1607</v>
      </c>
      <c r="BZ89" s="204">
        <v>455</v>
      </c>
      <c r="CA89" s="204">
        <v>239</v>
      </c>
      <c r="CB89" s="204">
        <v>434</v>
      </c>
      <c r="CC89" s="204">
        <v>781</v>
      </c>
      <c r="CD89" s="204">
        <v>1801</v>
      </c>
      <c r="CE89" s="204">
        <v>3796</v>
      </c>
      <c r="CF89" s="204">
        <v>1020</v>
      </c>
      <c r="CG89" s="204">
        <v>1062</v>
      </c>
      <c r="CH89" s="204">
        <v>1214</v>
      </c>
      <c r="CI89" s="231"/>
    </row>
    <row r="90" spans="1:95" ht="25.2" customHeight="1" outlineLevel="1">
      <c r="A90" s="204">
        <v>81</v>
      </c>
      <c r="B90" s="207">
        <v>3031</v>
      </c>
      <c r="C90" s="208" t="s">
        <v>267</v>
      </c>
      <c r="D90" s="194" t="s">
        <v>181</v>
      </c>
      <c r="E90" s="209">
        <f t="shared" si="8"/>
        <v>413.3</v>
      </c>
      <c r="F90" s="216">
        <v>3.5</v>
      </c>
      <c r="G90" s="217">
        <v>31.1</v>
      </c>
      <c r="H90" s="218">
        <v>9.6999999999999993</v>
      </c>
      <c r="I90" s="230">
        <f t="shared" si="9"/>
        <v>50.4</v>
      </c>
      <c r="J90" s="216">
        <v>2.2000000000000002</v>
      </c>
      <c r="K90" s="216">
        <v>5.3</v>
      </c>
      <c r="L90" s="233"/>
      <c r="M90" s="216">
        <v>224</v>
      </c>
      <c r="N90" s="216">
        <v>320</v>
      </c>
      <c r="O90" s="216">
        <v>7.5</v>
      </c>
      <c r="P90" s="216"/>
      <c r="Q90" s="216">
        <v>0.4</v>
      </c>
      <c r="R90" s="216">
        <v>0.16</v>
      </c>
      <c r="S90" s="216">
        <v>2</v>
      </c>
      <c r="T90" s="231"/>
      <c r="U90" s="231"/>
      <c r="V90" s="231"/>
      <c r="W90" s="242"/>
      <c r="X90" s="232"/>
      <c r="Y90" s="231"/>
      <c r="Z90" s="231"/>
      <c r="AA90" s="241"/>
      <c r="AB90" s="241"/>
      <c r="AC90" s="240"/>
      <c r="AD90" s="240"/>
      <c r="AE90" s="233"/>
      <c r="AF90" s="233"/>
      <c r="AG90" s="240">
        <v>0</v>
      </c>
      <c r="AH90" s="240">
        <f t="shared" si="10"/>
        <v>0</v>
      </c>
      <c r="AI90" s="236">
        <f t="shared" si="11"/>
        <v>0</v>
      </c>
      <c r="AJ90" s="252"/>
      <c r="AK90" s="233"/>
      <c r="AL90" s="216"/>
      <c r="AM90" s="236"/>
      <c r="AN90" s="231"/>
      <c r="AO90" s="231"/>
      <c r="AP90" s="231"/>
      <c r="AQ90" s="231"/>
      <c r="AR90" s="231"/>
      <c r="AS90" s="231"/>
      <c r="AT90" s="231"/>
      <c r="AU90" s="231"/>
      <c r="AV90" s="231"/>
      <c r="AW90" s="236"/>
      <c r="AX90" s="242"/>
      <c r="AY90" s="242"/>
      <c r="AZ90" s="242"/>
      <c r="BA90" s="242"/>
      <c r="BB90" s="242"/>
      <c r="BC90" s="242"/>
      <c r="BD90" s="242"/>
      <c r="BE90" s="231"/>
      <c r="BF90" s="242"/>
      <c r="BG90" s="242"/>
      <c r="BH90" s="242"/>
      <c r="BI90" s="242"/>
      <c r="BJ90" s="242"/>
      <c r="BK90" s="242"/>
      <c r="BL90" s="242"/>
      <c r="BM90" s="242"/>
      <c r="BN90" s="242"/>
      <c r="BO90" s="231">
        <v>0</v>
      </c>
      <c r="BP90" s="231"/>
      <c r="BQ90" s="204"/>
      <c r="BR90" s="204"/>
      <c r="BS90" s="204"/>
      <c r="BT90" s="204"/>
      <c r="BU90" s="204"/>
      <c r="BV90" s="204"/>
      <c r="BW90" s="204"/>
      <c r="BX90" s="204"/>
      <c r="BY90" s="204"/>
      <c r="BZ90" s="204"/>
      <c r="CA90" s="204"/>
      <c r="CB90" s="204"/>
      <c r="CC90" s="204"/>
      <c r="CD90" s="204"/>
      <c r="CE90" s="204"/>
      <c r="CF90" s="204"/>
      <c r="CG90" s="204"/>
      <c r="CH90" s="204"/>
      <c r="CI90" s="231"/>
    </row>
    <row r="91" spans="1:95" ht="25.2" customHeight="1" outlineLevel="1">
      <c r="A91" s="204">
        <v>82</v>
      </c>
      <c r="B91" s="207">
        <v>3032</v>
      </c>
      <c r="C91" s="208" t="s">
        <v>268</v>
      </c>
      <c r="D91" s="194" t="s">
        <v>181</v>
      </c>
      <c r="E91" s="209">
        <f t="shared" si="8"/>
        <v>28.8</v>
      </c>
      <c r="F91" s="216">
        <v>94.4</v>
      </c>
      <c r="G91" s="217">
        <v>3.1</v>
      </c>
      <c r="H91" s="218">
        <v>1.6</v>
      </c>
      <c r="I91" s="230">
        <f t="shared" si="9"/>
        <v>0.5</v>
      </c>
      <c r="J91" s="216">
        <v>0.1</v>
      </c>
      <c r="K91" s="216">
        <v>0.4</v>
      </c>
      <c r="L91" s="233"/>
      <c r="M91" s="216">
        <v>18</v>
      </c>
      <c r="N91" s="216">
        <v>36</v>
      </c>
      <c r="O91" s="216">
        <v>0.23</v>
      </c>
      <c r="P91" s="216">
        <v>0</v>
      </c>
      <c r="Q91" s="216">
        <v>0.05</v>
      </c>
      <c r="R91" s="216">
        <v>0.02</v>
      </c>
      <c r="S91" s="216">
        <v>0.14000000000000001</v>
      </c>
      <c r="T91" s="231">
        <v>55</v>
      </c>
      <c r="U91" s="231">
        <v>124</v>
      </c>
      <c r="V91" s="231">
        <v>25</v>
      </c>
      <c r="W91" s="242">
        <v>0.218</v>
      </c>
      <c r="X91" s="232">
        <v>0.21</v>
      </c>
      <c r="Y91" s="231">
        <v>141</v>
      </c>
      <c r="Z91" s="231">
        <v>4.8</v>
      </c>
      <c r="AA91" s="241">
        <v>0.51800000000000002</v>
      </c>
      <c r="AB91" s="241">
        <v>0.02</v>
      </c>
      <c r="AC91" s="240">
        <v>16</v>
      </c>
      <c r="AD91" s="240">
        <v>0</v>
      </c>
      <c r="AE91" s="233"/>
      <c r="AF91" s="233">
        <v>0</v>
      </c>
      <c r="AG91" s="240">
        <v>0</v>
      </c>
      <c r="AH91" s="240">
        <f t="shared" si="10"/>
        <v>0</v>
      </c>
      <c r="AI91" s="236">
        <f t="shared" si="11"/>
        <v>0</v>
      </c>
      <c r="AJ91" s="252">
        <v>0.4</v>
      </c>
      <c r="AK91" s="233">
        <v>1.35</v>
      </c>
      <c r="AL91" s="216">
        <v>3</v>
      </c>
      <c r="AM91" s="236"/>
      <c r="AN91" s="231"/>
      <c r="AO91" s="231"/>
      <c r="AP91" s="231"/>
      <c r="AQ91" s="231"/>
      <c r="AR91" s="231">
        <v>9.65</v>
      </c>
      <c r="AS91" s="231">
        <v>4.45</v>
      </c>
      <c r="AT91" s="231">
        <v>6.06</v>
      </c>
      <c r="AU91" s="232">
        <v>0.56000000000000005</v>
      </c>
      <c r="AV91" s="231"/>
      <c r="AW91" s="236">
        <v>0.23300000000000001</v>
      </c>
      <c r="AX91" s="242">
        <v>0.17399999999999999</v>
      </c>
      <c r="AY91" s="242">
        <v>0</v>
      </c>
      <c r="AZ91" s="242">
        <v>5.8000000000000003E-2</v>
      </c>
      <c r="BA91" s="242">
        <v>0</v>
      </c>
      <c r="BB91" s="242">
        <v>0</v>
      </c>
      <c r="BC91" s="242">
        <v>0</v>
      </c>
      <c r="BD91" s="242">
        <v>0.38300000000000001</v>
      </c>
      <c r="BE91" s="231">
        <v>0</v>
      </c>
      <c r="BF91" s="231">
        <v>0</v>
      </c>
      <c r="BG91" s="242">
        <v>0.36</v>
      </c>
      <c r="BH91" s="242">
        <v>0.76600000000000001</v>
      </c>
      <c r="BI91" s="242">
        <v>0.67900000000000005</v>
      </c>
      <c r="BJ91" s="242">
        <v>8.6999999999999994E-2</v>
      </c>
      <c r="BK91" s="242">
        <v>0</v>
      </c>
      <c r="BL91" s="242">
        <v>0</v>
      </c>
      <c r="BM91" s="242">
        <v>0</v>
      </c>
      <c r="BN91" s="242"/>
      <c r="BO91" s="231">
        <v>0</v>
      </c>
      <c r="BP91" s="231"/>
      <c r="BQ91" s="204">
        <v>162</v>
      </c>
      <c r="BR91" s="204">
        <v>42</v>
      </c>
      <c r="BS91" s="204">
        <v>42</v>
      </c>
      <c r="BT91" s="204">
        <v>162</v>
      </c>
      <c r="BU91" s="204">
        <v>152</v>
      </c>
      <c r="BV91" s="204">
        <v>176</v>
      </c>
      <c r="BW91" s="204">
        <v>230</v>
      </c>
      <c r="BX91" s="204">
        <v>162</v>
      </c>
      <c r="BY91" s="204">
        <v>196</v>
      </c>
      <c r="BZ91" s="204">
        <v>69</v>
      </c>
      <c r="CA91" s="204">
        <v>23</v>
      </c>
      <c r="CB91" s="204">
        <v>108</v>
      </c>
      <c r="CC91" s="204">
        <v>137</v>
      </c>
      <c r="CD91" s="204">
        <v>348</v>
      </c>
      <c r="CE91" s="204">
        <v>539</v>
      </c>
      <c r="CF91" s="204">
        <v>152</v>
      </c>
      <c r="CG91" s="204">
        <v>230</v>
      </c>
      <c r="CH91" s="204">
        <v>172</v>
      </c>
      <c r="CI91" s="231"/>
    </row>
    <row r="92" spans="1:95" ht="25.2" customHeight="1" outlineLevel="1">
      <c r="A92" s="204">
        <v>83</v>
      </c>
      <c r="B92" s="207">
        <v>3033</v>
      </c>
      <c r="C92" s="208" t="s">
        <v>269</v>
      </c>
      <c r="D92" s="194" t="s">
        <v>181</v>
      </c>
      <c r="E92" s="240">
        <f t="shared" si="8"/>
        <v>46.4</v>
      </c>
      <c r="F92" s="222">
        <v>89.4</v>
      </c>
      <c r="G92" s="220">
        <v>3.8</v>
      </c>
      <c r="H92" s="221">
        <v>1.2</v>
      </c>
      <c r="I92" s="234">
        <f t="shared" si="9"/>
        <v>5.0999999999999899</v>
      </c>
      <c r="J92" s="235">
        <v>0</v>
      </c>
      <c r="K92" s="222">
        <v>0.5</v>
      </c>
      <c r="L92" s="232"/>
      <c r="M92" s="236">
        <v>46.8</v>
      </c>
      <c r="N92" s="236">
        <v>23.2</v>
      </c>
      <c r="O92" s="236">
        <v>0.61</v>
      </c>
      <c r="P92" s="236"/>
      <c r="Q92" s="236"/>
      <c r="R92" s="236"/>
      <c r="S92" s="236"/>
      <c r="T92" s="231">
        <v>33</v>
      </c>
      <c r="U92" s="231">
        <v>85</v>
      </c>
      <c r="V92" s="231">
        <v>38</v>
      </c>
      <c r="W92" s="242"/>
      <c r="X92" s="235">
        <v>0.36</v>
      </c>
      <c r="Y92" s="231"/>
      <c r="Z92" s="231"/>
      <c r="AA92" s="241"/>
      <c r="AB92" s="241"/>
      <c r="AC92" s="240"/>
      <c r="AD92" s="240"/>
      <c r="AE92" s="236"/>
      <c r="AF92" s="236"/>
      <c r="AG92" s="240">
        <v>0</v>
      </c>
      <c r="AH92" s="240">
        <f t="shared" si="10"/>
        <v>0</v>
      </c>
      <c r="AI92" s="236">
        <f t="shared" si="11"/>
        <v>0</v>
      </c>
      <c r="AJ92" s="252"/>
      <c r="AK92" s="233"/>
      <c r="AL92" s="216"/>
      <c r="AM92" s="236"/>
      <c r="AN92" s="231"/>
      <c r="AO92" s="231"/>
      <c r="AP92" s="231"/>
      <c r="AQ92" s="231"/>
      <c r="AR92" s="231"/>
      <c r="AS92" s="231"/>
      <c r="AT92" s="231"/>
      <c r="AU92" s="231"/>
      <c r="AV92" s="231"/>
      <c r="AW92" s="236"/>
      <c r="AX92" s="242"/>
      <c r="AY92" s="242"/>
      <c r="AZ92" s="242"/>
      <c r="BA92" s="242"/>
      <c r="BB92" s="242"/>
      <c r="BC92" s="242"/>
      <c r="BD92" s="242"/>
      <c r="BE92" s="231"/>
      <c r="BF92" s="242"/>
      <c r="BG92" s="242"/>
      <c r="BH92" s="242"/>
      <c r="BI92" s="242"/>
      <c r="BJ92" s="242"/>
      <c r="BK92" s="242"/>
      <c r="BL92" s="242"/>
      <c r="BM92" s="242"/>
      <c r="BN92" s="242"/>
      <c r="BO92" s="231">
        <v>0</v>
      </c>
      <c r="BP92" s="231"/>
      <c r="BQ92" s="231"/>
      <c r="BR92" s="231"/>
      <c r="BS92" s="231"/>
      <c r="BT92" s="231"/>
      <c r="BU92" s="231"/>
      <c r="BV92" s="231"/>
      <c r="BW92" s="231"/>
      <c r="BX92" s="231"/>
      <c r="BY92" s="231"/>
      <c r="BZ92" s="231"/>
      <c r="CA92" s="231"/>
      <c r="CB92" s="231"/>
      <c r="CC92" s="231"/>
      <c r="CD92" s="231"/>
      <c r="CE92" s="231"/>
      <c r="CF92" s="231"/>
      <c r="CG92" s="231"/>
      <c r="CH92" s="231"/>
      <c r="CI92" s="231"/>
    </row>
    <row r="93" spans="1:95" s="169" customFormat="1" ht="7.05" customHeight="1">
      <c r="A93" s="196"/>
      <c r="B93" s="196"/>
      <c r="C93" s="197"/>
      <c r="D93" s="198"/>
      <c r="E93" s="199"/>
      <c r="F93" s="199"/>
      <c r="G93" s="200"/>
      <c r="H93" s="201"/>
      <c r="I93" s="228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250"/>
      <c r="AK93" s="199"/>
      <c r="AL93" s="199"/>
      <c r="AM93" s="199"/>
      <c r="AN93" s="199"/>
      <c r="AO93" s="199"/>
      <c r="AP93" s="199"/>
      <c r="AQ93" s="199"/>
      <c r="AR93" s="199"/>
      <c r="AS93" s="199"/>
      <c r="AT93" s="199"/>
      <c r="AU93" s="199"/>
      <c r="AV93" s="199"/>
      <c r="AW93" s="199"/>
      <c r="AX93" s="199"/>
      <c r="AY93" s="199"/>
      <c r="AZ93" s="199"/>
      <c r="BA93" s="199"/>
      <c r="BB93" s="199"/>
      <c r="BC93" s="199"/>
      <c r="BD93" s="199"/>
      <c r="BE93" s="199"/>
      <c r="BF93" s="199"/>
      <c r="BG93" s="199"/>
      <c r="BH93" s="199"/>
      <c r="BI93" s="199"/>
      <c r="BJ93" s="199"/>
      <c r="BK93" s="199"/>
      <c r="BL93" s="199"/>
      <c r="BM93" s="199"/>
      <c r="BN93" s="199"/>
      <c r="BO93" s="199"/>
      <c r="BP93" s="199"/>
      <c r="BQ93" s="199"/>
      <c r="BR93" s="199"/>
      <c r="BS93" s="199"/>
      <c r="BT93" s="199"/>
      <c r="BU93" s="199"/>
      <c r="BV93" s="199"/>
      <c r="BW93" s="199"/>
      <c r="BX93" s="199"/>
      <c r="BY93" s="199"/>
      <c r="BZ93" s="199"/>
      <c r="CA93" s="199"/>
      <c r="CB93" s="199"/>
      <c r="CC93" s="199"/>
      <c r="CD93" s="199"/>
      <c r="CE93" s="199"/>
      <c r="CF93" s="199"/>
      <c r="CG93" s="199"/>
      <c r="CH93" s="199"/>
      <c r="CI93" s="199"/>
    </row>
    <row r="94" spans="1:95" ht="25.2" customHeight="1">
      <c r="A94" s="202" t="s">
        <v>270</v>
      </c>
      <c r="B94" s="202"/>
      <c r="C94" s="203" t="s">
        <v>271</v>
      </c>
      <c r="D94" s="194"/>
      <c r="E94" s="209"/>
      <c r="F94" s="204"/>
      <c r="G94" s="205"/>
      <c r="H94" s="206"/>
      <c r="I94" s="230"/>
      <c r="J94" s="204"/>
      <c r="K94" s="204"/>
      <c r="L94" s="213"/>
      <c r="M94" s="237"/>
      <c r="N94" s="237"/>
      <c r="O94" s="237"/>
      <c r="P94" s="237"/>
      <c r="Q94" s="237"/>
      <c r="R94" s="237"/>
      <c r="S94" s="237"/>
      <c r="T94" s="204"/>
      <c r="U94" s="204"/>
      <c r="V94" s="204"/>
      <c r="W94" s="244"/>
      <c r="X94" s="213"/>
      <c r="Y94" s="204"/>
      <c r="Z94" s="204"/>
      <c r="AA94" s="244"/>
      <c r="AB94" s="244"/>
      <c r="AC94" s="243"/>
      <c r="AD94" s="243"/>
      <c r="AE94" s="204"/>
      <c r="AF94" s="204"/>
      <c r="AG94" s="243"/>
      <c r="AH94" s="243"/>
      <c r="AI94" s="204"/>
      <c r="AJ94" s="253"/>
      <c r="AK94" s="213"/>
      <c r="AL94" s="237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44"/>
      <c r="AY94" s="244"/>
      <c r="AZ94" s="244"/>
      <c r="BA94" s="244"/>
      <c r="BB94" s="244"/>
      <c r="BC94" s="244"/>
      <c r="BD94" s="244"/>
      <c r="BE94" s="204"/>
      <c r="BF94" s="244"/>
      <c r="BG94" s="244"/>
      <c r="BH94" s="244"/>
      <c r="BI94" s="244"/>
      <c r="BJ94" s="244"/>
      <c r="BK94" s="244"/>
      <c r="BL94" s="244"/>
      <c r="BM94" s="244"/>
      <c r="BN94" s="244"/>
      <c r="BO94" s="204"/>
      <c r="BP94" s="204"/>
      <c r="BQ94" s="204"/>
      <c r="BR94" s="204"/>
      <c r="BS94" s="204"/>
      <c r="BT94" s="204"/>
      <c r="BU94" s="204"/>
      <c r="BV94" s="204"/>
      <c r="BW94" s="204"/>
      <c r="BX94" s="204"/>
      <c r="BY94" s="204"/>
      <c r="BZ94" s="204"/>
      <c r="CA94" s="204"/>
      <c r="CB94" s="204"/>
      <c r="CC94" s="204"/>
      <c r="CD94" s="204"/>
      <c r="CE94" s="204"/>
      <c r="CF94" s="204"/>
      <c r="CG94" s="204"/>
      <c r="CH94" s="204"/>
      <c r="CI94" s="204"/>
    </row>
    <row r="95" spans="1:95" ht="25.2" customHeight="1">
      <c r="A95" s="202"/>
      <c r="B95" s="202"/>
      <c r="C95" s="203" t="s">
        <v>272</v>
      </c>
      <c r="D95" s="194"/>
      <c r="E95" s="243"/>
      <c r="F95" s="237"/>
      <c r="G95" s="259"/>
      <c r="H95" s="260"/>
      <c r="I95" s="230"/>
      <c r="J95" s="237"/>
      <c r="K95" s="237"/>
      <c r="L95" s="213"/>
      <c r="M95" s="237"/>
      <c r="N95" s="237"/>
      <c r="O95" s="237"/>
      <c r="P95" s="237"/>
      <c r="Q95" s="237"/>
      <c r="R95" s="237"/>
      <c r="S95" s="237"/>
      <c r="T95" s="231"/>
      <c r="U95" s="231"/>
      <c r="V95" s="231"/>
      <c r="W95" s="242"/>
      <c r="X95" s="232"/>
      <c r="Y95" s="231"/>
      <c r="Z95" s="231"/>
      <c r="AA95" s="244"/>
      <c r="AB95" s="244"/>
      <c r="AC95" s="243"/>
      <c r="AD95" s="243"/>
      <c r="AE95" s="213"/>
      <c r="AF95" s="213"/>
      <c r="AG95" s="243"/>
      <c r="AH95" s="243"/>
      <c r="AI95" s="204"/>
      <c r="AJ95" s="253"/>
      <c r="AK95" s="213"/>
      <c r="AL95" s="237"/>
      <c r="AM95" s="204"/>
      <c r="AN95" s="231"/>
      <c r="AO95" s="231"/>
      <c r="AP95" s="231"/>
      <c r="AQ95" s="231"/>
      <c r="AR95" s="231"/>
      <c r="AS95" s="231"/>
      <c r="AT95" s="231"/>
      <c r="AU95" s="231"/>
      <c r="AV95" s="231"/>
      <c r="AW95" s="204"/>
      <c r="AX95" s="242"/>
      <c r="AY95" s="242"/>
      <c r="AZ95" s="242"/>
      <c r="BA95" s="242"/>
      <c r="BB95" s="242"/>
      <c r="BC95" s="242"/>
      <c r="BD95" s="242"/>
      <c r="BE95" s="231"/>
      <c r="BF95" s="242"/>
      <c r="BG95" s="242"/>
      <c r="BH95" s="242"/>
      <c r="BI95" s="242"/>
      <c r="BJ95" s="242"/>
      <c r="BK95" s="242"/>
      <c r="BL95" s="242"/>
      <c r="BM95" s="242"/>
      <c r="BN95" s="242"/>
      <c r="BO95" s="231"/>
      <c r="BP95" s="231"/>
      <c r="BQ95" s="231"/>
      <c r="BR95" s="231"/>
      <c r="BS95" s="231"/>
      <c r="BT95" s="231"/>
      <c r="BU95" s="231"/>
      <c r="BV95" s="231"/>
      <c r="BW95" s="231"/>
      <c r="BX95" s="231"/>
      <c r="BY95" s="231"/>
      <c r="BZ95" s="231"/>
      <c r="CA95" s="231"/>
      <c r="CB95" s="231"/>
      <c r="CC95" s="231"/>
      <c r="CD95" s="231"/>
      <c r="CE95" s="231"/>
      <c r="CF95" s="231"/>
      <c r="CG95" s="231"/>
      <c r="CH95" s="231"/>
      <c r="CI95" s="231"/>
    </row>
    <row r="96" spans="1:95" ht="25.2" customHeight="1" outlineLevel="1">
      <c r="A96" s="204">
        <v>84</v>
      </c>
      <c r="B96" s="207">
        <v>4001</v>
      </c>
      <c r="C96" s="208" t="s">
        <v>273</v>
      </c>
      <c r="D96" s="194" t="s">
        <v>181</v>
      </c>
      <c r="E96" s="209">
        <f t="shared" ref="E96:E159" si="12">G96*4+H96*9+I96*4</f>
        <v>18</v>
      </c>
      <c r="F96" s="216">
        <v>95.1</v>
      </c>
      <c r="G96" s="217">
        <v>0.6</v>
      </c>
      <c r="H96" s="218"/>
      <c r="I96" s="230">
        <f t="shared" ref="I96:I159" si="13">100-SUM(F96,G96,H96,K96)</f>
        <v>3.9000000000000101</v>
      </c>
      <c r="J96" s="216">
        <v>1</v>
      </c>
      <c r="K96" s="216">
        <v>0.4</v>
      </c>
      <c r="L96" s="233"/>
      <c r="M96" s="216">
        <v>21</v>
      </c>
      <c r="N96" s="216">
        <v>25</v>
      </c>
      <c r="O96" s="216">
        <v>0.2</v>
      </c>
      <c r="P96" s="216">
        <v>12</v>
      </c>
      <c r="Q96" s="216">
        <v>0.02</v>
      </c>
      <c r="R96" s="216">
        <v>0.03</v>
      </c>
      <c r="S96" s="216">
        <v>0.4</v>
      </c>
      <c r="T96" s="231">
        <v>2</v>
      </c>
      <c r="U96" s="231">
        <v>150</v>
      </c>
      <c r="V96" s="231">
        <v>11</v>
      </c>
      <c r="W96" s="242">
        <v>6.6000000000000003E-2</v>
      </c>
      <c r="X96" s="232">
        <v>0.7</v>
      </c>
      <c r="Y96" s="231">
        <v>26</v>
      </c>
      <c r="Z96" s="231">
        <v>0.2</v>
      </c>
      <c r="AA96" s="241">
        <v>0.152</v>
      </c>
      <c r="AB96" s="241">
        <v>0.04</v>
      </c>
      <c r="AC96" s="240">
        <v>6</v>
      </c>
      <c r="AD96" s="240">
        <v>0</v>
      </c>
      <c r="AE96" s="233"/>
      <c r="AF96" s="233">
        <v>0</v>
      </c>
      <c r="AG96" s="240">
        <v>0</v>
      </c>
      <c r="AH96" s="240">
        <f t="shared" ref="AH96:AH159" si="14">AG96*3.33</f>
        <v>0</v>
      </c>
      <c r="AI96" s="236">
        <f t="shared" ref="AI96:AI159" si="15">AG96+AM96/12+AN96/24+AO96/24</f>
        <v>0.83333333333333304</v>
      </c>
      <c r="AJ96" s="252"/>
      <c r="AK96" s="233"/>
      <c r="AL96" s="216"/>
      <c r="AM96" s="236">
        <v>10</v>
      </c>
      <c r="AN96" s="231"/>
      <c r="AO96" s="231"/>
      <c r="AP96" s="231"/>
      <c r="AQ96" s="231"/>
      <c r="AR96" s="231"/>
      <c r="AS96" s="231"/>
      <c r="AT96" s="231"/>
      <c r="AU96" s="231"/>
      <c r="AV96" s="231"/>
      <c r="AW96" s="236">
        <v>2E-3</v>
      </c>
      <c r="AX96" s="242">
        <v>1E-3</v>
      </c>
      <c r="AY96" s="242">
        <v>0</v>
      </c>
      <c r="AZ96" s="242">
        <v>0</v>
      </c>
      <c r="BA96" s="242">
        <v>0</v>
      </c>
      <c r="BB96" s="242">
        <v>0</v>
      </c>
      <c r="BC96" s="242">
        <v>0</v>
      </c>
      <c r="BD96" s="242">
        <v>4.0000000000000001E-3</v>
      </c>
      <c r="BE96" s="231">
        <v>0</v>
      </c>
      <c r="BF96" s="242">
        <v>0</v>
      </c>
      <c r="BG96" s="242">
        <v>4.0000000000000001E-3</v>
      </c>
      <c r="BH96" s="242">
        <v>8.9999999999999993E-3</v>
      </c>
      <c r="BI96" s="242">
        <v>8.9999999999999993E-3</v>
      </c>
      <c r="BJ96" s="242">
        <v>0</v>
      </c>
      <c r="BK96" s="242">
        <v>0</v>
      </c>
      <c r="BL96" s="242">
        <v>0</v>
      </c>
      <c r="BM96" s="242">
        <v>0</v>
      </c>
      <c r="BN96" s="242"/>
      <c r="BO96" s="231">
        <v>0</v>
      </c>
      <c r="BP96" s="231"/>
      <c r="BQ96" s="204">
        <v>21</v>
      </c>
      <c r="BR96" s="204">
        <v>4</v>
      </c>
      <c r="BS96" s="204">
        <v>3</v>
      </c>
      <c r="BT96" s="204">
        <v>15</v>
      </c>
      <c r="BU96" s="204">
        <v>18</v>
      </c>
      <c r="BV96" s="204">
        <v>27</v>
      </c>
      <c r="BW96" s="204">
        <v>36</v>
      </c>
      <c r="BX96" s="204">
        <v>33</v>
      </c>
      <c r="BY96" s="204">
        <v>14</v>
      </c>
      <c r="BZ96" s="204">
        <v>4</v>
      </c>
      <c r="CA96" s="231"/>
      <c r="CB96" s="231"/>
      <c r="CC96" s="231"/>
      <c r="CD96" s="231"/>
      <c r="CE96" s="231"/>
      <c r="CF96" s="231"/>
      <c r="CG96" s="231"/>
      <c r="CH96" s="231"/>
      <c r="CI96" s="231"/>
    </row>
    <row r="97" spans="1:101" ht="25.2" customHeight="1" outlineLevel="1">
      <c r="A97" s="204">
        <v>85</v>
      </c>
      <c r="B97" s="207">
        <v>4002</v>
      </c>
      <c r="C97" s="208" t="s">
        <v>274</v>
      </c>
      <c r="D97" s="194" t="s">
        <v>181</v>
      </c>
      <c r="E97" s="209">
        <f t="shared" si="12"/>
        <v>16</v>
      </c>
      <c r="F97" s="216">
        <v>95.5</v>
      </c>
      <c r="G97" s="217">
        <v>0.6</v>
      </c>
      <c r="H97" s="218"/>
      <c r="I97" s="230">
        <f t="shared" si="13"/>
        <v>3.4000000000000101</v>
      </c>
      <c r="J97" s="216">
        <v>1</v>
      </c>
      <c r="K97" s="216">
        <v>0.5</v>
      </c>
      <c r="L97" s="233"/>
      <c r="M97" s="216">
        <v>26</v>
      </c>
      <c r="N97" s="216">
        <v>23</v>
      </c>
      <c r="O97" s="216">
        <v>0.3</v>
      </c>
      <c r="P97" s="216">
        <v>37</v>
      </c>
      <c r="Q97" s="216">
        <v>0.01</v>
      </c>
      <c r="R97" s="216">
        <v>0.02</v>
      </c>
      <c r="S97" s="216">
        <v>0.3</v>
      </c>
      <c r="T97" s="240">
        <v>12.73</v>
      </c>
      <c r="U97" s="240">
        <v>149.81</v>
      </c>
      <c r="V97" s="240">
        <v>7.64</v>
      </c>
      <c r="W97" s="241"/>
      <c r="X97" s="233"/>
      <c r="Y97" s="233"/>
      <c r="Z97" s="233"/>
      <c r="AA97" s="241"/>
      <c r="AB97" s="241"/>
      <c r="AC97" s="240"/>
      <c r="AD97" s="240"/>
      <c r="AE97" s="233"/>
      <c r="AF97" s="233"/>
      <c r="AG97" s="240">
        <v>0</v>
      </c>
      <c r="AH97" s="240">
        <f t="shared" si="14"/>
        <v>0</v>
      </c>
      <c r="AI97" s="236">
        <f t="shared" si="15"/>
        <v>0.41666666666666702</v>
      </c>
      <c r="AJ97" s="252"/>
      <c r="AK97" s="233"/>
      <c r="AL97" s="216"/>
      <c r="AM97" s="236">
        <v>5</v>
      </c>
      <c r="AN97" s="231"/>
      <c r="AO97" s="231"/>
      <c r="AP97" s="231"/>
      <c r="AQ97" s="231"/>
      <c r="AR97" s="231"/>
      <c r="AS97" s="231"/>
      <c r="AT97" s="231"/>
      <c r="AU97" s="231"/>
      <c r="AV97" s="231"/>
      <c r="AW97" s="236"/>
      <c r="AX97" s="242"/>
      <c r="AY97" s="242"/>
      <c r="AZ97" s="242"/>
      <c r="BA97" s="242"/>
      <c r="BB97" s="242"/>
      <c r="BC97" s="242"/>
      <c r="BD97" s="242"/>
      <c r="BE97" s="231"/>
      <c r="BF97" s="242"/>
      <c r="BG97" s="242"/>
      <c r="BH97" s="242"/>
      <c r="BI97" s="242"/>
      <c r="BJ97" s="242"/>
      <c r="BK97" s="242"/>
      <c r="BL97" s="242"/>
      <c r="BM97" s="242"/>
      <c r="BN97" s="242"/>
      <c r="BO97" s="231">
        <v>0</v>
      </c>
      <c r="BP97" s="231"/>
      <c r="BQ97" s="231"/>
      <c r="BR97" s="231"/>
      <c r="BS97" s="231"/>
      <c r="BT97" s="231"/>
      <c r="BU97" s="231"/>
      <c r="BV97" s="231"/>
      <c r="BW97" s="231"/>
      <c r="BX97" s="231"/>
      <c r="BY97" s="231"/>
      <c r="BZ97" s="231"/>
      <c r="CA97" s="231"/>
      <c r="CB97" s="231"/>
      <c r="CC97" s="231"/>
      <c r="CD97" s="231"/>
      <c r="CE97" s="231"/>
      <c r="CF97" s="231"/>
      <c r="CG97" s="231"/>
      <c r="CH97" s="231"/>
      <c r="CI97" s="231"/>
    </row>
    <row r="98" spans="1:101" ht="25.2" customHeight="1" outlineLevel="1">
      <c r="A98" s="204">
        <v>86</v>
      </c>
      <c r="B98" s="207">
        <v>4003</v>
      </c>
      <c r="C98" s="208" t="s">
        <v>275</v>
      </c>
      <c r="D98" s="194" t="s">
        <v>181</v>
      </c>
      <c r="E98" s="209">
        <f t="shared" si="12"/>
        <v>28.8</v>
      </c>
      <c r="F98" s="216">
        <v>92</v>
      </c>
      <c r="G98" s="217">
        <v>0.3</v>
      </c>
      <c r="H98" s="218"/>
      <c r="I98" s="230">
        <f t="shared" si="13"/>
        <v>6.9000000000000101</v>
      </c>
      <c r="J98" s="216">
        <v>0.7</v>
      </c>
      <c r="K98" s="216">
        <v>0.8</v>
      </c>
      <c r="L98" s="233"/>
      <c r="M98" s="216">
        <v>24</v>
      </c>
      <c r="N98" s="216">
        <v>16</v>
      </c>
      <c r="O98" s="216">
        <v>0.5</v>
      </c>
      <c r="P98" s="216">
        <v>9</v>
      </c>
      <c r="Q98" s="216">
        <v>0.06</v>
      </c>
      <c r="R98" s="216">
        <v>0.03</v>
      </c>
      <c r="S98" s="216">
        <v>0.4</v>
      </c>
      <c r="T98" s="240">
        <v>8.4</v>
      </c>
      <c r="U98" s="240">
        <v>348.5</v>
      </c>
      <c r="V98" s="240">
        <v>10</v>
      </c>
      <c r="W98" s="241">
        <v>16</v>
      </c>
      <c r="X98" s="233">
        <v>0.1</v>
      </c>
      <c r="Y98" s="240">
        <v>210</v>
      </c>
      <c r="Z98" s="216">
        <v>0.3</v>
      </c>
      <c r="AA98" s="241">
        <v>0.29799999999999999</v>
      </c>
      <c r="AB98" s="241">
        <v>6.0999999999999999E-2</v>
      </c>
      <c r="AC98" s="240">
        <v>16</v>
      </c>
      <c r="AD98" s="240">
        <v>0</v>
      </c>
      <c r="AE98" s="233">
        <v>0.4</v>
      </c>
      <c r="AF98" s="233">
        <v>0</v>
      </c>
      <c r="AG98" s="240">
        <v>0</v>
      </c>
      <c r="AH98" s="240">
        <f t="shared" si="14"/>
        <v>0</v>
      </c>
      <c r="AI98" s="236">
        <f t="shared" si="15"/>
        <v>236.833333333333</v>
      </c>
      <c r="AJ98" s="252"/>
      <c r="AK98" s="233">
        <v>1.06</v>
      </c>
      <c r="AL98" s="216">
        <v>1.1000000000000001</v>
      </c>
      <c r="AM98" s="236">
        <v>1512</v>
      </c>
      <c r="AN98" s="231">
        <v>515</v>
      </c>
      <c r="AO98" s="231">
        <v>2145</v>
      </c>
      <c r="AP98" s="231">
        <v>0</v>
      </c>
      <c r="AQ98" s="231">
        <v>1500</v>
      </c>
      <c r="AR98" s="231"/>
      <c r="AS98" s="231"/>
      <c r="AT98" s="231"/>
      <c r="AU98" s="231"/>
      <c r="AV98" s="231"/>
      <c r="AW98" s="236">
        <v>5.1999999999999998E-2</v>
      </c>
      <c r="AX98" s="242">
        <v>3.6999999999999998E-2</v>
      </c>
      <c r="AY98" s="242">
        <v>0</v>
      </c>
      <c r="AZ98" s="242">
        <v>3.0000000000000001E-3</v>
      </c>
      <c r="BA98" s="242">
        <v>0</v>
      </c>
      <c r="BB98" s="242">
        <v>0</v>
      </c>
      <c r="BC98" s="242">
        <v>0</v>
      </c>
      <c r="BD98" s="242">
        <v>1.2999999999999999E-2</v>
      </c>
      <c r="BE98" s="231">
        <v>0</v>
      </c>
      <c r="BF98" s="231">
        <v>6.0000000000000001E-3</v>
      </c>
      <c r="BG98" s="242">
        <v>6.0000000000000001E-3</v>
      </c>
      <c r="BH98" s="242">
        <v>5.0000000000000001E-3</v>
      </c>
      <c r="BI98" s="242">
        <v>2E-3</v>
      </c>
      <c r="BJ98" s="242">
        <v>3.0000000000000001E-3</v>
      </c>
      <c r="BK98" s="242">
        <v>0</v>
      </c>
      <c r="BL98" s="242">
        <v>0</v>
      </c>
      <c r="BM98" s="242">
        <v>0</v>
      </c>
      <c r="BN98" s="242"/>
      <c r="BO98" s="231">
        <v>0</v>
      </c>
      <c r="BP98" s="231">
        <v>12</v>
      </c>
      <c r="BQ98" s="204">
        <v>63</v>
      </c>
      <c r="BR98" s="204">
        <v>12</v>
      </c>
      <c r="BS98" s="204">
        <v>18</v>
      </c>
      <c r="BT98" s="204">
        <v>34</v>
      </c>
      <c r="BU98" s="204">
        <v>31</v>
      </c>
      <c r="BV98" s="204">
        <v>48</v>
      </c>
      <c r="BW98" s="204">
        <v>69</v>
      </c>
      <c r="BX98" s="204">
        <v>47</v>
      </c>
      <c r="BY98" s="204">
        <v>46</v>
      </c>
      <c r="BZ98" s="204">
        <v>20</v>
      </c>
      <c r="CA98" s="204">
        <v>10</v>
      </c>
      <c r="CB98" s="204">
        <v>18</v>
      </c>
      <c r="CC98" s="204">
        <v>47</v>
      </c>
      <c r="CD98" s="204">
        <v>151</v>
      </c>
      <c r="CE98" s="204">
        <v>233</v>
      </c>
      <c r="CF98" s="204">
        <v>31</v>
      </c>
      <c r="CG98" s="204">
        <v>29</v>
      </c>
      <c r="CH98" s="204">
        <v>37</v>
      </c>
      <c r="CI98" s="231"/>
    </row>
    <row r="99" spans="1:101" ht="25.2" customHeight="1" outlineLevel="1">
      <c r="A99" s="204">
        <v>87</v>
      </c>
      <c r="B99" s="207">
        <v>4004</v>
      </c>
      <c r="C99" s="208" t="s">
        <v>276</v>
      </c>
      <c r="D99" s="194" t="s">
        <v>181</v>
      </c>
      <c r="E99" s="209">
        <f t="shared" si="12"/>
        <v>27.6</v>
      </c>
      <c r="F99" s="216">
        <v>92.5</v>
      </c>
      <c r="G99" s="217">
        <v>1.2</v>
      </c>
      <c r="H99" s="218"/>
      <c r="I99" s="230">
        <f t="shared" si="13"/>
        <v>5.7</v>
      </c>
      <c r="J99" s="216">
        <v>1.5</v>
      </c>
      <c r="K99" s="216">
        <v>0.6</v>
      </c>
      <c r="L99" s="233"/>
      <c r="M99" s="216">
        <v>12</v>
      </c>
      <c r="N99" s="216">
        <v>16</v>
      </c>
      <c r="O99" s="216">
        <v>0.7</v>
      </c>
      <c r="P99" s="216">
        <v>3</v>
      </c>
      <c r="Q99" s="216">
        <v>0.03</v>
      </c>
      <c r="R99" s="216">
        <v>0.04</v>
      </c>
      <c r="S99" s="216">
        <v>0.5</v>
      </c>
      <c r="T99" s="231">
        <v>2</v>
      </c>
      <c r="U99" s="231">
        <v>230</v>
      </c>
      <c r="V99" s="231">
        <v>14</v>
      </c>
      <c r="W99" s="242">
        <v>0.25</v>
      </c>
      <c r="X99" s="232">
        <v>0.16</v>
      </c>
      <c r="Y99" s="231">
        <v>82</v>
      </c>
      <c r="Z99" s="231">
        <v>0.3</v>
      </c>
      <c r="AA99" s="241">
        <v>0.28100000000000003</v>
      </c>
      <c r="AB99" s="241">
        <v>8.4000000000000005E-2</v>
      </c>
      <c r="AC99" s="240">
        <v>22</v>
      </c>
      <c r="AD99" s="240">
        <v>0</v>
      </c>
      <c r="AE99" s="233"/>
      <c r="AF99" s="233">
        <v>0</v>
      </c>
      <c r="AG99" s="240">
        <v>0</v>
      </c>
      <c r="AH99" s="240">
        <f t="shared" si="14"/>
        <v>0</v>
      </c>
      <c r="AI99" s="236">
        <f t="shared" si="15"/>
        <v>3.3333333333333299</v>
      </c>
      <c r="AJ99" s="252"/>
      <c r="AK99" s="233">
        <v>0.3</v>
      </c>
      <c r="AL99" s="216">
        <v>3.5</v>
      </c>
      <c r="AM99" s="236">
        <v>40</v>
      </c>
      <c r="AN99" s="231"/>
      <c r="AO99" s="231"/>
      <c r="AP99" s="231"/>
      <c r="AQ99" s="231"/>
      <c r="AR99" s="231"/>
      <c r="AS99" s="231"/>
      <c r="AT99" s="231"/>
      <c r="AU99" s="231"/>
      <c r="AV99" s="231"/>
      <c r="AW99" s="236">
        <v>3.4000000000000002E-2</v>
      </c>
      <c r="AX99" s="242">
        <v>2.5000000000000001E-2</v>
      </c>
      <c r="AY99" s="242">
        <v>0</v>
      </c>
      <c r="AZ99" s="231">
        <v>8.9999999999999993E-3</v>
      </c>
      <c r="BA99" s="242">
        <v>0</v>
      </c>
      <c r="BB99" s="242">
        <v>0</v>
      </c>
      <c r="BC99" s="242">
        <v>0</v>
      </c>
      <c r="BD99" s="242">
        <v>1.6E-2</v>
      </c>
      <c r="BE99" s="231">
        <v>0</v>
      </c>
      <c r="BF99" s="242">
        <v>2E-3</v>
      </c>
      <c r="BG99" s="242">
        <v>1.4E-2</v>
      </c>
      <c r="BH99" s="242">
        <v>7.5999999999999998E-2</v>
      </c>
      <c r="BI99" s="242">
        <v>6.3E-2</v>
      </c>
      <c r="BJ99" s="242">
        <v>1.2999999999999999E-2</v>
      </c>
      <c r="BK99" s="242">
        <v>0</v>
      </c>
      <c r="BL99" s="242">
        <v>0</v>
      </c>
      <c r="BM99" s="242">
        <v>0</v>
      </c>
      <c r="BN99" s="242"/>
      <c r="BO99" s="231">
        <v>0</v>
      </c>
      <c r="BP99" s="231">
        <v>7</v>
      </c>
      <c r="BQ99" s="204">
        <v>43</v>
      </c>
      <c r="BR99" s="204">
        <v>13</v>
      </c>
      <c r="BS99" s="204">
        <v>15</v>
      </c>
      <c r="BT99" s="204">
        <v>36</v>
      </c>
      <c r="BU99" s="204">
        <v>23</v>
      </c>
      <c r="BV99" s="204">
        <v>41</v>
      </c>
      <c r="BW99" s="204">
        <v>58</v>
      </c>
      <c r="BX99" s="204">
        <v>36</v>
      </c>
      <c r="BY99" s="204">
        <v>81</v>
      </c>
      <c r="BZ99" s="204">
        <v>18</v>
      </c>
      <c r="CA99" s="204">
        <v>9</v>
      </c>
      <c r="CB99" s="204">
        <v>47</v>
      </c>
      <c r="CC99" s="204">
        <v>32</v>
      </c>
      <c r="CD99" s="204">
        <v>115</v>
      </c>
      <c r="CE99" s="204">
        <v>198</v>
      </c>
      <c r="CF99" s="204">
        <v>31</v>
      </c>
      <c r="CG99" s="204">
        <v>29</v>
      </c>
      <c r="CH99" s="204">
        <v>49</v>
      </c>
      <c r="CI99" s="231"/>
    </row>
    <row r="100" spans="1:101" ht="25.2" customHeight="1" outlineLevel="1">
      <c r="A100" s="204">
        <v>88</v>
      </c>
      <c r="B100" s="207">
        <v>4005</v>
      </c>
      <c r="C100" s="208" t="s">
        <v>277</v>
      </c>
      <c r="D100" s="194" t="s">
        <v>181</v>
      </c>
      <c r="E100" s="209">
        <f t="shared" si="12"/>
        <v>22.4</v>
      </c>
      <c r="F100" s="216">
        <v>94</v>
      </c>
      <c r="G100" s="217">
        <v>0.6</v>
      </c>
      <c r="H100" s="218"/>
      <c r="I100" s="230">
        <f t="shared" si="13"/>
        <v>5</v>
      </c>
      <c r="J100" s="216">
        <v>0.8</v>
      </c>
      <c r="K100" s="216">
        <v>0.4</v>
      </c>
      <c r="L100" s="233">
        <v>2.63</v>
      </c>
      <c r="M100" s="216">
        <v>12</v>
      </c>
      <c r="N100" s="216">
        <v>26</v>
      </c>
      <c r="O100" s="216">
        <v>1.4</v>
      </c>
      <c r="P100" s="216">
        <v>40</v>
      </c>
      <c r="Q100" s="216">
        <v>0.06</v>
      </c>
      <c r="R100" s="216">
        <v>0.04</v>
      </c>
      <c r="S100" s="216">
        <v>0.5</v>
      </c>
      <c r="T100" s="240">
        <v>12.2</v>
      </c>
      <c r="U100" s="240">
        <v>275.2</v>
      </c>
      <c r="V100" s="240">
        <v>15</v>
      </c>
      <c r="W100" s="241">
        <v>0.21</v>
      </c>
      <c r="X100" s="233">
        <v>0.74</v>
      </c>
      <c r="Y100" s="240">
        <v>90</v>
      </c>
      <c r="Z100" s="216">
        <v>0.5</v>
      </c>
      <c r="AA100" s="241">
        <v>8.8999999999999996E-2</v>
      </c>
      <c r="AB100" s="241">
        <v>0.08</v>
      </c>
      <c r="AC100" s="240">
        <v>15</v>
      </c>
      <c r="AD100" s="240">
        <v>0</v>
      </c>
      <c r="AE100" s="233"/>
      <c r="AF100" s="233">
        <v>0</v>
      </c>
      <c r="AG100" s="240">
        <v>0</v>
      </c>
      <c r="AH100" s="240">
        <f t="shared" si="14"/>
        <v>0</v>
      </c>
      <c r="AI100" s="236">
        <f t="shared" si="15"/>
        <v>58.6666666666667</v>
      </c>
      <c r="AJ100" s="252"/>
      <c r="AK100" s="233">
        <v>0.54</v>
      </c>
      <c r="AL100" s="216">
        <v>7.9</v>
      </c>
      <c r="AM100" s="236">
        <v>648</v>
      </c>
      <c r="AN100" s="231">
        <v>112</v>
      </c>
      <c r="AO100" s="231">
        <v>0</v>
      </c>
      <c r="AP100" s="231">
        <v>2750</v>
      </c>
      <c r="AQ100" s="231">
        <v>27.4</v>
      </c>
      <c r="AR100" s="231"/>
      <c r="AS100" s="231"/>
      <c r="AT100" s="231"/>
      <c r="AU100" s="231"/>
      <c r="AV100" s="231">
        <v>11</v>
      </c>
      <c r="AW100" s="236">
        <v>4.5999999999999999E-2</v>
      </c>
      <c r="AX100" s="242">
        <v>0.02</v>
      </c>
      <c r="AY100" s="242">
        <v>0</v>
      </c>
      <c r="AZ100" s="242">
        <v>8.0000000000000002E-3</v>
      </c>
      <c r="BA100" s="242">
        <v>0</v>
      </c>
      <c r="BB100" s="242">
        <v>0</v>
      </c>
      <c r="BC100" s="242">
        <v>0</v>
      </c>
      <c r="BD100" s="242">
        <v>5.0999999999999997E-2</v>
      </c>
      <c r="BE100" s="231">
        <v>0</v>
      </c>
      <c r="BF100" s="242">
        <v>1E-3</v>
      </c>
      <c r="BG100" s="242">
        <v>0.03</v>
      </c>
      <c r="BH100" s="242">
        <v>0.13500000000000001</v>
      </c>
      <c r="BI100" s="242">
        <v>0.08</v>
      </c>
      <c r="BJ100" s="242">
        <v>3.0000000000000001E-3</v>
      </c>
      <c r="BK100" s="242">
        <v>0</v>
      </c>
      <c r="BL100" s="242">
        <v>0</v>
      </c>
      <c r="BM100" s="242">
        <v>0</v>
      </c>
      <c r="BN100" s="242"/>
      <c r="BO100" s="231">
        <v>0</v>
      </c>
      <c r="BP100" s="231">
        <v>7</v>
      </c>
      <c r="BQ100" s="204">
        <v>25</v>
      </c>
      <c r="BR100" s="204">
        <v>5</v>
      </c>
      <c r="BS100" s="204">
        <v>7</v>
      </c>
      <c r="BT100" s="204">
        <v>16</v>
      </c>
      <c r="BU100" s="204">
        <v>20</v>
      </c>
      <c r="BV100" s="204">
        <v>19</v>
      </c>
      <c r="BW100" s="204">
        <v>24</v>
      </c>
      <c r="BX100" s="204">
        <v>16</v>
      </c>
      <c r="BY100" s="204">
        <v>19</v>
      </c>
      <c r="BZ100" s="204">
        <v>13</v>
      </c>
      <c r="CA100" s="204">
        <v>5</v>
      </c>
      <c r="CB100" s="204">
        <v>12</v>
      </c>
      <c r="CC100" s="204">
        <v>22</v>
      </c>
      <c r="CD100" s="204">
        <v>104</v>
      </c>
      <c r="CE100" s="204">
        <v>269</v>
      </c>
      <c r="CF100" s="204">
        <v>16</v>
      </c>
      <c r="CG100" s="204">
        <v>14</v>
      </c>
      <c r="CH100" s="204">
        <v>22</v>
      </c>
      <c r="CI100" s="231"/>
    </row>
    <row r="101" spans="1:101" s="172" customFormat="1" ht="25.2" customHeight="1">
      <c r="A101" s="204">
        <v>89</v>
      </c>
      <c r="B101" s="207">
        <v>4006</v>
      </c>
      <c r="C101" s="208" t="s">
        <v>278</v>
      </c>
      <c r="D101" s="194" t="s">
        <v>181</v>
      </c>
      <c r="E101" s="209">
        <f t="shared" si="12"/>
        <v>26.8</v>
      </c>
      <c r="F101" s="216">
        <v>92.5</v>
      </c>
      <c r="G101" s="217">
        <v>1.5</v>
      </c>
      <c r="H101" s="218"/>
      <c r="I101" s="230">
        <f t="shared" si="13"/>
        <v>5.2</v>
      </c>
      <c r="J101" s="216">
        <v>1.6</v>
      </c>
      <c r="K101" s="216">
        <v>0.8</v>
      </c>
      <c r="L101" s="233"/>
      <c r="M101" s="216">
        <v>12</v>
      </c>
      <c r="N101" s="216">
        <v>16</v>
      </c>
      <c r="O101" s="216">
        <v>0.7</v>
      </c>
      <c r="P101" s="216">
        <v>3</v>
      </c>
      <c r="Q101" s="216">
        <v>0.03</v>
      </c>
      <c r="R101" s="216">
        <v>0.04</v>
      </c>
      <c r="S101" s="216">
        <v>0.5</v>
      </c>
      <c r="T101" s="240">
        <v>7</v>
      </c>
      <c r="U101" s="240">
        <v>221</v>
      </c>
      <c r="V101" s="240">
        <v>18</v>
      </c>
      <c r="W101" s="241">
        <v>0.2</v>
      </c>
      <c r="X101" s="233">
        <v>0.3</v>
      </c>
      <c r="Y101" s="240">
        <v>90</v>
      </c>
      <c r="Z101" s="216">
        <v>6.7</v>
      </c>
      <c r="AA101" s="241"/>
      <c r="AB101" s="241"/>
      <c r="AC101" s="240"/>
      <c r="AD101" s="240"/>
      <c r="AE101" s="233"/>
      <c r="AF101" s="233"/>
      <c r="AG101" s="240">
        <v>0</v>
      </c>
      <c r="AH101" s="240">
        <f t="shared" si="14"/>
        <v>0</v>
      </c>
      <c r="AI101" s="236">
        <f t="shared" si="15"/>
        <v>1.6666666666666701</v>
      </c>
      <c r="AJ101" s="252"/>
      <c r="AK101" s="233"/>
      <c r="AL101" s="216"/>
      <c r="AM101" s="236">
        <v>20</v>
      </c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6"/>
      <c r="AX101" s="244"/>
      <c r="AY101" s="244"/>
      <c r="AZ101" s="244"/>
      <c r="BA101" s="244"/>
      <c r="BB101" s="244"/>
      <c r="BC101" s="244"/>
      <c r="BD101" s="244"/>
      <c r="BE101" s="237"/>
      <c r="BF101" s="244"/>
      <c r="BG101" s="244"/>
      <c r="BH101" s="244"/>
      <c r="BI101" s="244"/>
      <c r="BJ101" s="244"/>
      <c r="BK101" s="244"/>
      <c r="BL101" s="244"/>
      <c r="BM101" s="244"/>
      <c r="BN101" s="244"/>
      <c r="BO101" s="231">
        <v>0</v>
      </c>
      <c r="BP101" s="231"/>
      <c r="BQ101" s="204">
        <v>43</v>
      </c>
      <c r="BR101" s="204">
        <v>13</v>
      </c>
      <c r="BS101" s="204">
        <v>15</v>
      </c>
      <c r="BT101" s="204">
        <v>36</v>
      </c>
      <c r="BU101" s="204">
        <v>23</v>
      </c>
      <c r="BV101" s="204">
        <v>41</v>
      </c>
      <c r="BW101" s="204">
        <v>58</v>
      </c>
      <c r="BX101" s="204">
        <v>36</v>
      </c>
      <c r="BY101" s="204">
        <v>81</v>
      </c>
      <c r="BZ101" s="204">
        <v>18</v>
      </c>
      <c r="CA101" s="204">
        <v>9</v>
      </c>
      <c r="CB101" s="204">
        <v>47</v>
      </c>
      <c r="CC101" s="204">
        <v>32</v>
      </c>
      <c r="CD101" s="204">
        <v>115</v>
      </c>
      <c r="CE101" s="204">
        <v>198</v>
      </c>
      <c r="CF101" s="204">
        <v>31</v>
      </c>
      <c r="CG101" s="204">
        <v>29</v>
      </c>
      <c r="CH101" s="204">
        <v>49</v>
      </c>
      <c r="CI101" s="231"/>
      <c r="CM101" s="173"/>
      <c r="CQ101" s="173"/>
      <c r="CR101" s="173"/>
      <c r="CS101" s="173"/>
      <c r="CT101" s="173"/>
      <c r="CU101" s="173"/>
      <c r="CV101" s="173"/>
      <c r="CW101" s="173"/>
    </row>
    <row r="102" spans="1:101" ht="25.2" customHeight="1" outlineLevel="1">
      <c r="A102" s="204">
        <v>90</v>
      </c>
      <c r="B102" s="207">
        <v>4007</v>
      </c>
      <c r="C102" s="208" t="s">
        <v>279</v>
      </c>
      <c r="D102" s="194" t="s">
        <v>181</v>
      </c>
      <c r="E102" s="209">
        <f t="shared" si="12"/>
        <v>42.8</v>
      </c>
      <c r="F102" s="216">
        <v>88.5</v>
      </c>
      <c r="G102" s="217">
        <v>1.5</v>
      </c>
      <c r="H102" s="218"/>
      <c r="I102" s="230">
        <f t="shared" si="13"/>
        <v>9.1999999999999993</v>
      </c>
      <c r="J102" s="216">
        <v>1.2</v>
      </c>
      <c r="K102" s="216">
        <v>0.8</v>
      </c>
      <c r="L102" s="233">
        <v>4.54</v>
      </c>
      <c r="M102" s="216">
        <v>43</v>
      </c>
      <c r="N102" s="216">
        <v>39</v>
      </c>
      <c r="O102" s="216">
        <v>0.8</v>
      </c>
      <c r="P102" s="216">
        <v>3</v>
      </c>
      <c r="Q102" s="216">
        <v>0.06</v>
      </c>
      <c r="R102" s="216">
        <v>0.06</v>
      </c>
      <c r="S102" s="216">
        <v>0.4</v>
      </c>
      <c r="T102" s="240">
        <v>52</v>
      </c>
      <c r="U102" s="240">
        <v>265.5</v>
      </c>
      <c r="V102" s="240">
        <v>12</v>
      </c>
      <c r="W102" s="241">
        <v>0.23</v>
      </c>
      <c r="X102" s="233">
        <v>1.1100000000000001</v>
      </c>
      <c r="Y102" s="240">
        <v>150</v>
      </c>
      <c r="Z102" s="216">
        <v>0.1</v>
      </c>
      <c r="AA102" s="241">
        <v>0.27300000000000002</v>
      </c>
      <c r="AB102" s="241">
        <v>0.13800000000000001</v>
      </c>
      <c r="AC102" s="240">
        <v>19</v>
      </c>
      <c r="AD102" s="240">
        <v>0</v>
      </c>
      <c r="AE102" s="233">
        <v>3.4</v>
      </c>
      <c r="AF102" s="233">
        <v>0</v>
      </c>
      <c r="AG102" s="240">
        <v>0</v>
      </c>
      <c r="AH102" s="240">
        <f t="shared" si="14"/>
        <v>0</v>
      </c>
      <c r="AI102" s="236">
        <f t="shared" si="15"/>
        <v>681.45833333333303</v>
      </c>
      <c r="AJ102" s="252"/>
      <c r="AK102" s="233"/>
      <c r="AL102" s="216"/>
      <c r="AM102" s="236">
        <v>6597</v>
      </c>
      <c r="AN102" s="231">
        <v>3036</v>
      </c>
      <c r="AO102" s="231">
        <v>125</v>
      </c>
      <c r="AP102" s="231"/>
      <c r="AQ102" s="231">
        <v>94</v>
      </c>
      <c r="AR102" s="231"/>
      <c r="AS102" s="231"/>
      <c r="AT102" s="231"/>
      <c r="AU102" s="231"/>
      <c r="AV102" s="231">
        <v>17</v>
      </c>
      <c r="AW102" s="236">
        <v>3.6999999999999998E-2</v>
      </c>
      <c r="AX102" s="242">
        <v>3.5000000000000003E-2</v>
      </c>
      <c r="AY102" s="242">
        <v>0</v>
      </c>
      <c r="AZ102" s="242">
        <v>2E-3</v>
      </c>
      <c r="BA102" s="242">
        <v>0</v>
      </c>
      <c r="BB102" s="242">
        <v>0</v>
      </c>
      <c r="BC102" s="242">
        <v>0</v>
      </c>
      <c r="BD102" s="242">
        <v>1.4E-2</v>
      </c>
      <c r="BE102" s="231">
        <v>0</v>
      </c>
      <c r="BF102" s="242">
        <v>2E-3</v>
      </c>
      <c r="BG102" s="242">
        <v>1.2E-2</v>
      </c>
      <c r="BH102" s="242">
        <v>0.11700000000000001</v>
      </c>
      <c r="BI102" s="242">
        <v>0.115</v>
      </c>
      <c r="BJ102" s="242">
        <v>2E-3</v>
      </c>
      <c r="BK102" s="242">
        <v>0</v>
      </c>
      <c r="BL102" s="242">
        <v>0</v>
      </c>
      <c r="BM102" s="242">
        <v>0</v>
      </c>
      <c r="BN102" s="242"/>
      <c r="BO102" s="231">
        <v>0</v>
      </c>
      <c r="BP102" s="231"/>
      <c r="BQ102" s="204">
        <v>39</v>
      </c>
      <c r="BR102" s="204">
        <v>12</v>
      </c>
      <c r="BS102" s="204">
        <v>7</v>
      </c>
      <c r="BT102" s="204">
        <v>27</v>
      </c>
      <c r="BU102" s="204">
        <v>29</v>
      </c>
      <c r="BV102" s="204">
        <v>44</v>
      </c>
      <c r="BW102" s="204">
        <v>44</v>
      </c>
      <c r="BX102" s="204">
        <v>30</v>
      </c>
      <c r="BY102" s="204">
        <v>44</v>
      </c>
      <c r="BZ102" s="204">
        <v>14</v>
      </c>
      <c r="CA102" s="204">
        <v>10</v>
      </c>
      <c r="CB102" s="204">
        <v>22</v>
      </c>
      <c r="CC102" s="204">
        <v>48</v>
      </c>
      <c r="CD102" s="204">
        <v>117</v>
      </c>
      <c r="CE102" s="204">
        <v>194</v>
      </c>
      <c r="CF102" s="204">
        <v>29</v>
      </c>
      <c r="CG102" s="204">
        <v>28</v>
      </c>
      <c r="CH102" s="204">
        <v>32</v>
      </c>
      <c r="CI102" s="231"/>
    </row>
    <row r="103" spans="1:101" ht="25.2" customHeight="1" outlineLevel="1">
      <c r="A103" s="204">
        <v>91</v>
      </c>
      <c r="B103" s="207">
        <v>4008</v>
      </c>
      <c r="C103" s="208" t="s">
        <v>280</v>
      </c>
      <c r="D103" s="194" t="s">
        <v>181</v>
      </c>
      <c r="E103" s="209">
        <f t="shared" si="12"/>
        <v>330.3</v>
      </c>
      <c r="F103" s="216">
        <v>14</v>
      </c>
      <c r="G103" s="217">
        <v>9.1999999999999993</v>
      </c>
      <c r="H103" s="218">
        <v>1.5</v>
      </c>
      <c r="I103" s="230">
        <f t="shared" si="13"/>
        <v>70</v>
      </c>
      <c r="J103" s="216">
        <v>9.6</v>
      </c>
      <c r="K103" s="216">
        <v>5.3</v>
      </c>
      <c r="L103" s="233"/>
      <c r="M103" s="233">
        <v>323</v>
      </c>
      <c r="N103" s="233">
        <v>292</v>
      </c>
      <c r="O103" s="233">
        <v>5.9</v>
      </c>
      <c r="P103" s="233"/>
      <c r="Q103" s="233"/>
      <c r="R103" s="233"/>
      <c r="S103" s="233"/>
      <c r="T103" s="231"/>
      <c r="U103" s="231"/>
      <c r="V103" s="231"/>
      <c r="W103" s="242"/>
      <c r="X103" s="232"/>
      <c r="Y103" s="231"/>
      <c r="Z103" s="231"/>
      <c r="AA103" s="241"/>
      <c r="AB103" s="241"/>
      <c r="AC103" s="240"/>
      <c r="AD103" s="240"/>
      <c r="AE103" s="233"/>
      <c r="AF103" s="233"/>
      <c r="AG103" s="240">
        <v>0</v>
      </c>
      <c r="AH103" s="240">
        <f t="shared" si="14"/>
        <v>0</v>
      </c>
      <c r="AI103" s="236">
        <f t="shared" si="15"/>
        <v>67.5</v>
      </c>
      <c r="AJ103" s="252"/>
      <c r="AK103" s="233"/>
      <c r="AL103" s="216"/>
      <c r="AM103" s="236">
        <v>810</v>
      </c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6"/>
      <c r="AX103" s="242"/>
      <c r="AY103" s="242"/>
      <c r="AZ103" s="242"/>
      <c r="BA103" s="242"/>
      <c r="BB103" s="242"/>
      <c r="BC103" s="242"/>
      <c r="BD103" s="242"/>
      <c r="BE103" s="231"/>
      <c r="BF103" s="242"/>
      <c r="BG103" s="242"/>
      <c r="BH103" s="242"/>
      <c r="BI103" s="242"/>
      <c r="BJ103" s="242"/>
      <c r="BK103" s="242"/>
      <c r="BL103" s="242"/>
      <c r="BM103" s="242"/>
      <c r="BN103" s="242"/>
      <c r="BO103" s="231">
        <v>0</v>
      </c>
      <c r="BP103" s="231"/>
      <c r="BQ103" s="231"/>
      <c r="BR103" s="231"/>
      <c r="BS103" s="231"/>
      <c r="BT103" s="231"/>
      <c r="BU103" s="231"/>
      <c r="BV103" s="231"/>
      <c r="BW103" s="231"/>
      <c r="BX103" s="231"/>
      <c r="BY103" s="231"/>
      <c r="BZ103" s="231"/>
      <c r="CA103" s="231"/>
      <c r="CB103" s="231"/>
      <c r="CC103" s="231"/>
      <c r="CD103" s="231"/>
      <c r="CE103" s="231"/>
      <c r="CF103" s="231"/>
      <c r="CG103" s="231"/>
      <c r="CH103" s="231"/>
      <c r="CI103" s="231"/>
      <c r="CM103" s="172"/>
    </row>
    <row r="104" spans="1:101" ht="25.2" customHeight="1" outlineLevel="1">
      <c r="A104" s="204">
        <v>92</v>
      </c>
      <c r="B104" s="207">
        <v>4009</v>
      </c>
      <c r="C104" s="208" t="s">
        <v>281</v>
      </c>
      <c r="D104" s="194" t="s">
        <v>181</v>
      </c>
      <c r="E104" s="209">
        <f t="shared" si="12"/>
        <v>28</v>
      </c>
      <c r="F104" s="216">
        <v>92.5</v>
      </c>
      <c r="G104" s="217">
        <v>1</v>
      </c>
      <c r="H104" s="218"/>
      <c r="I104" s="230">
        <f t="shared" si="13"/>
        <v>6</v>
      </c>
      <c r="J104" s="216">
        <v>1.5</v>
      </c>
      <c r="K104" s="216">
        <v>0.5</v>
      </c>
      <c r="L104" s="233"/>
      <c r="M104" s="216">
        <v>15</v>
      </c>
      <c r="N104" s="216">
        <v>34</v>
      </c>
      <c r="O104" s="216">
        <v>0.4</v>
      </c>
      <c r="P104" s="216">
        <v>15</v>
      </c>
      <c r="Q104" s="216">
        <v>0.04</v>
      </c>
      <c r="R104" s="216">
        <v>0.05</v>
      </c>
      <c r="S104" s="216">
        <v>0.6</v>
      </c>
      <c r="T104" s="231"/>
      <c r="U104" s="231"/>
      <c r="V104" s="231"/>
      <c r="W104" s="242"/>
      <c r="X104" s="232"/>
      <c r="Y104" s="231"/>
      <c r="Z104" s="231"/>
      <c r="AA104" s="241"/>
      <c r="AB104" s="241"/>
      <c r="AC104" s="240"/>
      <c r="AD104" s="240"/>
      <c r="AE104" s="233"/>
      <c r="AF104" s="233"/>
      <c r="AG104" s="240">
        <v>0</v>
      </c>
      <c r="AH104" s="240">
        <f t="shared" si="14"/>
        <v>0</v>
      </c>
      <c r="AI104" s="236">
        <f t="shared" si="15"/>
        <v>0.83333333333333304</v>
      </c>
      <c r="AJ104" s="252"/>
      <c r="AK104" s="233"/>
      <c r="AL104" s="216"/>
      <c r="AM104" s="236">
        <v>10</v>
      </c>
      <c r="AN104" s="231"/>
      <c r="AO104" s="231"/>
      <c r="AP104" s="231"/>
      <c r="AQ104" s="231"/>
      <c r="AR104" s="231"/>
      <c r="AS104" s="231"/>
      <c r="AT104" s="231"/>
      <c r="AU104" s="231"/>
      <c r="AV104" s="231">
        <v>21</v>
      </c>
      <c r="AW104" s="236"/>
      <c r="AX104" s="242"/>
      <c r="AY104" s="242"/>
      <c r="AZ104" s="242"/>
      <c r="BA104" s="242"/>
      <c r="BB104" s="242"/>
      <c r="BC104" s="242"/>
      <c r="BD104" s="242"/>
      <c r="BE104" s="231"/>
      <c r="BF104" s="242"/>
      <c r="BG104" s="242"/>
      <c r="BH104" s="242"/>
      <c r="BI104" s="242"/>
      <c r="BJ104" s="242"/>
      <c r="BK104" s="242"/>
      <c r="BL104" s="242"/>
      <c r="BM104" s="242"/>
      <c r="BN104" s="242"/>
      <c r="BO104" s="231">
        <v>0</v>
      </c>
      <c r="BP104" s="231"/>
      <c r="BQ104" s="231"/>
      <c r="BR104" s="231"/>
      <c r="BS104" s="231"/>
      <c r="BT104" s="231"/>
      <c r="BU104" s="231"/>
      <c r="BV104" s="231"/>
      <c r="BW104" s="231"/>
      <c r="BX104" s="231"/>
      <c r="BY104" s="231"/>
      <c r="BZ104" s="231"/>
      <c r="CA104" s="231"/>
      <c r="CB104" s="231"/>
      <c r="CC104" s="231"/>
      <c r="CD104" s="231"/>
      <c r="CE104" s="231"/>
      <c r="CF104" s="231"/>
      <c r="CG104" s="231"/>
      <c r="CH104" s="231"/>
      <c r="CI104" s="231"/>
    </row>
    <row r="105" spans="1:101" ht="25.2" customHeight="1" outlineLevel="1">
      <c r="A105" s="204">
        <v>93</v>
      </c>
      <c r="B105" s="207">
        <v>4010</v>
      </c>
      <c r="C105" s="208" t="s">
        <v>282</v>
      </c>
      <c r="D105" s="194" t="s">
        <v>181</v>
      </c>
      <c r="E105" s="209">
        <f t="shared" si="12"/>
        <v>35.200000000000003</v>
      </c>
      <c r="F105" s="216">
        <v>90</v>
      </c>
      <c r="G105" s="217">
        <v>1.8</v>
      </c>
      <c r="H105" s="218"/>
      <c r="I105" s="230">
        <f t="shared" si="13"/>
        <v>7</v>
      </c>
      <c r="J105" s="216">
        <v>1.6</v>
      </c>
      <c r="K105" s="216">
        <v>1.2</v>
      </c>
      <c r="L105" s="233">
        <v>3.58</v>
      </c>
      <c r="M105" s="216">
        <v>48</v>
      </c>
      <c r="N105" s="216">
        <v>31</v>
      </c>
      <c r="O105" s="216">
        <v>1.1000000000000001</v>
      </c>
      <c r="P105" s="216">
        <v>41</v>
      </c>
      <c r="Q105" s="216">
        <v>0.06</v>
      </c>
      <c r="R105" s="216">
        <v>0.05</v>
      </c>
      <c r="S105" s="216">
        <v>0.4</v>
      </c>
      <c r="T105" s="240">
        <v>28.3</v>
      </c>
      <c r="U105" s="240">
        <v>189.5</v>
      </c>
      <c r="V105" s="240">
        <v>13.12</v>
      </c>
      <c r="W105" s="241">
        <v>0.45</v>
      </c>
      <c r="X105" s="233">
        <v>0.81</v>
      </c>
      <c r="Y105" s="240">
        <v>180</v>
      </c>
      <c r="Z105" s="216">
        <v>2.2000000000000002</v>
      </c>
      <c r="AA105" s="241">
        <v>0.14000000000000001</v>
      </c>
      <c r="AB105" s="241">
        <v>9.6000000000000002E-2</v>
      </c>
      <c r="AC105" s="240">
        <v>43</v>
      </c>
      <c r="AD105" s="240">
        <v>0</v>
      </c>
      <c r="AE105" s="233">
        <v>1.2</v>
      </c>
      <c r="AF105" s="233">
        <v>0</v>
      </c>
      <c r="AG105" s="240">
        <v>0</v>
      </c>
      <c r="AH105" s="240">
        <f t="shared" si="14"/>
        <v>0</v>
      </c>
      <c r="AI105" s="236">
        <f t="shared" si="15"/>
        <v>5.4166666666666696</v>
      </c>
      <c r="AJ105" s="252"/>
      <c r="AK105" s="233">
        <v>0.15</v>
      </c>
      <c r="AL105" s="216">
        <v>60</v>
      </c>
      <c r="AM105" s="236">
        <v>65</v>
      </c>
      <c r="AN105" s="231">
        <v>0</v>
      </c>
      <c r="AO105" s="231">
        <v>0</v>
      </c>
      <c r="AP105" s="231">
        <v>0</v>
      </c>
      <c r="AQ105" s="231">
        <v>310</v>
      </c>
      <c r="AR105" s="231"/>
      <c r="AS105" s="231"/>
      <c r="AT105" s="231"/>
      <c r="AU105" s="231"/>
      <c r="AV105" s="231">
        <v>22</v>
      </c>
      <c r="AW105" s="236">
        <v>1.6E-2</v>
      </c>
      <c r="AX105" s="242">
        <v>1.4E-2</v>
      </c>
      <c r="AY105" s="242">
        <v>0</v>
      </c>
      <c r="AZ105" s="242">
        <v>0</v>
      </c>
      <c r="BA105" s="242">
        <v>0</v>
      </c>
      <c r="BB105" s="242">
        <v>0</v>
      </c>
      <c r="BC105" s="242">
        <v>0</v>
      </c>
      <c r="BD105" s="242">
        <v>8.9999999999999993E-3</v>
      </c>
      <c r="BE105" s="231">
        <v>0</v>
      </c>
      <c r="BF105" s="242">
        <v>0</v>
      </c>
      <c r="BG105" s="242">
        <v>8.9999999999999993E-3</v>
      </c>
      <c r="BH105" s="242">
        <v>0.06</v>
      </c>
      <c r="BI105" s="242">
        <v>2.5999999999999999E-2</v>
      </c>
      <c r="BJ105" s="242">
        <v>3.4000000000000002E-2</v>
      </c>
      <c r="BK105" s="242">
        <v>0</v>
      </c>
      <c r="BL105" s="242">
        <v>0</v>
      </c>
      <c r="BM105" s="242">
        <v>0</v>
      </c>
      <c r="BN105" s="242"/>
      <c r="BO105" s="231">
        <v>0</v>
      </c>
      <c r="BP105" s="231">
        <v>11</v>
      </c>
      <c r="BQ105" s="204">
        <v>53</v>
      </c>
      <c r="BR105" s="204">
        <v>18</v>
      </c>
      <c r="BS105" s="204">
        <v>18</v>
      </c>
      <c r="BT105" s="204">
        <v>51</v>
      </c>
      <c r="BU105" s="204">
        <v>64</v>
      </c>
      <c r="BV105" s="204">
        <v>72</v>
      </c>
      <c r="BW105" s="204">
        <v>90</v>
      </c>
      <c r="BX105" s="204">
        <v>52</v>
      </c>
      <c r="BY105" s="204">
        <v>141</v>
      </c>
      <c r="BZ105" s="204">
        <v>43</v>
      </c>
      <c r="CA105" s="204">
        <v>19</v>
      </c>
      <c r="CB105" s="204">
        <v>31</v>
      </c>
      <c r="CC105" s="204">
        <v>86</v>
      </c>
      <c r="CD105" s="204">
        <v>111</v>
      </c>
      <c r="CE105" s="204">
        <v>148</v>
      </c>
      <c r="CF105" s="204">
        <v>81</v>
      </c>
      <c r="CG105" s="204">
        <v>62</v>
      </c>
      <c r="CH105" s="204">
        <v>70</v>
      </c>
      <c r="CI105" s="231"/>
    </row>
    <row r="106" spans="1:101" ht="25.2" customHeight="1" outlineLevel="1">
      <c r="A106" s="204">
        <v>94</v>
      </c>
      <c r="B106" s="207">
        <v>4011</v>
      </c>
      <c r="C106" s="208" t="s">
        <v>283</v>
      </c>
      <c r="D106" s="194" t="s">
        <v>181</v>
      </c>
      <c r="E106" s="209">
        <f t="shared" si="12"/>
        <v>61.399999999999899</v>
      </c>
      <c r="F106" s="216">
        <v>84</v>
      </c>
      <c r="G106" s="217">
        <v>1.9</v>
      </c>
      <c r="H106" s="218">
        <v>0.2</v>
      </c>
      <c r="I106" s="230">
        <f t="shared" si="13"/>
        <v>13</v>
      </c>
      <c r="J106" s="216">
        <v>4</v>
      </c>
      <c r="K106" s="216">
        <v>0.9</v>
      </c>
      <c r="L106" s="233">
        <v>3.91</v>
      </c>
      <c r="M106" s="216">
        <v>83</v>
      </c>
      <c r="N106" s="216">
        <v>42</v>
      </c>
      <c r="O106" s="216">
        <v>0.5</v>
      </c>
      <c r="P106" s="216">
        <v>60</v>
      </c>
      <c r="Q106" s="216">
        <v>7.0000000000000007E-2</v>
      </c>
      <c r="R106" s="216">
        <v>0.05</v>
      </c>
      <c r="S106" s="216">
        <v>0.8</v>
      </c>
      <c r="T106" s="231">
        <v>27</v>
      </c>
      <c r="U106" s="231">
        <v>243</v>
      </c>
      <c r="V106" s="231">
        <v>16</v>
      </c>
      <c r="W106" s="242">
        <v>0.24299999999999999</v>
      </c>
      <c r="X106" s="232">
        <v>0.22</v>
      </c>
      <c r="Y106" s="231">
        <v>17</v>
      </c>
      <c r="Z106" s="231">
        <v>0.6</v>
      </c>
      <c r="AA106" s="241">
        <v>0.14699999999999999</v>
      </c>
      <c r="AB106" s="241">
        <v>0.20899999999999999</v>
      </c>
      <c r="AC106" s="240">
        <v>18</v>
      </c>
      <c r="AD106" s="240">
        <v>0</v>
      </c>
      <c r="AE106" s="233">
        <v>0.1</v>
      </c>
      <c r="AF106" s="233">
        <v>0</v>
      </c>
      <c r="AG106" s="240">
        <v>0</v>
      </c>
      <c r="AH106" s="240">
        <f t="shared" si="14"/>
        <v>0</v>
      </c>
      <c r="AI106" s="236">
        <f t="shared" si="15"/>
        <v>55.8333333333333</v>
      </c>
      <c r="AJ106" s="252"/>
      <c r="AK106" s="233">
        <v>0.11</v>
      </c>
      <c r="AL106" s="216">
        <v>38.200000000000003</v>
      </c>
      <c r="AM106" s="236">
        <v>670</v>
      </c>
      <c r="AN106" s="231">
        <v>0</v>
      </c>
      <c r="AO106" s="231">
        <v>0</v>
      </c>
      <c r="AP106" s="231">
        <v>20</v>
      </c>
      <c r="AQ106" s="231">
        <v>329</v>
      </c>
      <c r="AR106" s="231"/>
      <c r="AS106" s="231"/>
      <c r="AT106" s="231"/>
      <c r="AU106" s="231"/>
      <c r="AV106" s="231">
        <v>32</v>
      </c>
      <c r="AW106" s="236">
        <v>3.4000000000000002E-2</v>
      </c>
      <c r="AX106" s="242">
        <v>2.8000000000000001E-2</v>
      </c>
      <c r="AY106" s="242">
        <v>0</v>
      </c>
      <c r="AZ106" s="231">
        <v>1E-3</v>
      </c>
      <c r="BA106" s="242">
        <v>0</v>
      </c>
      <c r="BB106" s="242">
        <v>0</v>
      </c>
      <c r="BC106" s="242">
        <v>0</v>
      </c>
      <c r="BD106" s="242">
        <v>1.9E-2</v>
      </c>
      <c r="BE106" s="231">
        <v>0</v>
      </c>
      <c r="BF106" s="242">
        <v>0</v>
      </c>
      <c r="BG106" s="242">
        <v>1.7999999999999999E-2</v>
      </c>
      <c r="BH106" s="242">
        <v>0.125</v>
      </c>
      <c r="BI106" s="242">
        <v>5.0999999999999997E-2</v>
      </c>
      <c r="BJ106" s="242">
        <v>6.7000000000000004E-2</v>
      </c>
      <c r="BK106" s="242">
        <v>0</v>
      </c>
      <c r="BL106" s="242">
        <v>0</v>
      </c>
      <c r="BM106" s="242">
        <v>0</v>
      </c>
      <c r="BN106" s="242"/>
      <c r="BO106" s="231">
        <v>0</v>
      </c>
      <c r="BP106" s="231"/>
      <c r="BQ106" s="204">
        <v>59</v>
      </c>
      <c r="BR106" s="204">
        <v>20</v>
      </c>
      <c r="BS106" s="204">
        <v>20</v>
      </c>
      <c r="BT106" s="204">
        <v>57</v>
      </c>
      <c r="BU106" s="204">
        <v>71</v>
      </c>
      <c r="BV106" s="204">
        <v>80</v>
      </c>
      <c r="BW106" s="204">
        <v>101</v>
      </c>
      <c r="BX106" s="204">
        <v>59</v>
      </c>
      <c r="BY106" s="204">
        <v>158</v>
      </c>
      <c r="BZ106" s="204">
        <v>48</v>
      </c>
      <c r="CA106" s="204">
        <v>21</v>
      </c>
      <c r="CB106" s="204">
        <v>35</v>
      </c>
      <c r="CC106" s="204">
        <v>96</v>
      </c>
      <c r="CD106" s="204">
        <v>124</v>
      </c>
      <c r="CE106" s="204">
        <v>165</v>
      </c>
      <c r="CF106" s="204">
        <v>90</v>
      </c>
      <c r="CG106" s="204">
        <v>69</v>
      </c>
      <c r="CH106" s="204">
        <v>78</v>
      </c>
      <c r="CI106" s="231"/>
    </row>
    <row r="107" spans="1:101" ht="25.2" customHeight="1" outlineLevel="1">
      <c r="A107" s="204">
        <v>95</v>
      </c>
      <c r="B107" s="207">
        <v>4012</v>
      </c>
      <c r="C107" s="208" t="s">
        <v>284</v>
      </c>
      <c r="D107" s="194" t="s">
        <v>181</v>
      </c>
      <c r="E107" s="209">
        <f t="shared" si="12"/>
        <v>301.2</v>
      </c>
      <c r="F107" s="216">
        <v>16</v>
      </c>
      <c r="G107" s="217">
        <v>18</v>
      </c>
      <c r="H107" s="218">
        <v>1.6</v>
      </c>
      <c r="I107" s="230">
        <f t="shared" si="13"/>
        <v>53.7</v>
      </c>
      <c r="J107" s="216">
        <v>14</v>
      </c>
      <c r="K107" s="216">
        <v>10.7</v>
      </c>
      <c r="L107" s="210"/>
      <c r="M107" s="216">
        <v>300</v>
      </c>
      <c r="N107" s="216">
        <v>106</v>
      </c>
      <c r="O107" s="216">
        <v>7.5</v>
      </c>
      <c r="P107" s="216">
        <v>2</v>
      </c>
      <c r="Q107" s="216">
        <v>0.15</v>
      </c>
      <c r="R107" s="216">
        <v>0.52</v>
      </c>
      <c r="S107" s="216">
        <v>0.5</v>
      </c>
      <c r="T107" s="231"/>
      <c r="U107" s="231"/>
      <c r="V107" s="231"/>
      <c r="W107" s="242"/>
      <c r="X107" s="232"/>
      <c r="Y107" s="231"/>
      <c r="Z107" s="231"/>
      <c r="AA107" s="241"/>
      <c r="AB107" s="241"/>
      <c r="AC107" s="240"/>
      <c r="AD107" s="240"/>
      <c r="AE107" s="233"/>
      <c r="AF107" s="233"/>
      <c r="AG107" s="240">
        <v>0</v>
      </c>
      <c r="AH107" s="240">
        <f t="shared" si="14"/>
        <v>0</v>
      </c>
      <c r="AI107" s="236">
        <f t="shared" si="15"/>
        <v>0</v>
      </c>
      <c r="AJ107" s="252"/>
      <c r="AK107" s="233"/>
      <c r="AL107" s="216"/>
      <c r="AM107" s="236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6"/>
      <c r="AX107" s="242"/>
      <c r="AY107" s="242"/>
      <c r="AZ107" s="242"/>
      <c r="BA107" s="242"/>
      <c r="BB107" s="242"/>
      <c r="BC107" s="242"/>
      <c r="BD107" s="242"/>
      <c r="BE107" s="231"/>
      <c r="BF107" s="242"/>
      <c r="BG107" s="242"/>
      <c r="BH107" s="242"/>
      <c r="BI107" s="242"/>
      <c r="BJ107" s="242"/>
      <c r="BK107" s="242"/>
      <c r="BL107" s="242"/>
      <c r="BM107" s="242"/>
      <c r="BN107" s="242"/>
      <c r="BO107" s="231">
        <v>0</v>
      </c>
      <c r="BP107" s="231"/>
      <c r="BQ107" s="231"/>
      <c r="BR107" s="231"/>
      <c r="BS107" s="231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</row>
    <row r="108" spans="1:101" ht="25.2" customHeight="1" outlineLevel="1">
      <c r="A108" s="204">
        <v>96</v>
      </c>
      <c r="B108" s="207">
        <v>4013</v>
      </c>
      <c r="C108" s="208" t="s">
        <v>285</v>
      </c>
      <c r="D108" s="194" t="s">
        <v>181</v>
      </c>
      <c r="E108" s="209">
        <f t="shared" si="12"/>
        <v>22</v>
      </c>
      <c r="F108" s="216">
        <v>93.8</v>
      </c>
      <c r="G108" s="217">
        <v>1.6</v>
      </c>
      <c r="H108" s="218"/>
      <c r="I108" s="230">
        <f t="shared" si="13"/>
        <v>3.9000000000000101</v>
      </c>
      <c r="J108" s="216">
        <v>2</v>
      </c>
      <c r="K108" s="216">
        <v>0.7</v>
      </c>
      <c r="L108" s="233"/>
      <c r="M108" s="216">
        <v>63</v>
      </c>
      <c r="N108" s="216">
        <v>38</v>
      </c>
      <c r="O108" s="216">
        <v>0.8</v>
      </c>
      <c r="P108" s="216">
        <v>8</v>
      </c>
      <c r="Q108" s="216">
        <v>0.01</v>
      </c>
      <c r="R108" s="216">
        <v>0.03</v>
      </c>
      <c r="S108" s="216">
        <v>0.2</v>
      </c>
      <c r="T108" s="240">
        <v>32.5</v>
      </c>
      <c r="U108" s="240">
        <v>218.7</v>
      </c>
      <c r="V108" s="240">
        <v>32</v>
      </c>
      <c r="W108" s="241">
        <v>0.7</v>
      </c>
      <c r="X108" s="233">
        <v>0.67</v>
      </c>
      <c r="Y108" s="240">
        <v>180</v>
      </c>
      <c r="Z108" s="216">
        <v>0.3</v>
      </c>
      <c r="AA108" s="241">
        <v>0.221</v>
      </c>
      <c r="AB108" s="241">
        <v>0.17599999999999999</v>
      </c>
      <c r="AC108" s="240">
        <v>177</v>
      </c>
      <c r="AD108" s="240">
        <v>0</v>
      </c>
      <c r="AE108" s="233"/>
      <c r="AF108" s="233">
        <v>0</v>
      </c>
      <c r="AG108" s="240">
        <v>0</v>
      </c>
      <c r="AH108" s="240">
        <f t="shared" si="14"/>
        <v>0</v>
      </c>
      <c r="AI108" s="236">
        <f t="shared" si="15"/>
        <v>12.25</v>
      </c>
      <c r="AJ108" s="252"/>
      <c r="AK108" s="233"/>
      <c r="AL108" s="216"/>
      <c r="AM108" s="236">
        <v>147</v>
      </c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236"/>
      <c r="AX108" s="242"/>
      <c r="AY108" s="242"/>
      <c r="AZ108" s="242"/>
      <c r="BA108" s="242"/>
      <c r="BB108" s="242"/>
      <c r="BC108" s="242"/>
      <c r="BD108" s="242"/>
      <c r="BE108" s="231"/>
      <c r="BF108" s="242"/>
      <c r="BG108" s="242"/>
      <c r="BH108" s="242"/>
      <c r="BI108" s="242"/>
      <c r="BJ108" s="242"/>
      <c r="BK108" s="242"/>
      <c r="BL108" s="242"/>
      <c r="BM108" s="242"/>
      <c r="BN108" s="242"/>
      <c r="BO108" s="231">
        <v>0</v>
      </c>
      <c r="BP108" s="231"/>
      <c r="BQ108" s="231"/>
      <c r="BR108" s="231"/>
      <c r="BS108" s="231"/>
      <c r="BT108" s="231"/>
      <c r="BU108" s="231"/>
      <c r="BV108" s="231"/>
      <c r="BW108" s="231"/>
      <c r="BX108" s="231"/>
      <c r="BY108" s="231"/>
      <c r="BZ108" s="231"/>
      <c r="CA108" s="231"/>
      <c r="CB108" s="231"/>
      <c r="CC108" s="231"/>
      <c r="CD108" s="231"/>
      <c r="CE108" s="231"/>
      <c r="CF108" s="231"/>
      <c r="CG108" s="231"/>
      <c r="CH108" s="231"/>
      <c r="CI108" s="231"/>
    </row>
    <row r="109" spans="1:101" ht="25.2" customHeight="1" outlineLevel="1">
      <c r="A109" s="204">
        <v>97</v>
      </c>
      <c r="B109" s="207">
        <v>4014</v>
      </c>
      <c r="C109" s="208" t="s">
        <v>286</v>
      </c>
      <c r="D109" s="194" t="s">
        <v>181</v>
      </c>
      <c r="E109" s="209">
        <f t="shared" si="12"/>
        <v>22</v>
      </c>
      <c r="F109" s="216">
        <v>93.7</v>
      </c>
      <c r="G109" s="217">
        <v>2.1</v>
      </c>
      <c r="H109" s="218"/>
      <c r="I109" s="230">
        <f t="shared" si="13"/>
        <v>3.4000000000000101</v>
      </c>
      <c r="J109" s="216">
        <v>2</v>
      </c>
      <c r="K109" s="216">
        <v>0.8</v>
      </c>
      <c r="L109" s="233">
        <v>0.2</v>
      </c>
      <c r="M109" s="216">
        <v>69</v>
      </c>
      <c r="N109" s="216">
        <v>28</v>
      </c>
      <c r="O109" s="216">
        <v>1.6</v>
      </c>
      <c r="P109" s="216">
        <v>25</v>
      </c>
      <c r="Q109" s="216">
        <v>0.08</v>
      </c>
      <c r="R109" s="216">
        <v>0.26</v>
      </c>
      <c r="S109" s="216">
        <v>1</v>
      </c>
      <c r="T109" s="240">
        <v>85.2</v>
      </c>
      <c r="U109" s="240">
        <v>210.5</v>
      </c>
      <c r="V109" s="240">
        <v>21</v>
      </c>
      <c r="W109" s="241">
        <v>0.38</v>
      </c>
      <c r="X109" s="233">
        <v>0.8</v>
      </c>
      <c r="Y109" s="240">
        <v>200</v>
      </c>
      <c r="Z109" s="216">
        <v>0.9</v>
      </c>
      <c r="AA109" s="241">
        <v>0.31</v>
      </c>
      <c r="AB109" s="241">
        <v>0.129</v>
      </c>
      <c r="AC109" s="240">
        <v>9</v>
      </c>
      <c r="AD109" s="240">
        <v>0</v>
      </c>
      <c r="AE109" s="233"/>
      <c r="AF109" s="233">
        <v>0</v>
      </c>
      <c r="AG109" s="240">
        <v>0</v>
      </c>
      <c r="AH109" s="240">
        <f t="shared" si="14"/>
        <v>0</v>
      </c>
      <c r="AI109" s="236">
        <f t="shared" si="15"/>
        <v>235</v>
      </c>
      <c r="AJ109" s="252"/>
      <c r="AK109" s="233">
        <v>1</v>
      </c>
      <c r="AL109" s="216">
        <v>250</v>
      </c>
      <c r="AM109" s="236">
        <v>2820</v>
      </c>
      <c r="AN109" s="231">
        <v>0</v>
      </c>
      <c r="AO109" s="231">
        <v>0</v>
      </c>
      <c r="AP109" s="231">
        <v>0</v>
      </c>
      <c r="AQ109" s="231">
        <v>5767</v>
      </c>
      <c r="AR109" s="231"/>
      <c r="AS109" s="231"/>
      <c r="AT109" s="231"/>
      <c r="AU109" s="231"/>
      <c r="AV109" s="231">
        <v>28</v>
      </c>
      <c r="AW109" s="236">
        <v>2.7E-2</v>
      </c>
      <c r="AX109" s="242">
        <v>2.4E-2</v>
      </c>
      <c r="AY109" s="242">
        <v>0</v>
      </c>
      <c r="AZ109" s="242">
        <v>3.0000000000000001E-3</v>
      </c>
      <c r="BA109" s="242">
        <v>0</v>
      </c>
      <c r="BB109" s="242">
        <v>0</v>
      </c>
      <c r="BC109" s="242">
        <v>0</v>
      </c>
      <c r="BD109" s="242">
        <v>8.0000000000000002E-3</v>
      </c>
      <c r="BE109" s="231">
        <v>0</v>
      </c>
      <c r="BF109" s="242">
        <v>2E-3</v>
      </c>
      <c r="BG109" s="242">
        <v>6.0000000000000001E-3</v>
      </c>
      <c r="BH109" s="242">
        <v>3.5000000000000003E-2</v>
      </c>
      <c r="BI109" s="242">
        <v>1.2E-2</v>
      </c>
      <c r="BJ109" s="242">
        <v>2.3E-2</v>
      </c>
      <c r="BK109" s="242">
        <v>0</v>
      </c>
      <c r="BL109" s="242">
        <v>0</v>
      </c>
      <c r="BM109" s="242">
        <v>0</v>
      </c>
      <c r="BN109" s="242"/>
      <c r="BO109" s="231">
        <v>0</v>
      </c>
      <c r="BP109" s="231"/>
      <c r="BQ109" s="231">
        <v>134</v>
      </c>
      <c r="BR109" s="231">
        <v>20</v>
      </c>
      <c r="BS109" s="231">
        <v>30</v>
      </c>
      <c r="BT109" s="231">
        <v>114</v>
      </c>
      <c r="BU109" s="231">
        <v>133</v>
      </c>
      <c r="BV109" s="231">
        <v>137</v>
      </c>
      <c r="BW109" s="231">
        <v>166</v>
      </c>
      <c r="BX109" s="231">
        <v>93</v>
      </c>
      <c r="BY109" s="231">
        <v>150</v>
      </c>
      <c r="BZ109" s="231">
        <v>40</v>
      </c>
      <c r="CA109" s="231">
        <v>7</v>
      </c>
      <c r="CB109" s="231">
        <v>63</v>
      </c>
      <c r="CC109" s="231">
        <v>137</v>
      </c>
      <c r="CD109" s="231">
        <v>187</v>
      </c>
      <c r="CE109" s="231">
        <v>190</v>
      </c>
      <c r="CF109" s="231">
        <v>112</v>
      </c>
      <c r="CG109" s="231">
        <v>96</v>
      </c>
      <c r="CH109" s="231">
        <v>60</v>
      </c>
      <c r="CI109" s="231"/>
    </row>
    <row r="110" spans="1:101" ht="25.2" customHeight="1" outlineLevel="1">
      <c r="A110" s="204">
        <v>98</v>
      </c>
      <c r="B110" s="207">
        <v>4015</v>
      </c>
      <c r="C110" s="208" t="s">
        <v>287</v>
      </c>
      <c r="D110" s="194" t="s">
        <v>181</v>
      </c>
      <c r="E110" s="209">
        <f t="shared" si="12"/>
        <v>23.2</v>
      </c>
      <c r="F110" s="216">
        <v>93.2</v>
      </c>
      <c r="G110" s="217">
        <v>1.4</v>
      </c>
      <c r="H110" s="218"/>
      <c r="I110" s="230">
        <f t="shared" si="13"/>
        <v>4.3999999999999897</v>
      </c>
      <c r="J110" s="216">
        <v>1.8</v>
      </c>
      <c r="K110" s="216">
        <v>1</v>
      </c>
      <c r="L110" s="233">
        <v>1.18</v>
      </c>
      <c r="M110" s="216">
        <v>50</v>
      </c>
      <c r="N110" s="216">
        <v>30</v>
      </c>
      <c r="O110" s="216">
        <v>0.7</v>
      </c>
      <c r="P110" s="216">
        <v>26</v>
      </c>
      <c r="Q110" s="216">
        <v>0.09</v>
      </c>
      <c r="R110" s="216">
        <v>7.0000000000000007E-2</v>
      </c>
      <c r="S110" s="216">
        <v>0.4</v>
      </c>
      <c r="T110" s="240">
        <v>25</v>
      </c>
      <c r="U110" s="240">
        <v>200</v>
      </c>
      <c r="V110" s="240">
        <v>25.35</v>
      </c>
      <c r="W110" s="241">
        <v>0.5</v>
      </c>
      <c r="X110" s="233">
        <v>0.75</v>
      </c>
      <c r="Y110" s="240">
        <v>90</v>
      </c>
      <c r="Z110" s="216">
        <v>0.5</v>
      </c>
      <c r="AA110" s="241">
        <v>8.7999999999999995E-2</v>
      </c>
      <c r="AB110" s="241">
        <v>0.19400000000000001</v>
      </c>
      <c r="AC110" s="240">
        <v>66</v>
      </c>
      <c r="AD110" s="240">
        <v>0</v>
      </c>
      <c r="AE110" s="233"/>
      <c r="AF110" s="233">
        <v>0</v>
      </c>
      <c r="AG110" s="240">
        <v>0</v>
      </c>
      <c r="AH110" s="240">
        <f t="shared" si="14"/>
        <v>0</v>
      </c>
      <c r="AI110" s="236">
        <f t="shared" si="15"/>
        <v>223.458333333333</v>
      </c>
      <c r="AJ110" s="252"/>
      <c r="AK110" s="233">
        <v>0.09</v>
      </c>
      <c r="AL110" s="216">
        <v>35.799999999999997</v>
      </c>
      <c r="AM110" s="236">
        <v>2681</v>
      </c>
      <c r="AN110" s="231">
        <v>1</v>
      </c>
      <c r="AO110" s="231">
        <v>0</v>
      </c>
      <c r="AP110" s="231">
        <v>0</v>
      </c>
      <c r="AQ110" s="231">
        <v>40</v>
      </c>
      <c r="AR110" s="231"/>
      <c r="AS110" s="231"/>
      <c r="AT110" s="231"/>
      <c r="AU110" s="231"/>
      <c r="AV110" s="231"/>
      <c r="AW110" s="236">
        <v>2.5999999999999999E-2</v>
      </c>
      <c r="AX110" s="242">
        <v>2.1999999999999999E-2</v>
      </c>
      <c r="AY110" s="242">
        <v>0</v>
      </c>
      <c r="AZ110" s="242">
        <v>1E-3</v>
      </c>
      <c r="BA110" s="242">
        <v>0</v>
      </c>
      <c r="BB110" s="242">
        <v>0</v>
      </c>
      <c r="BC110" s="242">
        <v>0</v>
      </c>
      <c r="BD110" s="242">
        <v>1.4999999999999999E-2</v>
      </c>
      <c r="BE110" s="231">
        <v>0</v>
      </c>
      <c r="BF110" s="242">
        <v>0</v>
      </c>
      <c r="BG110" s="242">
        <v>1.4E-2</v>
      </c>
      <c r="BH110" s="242">
        <v>9.6000000000000002E-2</v>
      </c>
      <c r="BI110" s="242">
        <v>3.9E-2</v>
      </c>
      <c r="BJ110" s="242">
        <v>5.0999999999999997E-2</v>
      </c>
      <c r="BK110" s="242">
        <v>0</v>
      </c>
      <c r="BL110" s="242">
        <v>0</v>
      </c>
      <c r="BM110" s="242">
        <v>0</v>
      </c>
      <c r="BN110" s="242"/>
      <c r="BO110" s="231">
        <v>0</v>
      </c>
      <c r="BP110" s="231"/>
      <c r="BQ110" s="193">
        <v>89</v>
      </c>
      <c r="BR110" s="204">
        <v>9</v>
      </c>
      <c r="BS110" s="204">
        <v>15</v>
      </c>
      <c r="BT110" s="204">
        <v>44</v>
      </c>
      <c r="BU110" s="204">
        <v>49</v>
      </c>
      <c r="BV110" s="204">
        <v>66</v>
      </c>
      <c r="BW110" s="204">
        <v>88</v>
      </c>
      <c r="BX110" s="204">
        <v>85</v>
      </c>
      <c r="BY110" s="204">
        <v>84</v>
      </c>
      <c r="BZ110" s="204">
        <v>26</v>
      </c>
      <c r="CA110" s="204">
        <v>17</v>
      </c>
      <c r="CB110" s="204">
        <v>29</v>
      </c>
      <c r="CC110" s="204">
        <v>86</v>
      </c>
      <c r="CD110" s="204">
        <v>108</v>
      </c>
      <c r="CE110" s="204">
        <v>360</v>
      </c>
      <c r="CF110" s="204">
        <v>43</v>
      </c>
      <c r="CG110" s="204">
        <v>31</v>
      </c>
      <c r="CH110" s="204">
        <v>48</v>
      </c>
      <c r="CI110" s="231"/>
      <c r="CV110" s="172"/>
      <c r="CW110" s="172"/>
    </row>
    <row r="111" spans="1:101" ht="25.2" customHeight="1" outlineLevel="1">
      <c r="A111" s="204">
        <v>99</v>
      </c>
      <c r="B111" s="207">
        <v>4016</v>
      </c>
      <c r="C111" s="208" t="s">
        <v>288</v>
      </c>
      <c r="D111" s="194" t="s">
        <v>181</v>
      </c>
      <c r="E111" s="209">
        <f t="shared" si="12"/>
        <v>22.4</v>
      </c>
      <c r="F111" s="216">
        <v>93.8</v>
      </c>
      <c r="G111" s="217">
        <v>1.7</v>
      </c>
      <c r="H111" s="218"/>
      <c r="I111" s="230">
        <f t="shared" si="13"/>
        <v>3.9000000000000101</v>
      </c>
      <c r="J111" s="216">
        <v>1.8</v>
      </c>
      <c r="K111" s="216">
        <v>0.6</v>
      </c>
      <c r="L111" s="233">
        <v>1.6</v>
      </c>
      <c r="M111" s="216">
        <v>89</v>
      </c>
      <c r="N111" s="216">
        <v>13.5</v>
      </c>
      <c r="O111" s="216">
        <v>1.9</v>
      </c>
      <c r="P111" s="216">
        <v>51</v>
      </c>
      <c r="Q111" s="216">
        <v>7.0000000000000007E-2</v>
      </c>
      <c r="R111" s="216">
        <v>0.1</v>
      </c>
      <c r="S111" s="216">
        <v>0.8</v>
      </c>
      <c r="T111" s="240">
        <v>28.6</v>
      </c>
      <c r="U111" s="240">
        <v>220.8</v>
      </c>
      <c r="V111" s="240">
        <v>22.84</v>
      </c>
      <c r="W111" s="241">
        <v>0.32</v>
      </c>
      <c r="X111" s="233">
        <v>0.9</v>
      </c>
      <c r="Y111" s="240">
        <v>120</v>
      </c>
      <c r="Z111" s="216">
        <v>0.9</v>
      </c>
      <c r="AA111" s="241">
        <v>0.21</v>
      </c>
      <c r="AB111" s="241">
        <v>0.18</v>
      </c>
      <c r="AC111" s="240">
        <v>187</v>
      </c>
      <c r="AD111" s="240">
        <v>0</v>
      </c>
      <c r="AE111" s="233"/>
      <c r="AF111" s="233">
        <v>0</v>
      </c>
      <c r="AG111" s="240">
        <v>0</v>
      </c>
      <c r="AH111" s="240">
        <f t="shared" si="14"/>
        <v>0</v>
      </c>
      <c r="AI111" s="236">
        <f t="shared" si="15"/>
        <v>525</v>
      </c>
      <c r="AJ111" s="252"/>
      <c r="AK111" s="233">
        <v>2.0099999999999998</v>
      </c>
      <c r="AL111" s="216">
        <v>497.3</v>
      </c>
      <c r="AM111" s="236">
        <v>6300</v>
      </c>
      <c r="AN111" s="231">
        <v>0</v>
      </c>
      <c r="AO111" s="231">
        <v>0</v>
      </c>
      <c r="AP111" s="231">
        <v>0</v>
      </c>
      <c r="AQ111" s="231">
        <v>9900</v>
      </c>
      <c r="AR111" s="231"/>
      <c r="AS111" s="231"/>
      <c r="AT111" s="231"/>
      <c r="AU111" s="231"/>
      <c r="AV111" s="231"/>
      <c r="AW111" s="236">
        <v>0.01</v>
      </c>
      <c r="AX111" s="242">
        <v>5.0000000000000001E-3</v>
      </c>
      <c r="AY111" s="242">
        <v>0</v>
      </c>
      <c r="AZ111" s="242">
        <v>2E-3</v>
      </c>
      <c r="BA111" s="242">
        <v>0</v>
      </c>
      <c r="BB111" s="242">
        <v>0</v>
      </c>
      <c r="BC111" s="242">
        <v>0</v>
      </c>
      <c r="BD111" s="242">
        <v>9.1999999999999998E-2</v>
      </c>
      <c r="BE111" s="231">
        <v>0</v>
      </c>
      <c r="BF111" s="242">
        <v>0</v>
      </c>
      <c r="BG111" s="242">
        <v>1.9E-2</v>
      </c>
      <c r="BH111" s="242">
        <v>3.7999999999999999E-2</v>
      </c>
      <c r="BI111" s="242">
        <v>0.02</v>
      </c>
      <c r="BJ111" s="242">
        <v>1.7999999999999999E-2</v>
      </c>
      <c r="BK111" s="242">
        <v>0</v>
      </c>
      <c r="BL111" s="242">
        <v>0</v>
      </c>
      <c r="BM111" s="242">
        <v>0</v>
      </c>
      <c r="BN111" s="242"/>
      <c r="BO111" s="231">
        <v>0</v>
      </c>
      <c r="BP111" s="231"/>
      <c r="BQ111" s="231">
        <v>123</v>
      </c>
      <c r="BR111" s="231">
        <v>25</v>
      </c>
      <c r="BS111" s="231">
        <v>30</v>
      </c>
      <c r="BT111" s="231">
        <v>72</v>
      </c>
      <c r="BU111" s="231">
        <v>72</v>
      </c>
      <c r="BV111" s="231">
        <v>105</v>
      </c>
      <c r="BW111" s="231">
        <v>83</v>
      </c>
      <c r="BX111" s="231">
        <v>98</v>
      </c>
      <c r="BY111" s="231">
        <v>197</v>
      </c>
      <c r="BZ111" s="231">
        <v>48</v>
      </c>
      <c r="CA111" s="231">
        <v>40</v>
      </c>
      <c r="CB111" s="231">
        <v>143</v>
      </c>
      <c r="CC111" s="231"/>
      <c r="CD111" s="231"/>
      <c r="CE111" s="231"/>
      <c r="CF111" s="231"/>
      <c r="CG111" s="231"/>
      <c r="CH111" s="231"/>
      <c r="CI111" s="231"/>
    </row>
    <row r="112" spans="1:101" ht="25.2" customHeight="1" outlineLevel="1">
      <c r="A112" s="204">
        <v>100</v>
      </c>
      <c r="B112" s="207">
        <v>4017</v>
      </c>
      <c r="C112" s="208" t="s">
        <v>289</v>
      </c>
      <c r="D112" s="194" t="s">
        <v>181</v>
      </c>
      <c r="E112" s="209">
        <f t="shared" si="12"/>
        <v>16</v>
      </c>
      <c r="F112" s="216">
        <v>95.3</v>
      </c>
      <c r="G112" s="217">
        <v>1</v>
      </c>
      <c r="H112" s="218"/>
      <c r="I112" s="230">
        <f t="shared" si="13"/>
        <v>3</v>
      </c>
      <c r="J112" s="216">
        <v>1.5</v>
      </c>
      <c r="K112" s="216">
        <v>0.7</v>
      </c>
      <c r="L112" s="233"/>
      <c r="M112" s="216">
        <v>310</v>
      </c>
      <c r="N112" s="216">
        <v>64</v>
      </c>
      <c r="O112" s="216">
        <v>3</v>
      </c>
      <c r="P112" s="216">
        <v>6</v>
      </c>
      <c r="Q112" s="216">
        <v>0.04</v>
      </c>
      <c r="R112" s="216">
        <v>0.03</v>
      </c>
      <c r="S112" s="216">
        <v>0.3</v>
      </c>
      <c r="T112" s="231"/>
      <c r="U112" s="231"/>
      <c r="V112" s="231"/>
      <c r="W112" s="242"/>
      <c r="X112" s="232"/>
      <c r="Y112" s="231"/>
      <c r="Z112" s="231"/>
      <c r="AA112" s="241"/>
      <c r="AB112" s="241"/>
      <c r="AC112" s="240"/>
      <c r="AD112" s="240"/>
      <c r="AE112" s="233"/>
      <c r="AF112" s="233"/>
      <c r="AG112" s="240">
        <v>0</v>
      </c>
      <c r="AH112" s="240">
        <f t="shared" si="14"/>
        <v>0</v>
      </c>
      <c r="AI112" s="236">
        <f t="shared" si="15"/>
        <v>170.416666666667</v>
      </c>
      <c r="AJ112" s="252"/>
      <c r="AK112" s="233"/>
      <c r="AL112" s="216"/>
      <c r="AM112" s="236">
        <v>2045</v>
      </c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6"/>
      <c r="AX112" s="242"/>
      <c r="AY112" s="242"/>
      <c r="AZ112" s="231"/>
      <c r="BA112" s="242"/>
      <c r="BB112" s="242"/>
      <c r="BC112" s="242"/>
      <c r="BD112" s="242"/>
      <c r="BE112" s="231"/>
      <c r="BF112" s="242"/>
      <c r="BG112" s="242"/>
      <c r="BH112" s="242"/>
      <c r="BI112" s="242"/>
      <c r="BJ112" s="242"/>
      <c r="BK112" s="242"/>
      <c r="BL112" s="242"/>
      <c r="BM112" s="242"/>
      <c r="BN112" s="242"/>
      <c r="BO112" s="231">
        <v>0</v>
      </c>
      <c r="BP112" s="231"/>
      <c r="BQ112" s="231"/>
      <c r="BR112" s="231"/>
      <c r="BS112" s="231"/>
      <c r="BT112" s="231"/>
      <c r="BU112" s="231"/>
      <c r="BV112" s="231"/>
      <c r="BW112" s="231"/>
      <c r="BX112" s="231"/>
      <c r="BY112" s="231"/>
      <c r="BZ112" s="231"/>
      <c r="CA112" s="231"/>
      <c r="CB112" s="231"/>
      <c r="CC112" s="231"/>
      <c r="CD112" s="231"/>
      <c r="CE112" s="231"/>
      <c r="CF112" s="231"/>
      <c r="CG112" s="231"/>
      <c r="CH112" s="231"/>
      <c r="CI112" s="231"/>
    </row>
    <row r="113" spans="1:99" ht="25.2" customHeight="1" outlineLevel="1">
      <c r="A113" s="204">
        <v>101</v>
      </c>
      <c r="B113" s="207">
        <v>4018</v>
      </c>
      <c r="C113" s="208" t="s">
        <v>290</v>
      </c>
      <c r="D113" s="194" t="s">
        <v>181</v>
      </c>
      <c r="E113" s="209">
        <f t="shared" si="12"/>
        <v>53.2</v>
      </c>
      <c r="F113" s="216">
        <v>85</v>
      </c>
      <c r="G113" s="217">
        <v>3.7</v>
      </c>
      <c r="H113" s="218"/>
      <c r="I113" s="230">
        <f t="shared" si="13"/>
        <v>9.5999999999999908</v>
      </c>
      <c r="J113" s="216">
        <v>1.5</v>
      </c>
      <c r="K113" s="216">
        <v>1.7</v>
      </c>
      <c r="L113" s="233">
        <v>1.83</v>
      </c>
      <c r="M113" s="216">
        <v>325</v>
      </c>
      <c r="N113" s="216">
        <v>128</v>
      </c>
      <c r="O113" s="216">
        <v>8</v>
      </c>
      <c r="P113" s="216">
        <v>150</v>
      </c>
      <c r="Q113" s="216">
        <v>0.06</v>
      </c>
      <c r="R113" s="216">
        <v>7.0000000000000007E-2</v>
      </c>
      <c r="S113" s="216">
        <v>0.4</v>
      </c>
      <c r="T113" s="240">
        <v>96</v>
      </c>
      <c r="U113" s="240">
        <v>326</v>
      </c>
      <c r="V113" s="240">
        <v>18</v>
      </c>
      <c r="W113" s="241">
        <v>0.2</v>
      </c>
      <c r="X113" s="233">
        <v>0.3</v>
      </c>
      <c r="Y113" s="240">
        <v>90</v>
      </c>
      <c r="Z113" s="216">
        <v>0.4</v>
      </c>
      <c r="AA113" s="241">
        <v>0.246</v>
      </c>
      <c r="AB113" s="241">
        <v>7.3999999999999996E-2</v>
      </c>
      <c r="AC113" s="240">
        <v>36</v>
      </c>
      <c r="AD113" s="240">
        <v>0</v>
      </c>
      <c r="AE113" s="233"/>
      <c r="AF113" s="233">
        <v>0</v>
      </c>
      <c r="AG113" s="240">
        <v>0</v>
      </c>
      <c r="AH113" s="240">
        <f t="shared" si="14"/>
        <v>0</v>
      </c>
      <c r="AI113" s="236">
        <f t="shared" si="15"/>
        <v>12.5</v>
      </c>
      <c r="AJ113" s="252"/>
      <c r="AK113" s="233">
        <v>0.27</v>
      </c>
      <c r="AL113" s="216">
        <v>29.3</v>
      </c>
      <c r="AM113" s="236">
        <v>150</v>
      </c>
      <c r="AN113" s="231">
        <v>0</v>
      </c>
      <c r="AO113" s="231">
        <v>0</v>
      </c>
      <c r="AP113" s="231">
        <v>0</v>
      </c>
      <c r="AQ113" s="231">
        <v>232</v>
      </c>
      <c r="AR113" s="231"/>
      <c r="AS113" s="231"/>
      <c r="AT113" s="231"/>
      <c r="AU113" s="231"/>
      <c r="AV113" s="231"/>
      <c r="AW113" s="236">
        <v>4.2999999999999997E-2</v>
      </c>
      <c r="AX113" s="242">
        <v>3.7999999999999999E-2</v>
      </c>
      <c r="AY113" s="242">
        <v>0</v>
      </c>
      <c r="AZ113" s="231">
        <v>4.0000000000000001E-3</v>
      </c>
      <c r="BA113" s="242">
        <v>0</v>
      </c>
      <c r="BB113" s="242">
        <v>0</v>
      </c>
      <c r="BC113" s="242">
        <v>0</v>
      </c>
      <c r="BD113" s="242">
        <v>3.2000000000000001E-2</v>
      </c>
      <c r="BE113" s="231">
        <v>0</v>
      </c>
      <c r="BF113" s="242">
        <v>1E-3</v>
      </c>
      <c r="BG113" s="242">
        <v>3.1E-2</v>
      </c>
      <c r="BH113" s="242">
        <v>8.1000000000000003E-2</v>
      </c>
      <c r="BI113" s="242">
        <v>8.1000000000000003E-2</v>
      </c>
      <c r="BJ113" s="242">
        <v>0</v>
      </c>
      <c r="BK113" s="242">
        <v>0</v>
      </c>
      <c r="BL113" s="242">
        <v>0</v>
      </c>
      <c r="BM113" s="242">
        <v>0</v>
      </c>
      <c r="BN113" s="242"/>
      <c r="BO113" s="231">
        <v>0</v>
      </c>
      <c r="BP113" s="231">
        <v>6</v>
      </c>
      <c r="BQ113" s="204">
        <v>27</v>
      </c>
      <c r="BR113" s="204">
        <v>5</v>
      </c>
      <c r="BS113" s="204">
        <v>9</v>
      </c>
      <c r="BT113" s="204">
        <v>20</v>
      </c>
      <c r="BU113" s="204">
        <v>20</v>
      </c>
      <c r="BV113" s="204">
        <v>27</v>
      </c>
      <c r="BW113" s="204">
        <v>32</v>
      </c>
      <c r="BX113" s="204">
        <v>21</v>
      </c>
      <c r="BY113" s="204">
        <v>20</v>
      </c>
      <c r="BZ113" s="204">
        <v>12</v>
      </c>
      <c r="CA113" s="204">
        <v>4</v>
      </c>
      <c r="CB113" s="204">
        <v>9</v>
      </c>
      <c r="CC113" s="204">
        <v>23</v>
      </c>
      <c r="CD113" s="204">
        <v>117</v>
      </c>
      <c r="CE113" s="204">
        <v>90</v>
      </c>
      <c r="CF113" s="204">
        <v>21</v>
      </c>
      <c r="CG113" s="204">
        <v>18</v>
      </c>
      <c r="CH113" s="204">
        <v>20</v>
      </c>
      <c r="CI113" s="231"/>
      <c r="CT113" s="172"/>
      <c r="CU113" s="172"/>
    </row>
    <row r="114" spans="1:99" ht="25.2" customHeight="1" outlineLevel="1">
      <c r="A114" s="204">
        <v>102</v>
      </c>
      <c r="B114" s="207">
        <v>4019</v>
      </c>
      <c r="C114" s="208" t="s">
        <v>291</v>
      </c>
      <c r="D114" s="194" t="s">
        <v>181</v>
      </c>
      <c r="E114" s="209">
        <f t="shared" si="12"/>
        <v>76</v>
      </c>
      <c r="F114" s="216">
        <v>80.2</v>
      </c>
      <c r="G114" s="217">
        <v>1.2</v>
      </c>
      <c r="H114" s="218"/>
      <c r="I114" s="230">
        <f t="shared" si="13"/>
        <v>17.8</v>
      </c>
      <c r="J114" s="216">
        <v>1</v>
      </c>
      <c r="K114" s="216">
        <v>0.8</v>
      </c>
      <c r="L114" s="233">
        <v>1.95</v>
      </c>
      <c r="M114" s="216">
        <v>26</v>
      </c>
      <c r="N114" s="216">
        <v>27</v>
      </c>
      <c r="O114" s="216">
        <v>0.4</v>
      </c>
      <c r="P114" s="216">
        <v>31</v>
      </c>
      <c r="Q114" s="216">
        <v>0.05</v>
      </c>
      <c r="R114" s="216">
        <v>0.02</v>
      </c>
      <c r="S114" s="216">
        <v>0.6</v>
      </c>
      <c r="T114" s="231">
        <v>13</v>
      </c>
      <c r="U114" s="231">
        <v>256</v>
      </c>
      <c r="V114" s="231">
        <v>17</v>
      </c>
      <c r="W114" s="242">
        <v>0.1</v>
      </c>
      <c r="X114" s="232">
        <v>0.25</v>
      </c>
      <c r="Y114" s="231">
        <v>94</v>
      </c>
      <c r="Z114" s="231">
        <v>0.3</v>
      </c>
      <c r="AA114" s="241">
        <v>0.26500000000000001</v>
      </c>
      <c r="AB114" s="241">
        <v>0.35699999999999998</v>
      </c>
      <c r="AC114" s="240">
        <v>29</v>
      </c>
      <c r="AD114" s="240">
        <v>0</v>
      </c>
      <c r="AE114" s="233"/>
      <c r="AF114" s="233">
        <v>0</v>
      </c>
      <c r="AG114" s="240">
        <v>0</v>
      </c>
      <c r="AH114" s="240">
        <f t="shared" si="14"/>
        <v>0</v>
      </c>
      <c r="AI114" s="231">
        <f t="shared" si="15"/>
        <v>16.9583333333333</v>
      </c>
      <c r="AJ114" s="252"/>
      <c r="AK114" s="233">
        <v>0.69</v>
      </c>
      <c r="AL114" s="216">
        <v>9.5</v>
      </c>
      <c r="AM114" s="231">
        <v>184</v>
      </c>
      <c r="AN114" s="231">
        <v>39</v>
      </c>
      <c r="AO114" s="231">
        <v>0</v>
      </c>
      <c r="AP114" s="231">
        <v>0</v>
      </c>
      <c r="AQ114" s="231">
        <v>0</v>
      </c>
      <c r="AR114" s="231"/>
      <c r="AS114" s="231"/>
      <c r="AT114" s="231"/>
      <c r="AU114" s="231"/>
      <c r="AV114" s="231"/>
      <c r="AW114" s="231">
        <v>4.8000000000000001E-2</v>
      </c>
      <c r="AX114" s="242">
        <v>3.5999999999999997E-2</v>
      </c>
      <c r="AY114" s="242">
        <v>0</v>
      </c>
      <c r="AZ114" s="231">
        <v>7.0000000000000001E-3</v>
      </c>
      <c r="BA114" s="242">
        <v>0</v>
      </c>
      <c r="BB114" s="242">
        <v>0</v>
      </c>
      <c r="BC114" s="242">
        <v>0</v>
      </c>
      <c r="BD114" s="242">
        <v>2.7E-2</v>
      </c>
      <c r="BE114" s="231">
        <v>0</v>
      </c>
      <c r="BF114" s="242">
        <v>2E-3</v>
      </c>
      <c r="BG114" s="242">
        <v>2.5000000000000001E-2</v>
      </c>
      <c r="BH114" s="242">
        <v>0.24299999999999999</v>
      </c>
      <c r="BI114" s="242">
        <v>0.24</v>
      </c>
      <c r="BJ114" s="242">
        <v>3.0000000000000001E-3</v>
      </c>
      <c r="BK114" s="242">
        <v>0</v>
      </c>
      <c r="BL114" s="242">
        <v>0</v>
      </c>
      <c r="BM114" s="242">
        <v>0</v>
      </c>
      <c r="BN114" s="242"/>
      <c r="BO114" s="231">
        <v>0</v>
      </c>
      <c r="BP114" s="231">
        <v>3</v>
      </c>
      <c r="BQ114" s="231"/>
      <c r="BR114" s="231"/>
      <c r="BS114" s="231"/>
      <c r="BT114" s="231"/>
      <c r="BU114" s="231"/>
      <c r="BV114" s="231"/>
      <c r="BW114" s="231"/>
      <c r="BX114" s="231"/>
      <c r="BY114" s="231"/>
      <c r="BZ114" s="231"/>
      <c r="CA114" s="231"/>
      <c r="CB114" s="231"/>
      <c r="CC114" s="231"/>
      <c r="CD114" s="231"/>
      <c r="CE114" s="231"/>
      <c r="CF114" s="231"/>
      <c r="CG114" s="231"/>
      <c r="CH114" s="231"/>
      <c r="CI114" s="231"/>
      <c r="CR114" s="172"/>
      <c r="CS114" s="172"/>
    </row>
    <row r="115" spans="1:99" ht="25.2" customHeight="1" outlineLevel="1">
      <c r="A115" s="204">
        <v>103</v>
      </c>
      <c r="B115" s="207">
        <v>4020</v>
      </c>
      <c r="C115" s="208" t="s">
        <v>292</v>
      </c>
      <c r="D115" s="194" t="s">
        <v>181</v>
      </c>
      <c r="E115" s="209">
        <f t="shared" si="12"/>
        <v>52</v>
      </c>
      <c r="F115" s="216">
        <v>86</v>
      </c>
      <c r="G115" s="217">
        <v>1.3</v>
      </c>
      <c r="H115" s="218"/>
      <c r="I115" s="230">
        <f t="shared" si="13"/>
        <v>11.7</v>
      </c>
      <c r="J115" s="216">
        <v>0.9</v>
      </c>
      <c r="K115" s="216">
        <v>1</v>
      </c>
      <c r="L115" s="233"/>
      <c r="M115" s="216">
        <v>28</v>
      </c>
      <c r="N115" s="216">
        <v>43</v>
      </c>
      <c r="O115" s="216">
        <v>1.4</v>
      </c>
      <c r="P115" s="216">
        <v>20</v>
      </c>
      <c r="Q115" s="216">
        <v>0.02</v>
      </c>
      <c r="R115" s="216">
        <v>0.05</v>
      </c>
      <c r="S115" s="216">
        <v>0.4</v>
      </c>
      <c r="T115" s="231"/>
      <c r="U115" s="231"/>
      <c r="V115" s="231"/>
      <c r="W115" s="242"/>
      <c r="X115" s="232"/>
      <c r="Y115" s="231"/>
      <c r="Z115" s="231"/>
      <c r="AA115" s="241"/>
      <c r="AB115" s="241"/>
      <c r="AC115" s="240"/>
      <c r="AD115" s="240"/>
      <c r="AE115" s="233"/>
      <c r="AF115" s="233"/>
      <c r="AG115" s="240">
        <v>0</v>
      </c>
      <c r="AH115" s="240">
        <f t="shared" si="14"/>
        <v>0</v>
      </c>
      <c r="AI115" s="236">
        <f t="shared" si="15"/>
        <v>1.3333333333333299</v>
      </c>
      <c r="AJ115" s="252"/>
      <c r="AK115" s="233"/>
      <c r="AL115" s="216"/>
      <c r="AM115" s="236">
        <v>16</v>
      </c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6"/>
      <c r="AX115" s="242"/>
      <c r="AY115" s="242"/>
      <c r="AZ115" s="242"/>
      <c r="BA115" s="242"/>
      <c r="BB115" s="242"/>
      <c r="BC115" s="242"/>
      <c r="BD115" s="242"/>
      <c r="BE115" s="231"/>
      <c r="BF115" s="242"/>
      <c r="BG115" s="242"/>
      <c r="BH115" s="242"/>
      <c r="BI115" s="242"/>
      <c r="BJ115" s="242"/>
      <c r="BK115" s="242"/>
      <c r="BL115" s="242"/>
      <c r="BM115" s="242"/>
      <c r="BN115" s="242"/>
      <c r="BO115" s="231">
        <v>0</v>
      </c>
      <c r="BP115" s="231"/>
      <c r="BQ115" s="204">
        <v>27</v>
      </c>
      <c r="BR115" s="204">
        <v>7</v>
      </c>
      <c r="BS115" s="204">
        <v>3</v>
      </c>
      <c r="BT115" s="204">
        <v>27</v>
      </c>
      <c r="BU115" s="204">
        <v>23</v>
      </c>
      <c r="BV115" s="204">
        <v>37</v>
      </c>
      <c r="BW115" s="204">
        <v>35</v>
      </c>
      <c r="BX115" s="204">
        <v>26</v>
      </c>
      <c r="BY115" s="204">
        <v>51</v>
      </c>
      <c r="BZ115" s="204">
        <v>13</v>
      </c>
      <c r="CA115" s="204">
        <v>7</v>
      </c>
      <c r="CB115" s="204">
        <v>12</v>
      </c>
      <c r="CC115" s="204">
        <v>23</v>
      </c>
      <c r="CD115" s="204">
        <v>48</v>
      </c>
      <c r="CE115" s="204">
        <v>160</v>
      </c>
      <c r="CF115" s="204">
        <v>18</v>
      </c>
      <c r="CG115" s="204">
        <v>17</v>
      </c>
      <c r="CH115" s="204">
        <v>17</v>
      </c>
      <c r="CI115" s="231"/>
    </row>
    <row r="116" spans="1:99" ht="25.2" customHeight="1" outlineLevel="1">
      <c r="A116" s="204">
        <v>104</v>
      </c>
      <c r="B116" s="207">
        <v>4021</v>
      </c>
      <c r="C116" s="208" t="s">
        <v>293</v>
      </c>
      <c r="D116" s="194" t="s">
        <v>181</v>
      </c>
      <c r="E116" s="209">
        <f t="shared" si="12"/>
        <v>26.8</v>
      </c>
      <c r="F116" s="216">
        <v>92.1</v>
      </c>
      <c r="G116" s="217">
        <v>1.5</v>
      </c>
      <c r="H116" s="218"/>
      <c r="I116" s="230">
        <f t="shared" si="13"/>
        <v>5.2</v>
      </c>
      <c r="J116" s="216">
        <v>1.5</v>
      </c>
      <c r="K116" s="216">
        <v>1.2</v>
      </c>
      <c r="L116" s="233">
        <v>2.5</v>
      </c>
      <c r="M116" s="216">
        <v>40</v>
      </c>
      <c r="N116" s="216">
        <v>41</v>
      </c>
      <c r="O116" s="216">
        <v>1.1000000000000001</v>
      </c>
      <c r="P116" s="216">
        <v>30</v>
      </c>
      <c r="Q116" s="216">
        <v>0.06</v>
      </c>
      <c r="R116" s="216">
        <v>0.06</v>
      </c>
      <c r="S116" s="216">
        <v>0.5</v>
      </c>
      <c r="T116" s="240">
        <v>10</v>
      </c>
      <c r="U116" s="240">
        <v>242</v>
      </c>
      <c r="V116" s="240">
        <v>15</v>
      </c>
      <c r="W116" s="241">
        <v>0.05</v>
      </c>
      <c r="X116" s="233">
        <v>0.2</v>
      </c>
      <c r="Y116" s="240">
        <v>150</v>
      </c>
      <c r="Z116" s="216">
        <v>3.9</v>
      </c>
      <c r="AA116" s="241">
        <v>0.13800000000000001</v>
      </c>
      <c r="AB116" s="241">
        <v>4.5999999999999999E-2</v>
      </c>
      <c r="AC116" s="240">
        <v>28</v>
      </c>
      <c r="AD116" s="240">
        <v>0</v>
      </c>
      <c r="AE116" s="233"/>
      <c r="AF116" s="233">
        <v>0</v>
      </c>
      <c r="AG116" s="240">
        <v>0</v>
      </c>
      <c r="AH116" s="240">
        <f t="shared" si="14"/>
        <v>0</v>
      </c>
      <c r="AI116" s="236">
        <f t="shared" si="15"/>
        <v>0</v>
      </c>
      <c r="AJ116" s="252"/>
      <c r="AK116" s="233">
        <v>0</v>
      </c>
      <c r="AL116" s="216">
        <v>0.3</v>
      </c>
      <c r="AM116" s="236">
        <v>0</v>
      </c>
      <c r="AN116" s="231">
        <v>0</v>
      </c>
      <c r="AO116" s="231">
        <v>0</v>
      </c>
      <c r="AP116" s="231">
        <v>0</v>
      </c>
      <c r="AQ116" s="231">
        <v>0</v>
      </c>
      <c r="AR116" s="231"/>
      <c r="AS116" s="231"/>
      <c r="AT116" s="231"/>
      <c r="AU116" s="231"/>
      <c r="AV116" s="231"/>
      <c r="AW116" s="236">
        <v>0.03</v>
      </c>
      <c r="AX116" s="242">
        <v>2.5999999999999999E-2</v>
      </c>
      <c r="AY116" s="242">
        <v>0</v>
      </c>
      <c r="AZ116" s="242">
        <v>4.0000000000000001E-3</v>
      </c>
      <c r="BA116" s="242">
        <v>0</v>
      </c>
      <c r="BB116" s="242">
        <v>0</v>
      </c>
      <c r="BC116" s="242">
        <v>0</v>
      </c>
      <c r="BD116" s="242">
        <v>1.7000000000000001E-2</v>
      </c>
      <c r="BE116" s="231">
        <v>0</v>
      </c>
      <c r="BF116" s="242">
        <v>0</v>
      </c>
      <c r="BG116" s="242">
        <v>1.6E-2</v>
      </c>
      <c r="BH116" s="242">
        <v>4.4999999999999998E-2</v>
      </c>
      <c r="BI116" s="242">
        <v>1.6E-2</v>
      </c>
      <c r="BJ116" s="242">
        <v>2.9000000000000001E-2</v>
      </c>
      <c r="BK116" s="242">
        <v>0</v>
      </c>
      <c r="BL116" s="242">
        <v>0</v>
      </c>
      <c r="BM116" s="242">
        <v>0</v>
      </c>
      <c r="BN116" s="242"/>
      <c r="BO116" s="231">
        <v>0</v>
      </c>
      <c r="BP116" s="231"/>
      <c r="BQ116" s="204">
        <v>27</v>
      </c>
      <c r="BR116" s="204">
        <v>7</v>
      </c>
      <c r="BS116" s="204">
        <v>3</v>
      </c>
      <c r="BT116" s="204">
        <v>27</v>
      </c>
      <c r="BU116" s="204">
        <v>23</v>
      </c>
      <c r="BV116" s="204">
        <v>37</v>
      </c>
      <c r="BW116" s="204">
        <v>35</v>
      </c>
      <c r="BX116" s="204">
        <v>26</v>
      </c>
      <c r="BY116" s="204">
        <v>51</v>
      </c>
      <c r="BZ116" s="204">
        <v>13</v>
      </c>
      <c r="CA116" s="204">
        <v>7</v>
      </c>
      <c r="CB116" s="204">
        <v>12</v>
      </c>
      <c r="CC116" s="204">
        <v>23</v>
      </c>
      <c r="CD116" s="204">
        <v>48</v>
      </c>
      <c r="CE116" s="204">
        <v>160</v>
      </c>
      <c r="CF116" s="204">
        <v>18</v>
      </c>
      <c r="CG116" s="204">
        <v>17</v>
      </c>
      <c r="CH116" s="204">
        <v>17</v>
      </c>
      <c r="CI116" s="231"/>
    </row>
    <row r="117" spans="1:99" ht="25.2" customHeight="1" outlineLevel="1">
      <c r="A117" s="204">
        <v>105</v>
      </c>
      <c r="B117" s="207">
        <v>4022</v>
      </c>
      <c r="C117" s="208" t="s">
        <v>294</v>
      </c>
      <c r="D117" s="194" t="s">
        <v>181</v>
      </c>
      <c r="E117" s="209">
        <f t="shared" si="12"/>
        <v>290.3</v>
      </c>
      <c r="F117" s="216">
        <v>16</v>
      </c>
      <c r="G117" s="217">
        <v>17.600000000000001</v>
      </c>
      <c r="H117" s="218">
        <v>1.5</v>
      </c>
      <c r="I117" s="230">
        <f t="shared" si="13"/>
        <v>51.6</v>
      </c>
      <c r="J117" s="216">
        <v>17.7</v>
      </c>
      <c r="K117" s="216">
        <v>13.3</v>
      </c>
      <c r="L117" s="231"/>
      <c r="M117" s="236">
        <v>629</v>
      </c>
      <c r="N117" s="236">
        <v>204</v>
      </c>
      <c r="O117" s="236">
        <v>6.73</v>
      </c>
      <c r="P117" s="236">
        <v>0</v>
      </c>
      <c r="Q117" s="236">
        <v>0.27</v>
      </c>
      <c r="R117" s="236">
        <v>0.68</v>
      </c>
      <c r="S117" s="236">
        <v>3.4</v>
      </c>
      <c r="T117" s="231">
        <v>278</v>
      </c>
      <c r="U117" s="231">
        <v>3494</v>
      </c>
      <c r="V117" s="231">
        <v>170</v>
      </c>
      <c r="W117" s="242">
        <v>0.53900000000000003</v>
      </c>
      <c r="X117" s="232">
        <v>2.13</v>
      </c>
      <c r="Y117" s="231">
        <v>1631</v>
      </c>
      <c r="Z117" s="231">
        <v>0.7</v>
      </c>
      <c r="AA117" s="241">
        <v>1.8540000000000001</v>
      </c>
      <c r="AB117" s="241">
        <v>0.61799999999999999</v>
      </c>
      <c r="AC117" s="240">
        <v>295</v>
      </c>
      <c r="AD117" s="240">
        <v>0</v>
      </c>
      <c r="AE117" s="236"/>
      <c r="AF117" s="236">
        <v>0</v>
      </c>
      <c r="AG117" s="240">
        <v>0</v>
      </c>
      <c r="AH117" s="240">
        <f t="shared" si="14"/>
        <v>0</v>
      </c>
      <c r="AI117" s="236">
        <f t="shared" si="15"/>
        <v>0</v>
      </c>
      <c r="AJ117" s="252"/>
      <c r="AK117" s="233"/>
      <c r="AL117" s="216"/>
      <c r="AM117" s="236">
        <v>0</v>
      </c>
      <c r="AN117" s="231">
        <v>0</v>
      </c>
      <c r="AO117" s="231">
        <v>0</v>
      </c>
      <c r="AP117" s="231">
        <v>0</v>
      </c>
      <c r="AQ117" s="231">
        <v>0</v>
      </c>
      <c r="AR117" s="231"/>
      <c r="AS117" s="231"/>
      <c r="AT117" s="231"/>
      <c r="AU117" s="231"/>
      <c r="AV117" s="231"/>
      <c r="AW117" s="236">
        <v>0.218</v>
      </c>
      <c r="AX117" s="242">
        <v>0.189</v>
      </c>
      <c r="AY117" s="242">
        <v>0</v>
      </c>
      <c r="AZ117" s="242">
        <v>2.7E-2</v>
      </c>
      <c r="BA117" s="242">
        <v>0</v>
      </c>
      <c r="BB117" s="242">
        <v>0</v>
      </c>
      <c r="BC117" s="242">
        <v>0</v>
      </c>
      <c r="BD117" s="242">
        <v>0.11899999999999999</v>
      </c>
      <c r="BE117" s="231">
        <v>0</v>
      </c>
      <c r="BF117" s="242">
        <v>2E-3</v>
      </c>
      <c r="BG117" s="242">
        <v>0.11700000000000001</v>
      </c>
      <c r="BH117" s="242">
        <v>0.32500000000000001</v>
      </c>
      <c r="BI117" s="242">
        <v>0.11700000000000001</v>
      </c>
      <c r="BJ117" s="242">
        <v>0.20599999999999999</v>
      </c>
      <c r="BK117" s="242">
        <v>0</v>
      </c>
      <c r="BL117" s="242">
        <v>0</v>
      </c>
      <c r="BM117" s="242">
        <v>0</v>
      </c>
      <c r="BN117" s="242"/>
      <c r="BO117" s="231">
        <v>0</v>
      </c>
      <c r="BP117" s="231"/>
      <c r="BQ117" s="231">
        <v>393</v>
      </c>
      <c r="BR117" s="231">
        <v>75</v>
      </c>
      <c r="BS117" s="231">
        <v>43</v>
      </c>
      <c r="BT117" s="231">
        <v>262</v>
      </c>
      <c r="BU117" s="231">
        <v>326</v>
      </c>
      <c r="BV117" s="231">
        <v>365</v>
      </c>
      <c r="BW117" s="231">
        <v>413</v>
      </c>
      <c r="BX117" s="231">
        <v>344</v>
      </c>
      <c r="BY117" s="231">
        <v>456</v>
      </c>
      <c r="BZ117" s="231">
        <v>149</v>
      </c>
      <c r="CA117" s="231"/>
      <c r="CB117" s="231">
        <v>150</v>
      </c>
      <c r="CC117" s="231">
        <v>248</v>
      </c>
      <c r="CD117" s="231">
        <v>538</v>
      </c>
      <c r="CE117" s="231">
        <v>1492</v>
      </c>
      <c r="CF117" s="231">
        <v>248</v>
      </c>
      <c r="CG117" s="231">
        <v>202</v>
      </c>
      <c r="CH117" s="231">
        <v>240</v>
      </c>
      <c r="CI117" s="231"/>
    </row>
    <row r="118" spans="1:99" ht="25.2" customHeight="1" outlineLevel="1">
      <c r="A118" s="204">
        <v>106</v>
      </c>
      <c r="B118" s="207">
        <v>4023</v>
      </c>
      <c r="C118" s="208" t="s">
        <v>295</v>
      </c>
      <c r="D118" s="194" t="s">
        <v>181</v>
      </c>
      <c r="E118" s="209">
        <f t="shared" si="12"/>
        <v>30.8</v>
      </c>
      <c r="F118" s="216">
        <v>92</v>
      </c>
      <c r="G118" s="217">
        <v>1</v>
      </c>
      <c r="H118" s="218"/>
      <c r="I118" s="230">
        <f t="shared" si="13"/>
        <v>6.7</v>
      </c>
      <c r="J118" s="216">
        <v>0.7</v>
      </c>
      <c r="K118" s="216">
        <v>0.3</v>
      </c>
      <c r="L118" s="233"/>
      <c r="M118" s="236">
        <v>8</v>
      </c>
      <c r="N118" s="236">
        <v>16</v>
      </c>
      <c r="O118" s="236"/>
      <c r="P118" s="236">
        <v>6</v>
      </c>
      <c r="Q118" s="236"/>
      <c r="R118" s="236"/>
      <c r="S118" s="236"/>
      <c r="T118" s="231"/>
      <c r="U118" s="231"/>
      <c r="V118" s="231"/>
      <c r="W118" s="242"/>
      <c r="X118" s="232"/>
      <c r="Y118" s="231"/>
      <c r="Z118" s="231"/>
      <c r="AA118" s="241"/>
      <c r="AB118" s="241"/>
      <c r="AC118" s="240"/>
      <c r="AD118" s="240"/>
      <c r="AE118" s="236"/>
      <c r="AF118" s="236"/>
      <c r="AG118" s="240">
        <v>0</v>
      </c>
      <c r="AH118" s="240">
        <f t="shared" si="14"/>
        <v>0</v>
      </c>
      <c r="AI118" s="236">
        <f t="shared" si="15"/>
        <v>0</v>
      </c>
      <c r="AJ118" s="252"/>
      <c r="AK118" s="233"/>
      <c r="AL118" s="216"/>
      <c r="AM118" s="236">
        <v>0</v>
      </c>
      <c r="AN118" s="231">
        <v>0</v>
      </c>
      <c r="AO118" s="231">
        <v>0</v>
      </c>
      <c r="AP118" s="231">
        <v>0</v>
      </c>
      <c r="AQ118" s="231">
        <v>0</v>
      </c>
      <c r="AR118" s="231"/>
      <c r="AS118" s="231"/>
      <c r="AT118" s="231"/>
      <c r="AU118" s="231"/>
      <c r="AV118" s="231"/>
      <c r="AW118" s="236"/>
      <c r="AX118" s="242"/>
      <c r="AY118" s="242"/>
      <c r="AZ118" s="242"/>
      <c r="BA118" s="242"/>
      <c r="BB118" s="242"/>
      <c r="BC118" s="242"/>
      <c r="BD118" s="242"/>
      <c r="BE118" s="231"/>
      <c r="BF118" s="242"/>
      <c r="BG118" s="242"/>
      <c r="BH118" s="242"/>
      <c r="BI118" s="242"/>
      <c r="BJ118" s="242"/>
      <c r="BK118" s="242"/>
      <c r="BL118" s="242"/>
      <c r="BM118" s="242"/>
      <c r="BN118" s="242"/>
      <c r="BO118" s="231">
        <v>0</v>
      </c>
      <c r="BP118" s="231"/>
      <c r="BQ118" s="231"/>
      <c r="BR118" s="231"/>
      <c r="BS118" s="231"/>
      <c r="BT118" s="231"/>
      <c r="BU118" s="231"/>
      <c r="BV118" s="231"/>
      <c r="BW118" s="231"/>
      <c r="BX118" s="231"/>
      <c r="BY118" s="231"/>
      <c r="BZ118" s="231"/>
      <c r="CA118" s="231"/>
      <c r="CB118" s="231"/>
      <c r="CC118" s="231"/>
      <c r="CD118" s="231"/>
      <c r="CE118" s="231"/>
      <c r="CF118" s="231"/>
      <c r="CG118" s="231"/>
      <c r="CH118" s="231"/>
      <c r="CI118" s="231"/>
    </row>
    <row r="119" spans="1:99" ht="25.2" customHeight="1" outlineLevel="1">
      <c r="A119" s="204">
        <v>107</v>
      </c>
      <c r="B119" s="207">
        <v>4024</v>
      </c>
      <c r="C119" s="208" t="s">
        <v>296</v>
      </c>
      <c r="D119" s="194" t="s">
        <v>181</v>
      </c>
      <c r="E119" s="209">
        <f t="shared" si="12"/>
        <v>36.799999999999997</v>
      </c>
      <c r="F119" s="216">
        <v>90.2</v>
      </c>
      <c r="G119" s="217">
        <v>2</v>
      </c>
      <c r="H119" s="218"/>
      <c r="I119" s="230">
        <f t="shared" si="13"/>
        <v>7.2</v>
      </c>
      <c r="J119" s="216">
        <v>1.8</v>
      </c>
      <c r="K119" s="216">
        <v>0.6</v>
      </c>
      <c r="L119" s="233"/>
      <c r="M119" s="236">
        <v>24</v>
      </c>
      <c r="N119" s="236">
        <v>92</v>
      </c>
      <c r="O119" s="236">
        <v>1.4</v>
      </c>
      <c r="P119" s="236">
        <v>2</v>
      </c>
      <c r="Q119" s="236"/>
      <c r="R119" s="236"/>
      <c r="S119" s="236"/>
      <c r="T119" s="231"/>
      <c r="U119" s="231"/>
      <c r="V119" s="231"/>
      <c r="W119" s="242"/>
      <c r="X119" s="232"/>
      <c r="Y119" s="231"/>
      <c r="Z119" s="231"/>
      <c r="AA119" s="241"/>
      <c r="AB119" s="241"/>
      <c r="AC119" s="240"/>
      <c r="AD119" s="240"/>
      <c r="AE119" s="236"/>
      <c r="AF119" s="236"/>
      <c r="AG119" s="240">
        <v>0</v>
      </c>
      <c r="AH119" s="240">
        <f t="shared" si="14"/>
        <v>0</v>
      </c>
      <c r="AI119" s="236">
        <f t="shared" si="15"/>
        <v>0</v>
      </c>
      <c r="AJ119" s="252"/>
      <c r="AK119" s="233"/>
      <c r="AL119" s="216"/>
      <c r="AM119" s="236">
        <v>0</v>
      </c>
      <c r="AN119" s="231">
        <v>0</v>
      </c>
      <c r="AO119" s="231">
        <v>0</v>
      </c>
      <c r="AP119" s="231">
        <v>0</v>
      </c>
      <c r="AQ119" s="231">
        <v>0</v>
      </c>
      <c r="AR119" s="231"/>
      <c r="AS119" s="231"/>
      <c r="AT119" s="231"/>
      <c r="AU119" s="231"/>
      <c r="AV119" s="231"/>
      <c r="AW119" s="236"/>
      <c r="AX119" s="242"/>
      <c r="AY119" s="242"/>
      <c r="AZ119" s="242"/>
      <c r="BA119" s="242"/>
      <c r="BB119" s="242"/>
      <c r="BC119" s="242"/>
      <c r="BD119" s="242"/>
      <c r="BE119" s="231"/>
      <c r="BF119" s="242"/>
      <c r="BG119" s="242"/>
      <c r="BH119" s="242"/>
      <c r="BI119" s="242"/>
      <c r="BJ119" s="242"/>
      <c r="BK119" s="242"/>
      <c r="BL119" s="242"/>
      <c r="BM119" s="242"/>
      <c r="BN119" s="242"/>
      <c r="BO119" s="231">
        <v>0</v>
      </c>
      <c r="BP119" s="231"/>
      <c r="BQ119" s="231"/>
      <c r="BR119" s="231"/>
      <c r="BS119" s="231"/>
      <c r="BT119" s="231"/>
      <c r="BU119" s="231"/>
      <c r="BV119" s="231"/>
      <c r="BW119" s="231"/>
      <c r="BX119" s="231"/>
      <c r="BY119" s="231"/>
      <c r="BZ119" s="231"/>
      <c r="CA119" s="231"/>
      <c r="CB119" s="231"/>
      <c r="CC119" s="231"/>
      <c r="CD119" s="231"/>
      <c r="CE119" s="231"/>
      <c r="CF119" s="231"/>
      <c r="CG119" s="231"/>
      <c r="CH119" s="231"/>
      <c r="CI119" s="231"/>
    </row>
    <row r="120" spans="1:99" ht="25.2" customHeight="1" outlineLevel="1">
      <c r="A120" s="204">
        <v>108</v>
      </c>
      <c r="B120" s="207">
        <v>4025</v>
      </c>
      <c r="C120" s="208" t="s">
        <v>297</v>
      </c>
      <c r="D120" s="194" t="s">
        <v>181</v>
      </c>
      <c r="E120" s="209">
        <f t="shared" si="12"/>
        <v>21.2</v>
      </c>
      <c r="F120" s="216">
        <v>93.6</v>
      </c>
      <c r="G120" s="217">
        <v>1.9</v>
      </c>
      <c r="H120" s="218"/>
      <c r="I120" s="230">
        <f t="shared" si="13"/>
        <v>3.4000000000000101</v>
      </c>
      <c r="J120" s="216">
        <v>1.8</v>
      </c>
      <c r="K120" s="216">
        <v>1.1000000000000001</v>
      </c>
      <c r="L120" s="233"/>
      <c r="M120" s="216">
        <v>220</v>
      </c>
      <c r="N120" s="216">
        <v>57</v>
      </c>
      <c r="O120" s="216">
        <v>0.4</v>
      </c>
      <c r="P120" s="216">
        <v>72</v>
      </c>
      <c r="Q120" s="216">
        <v>0.06</v>
      </c>
      <c r="R120" s="216">
        <v>0.11</v>
      </c>
      <c r="S120" s="216">
        <v>0.7</v>
      </c>
      <c r="T120" s="231"/>
      <c r="U120" s="231"/>
      <c r="V120" s="231"/>
      <c r="W120" s="242"/>
      <c r="X120" s="232"/>
      <c r="Y120" s="231"/>
      <c r="Z120" s="231"/>
      <c r="AA120" s="241"/>
      <c r="AB120" s="241"/>
      <c r="AC120" s="240"/>
      <c r="AD120" s="240"/>
      <c r="AE120" s="233"/>
      <c r="AF120" s="233"/>
      <c r="AG120" s="240">
        <v>0</v>
      </c>
      <c r="AH120" s="240">
        <f t="shared" si="14"/>
        <v>0</v>
      </c>
      <c r="AI120" s="236">
        <f t="shared" si="15"/>
        <v>90.8333333333333</v>
      </c>
      <c r="AJ120" s="252"/>
      <c r="AK120" s="233"/>
      <c r="AL120" s="216"/>
      <c r="AM120" s="236">
        <v>1090</v>
      </c>
      <c r="AN120" s="231"/>
      <c r="AO120" s="231"/>
      <c r="AP120" s="231"/>
      <c r="AQ120" s="231"/>
      <c r="AR120" s="231"/>
      <c r="AS120" s="231"/>
      <c r="AT120" s="231"/>
      <c r="AU120" s="231"/>
      <c r="AV120" s="231"/>
      <c r="AW120" s="236"/>
      <c r="AX120" s="242"/>
      <c r="AY120" s="242"/>
      <c r="AZ120" s="242"/>
      <c r="BA120" s="242"/>
      <c r="BB120" s="242"/>
      <c r="BC120" s="242"/>
      <c r="BD120" s="242"/>
      <c r="BE120" s="231"/>
      <c r="BF120" s="242"/>
      <c r="BG120" s="242"/>
      <c r="BH120" s="242"/>
      <c r="BI120" s="242"/>
      <c r="BJ120" s="242"/>
      <c r="BK120" s="242"/>
      <c r="BL120" s="242"/>
      <c r="BM120" s="242"/>
      <c r="BN120" s="242"/>
      <c r="BO120" s="231">
        <v>0</v>
      </c>
      <c r="BP120" s="231"/>
      <c r="BQ120" s="231"/>
      <c r="BR120" s="231"/>
      <c r="BS120" s="231"/>
      <c r="BT120" s="231"/>
      <c r="BU120" s="231"/>
      <c r="BV120" s="231"/>
      <c r="BW120" s="231"/>
      <c r="BX120" s="231"/>
      <c r="BY120" s="231"/>
      <c r="BZ120" s="231"/>
      <c r="CA120" s="231"/>
      <c r="CB120" s="231"/>
      <c r="CC120" s="231"/>
      <c r="CD120" s="231"/>
      <c r="CE120" s="231"/>
      <c r="CF120" s="231"/>
      <c r="CG120" s="231"/>
      <c r="CH120" s="231"/>
      <c r="CI120" s="231"/>
      <c r="CQ120" s="172"/>
    </row>
    <row r="121" spans="1:99" ht="25.2" customHeight="1" outlineLevel="1">
      <c r="A121" s="204">
        <v>109</v>
      </c>
      <c r="B121" s="207">
        <v>4026</v>
      </c>
      <c r="C121" s="208" t="s">
        <v>298</v>
      </c>
      <c r="D121" s="194" t="s">
        <v>181</v>
      </c>
      <c r="E121" s="209">
        <f t="shared" si="12"/>
        <v>12.8</v>
      </c>
      <c r="F121" s="216">
        <v>96</v>
      </c>
      <c r="G121" s="217">
        <v>0.4</v>
      </c>
      <c r="H121" s="218"/>
      <c r="I121" s="230">
        <f t="shared" si="13"/>
        <v>2.8</v>
      </c>
      <c r="J121" s="216">
        <v>2</v>
      </c>
      <c r="K121" s="216">
        <v>0.8</v>
      </c>
      <c r="L121" s="233"/>
      <c r="M121" s="236"/>
      <c r="N121" s="236"/>
      <c r="O121" s="236"/>
      <c r="P121" s="236"/>
      <c r="Q121" s="236"/>
      <c r="R121" s="236"/>
      <c r="S121" s="236"/>
      <c r="T121" s="231"/>
      <c r="U121" s="231"/>
      <c r="V121" s="231"/>
      <c r="W121" s="242"/>
      <c r="X121" s="232"/>
      <c r="Y121" s="231"/>
      <c r="Z121" s="231"/>
      <c r="AA121" s="241"/>
      <c r="AB121" s="241"/>
      <c r="AC121" s="240"/>
      <c r="AD121" s="240"/>
      <c r="AE121" s="236"/>
      <c r="AF121" s="236"/>
      <c r="AG121" s="240">
        <v>0</v>
      </c>
      <c r="AH121" s="240">
        <f t="shared" si="14"/>
        <v>0</v>
      </c>
      <c r="AI121" s="236">
        <f t="shared" si="15"/>
        <v>0</v>
      </c>
      <c r="AJ121" s="252"/>
      <c r="AK121" s="233"/>
      <c r="AL121" s="216"/>
      <c r="AM121" s="236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6"/>
      <c r="AX121" s="242"/>
      <c r="AY121" s="242"/>
      <c r="AZ121" s="242"/>
      <c r="BA121" s="242"/>
      <c r="BB121" s="242"/>
      <c r="BC121" s="242"/>
      <c r="BD121" s="242"/>
      <c r="BE121" s="231"/>
      <c r="BF121" s="242"/>
      <c r="BG121" s="242"/>
      <c r="BH121" s="242"/>
      <c r="BI121" s="242"/>
      <c r="BJ121" s="242"/>
      <c r="BK121" s="242"/>
      <c r="BL121" s="242"/>
      <c r="BM121" s="242"/>
      <c r="BN121" s="242"/>
      <c r="BO121" s="231">
        <v>0</v>
      </c>
      <c r="BP121" s="231"/>
      <c r="BQ121" s="231"/>
      <c r="BR121" s="231"/>
      <c r="BS121" s="231"/>
      <c r="BT121" s="231"/>
      <c r="BU121" s="231"/>
      <c r="BV121" s="231"/>
      <c r="BW121" s="231"/>
      <c r="BX121" s="231"/>
      <c r="BY121" s="231"/>
      <c r="BZ121" s="231"/>
      <c r="CA121" s="231"/>
      <c r="CB121" s="231"/>
      <c r="CC121" s="231"/>
      <c r="CD121" s="231"/>
      <c r="CE121" s="231"/>
      <c r="CF121" s="231"/>
      <c r="CG121" s="231"/>
      <c r="CH121" s="231"/>
      <c r="CI121" s="231"/>
    </row>
    <row r="122" spans="1:99" ht="25.2" customHeight="1" outlineLevel="1">
      <c r="A122" s="204">
        <v>110</v>
      </c>
      <c r="B122" s="207">
        <v>4027</v>
      </c>
      <c r="C122" s="208" t="s">
        <v>299</v>
      </c>
      <c r="D122" s="194" t="s">
        <v>181</v>
      </c>
      <c r="E122" s="209">
        <f t="shared" si="12"/>
        <v>18</v>
      </c>
      <c r="F122" s="216">
        <v>95</v>
      </c>
      <c r="G122" s="217">
        <v>0.8</v>
      </c>
      <c r="H122" s="218"/>
      <c r="I122" s="230">
        <f t="shared" si="13"/>
        <v>3.7</v>
      </c>
      <c r="J122" s="216">
        <v>0.7</v>
      </c>
      <c r="K122" s="216">
        <v>0.5</v>
      </c>
      <c r="L122" s="233">
        <v>1.67</v>
      </c>
      <c r="M122" s="216">
        <v>23</v>
      </c>
      <c r="N122" s="216">
        <v>27</v>
      </c>
      <c r="O122" s="216">
        <v>1</v>
      </c>
      <c r="P122" s="216">
        <v>5</v>
      </c>
      <c r="Q122" s="216">
        <v>0.03</v>
      </c>
      <c r="R122" s="216">
        <v>0.04</v>
      </c>
      <c r="S122" s="216">
        <v>0.1</v>
      </c>
      <c r="T122" s="240">
        <v>13.3</v>
      </c>
      <c r="U122" s="240">
        <v>168.8</v>
      </c>
      <c r="V122" s="240">
        <v>15</v>
      </c>
      <c r="W122" s="241">
        <v>0.25</v>
      </c>
      <c r="X122" s="233">
        <v>0.18</v>
      </c>
      <c r="Y122" s="240">
        <v>90</v>
      </c>
      <c r="Z122" s="216">
        <v>0.3</v>
      </c>
      <c r="AA122" s="241">
        <v>0.25900000000000001</v>
      </c>
      <c r="AB122" s="241">
        <v>0.04</v>
      </c>
      <c r="AC122" s="240">
        <v>7</v>
      </c>
      <c r="AD122" s="240">
        <v>0</v>
      </c>
      <c r="AE122" s="233">
        <v>0.4</v>
      </c>
      <c r="AF122" s="233">
        <v>0</v>
      </c>
      <c r="AG122" s="240">
        <v>0</v>
      </c>
      <c r="AH122" s="240">
        <f t="shared" si="14"/>
        <v>0</v>
      </c>
      <c r="AI122" s="236">
        <f t="shared" si="15"/>
        <v>11.5</v>
      </c>
      <c r="AJ122" s="252"/>
      <c r="AK122" s="233">
        <v>0.03</v>
      </c>
      <c r="AL122" s="216">
        <v>16.399999999999999</v>
      </c>
      <c r="AM122" s="236">
        <v>138</v>
      </c>
      <c r="AN122" s="231">
        <v>0</v>
      </c>
      <c r="AO122" s="231">
        <v>0</v>
      </c>
      <c r="AP122" s="231">
        <v>0</v>
      </c>
      <c r="AQ122" s="231">
        <v>0</v>
      </c>
      <c r="AR122" s="231"/>
      <c r="AS122" s="231"/>
      <c r="AT122" s="231"/>
      <c r="AU122" s="231"/>
      <c r="AV122" s="231">
        <v>7</v>
      </c>
      <c r="AW122" s="236">
        <v>3.4000000000000002E-2</v>
      </c>
      <c r="AX122" s="242">
        <v>0.01</v>
      </c>
      <c r="AY122" s="242">
        <v>0</v>
      </c>
      <c r="AZ122" s="231">
        <v>2E-3</v>
      </c>
      <c r="BA122" s="242">
        <v>0</v>
      </c>
      <c r="BB122" s="242">
        <v>0</v>
      </c>
      <c r="BC122" s="242">
        <v>0</v>
      </c>
      <c r="BD122" s="242">
        <v>3.0000000000000001E-3</v>
      </c>
      <c r="BE122" s="231">
        <v>0</v>
      </c>
      <c r="BF122" s="242">
        <v>0</v>
      </c>
      <c r="BG122" s="242">
        <v>2E-3</v>
      </c>
      <c r="BH122" s="242">
        <v>5.2999999999999999E-2</v>
      </c>
      <c r="BI122" s="242">
        <v>0.01</v>
      </c>
      <c r="BJ122" s="242">
        <v>2E-3</v>
      </c>
      <c r="BK122" s="242">
        <v>0</v>
      </c>
      <c r="BL122" s="242">
        <v>0</v>
      </c>
      <c r="BM122" s="242">
        <v>0</v>
      </c>
      <c r="BN122" s="242"/>
      <c r="BO122" s="231">
        <v>0</v>
      </c>
      <c r="BP122" s="231">
        <v>14</v>
      </c>
      <c r="BQ122" s="204">
        <v>23</v>
      </c>
      <c r="BR122" s="204">
        <v>5</v>
      </c>
      <c r="BS122" s="204">
        <v>4</v>
      </c>
      <c r="BT122" s="204">
        <v>15</v>
      </c>
      <c r="BU122" s="204">
        <v>18</v>
      </c>
      <c r="BV122" s="204">
        <v>24</v>
      </c>
      <c r="BW122" s="204">
        <v>26</v>
      </c>
      <c r="BX122" s="204">
        <v>18</v>
      </c>
      <c r="BY122" s="204">
        <v>39</v>
      </c>
      <c r="BZ122" s="204">
        <v>9</v>
      </c>
      <c r="CA122" s="204">
        <v>6</v>
      </c>
      <c r="CB122" s="204">
        <v>18</v>
      </c>
      <c r="CC122" s="204">
        <v>23</v>
      </c>
      <c r="CD122" s="204">
        <v>46</v>
      </c>
      <c r="CE122" s="204">
        <v>123</v>
      </c>
      <c r="CF122" s="204">
        <v>25</v>
      </c>
      <c r="CG122" s="204">
        <v>15</v>
      </c>
      <c r="CH122" s="204">
        <v>24</v>
      </c>
      <c r="CI122" s="231"/>
    </row>
    <row r="123" spans="1:99" ht="25.2" customHeight="1" outlineLevel="1">
      <c r="A123" s="204">
        <v>111</v>
      </c>
      <c r="B123" s="207">
        <v>4028</v>
      </c>
      <c r="C123" s="208" t="s">
        <v>300</v>
      </c>
      <c r="D123" s="194" t="s">
        <v>181</v>
      </c>
      <c r="E123" s="209">
        <f t="shared" si="12"/>
        <v>14</v>
      </c>
      <c r="F123" s="216">
        <v>96.2</v>
      </c>
      <c r="G123" s="217">
        <v>0.8</v>
      </c>
      <c r="H123" s="218"/>
      <c r="I123" s="230">
        <f t="shared" si="13"/>
        <v>2.7</v>
      </c>
      <c r="J123" s="216">
        <v>0.7</v>
      </c>
      <c r="K123" s="216">
        <v>0.3</v>
      </c>
      <c r="L123" s="233"/>
      <c r="M123" s="216">
        <v>25</v>
      </c>
      <c r="N123" s="216">
        <v>37</v>
      </c>
      <c r="O123" s="216">
        <v>0.4</v>
      </c>
      <c r="P123" s="216">
        <v>4</v>
      </c>
      <c r="Q123" s="216">
        <v>0.04</v>
      </c>
      <c r="R123" s="216">
        <v>0.04</v>
      </c>
      <c r="S123" s="216">
        <v>0.3</v>
      </c>
      <c r="T123" s="231"/>
      <c r="U123" s="231"/>
      <c r="V123" s="231"/>
      <c r="W123" s="242"/>
      <c r="X123" s="232"/>
      <c r="Y123" s="231"/>
      <c r="Z123" s="231"/>
      <c r="AA123" s="241"/>
      <c r="AB123" s="241"/>
      <c r="AC123" s="240"/>
      <c r="AD123" s="240"/>
      <c r="AE123" s="233"/>
      <c r="AF123" s="233"/>
      <c r="AG123" s="240">
        <v>0</v>
      </c>
      <c r="AH123" s="240">
        <f t="shared" si="14"/>
        <v>0</v>
      </c>
      <c r="AI123" s="236">
        <f t="shared" si="15"/>
        <v>10.8333333333333</v>
      </c>
      <c r="AJ123" s="252"/>
      <c r="AK123" s="233"/>
      <c r="AL123" s="216"/>
      <c r="AM123" s="236">
        <v>130</v>
      </c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6"/>
      <c r="AX123" s="242"/>
      <c r="AY123" s="242"/>
      <c r="AZ123" s="242"/>
      <c r="BA123" s="242"/>
      <c r="BB123" s="242"/>
      <c r="BC123" s="242"/>
      <c r="BD123" s="242"/>
      <c r="BE123" s="231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31">
        <v>0</v>
      </c>
      <c r="BP123" s="231"/>
      <c r="BQ123" s="231"/>
      <c r="BR123" s="231"/>
      <c r="BS123" s="231"/>
      <c r="BT123" s="231"/>
      <c r="BU123" s="231"/>
      <c r="BV123" s="231"/>
      <c r="BW123" s="231"/>
      <c r="BX123" s="231"/>
      <c r="BY123" s="231"/>
      <c r="BZ123" s="231"/>
      <c r="CA123" s="231"/>
      <c r="CB123" s="231"/>
      <c r="CC123" s="231"/>
      <c r="CD123" s="231"/>
      <c r="CE123" s="231"/>
      <c r="CF123" s="231"/>
      <c r="CG123" s="231"/>
      <c r="CH123" s="231"/>
      <c r="CI123" s="231"/>
    </row>
    <row r="124" spans="1:99" ht="25.2" customHeight="1" outlineLevel="1">
      <c r="A124" s="204">
        <v>112</v>
      </c>
      <c r="B124" s="207">
        <v>4029</v>
      </c>
      <c r="C124" s="208" t="s">
        <v>301</v>
      </c>
      <c r="D124" s="194" t="s">
        <v>181</v>
      </c>
      <c r="E124" s="209">
        <f t="shared" si="12"/>
        <v>77.2</v>
      </c>
      <c r="F124" s="216">
        <v>80</v>
      </c>
      <c r="G124" s="217">
        <v>5</v>
      </c>
      <c r="H124" s="218"/>
      <c r="I124" s="230">
        <f t="shared" si="13"/>
        <v>14.3</v>
      </c>
      <c r="J124" s="216">
        <v>1</v>
      </c>
      <c r="K124" s="216">
        <v>0.7</v>
      </c>
      <c r="L124" s="233"/>
      <c r="M124" s="216">
        <v>26</v>
      </c>
      <c r="N124" s="216">
        <v>122</v>
      </c>
      <c r="O124" s="216">
        <v>0.7</v>
      </c>
      <c r="P124" s="216">
        <v>25</v>
      </c>
      <c r="Q124" s="216">
        <v>0.34</v>
      </c>
      <c r="R124" s="216">
        <v>0.19</v>
      </c>
      <c r="S124" s="216">
        <v>1.6</v>
      </c>
      <c r="T124" s="240">
        <v>95.7</v>
      </c>
      <c r="U124" s="240">
        <v>253.5</v>
      </c>
      <c r="V124" s="240">
        <v>26</v>
      </c>
      <c r="W124" s="241">
        <v>0.5</v>
      </c>
      <c r="X124" s="233">
        <v>0.01</v>
      </c>
      <c r="Y124" s="240">
        <v>90</v>
      </c>
      <c r="Z124" s="216"/>
      <c r="AA124" s="241"/>
      <c r="AB124" s="241"/>
      <c r="AC124" s="240">
        <v>108</v>
      </c>
      <c r="AD124" s="240"/>
      <c r="AE124" s="233"/>
      <c r="AF124" s="233"/>
      <c r="AG124" s="240">
        <v>0</v>
      </c>
      <c r="AH124" s="240">
        <f t="shared" si="14"/>
        <v>0</v>
      </c>
      <c r="AI124" s="236">
        <f t="shared" si="15"/>
        <v>15</v>
      </c>
      <c r="AJ124" s="252"/>
      <c r="AK124" s="233"/>
      <c r="AL124" s="216"/>
      <c r="AM124" s="236">
        <v>180</v>
      </c>
      <c r="AN124" s="231"/>
      <c r="AO124" s="231"/>
      <c r="AP124" s="231"/>
      <c r="AQ124" s="231"/>
      <c r="AR124" s="231"/>
      <c r="AS124" s="231"/>
      <c r="AT124" s="231"/>
      <c r="AU124" s="231"/>
      <c r="AV124" s="231">
        <v>37</v>
      </c>
      <c r="AW124" s="236"/>
      <c r="AX124" s="242"/>
      <c r="AY124" s="242"/>
      <c r="AZ124" s="242"/>
      <c r="BA124" s="242"/>
      <c r="BB124" s="242"/>
      <c r="BC124" s="242"/>
      <c r="BD124" s="242"/>
      <c r="BE124" s="231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31">
        <v>0</v>
      </c>
      <c r="BP124" s="231"/>
      <c r="BQ124" s="204">
        <v>132</v>
      </c>
      <c r="BR124" s="204">
        <v>31</v>
      </c>
      <c r="BS124" s="204">
        <v>33</v>
      </c>
      <c r="BT124" s="204">
        <v>102</v>
      </c>
      <c r="BU124" s="204">
        <v>93</v>
      </c>
      <c r="BV124" s="204">
        <v>118</v>
      </c>
      <c r="BW124" s="204">
        <v>166</v>
      </c>
      <c r="BX124" s="204">
        <v>90</v>
      </c>
      <c r="BY124" s="204">
        <v>102</v>
      </c>
      <c r="BZ124" s="204">
        <v>56</v>
      </c>
      <c r="CA124" s="204">
        <v>20</v>
      </c>
      <c r="CB124" s="204">
        <v>80</v>
      </c>
      <c r="CC124" s="204">
        <v>106</v>
      </c>
      <c r="CD124" s="204">
        <v>288</v>
      </c>
      <c r="CE124" s="204">
        <v>257</v>
      </c>
      <c r="CF124" s="204">
        <v>91</v>
      </c>
      <c r="CG124" s="204">
        <v>91</v>
      </c>
      <c r="CH124" s="204">
        <v>128</v>
      </c>
      <c r="CI124" s="231"/>
    </row>
    <row r="125" spans="1:99" ht="25.2" customHeight="1" outlineLevel="1">
      <c r="A125" s="204">
        <v>113</v>
      </c>
      <c r="B125" s="207">
        <v>4030</v>
      </c>
      <c r="C125" s="208" t="s">
        <v>302</v>
      </c>
      <c r="D125" s="194" t="s">
        <v>181</v>
      </c>
      <c r="E125" s="209">
        <f t="shared" si="12"/>
        <v>65.2</v>
      </c>
      <c r="F125" s="216">
        <v>83</v>
      </c>
      <c r="G125" s="217">
        <v>6</v>
      </c>
      <c r="H125" s="218"/>
      <c r="I125" s="230">
        <f t="shared" si="13"/>
        <v>10.3</v>
      </c>
      <c r="J125" s="216">
        <v>2</v>
      </c>
      <c r="K125" s="216">
        <v>0.7</v>
      </c>
      <c r="L125" s="231"/>
      <c r="M125" s="216">
        <v>47</v>
      </c>
      <c r="N125" s="216">
        <v>16</v>
      </c>
      <c r="O125" s="216">
        <v>1.6</v>
      </c>
      <c r="P125" s="216">
        <v>22</v>
      </c>
      <c r="Q125" s="216">
        <v>0.28999999999999998</v>
      </c>
      <c r="R125" s="216">
        <v>0.18</v>
      </c>
      <c r="S125" s="216">
        <v>0.56999999999999995</v>
      </c>
      <c r="T125" s="240">
        <v>4.99</v>
      </c>
      <c r="U125" s="240">
        <v>194.28</v>
      </c>
      <c r="V125" s="240">
        <v>35.94</v>
      </c>
      <c r="W125" s="241">
        <v>0.20499999999999999</v>
      </c>
      <c r="X125" s="233">
        <v>0.37</v>
      </c>
      <c r="Y125" s="240">
        <v>48</v>
      </c>
      <c r="Z125" s="216">
        <v>1.5</v>
      </c>
      <c r="AA125" s="241">
        <v>5.5E-2</v>
      </c>
      <c r="AB125" s="241">
        <v>2.4E-2</v>
      </c>
      <c r="AC125" s="240">
        <v>62</v>
      </c>
      <c r="AD125" s="240">
        <v>0</v>
      </c>
      <c r="AE125" s="233"/>
      <c r="AF125" s="233">
        <v>0</v>
      </c>
      <c r="AG125" s="240">
        <v>0</v>
      </c>
      <c r="AH125" s="240">
        <f t="shared" si="14"/>
        <v>0</v>
      </c>
      <c r="AI125" s="236">
        <f t="shared" si="15"/>
        <v>20.8333333333333</v>
      </c>
      <c r="AJ125" s="252"/>
      <c r="AK125" s="233"/>
      <c r="AL125" s="216"/>
      <c r="AM125" s="236">
        <v>250</v>
      </c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6">
        <v>0.105</v>
      </c>
      <c r="AX125" s="242">
        <v>8.4000000000000005E-2</v>
      </c>
      <c r="AY125" s="242">
        <v>0</v>
      </c>
      <c r="AZ125" s="242">
        <v>1.2999999999999999E-2</v>
      </c>
      <c r="BA125" s="242">
        <v>0</v>
      </c>
      <c r="BB125" s="242">
        <v>0</v>
      </c>
      <c r="BC125" s="242">
        <v>0</v>
      </c>
      <c r="BD125" s="242">
        <v>3.5999999999999997E-2</v>
      </c>
      <c r="BE125" s="231">
        <v>0</v>
      </c>
      <c r="BF125" s="242">
        <v>1E-3</v>
      </c>
      <c r="BG125" s="242">
        <v>2.1000000000000001E-2</v>
      </c>
      <c r="BH125" s="242">
        <v>0.16900000000000001</v>
      </c>
      <c r="BI125" s="242">
        <v>9.6000000000000002E-2</v>
      </c>
      <c r="BJ125" s="242">
        <v>7.0000000000000007E-2</v>
      </c>
      <c r="BK125" s="242">
        <v>0</v>
      </c>
      <c r="BL125" s="242">
        <v>0</v>
      </c>
      <c r="BM125" s="242">
        <v>0</v>
      </c>
      <c r="BN125" s="242"/>
      <c r="BO125" s="231">
        <v>0</v>
      </c>
      <c r="BP125" s="231"/>
      <c r="BQ125" s="231">
        <v>184</v>
      </c>
      <c r="BR125" s="231">
        <v>40</v>
      </c>
      <c r="BS125" s="231">
        <v>32</v>
      </c>
      <c r="BT125" s="231">
        <v>154</v>
      </c>
      <c r="BU125" s="231">
        <v>104</v>
      </c>
      <c r="BV125" s="231">
        <v>162</v>
      </c>
      <c r="BW125" s="231">
        <v>200</v>
      </c>
      <c r="BX125" s="231">
        <v>150</v>
      </c>
      <c r="BY125" s="231">
        <v>196</v>
      </c>
      <c r="BZ125" s="231">
        <v>90</v>
      </c>
      <c r="CA125" s="231">
        <v>42</v>
      </c>
      <c r="CB125" s="231">
        <v>115</v>
      </c>
      <c r="CC125" s="231"/>
      <c r="CD125" s="231"/>
      <c r="CE125" s="231"/>
      <c r="CF125" s="231"/>
      <c r="CG125" s="231"/>
      <c r="CH125" s="231"/>
      <c r="CI125" s="231"/>
    </row>
    <row r="126" spans="1:99" ht="25.2" customHeight="1" outlineLevel="1">
      <c r="A126" s="204">
        <v>114</v>
      </c>
      <c r="B126" s="207">
        <v>4031</v>
      </c>
      <c r="C126" s="208" t="s">
        <v>303</v>
      </c>
      <c r="D126" s="194" t="s">
        <v>181</v>
      </c>
      <c r="E126" s="209">
        <f t="shared" si="12"/>
        <v>74</v>
      </c>
      <c r="F126" s="216">
        <v>81</v>
      </c>
      <c r="G126" s="217">
        <v>6.5</v>
      </c>
      <c r="H126" s="218"/>
      <c r="I126" s="230">
        <f t="shared" si="13"/>
        <v>12</v>
      </c>
      <c r="J126" s="216">
        <v>1</v>
      </c>
      <c r="K126" s="216">
        <v>0.5</v>
      </c>
      <c r="L126" s="233">
        <v>5.67</v>
      </c>
      <c r="M126" s="216">
        <v>57</v>
      </c>
      <c r="N126" s="216">
        <v>43</v>
      </c>
      <c r="O126" s="216">
        <v>0.8</v>
      </c>
      <c r="P126" s="216">
        <v>27</v>
      </c>
      <c r="Q126" s="216">
        <v>0.4</v>
      </c>
      <c r="R126" s="216">
        <v>0.15</v>
      </c>
      <c r="S126" s="216">
        <v>2.2000000000000002</v>
      </c>
      <c r="T126" s="231">
        <v>5</v>
      </c>
      <c r="U126" s="231">
        <v>244</v>
      </c>
      <c r="V126" s="231">
        <v>33</v>
      </c>
      <c r="W126" s="242">
        <v>0.41</v>
      </c>
      <c r="X126" s="232">
        <v>1.24</v>
      </c>
      <c r="Y126" s="231">
        <v>176</v>
      </c>
      <c r="Z126" s="231">
        <v>1.8</v>
      </c>
      <c r="AA126" s="241">
        <v>0.104</v>
      </c>
      <c r="AB126" s="241">
        <v>0.16900000000000001</v>
      </c>
      <c r="AC126" s="240">
        <v>65</v>
      </c>
      <c r="AD126" s="240">
        <v>0</v>
      </c>
      <c r="AE126" s="233">
        <v>3</v>
      </c>
      <c r="AF126" s="233">
        <v>0</v>
      </c>
      <c r="AG126" s="240">
        <v>0</v>
      </c>
      <c r="AH126" s="240">
        <f t="shared" si="14"/>
        <v>0</v>
      </c>
      <c r="AI126" s="236">
        <f t="shared" si="15"/>
        <v>41.2083333333333</v>
      </c>
      <c r="AJ126" s="252"/>
      <c r="AK126" s="233">
        <v>0.13</v>
      </c>
      <c r="AL126" s="216">
        <v>24.8</v>
      </c>
      <c r="AM126" s="236">
        <v>485</v>
      </c>
      <c r="AN126" s="231">
        <v>19</v>
      </c>
      <c r="AO126" s="231"/>
      <c r="AP126" s="231"/>
      <c r="AQ126" s="231"/>
      <c r="AR126" s="231"/>
      <c r="AS126" s="231"/>
      <c r="AT126" s="231"/>
      <c r="AU126" s="231"/>
      <c r="AV126" s="231"/>
      <c r="AW126" s="236">
        <v>7.0999999999999994E-2</v>
      </c>
      <c r="AX126" s="242">
        <v>6.4000000000000001E-2</v>
      </c>
      <c r="AY126" s="242">
        <v>0</v>
      </c>
      <c r="AZ126" s="242">
        <v>7.0000000000000001E-3</v>
      </c>
      <c r="BA126" s="242">
        <v>0</v>
      </c>
      <c r="BB126" s="242">
        <v>0</v>
      </c>
      <c r="BC126" s="242">
        <v>0</v>
      </c>
      <c r="BD126" s="242">
        <v>3.5000000000000003E-2</v>
      </c>
      <c r="BE126" s="231">
        <v>0</v>
      </c>
      <c r="BF126" s="242">
        <v>0</v>
      </c>
      <c r="BG126" s="242">
        <v>3.5000000000000003E-2</v>
      </c>
      <c r="BH126" s="242">
        <v>0.187</v>
      </c>
      <c r="BI126" s="242">
        <v>0.152</v>
      </c>
      <c r="BJ126" s="242">
        <v>3.5000000000000003E-2</v>
      </c>
      <c r="BK126" s="242">
        <v>0</v>
      </c>
      <c r="BL126" s="242">
        <v>0</v>
      </c>
      <c r="BM126" s="242">
        <v>0</v>
      </c>
      <c r="BN126" s="242"/>
      <c r="BO126" s="231">
        <v>0</v>
      </c>
      <c r="BP126" s="231"/>
      <c r="BQ126" s="204">
        <v>489</v>
      </c>
      <c r="BR126" s="204">
        <v>62</v>
      </c>
      <c r="BS126" s="204">
        <v>68</v>
      </c>
      <c r="BT126" s="204">
        <v>295</v>
      </c>
      <c r="BU126" s="204">
        <v>252</v>
      </c>
      <c r="BV126" s="204">
        <v>317</v>
      </c>
      <c r="BW126" s="204">
        <v>466</v>
      </c>
      <c r="BX126" s="204">
        <v>279</v>
      </c>
      <c r="BY126" s="204">
        <v>587</v>
      </c>
      <c r="BZ126" s="204">
        <v>143</v>
      </c>
      <c r="CA126" s="204">
        <v>64</v>
      </c>
      <c r="CB126" s="204">
        <v>208</v>
      </c>
      <c r="CC126" s="204">
        <v>301</v>
      </c>
      <c r="CD126" s="204">
        <v>665</v>
      </c>
      <c r="CE126" s="204">
        <v>976</v>
      </c>
      <c r="CF126" s="204">
        <v>264</v>
      </c>
      <c r="CG126" s="204">
        <v>257</v>
      </c>
      <c r="CH126" s="204">
        <v>301</v>
      </c>
      <c r="CI126" s="231"/>
    </row>
    <row r="127" spans="1:99" ht="25.2" customHeight="1" outlineLevel="1">
      <c r="A127" s="204">
        <v>115</v>
      </c>
      <c r="B127" s="207">
        <v>4032</v>
      </c>
      <c r="C127" s="208" t="s">
        <v>304</v>
      </c>
      <c r="D127" s="194" t="s">
        <v>181</v>
      </c>
      <c r="E127" s="209">
        <f t="shared" si="12"/>
        <v>40.1</v>
      </c>
      <c r="F127" s="216">
        <v>89.5</v>
      </c>
      <c r="G127" s="217">
        <v>1.9</v>
      </c>
      <c r="H127" s="218">
        <v>0.1</v>
      </c>
      <c r="I127" s="230">
        <f t="shared" si="13"/>
        <v>7.9000000000000101</v>
      </c>
      <c r="J127" s="216">
        <v>1.6</v>
      </c>
      <c r="K127" s="216">
        <v>0.6</v>
      </c>
      <c r="L127" s="233"/>
      <c r="M127" s="216">
        <v>63</v>
      </c>
      <c r="N127" s="216">
        <v>60</v>
      </c>
      <c r="O127" s="216">
        <v>1.3</v>
      </c>
      <c r="P127" s="216">
        <v>22</v>
      </c>
      <c r="Q127" s="216">
        <v>0.06</v>
      </c>
      <c r="R127" s="216">
        <v>0.12</v>
      </c>
      <c r="S127" s="216">
        <v>0.5</v>
      </c>
      <c r="T127" s="231"/>
      <c r="U127" s="231"/>
      <c r="V127" s="231"/>
      <c r="W127" s="242"/>
      <c r="X127" s="232"/>
      <c r="Y127" s="231"/>
      <c r="Z127" s="231"/>
      <c r="AA127" s="241"/>
      <c r="AB127" s="241"/>
      <c r="AC127" s="240"/>
      <c r="AD127" s="240"/>
      <c r="AE127" s="233"/>
      <c r="AF127" s="233"/>
      <c r="AG127" s="240">
        <v>0</v>
      </c>
      <c r="AH127" s="240">
        <f t="shared" si="14"/>
        <v>0</v>
      </c>
      <c r="AI127" s="236">
        <f t="shared" si="15"/>
        <v>22.5</v>
      </c>
      <c r="AJ127" s="252"/>
      <c r="AK127" s="233"/>
      <c r="AL127" s="216"/>
      <c r="AM127" s="236">
        <v>270</v>
      </c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6"/>
      <c r="AX127" s="242"/>
      <c r="AY127" s="242"/>
      <c r="AZ127" s="242"/>
      <c r="BA127" s="242"/>
      <c r="BB127" s="242"/>
      <c r="BC127" s="242"/>
      <c r="BD127" s="242"/>
      <c r="BE127" s="231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31">
        <v>0</v>
      </c>
      <c r="BP127" s="231"/>
      <c r="BQ127" s="231"/>
      <c r="BR127" s="231"/>
      <c r="BS127" s="231"/>
      <c r="BT127" s="231"/>
      <c r="BU127" s="231"/>
      <c r="BV127" s="231"/>
      <c r="BW127" s="231"/>
      <c r="BX127" s="231"/>
      <c r="BY127" s="231"/>
      <c r="BZ127" s="231"/>
      <c r="CA127" s="231"/>
      <c r="CB127" s="231"/>
      <c r="CC127" s="231"/>
      <c r="CD127" s="231"/>
      <c r="CE127" s="231"/>
      <c r="CF127" s="231"/>
      <c r="CG127" s="231"/>
      <c r="CH127" s="231"/>
      <c r="CI127" s="231"/>
    </row>
    <row r="128" spans="1:99" ht="25.2" customHeight="1" outlineLevel="1">
      <c r="A128" s="204">
        <v>116</v>
      </c>
      <c r="B128" s="207">
        <v>4033</v>
      </c>
      <c r="C128" s="208" t="s">
        <v>305</v>
      </c>
      <c r="D128" s="194" t="s">
        <v>181</v>
      </c>
      <c r="E128" s="209">
        <f t="shared" si="12"/>
        <v>29.6</v>
      </c>
      <c r="F128" s="216">
        <v>92.1</v>
      </c>
      <c r="G128" s="217">
        <v>0.8</v>
      </c>
      <c r="H128" s="218"/>
      <c r="I128" s="230">
        <f t="shared" si="13"/>
        <v>6.6000000000000103</v>
      </c>
      <c r="J128" s="216">
        <v>2</v>
      </c>
      <c r="K128" s="216">
        <v>0.5</v>
      </c>
      <c r="L128" s="233"/>
      <c r="M128" s="216">
        <v>63</v>
      </c>
      <c r="N128" s="216">
        <v>50</v>
      </c>
      <c r="O128" s="216">
        <v>0.9</v>
      </c>
      <c r="P128" s="216">
        <v>40</v>
      </c>
      <c r="Q128" s="216">
        <v>0.02</v>
      </c>
      <c r="R128" s="216">
        <v>0.03</v>
      </c>
      <c r="S128" s="216">
        <v>0.3</v>
      </c>
      <c r="T128" s="240">
        <v>7</v>
      </c>
      <c r="U128" s="240">
        <v>215</v>
      </c>
      <c r="V128" s="240">
        <v>56</v>
      </c>
      <c r="W128" s="241"/>
      <c r="X128" s="233"/>
      <c r="Y128" s="240">
        <v>101</v>
      </c>
      <c r="Z128" s="216"/>
      <c r="AA128" s="241"/>
      <c r="AB128" s="241"/>
      <c r="AC128" s="240"/>
      <c r="AD128" s="240"/>
      <c r="AE128" s="233"/>
      <c r="AF128" s="233"/>
      <c r="AG128" s="240">
        <v>0</v>
      </c>
      <c r="AH128" s="240">
        <f t="shared" si="14"/>
        <v>0</v>
      </c>
      <c r="AI128" s="236">
        <f t="shared" si="15"/>
        <v>1.25</v>
      </c>
      <c r="AJ128" s="252"/>
      <c r="AK128" s="233"/>
      <c r="AL128" s="216"/>
      <c r="AM128" s="236">
        <v>15</v>
      </c>
      <c r="AN128" s="231"/>
      <c r="AO128" s="231"/>
      <c r="AP128" s="231"/>
      <c r="AQ128" s="231"/>
      <c r="AR128" s="231"/>
      <c r="AS128" s="231"/>
      <c r="AT128" s="231"/>
      <c r="AU128" s="231"/>
      <c r="AV128" s="231"/>
      <c r="AW128" s="236"/>
      <c r="AX128" s="242"/>
      <c r="AY128" s="242"/>
      <c r="AZ128" s="242"/>
      <c r="BA128" s="242"/>
      <c r="BB128" s="242"/>
      <c r="BC128" s="242"/>
      <c r="BD128" s="242"/>
      <c r="BE128" s="231"/>
      <c r="BF128" s="242"/>
      <c r="BG128" s="242"/>
      <c r="BH128" s="242"/>
      <c r="BI128" s="242"/>
      <c r="BJ128" s="242"/>
      <c r="BK128" s="242"/>
      <c r="BL128" s="242"/>
      <c r="BM128" s="242"/>
      <c r="BN128" s="242"/>
      <c r="BO128" s="231">
        <v>0</v>
      </c>
      <c r="BP128" s="231"/>
      <c r="BQ128" s="231"/>
      <c r="BR128" s="231"/>
      <c r="BS128" s="231"/>
      <c r="BT128" s="231"/>
      <c r="BU128" s="231"/>
      <c r="BV128" s="231"/>
      <c r="BW128" s="231"/>
      <c r="BX128" s="231"/>
      <c r="BY128" s="231"/>
      <c r="BZ128" s="231"/>
      <c r="CA128" s="231"/>
      <c r="CB128" s="231"/>
      <c r="CC128" s="231"/>
      <c r="CD128" s="231"/>
      <c r="CE128" s="231"/>
      <c r="CF128" s="231"/>
      <c r="CG128" s="231"/>
      <c r="CH128" s="231"/>
      <c r="CI128" s="231"/>
    </row>
    <row r="129" spans="1:87" ht="25.2" customHeight="1" outlineLevel="1">
      <c r="A129" s="204">
        <v>117</v>
      </c>
      <c r="B129" s="207">
        <v>4034</v>
      </c>
      <c r="C129" s="208" t="s">
        <v>306</v>
      </c>
      <c r="D129" s="194" t="s">
        <v>181</v>
      </c>
      <c r="E129" s="209">
        <f t="shared" si="12"/>
        <v>128.69999999999999</v>
      </c>
      <c r="F129" s="216">
        <v>77</v>
      </c>
      <c r="G129" s="217">
        <v>2.1</v>
      </c>
      <c r="H129" s="218">
        <v>7.9</v>
      </c>
      <c r="I129" s="230">
        <f t="shared" si="13"/>
        <v>12.3</v>
      </c>
      <c r="J129" s="216">
        <v>1.8</v>
      </c>
      <c r="K129" s="216">
        <v>0.7</v>
      </c>
      <c r="L129" s="233"/>
      <c r="M129" s="233">
        <v>56</v>
      </c>
      <c r="N129" s="233">
        <v>6.4</v>
      </c>
      <c r="O129" s="233">
        <v>1.2</v>
      </c>
      <c r="P129" s="233">
        <v>11</v>
      </c>
      <c r="Q129" s="233"/>
      <c r="R129" s="233"/>
      <c r="S129" s="233"/>
      <c r="T129" s="231"/>
      <c r="U129" s="231"/>
      <c r="V129" s="231"/>
      <c r="W129" s="242"/>
      <c r="X129" s="232"/>
      <c r="Y129" s="231"/>
      <c r="Z129" s="231"/>
      <c r="AA129" s="241"/>
      <c r="AB129" s="241"/>
      <c r="AC129" s="240"/>
      <c r="AD129" s="240"/>
      <c r="AE129" s="233"/>
      <c r="AF129" s="233"/>
      <c r="AG129" s="240">
        <v>0</v>
      </c>
      <c r="AH129" s="240">
        <f t="shared" si="14"/>
        <v>0</v>
      </c>
      <c r="AI129" s="236">
        <f t="shared" si="15"/>
        <v>1926.25</v>
      </c>
      <c r="AJ129" s="216"/>
      <c r="AK129" s="233"/>
      <c r="AL129" s="216"/>
      <c r="AM129" s="236">
        <v>21756</v>
      </c>
      <c r="AN129" s="231">
        <v>2718</v>
      </c>
      <c r="AO129" s="231">
        <v>0</v>
      </c>
      <c r="AP129" s="231">
        <v>49667</v>
      </c>
      <c r="AQ129" s="231">
        <v>0</v>
      </c>
      <c r="AR129" s="231"/>
      <c r="AS129" s="231"/>
      <c r="AT129" s="231"/>
      <c r="AU129" s="231"/>
      <c r="AV129" s="231"/>
      <c r="AW129" s="236">
        <v>2.0510000000000002</v>
      </c>
      <c r="AX129" s="242">
        <v>1.58</v>
      </c>
      <c r="AY129" s="242">
        <v>0</v>
      </c>
      <c r="AZ129" s="242">
        <v>0.41699999999999998</v>
      </c>
      <c r="BA129" s="242">
        <v>2.7E-2</v>
      </c>
      <c r="BB129" s="242">
        <v>0</v>
      </c>
      <c r="BC129" s="242">
        <v>0</v>
      </c>
      <c r="BD129" s="242">
        <v>1.764</v>
      </c>
      <c r="BE129" s="231">
        <v>0</v>
      </c>
      <c r="BF129" s="242">
        <v>1.6E-2</v>
      </c>
      <c r="BG129" s="242">
        <v>1.748</v>
      </c>
      <c r="BH129" s="242">
        <v>1.548</v>
      </c>
      <c r="BI129" s="242">
        <v>1.5209999999999999</v>
      </c>
      <c r="BJ129" s="242">
        <v>2.7E-2</v>
      </c>
      <c r="BK129" s="242">
        <v>0</v>
      </c>
      <c r="BL129" s="242">
        <v>0</v>
      </c>
      <c r="BM129" s="242">
        <v>0</v>
      </c>
      <c r="BN129" s="242"/>
      <c r="BO129" s="231">
        <v>0</v>
      </c>
      <c r="BP129" s="231"/>
      <c r="BQ129" s="231"/>
      <c r="BR129" s="231"/>
      <c r="BS129" s="231"/>
      <c r="BT129" s="231"/>
      <c r="BU129" s="231"/>
      <c r="BV129" s="231"/>
      <c r="BW129" s="231"/>
      <c r="BX129" s="231"/>
      <c r="BY129" s="231"/>
      <c r="BZ129" s="231"/>
      <c r="CA129" s="231"/>
      <c r="CB129" s="231"/>
      <c r="CC129" s="231"/>
      <c r="CD129" s="231"/>
      <c r="CE129" s="231"/>
      <c r="CF129" s="231"/>
      <c r="CG129" s="231"/>
      <c r="CH129" s="231"/>
      <c r="CI129" s="231"/>
    </row>
    <row r="130" spans="1:87" ht="25.2" customHeight="1" outlineLevel="1">
      <c r="A130" s="204">
        <v>118</v>
      </c>
      <c r="B130" s="207">
        <v>4035</v>
      </c>
      <c r="C130" s="208" t="s">
        <v>307</v>
      </c>
      <c r="D130" s="194" t="s">
        <v>181</v>
      </c>
      <c r="E130" s="209">
        <f t="shared" si="12"/>
        <v>81.8</v>
      </c>
      <c r="F130" s="216">
        <v>80.8</v>
      </c>
      <c r="G130" s="217">
        <v>7.7</v>
      </c>
      <c r="H130" s="218">
        <v>1.8</v>
      </c>
      <c r="I130" s="230">
        <f t="shared" si="13"/>
        <v>8.6999999999999993</v>
      </c>
      <c r="J130" s="216">
        <v>0.7</v>
      </c>
      <c r="K130" s="216">
        <v>1</v>
      </c>
      <c r="L130" s="233"/>
      <c r="M130" s="216">
        <v>52</v>
      </c>
      <c r="N130" s="216">
        <v>58</v>
      </c>
      <c r="O130" s="216">
        <v>1.1000000000000001</v>
      </c>
      <c r="P130" s="216">
        <v>10</v>
      </c>
      <c r="Q130" s="216">
        <v>0.19</v>
      </c>
      <c r="R130" s="216">
        <v>0.15</v>
      </c>
      <c r="S130" s="216">
        <v>0.8</v>
      </c>
      <c r="T130" s="231">
        <v>14</v>
      </c>
      <c r="U130" s="231">
        <v>484</v>
      </c>
      <c r="V130" s="231">
        <v>72</v>
      </c>
      <c r="W130" s="242">
        <v>0.70199999999999996</v>
      </c>
      <c r="X130" s="232">
        <v>1.17</v>
      </c>
      <c r="Y130" s="231">
        <v>427</v>
      </c>
      <c r="Z130" s="231">
        <v>0.6</v>
      </c>
      <c r="AA130" s="241">
        <v>0.92900000000000005</v>
      </c>
      <c r="AB130" s="241">
        <v>0.17599999999999999</v>
      </c>
      <c r="AC130" s="240">
        <v>172</v>
      </c>
      <c r="AD130" s="240">
        <v>0</v>
      </c>
      <c r="AE130" s="233"/>
      <c r="AF130" s="233">
        <v>0</v>
      </c>
      <c r="AG130" s="240">
        <v>0</v>
      </c>
      <c r="AH130" s="240">
        <f t="shared" si="14"/>
        <v>0</v>
      </c>
      <c r="AI130" s="236">
        <f t="shared" si="15"/>
        <v>2.0833333333333299</v>
      </c>
      <c r="AJ130" s="252"/>
      <c r="AK130" s="233"/>
      <c r="AL130" s="216"/>
      <c r="AM130" s="236">
        <v>25</v>
      </c>
      <c r="AN130" s="231"/>
      <c r="AO130" s="231"/>
      <c r="AP130" s="231"/>
      <c r="AQ130" s="231"/>
      <c r="AR130" s="231">
        <v>40.71</v>
      </c>
      <c r="AS130" s="231">
        <v>19.12</v>
      </c>
      <c r="AT130" s="231">
        <v>21.6</v>
      </c>
      <c r="AU130" s="231"/>
      <c r="AV130" s="231">
        <v>80</v>
      </c>
      <c r="AW130" s="236">
        <v>0.92900000000000005</v>
      </c>
      <c r="AX130" s="242">
        <v>0.67400000000000004</v>
      </c>
      <c r="AY130" s="242">
        <v>0</v>
      </c>
      <c r="AZ130" s="242">
        <v>0.249</v>
      </c>
      <c r="BA130" s="242">
        <v>0</v>
      </c>
      <c r="BB130" s="242">
        <v>0</v>
      </c>
      <c r="BC130" s="242">
        <v>0</v>
      </c>
      <c r="BD130" s="242">
        <v>1.518</v>
      </c>
      <c r="BE130" s="231">
        <v>0</v>
      </c>
      <c r="BF130" s="242">
        <v>1.2999999999999999E-2</v>
      </c>
      <c r="BG130" s="242">
        <v>1.492</v>
      </c>
      <c r="BH130" s="242">
        <v>3.7829999999999999</v>
      </c>
      <c r="BI130" s="242">
        <v>3.3380000000000001</v>
      </c>
      <c r="BJ130" s="242">
        <v>0.44500000000000001</v>
      </c>
      <c r="BK130" s="242">
        <v>0</v>
      </c>
      <c r="BL130" s="242">
        <v>0</v>
      </c>
      <c r="BM130" s="242">
        <v>0</v>
      </c>
      <c r="BN130" s="242"/>
      <c r="BO130" s="231">
        <v>0</v>
      </c>
      <c r="BP130" s="231"/>
      <c r="BQ130" s="204">
        <v>392</v>
      </c>
      <c r="BR130" s="204">
        <v>116</v>
      </c>
      <c r="BS130" s="204">
        <v>79</v>
      </c>
      <c r="BT130" s="204">
        <v>391</v>
      </c>
      <c r="BU130" s="204">
        <v>317</v>
      </c>
      <c r="BV130" s="204">
        <v>423</v>
      </c>
      <c r="BW130" s="204">
        <v>670</v>
      </c>
      <c r="BX130" s="204">
        <v>452</v>
      </c>
      <c r="BY130" s="204">
        <v>460</v>
      </c>
      <c r="BZ130" s="204">
        <v>164</v>
      </c>
      <c r="CA130" s="204">
        <v>79</v>
      </c>
      <c r="CB130" s="204">
        <v>276</v>
      </c>
      <c r="CC130" s="204">
        <v>377</v>
      </c>
      <c r="CD130" s="204">
        <v>1452</v>
      </c>
      <c r="CE130" s="204">
        <v>925</v>
      </c>
      <c r="CF130" s="204">
        <v>356</v>
      </c>
      <c r="CG130" s="204">
        <v>323</v>
      </c>
      <c r="CH130" s="204">
        <v>453</v>
      </c>
      <c r="CI130" s="231"/>
    </row>
    <row r="131" spans="1:87" ht="25.2" customHeight="1" outlineLevel="1">
      <c r="A131" s="204">
        <v>119</v>
      </c>
      <c r="B131" s="207">
        <v>4036</v>
      </c>
      <c r="C131" s="208" t="s">
        <v>308</v>
      </c>
      <c r="D131" s="194" t="s">
        <v>181</v>
      </c>
      <c r="E131" s="209">
        <f t="shared" si="12"/>
        <v>51.2</v>
      </c>
      <c r="F131" s="216">
        <v>86.5</v>
      </c>
      <c r="G131" s="217">
        <v>5.5</v>
      </c>
      <c r="H131" s="218"/>
      <c r="I131" s="230">
        <f t="shared" si="13"/>
        <v>7.3</v>
      </c>
      <c r="J131" s="216">
        <v>2</v>
      </c>
      <c r="K131" s="216">
        <v>0.7</v>
      </c>
      <c r="L131" s="233">
        <v>4.13</v>
      </c>
      <c r="M131" s="216">
        <v>38</v>
      </c>
      <c r="N131" s="216">
        <v>91</v>
      </c>
      <c r="O131" s="216">
        <v>1.4</v>
      </c>
      <c r="P131" s="216">
        <v>10</v>
      </c>
      <c r="Q131" s="216">
        <v>0.2</v>
      </c>
      <c r="R131" s="216">
        <v>0.13</v>
      </c>
      <c r="S131" s="216">
        <v>0.75</v>
      </c>
      <c r="T131" s="240">
        <v>23.02</v>
      </c>
      <c r="U131" s="240">
        <v>164.01</v>
      </c>
      <c r="V131" s="240">
        <v>16.579999999999998</v>
      </c>
      <c r="W131" s="241">
        <v>0.188</v>
      </c>
      <c r="X131" s="233">
        <v>0.41</v>
      </c>
      <c r="Y131" s="240">
        <v>164</v>
      </c>
      <c r="Z131" s="216">
        <v>0.6</v>
      </c>
      <c r="AA131" s="241">
        <v>0.38</v>
      </c>
      <c r="AB131" s="241">
        <v>8.7999999999999995E-2</v>
      </c>
      <c r="AC131" s="240">
        <v>61</v>
      </c>
      <c r="AD131" s="240">
        <v>0</v>
      </c>
      <c r="AE131" s="233"/>
      <c r="AF131" s="233">
        <v>0</v>
      </c>
      <c r="AG131" s="240">
        <v>0</v>
      </c>
      <c r="AH131" s="240">
        <f t="shared" si="14"/>
        <v>0</v>
      </c>
      <c r="AI131" s="236">
        <f t="shared" si="15"/>
        <v>1</v>
      </c>
      <c r="AJ131" s="252"/>
      <c r="AK131" s="233">
        <v>0.1</v>
      </c>
      <c r="AL131" s="216">
        <v>33</v>
      </c>
      <c r="AM131" s="236">
        <v>6</v>
      </c>
      <c r="AN131" s="231">
        <v>6</v>
      </c>
      <c r="AO131" s="231">
        <v>6</v>
      </c>
      <c r="AP131" s="231">
        <v>0</v>
      </c>
      <c r="AQ131" s="231">
        <v>0</v>
      </c>
      <c r="AR131" s="231"/>
      <c r="AS131" s="231"/>
      <c r="AT131" s="231"/>
      <c r="AU131" s="231"/>
      <c r="AV131" s="231"/>
      <c r="AW131" s="236">
        <v>4.5999999999999999E-2</v>
      </c>
      <c r="AX131" s="242">
        <v>3.2000000000000001E-2</v>
      </c>
      <c r="AY131" s="242">
        <v>0</v>
      </c>
      <c r="AZ131" s="242">
        <v>8.0000000000000002E-3</v>
      </c>
      <c r="BA131" s="242">
        <v>0</v>
      </c>
      <c r="BB131" s="242">
        <v>0</v>
      </c>
      <c r="BC131" s="242">
        <v>0</v>
      </c>
      <c r="BD131" s="242">
        <v>2.1999999999999999E-2</v>
      </c>
      <c r="BE131" s="231">
        <v>0</v>
      </c>
      <c r="BF131" s="242">
        <v>0</v>
      </c>
      <c r="BG131" s="242">
        <v>2.1999999999999999E-2</v>
      </c>
      <c r="BH131" s="242">
        <v>5.8000000000000003E-2</v>
      </c>
      <c r="BI131" s="242">
        <v>4.2000000000000003E-2</v>
      </c>
      <c r="BJ131" s="242">
        <v>1.6E-2</v>
      </c>
      <c r="BK131" s="242">
        <v>0</v>
      </c>
      <c r="BL131" s="242">
        <v>0</v>
      </c>
      <c r="BM131" s="242">
        <v>0</v>
      </c>
      <c r="BN131" s="242"/>
      <c r="BO131" s="231">
        <v>0</v>
      </c>
      <c r="BP131" s="231">
        <v>15</v>
      </c>
      <c r="BQ131" s="204">
        <v>274</v>
      </c>
      <c r="BR131" s="204">
        <v>87</v>
      </c>
      <c r="BS131" s="204">
        <v>60</v>
      </c>
      <c r="BT131" s="204">
        <v>271</v>
      </c>
      <c r="BU131" s="204">
        <v>225</v>
      </c>
      <c r="BV131" s="204">
        <v>324</v>
      </c>
      <c r="BW131" s="204">
        <v>463</v>
      </c>
      <c r="BX131" s="204">
        <v>316</v>
      </c>
      <c r="BY131" s="204">
        <v>366</v>
      </c>
      <c r="BZ131" s="204">
        <v>132</v>
      </c>
      <c r="CA131" s="204">
        <v>43</v>
      </c>
      <c r="CB131" s="204">
        <v>192</v>
      </c>
      <c r="CC131" s="204">
        <v>259</v>
      </c>
      <c r="CD131" s="204">
        <v>1062</v>
      </c>
      <c r="CE131" s="204">
        <v>656</v>
      </c>
      <c r="CF131" s="204">
        <v>211</v>
      </c>
      <c r="CG131" s="204">
        <v>272</v>
      </c>
      <c r="CH131" s="204">
        <v>273</v>
      </c>
      <c r="CI131" s="231"/>
    </row>
    <row r="132" spans="1:87" ht="25.2" customHeight="1" outlineLevel="1">
      <c r="A132" s="204">
        <v>120</v>
      </c>
      <c r="B132" s="207">
        <v>4037</v>
      </c>
      <c r="C132" s="208" t="s">
        <v>309</v>
      </c>
      <c r="D132" s="194" t="s">
        <v>181</v>
      </c>
      <c r="E132" s="209">
        <f t="shared" si="12"/>
        <v>27.2</v>
      </c>
      <c r="F132" s="216">
        <v>92.5</v>
      </c>
      <c r="G132" s="217">
        <v>1.3</v>
      </c>
      <c r="H132" s="218"/>
      <c r="I132" s="230">
        <f t="shared" si="13"/>
        <v>5.5</v>
      </c>
      <c r="J132" s="216">
        <v>0.7</v>
      </c>
      <c r="K132" s="216">
        <v>0.7</v>
      </c>
      <c r="L132" s="233"/>
      <c r="M132" s="216">
        <v>32</v>
      </c>
      <c r="N132" s="216">
        <v>49</v>
      </c>
      <c r="O132" s="216">
        <v>1.1000000000000001</v>
      </c>
      <c r="P132" s="216">
        <v>10</v>
      </c>
      <c r="Q132" s="216">
        <v>0.03</v>
      </c>
      <c r="R132" s="216">
        <v>0.04</v>
      </c>
      <c r="S132" s="216">
        <v>0.2</v>
      </c>
      <c r="T132" s="231">
        <v>17</v>
      </c>
      <c r="U132" s="231">
        <v>212</v>
      </c>
      <c r="V132" s="231">
        <v>23</v>
      </c>
      <c r="W132" s="242">
        <v>0.13700000000000001</v>
      </c>
      <c r="X132" s="232">
        <v>0.52</v>
      </c>
      <c r="Y132" s="231">
        <v>70</v>
      </c>
      <c r="Z132" s="231">
        <v>0.6</v>
      </c>
      <c r="AA132" s="241">
        <v>0.16900000000000001</v>
      </c>
      <c r="AB132" s="241">
        <v>7.1999999999999995E-2</v>
      </c>
      <c r="AC132" s="240">
        <v>16</v>
      </c>
      <c r="AD132" s="240">
        <v>0</v>
      </c>
      <c r="AE132" s="233"/>
      <c r="AF132" s="233">
        <v>0</v>
      </c>
      <c r="AG132" s="240">
        <v>0</v>
      </c>
      <c r="AH132" s="240">
        <f t="shared" si="14"/>
        <v>0</v>
      </c>
      <c r="AI132" s="236">
        <f t="shared" si="15"/>
        <v>1.25</v>
      </c>
      <c r="AJ132" s="252"/>
      <c r="AK132" s="233"/>
      <c r="AL132" s="216"/>
      <c r="AM132" s="236">
        <v>15</v>
      </c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6">
        <v>6.7000000000000004E-2</v>
      </c>
      <c r="AX132" s="242">
        <v>0.06</v>
      </c>
      <c r="AY132" s="242">
        <v>0</v>
      </c>
      <c r="AZ132" s="242">
        <v>5.0000000000000001E-3</v>
      </c>
      <c r="BA132" s="242">
        <v>0</v>
      </c>
      <c r="BB132" s="242">
        <v>0</v>
      </c>
      <c r="BC132" s="242">
        <v>0</v>
      </c>
      <c r="BD132" s="242">
        <v>5.6000000000000001E-2</v>
      </c>
      <c r="BE132" s="231">
        <v>0</v>
      </c>
      <c r="BF132" s="242"/>
      <c r="BG132" s="242">
        <v>5.6000000000000001E-2</v>
      </c>
      <c r="BH132" s="242">
        <v>0.156</v>
      </c>
      <c r="BI132" s="242">
        <v>0.14799999999999999</v>
      </c>
      <c r="BJ132" s="242">
        <v>8.0000000000000002E-3</v>
      </c>
      <c r="BK132" s="242">
        <v>0</v>
      </c>
      <c r="BL132" s="242">
        <v>0</v>
      </c>
      <c r="BM132" s="242">
        <v>0</v>
      </c>
      <c r="BN132" s="242"/>
      <c r="BO132" s="231">
        <v>0</v>
      </c>
      <c r="BP132" s="231"/>
      <c r="BQ132" s="231">
        <v>95</v>
      </c>
      <c r="BR132" s="231">
        <v>21</v>
      </c>
      <c r="BS132" s="231">
        <v>21</v>
      </c>
      <c r="BT132" s="231">
        <v>61</v>
      </c>
      <c r="BU132" s="231">
        <v>74</v>
      </c>
      <c r="BV132" s="231">
        <v>84</v>
      </c>
      <c r="BW132" s="231">
        <v>113</v>
      </c>
      <c r="BX132" s="231">
        <v>81</v>
      </c>
      <c r="BY132" s="231">
        <v>137</v>
      </c>
      <c r="BZ132" s="231">
        <v>33</v>
      </c>
      <c r="CA132" s="231"/>
      <c r="CB132" s="231">
        <v>55</v>
      </c>
      <c r="CC132" s="231">
        <v>86</v>
      </c>
      <c r="CD132" s="231">
        <v>176</v>
      </c>
      <c r="CE132" s="231">
        <v>393</v>
      </c>
      <c r="CF132" s="231">
        <v>94</v>
      </c>
      <c r="CG132" s="231">
        <v>126</v>
      </c>
      <c r="CH132" s="231">
        <v>86</v>
      </c>
      <c r="CI132" s="231"/>
    </row>
    <row r="133" spans="1:87" ht="25.2" customHeight="1" outlineLevel="1">
      <c r="A133" s="204">
        <v>121</v>
      </c>
      <c r="B133" s="207">
        <v>4038</v>
      </c>
      <c r="C133" s="208" t="s">
        <v>310</v>
      </c>
      <c r="D133" s="194" t="s">
        <v>181</v>
      </c>
      <c r="E133" s="209">
        <f t="shared" si="12"/>
        <v>26</v>
      </c>
      <c r="F133" s="216">
        <v>92.5</v>
      </c>
      <c r="G133" s="217">
        <v>1.3</v>
      </c>
      <c r="H133" s="218"/>
      <c r="I133" s="230">
        <f t="shared" si="13"/>
        <v>5.2</v>
      </c>
      <c r="J133" s="216">
        <v>0.9</v>
      </c>
      <c r="K133" s="216">
        <v>1</v>
      </c>
      <c r="L133" s="233"/>
      <c r="M133" s="216">
        <v>80</v>
      </c>
      <c r="N133" s="216">
        <v>41</v>
      </c>
      <c r="O133" s="216">
        <v>1</v>
      </c>
      <c r="P133" s="216">
        <v>60</v>
      </c>
      <c r="Q133" s="216">
        <v>0.03</v>
      </c>
      <c r="R133" s="216">
        <v>0.1</v>
      </c>
      <c r="S133" s="216">
        <v>1</v>
      </c>
      <c r="T133" s="240">
        <v>16</v>
      </c>
      <c r="U133" s="240">
        <v>122.6</v>
      </c>
      <c r="V133" s="240">
        <v>23.12</v>
      </c>
      <c r="W133" s="241">
        <v>0.26</v>
      </c>
      <c r="X133" s="233">
        <v>0.44</v>
      </c>
      <c r="Y133" s="240">
        <v>180</v>
      </c>
      <c r="Z133" s="216"/>
      <c r="AA133" s="241"/>
      <c r="AB133" s="241"/>
      <c r="AC133" s="240"/>
      <c r="AD133" s="240"/>
      <c r="AE133" s="233"/>
      <c r="AF133" s="233"/>
      <c r="AG133" s="240">
        <v>0</v>
      </c>
      <c r="AH133" s="240">
        <f t="shared" si="14"/>
        <v>0</v>
      </c>
      <c r="AI133" s="236">
        <f t="shared" si="15"/>
        <v>114.166666666667</v>
      </c>
      <c r="AJ133" s="252"/>
      <c r="AK133" s="233"/>
      <c r="AL133" s="216"/>
      <c r="AM133" s="236">
        <v>1370</v>
      </c>
      <c r="AN133" s="231"/>
      <c r="AO133" s="231"/>
      <c r="AP133" s="231"/>
      <c r="AQ133" s="231"/>
      <c r="AR133" s="231"/>
      <c r="AS133" s="231"/>
      <c r="AT133" s="231"/>
      <c r="AU133" s="231"/>
      <c r="AV133" s="231"/>
      <c r="AW133" s="236"/>
      <c r="AX133" s="242"/>
      <c r="AY133" s="242"/>
      <c r="AZ133" s="242"/>
      <c r="BA133" s="242"/>
      <c r="BB133" s="242"/>
      <c r="BC133" s="242"/>
      <c r="BD133" s="242"/>
      <c r="BE133" s="231"/>
      <c r="BF133" s="242"/>
      <c r="BG133" s="242"/>
      <c r="BH133" s="242"/>
      <c r="BI133" s="242"/>
      <c r="BJ133" s="242"/>
      <c r="BK133" s="242"/>
      <c r="BL133" s="242"/>
      <c r="BM133" s="242"/>
      <c r="BN133" s="242"/>
      <c r="BO133" s="231">
        <v>0</v>
      </c>
      <c r="BP133" s="231"/>
      <c r="BQ133" s="231"/>
      <c r="BR133" s="231"/>
      <c r="BS133" s="231"/>
      <c r="BT133" s="231"/>
      <c r="BU133" s="231"/>
      <c r="BV133" s="231"/>
      <c r="BW133" s="231"/>
      <c r="BX133" s="231"/>
      <c r="BY133" s="231"/>
      <c r="BZ133" s="231"/>
      <c r="CA133" s="231"/>
      <c r="CB133" s="231"/>
      <c r="CC133" s="231"/>
      <c r="CD133" s="231"/>
      <c r="CE133" s="231"/>
      <c r="CF133" s="231"/>
      <c r="CG133" s="231"/>
      <c r="CH133" s="231"/>
      <c r="CI133" s="231"/>
    </row>
    <row r="134" spans="1:87" ht="25.2" customHeight="1" outlineLevel="1">
      <c r="A134" s="204">
        <v>122</v>
      </c>
      <c r="B134" s="207">
        <v>4039</v>
      </c>
      <c r="C134" s="208" t="s">
        <v>311</v>
      </c>
      <c r="D134" s="194" t="s">
        <v>181</v>
      </c>
      <c r="E134" s="209">
        <f t="shared" si="12"/>
        <v>44.8</v>
      </c>
      <c r="F134" s="216">
        <v>88</v>
      </c>
      <c r="G134" s="217">
        <v>1.8</v>
      </c>
      <c r="H134" s="218"/>
      <c r="I134" s="230">
        <f t="shared" si="13"/>
        <v>9.4000000000000092</v>
      </c>
      <c r="J134" s="216">
        <v>1.1000000000000001</v>
      </c>
      <c r="K134" s="216">
        <v>0.8</v>
      </c>
      <c r="L134" s="233">
        <v>4.28</v>
      </c>
      <c r="M134" s="216">
        <v>38</v>
      </c>
      <c r="N134" s="216">
        <v>58</v>
      </c>
      <c r="O134" s="216">
        <v>0.8</v>
      </c>
      <c r="P134" s="216">
        <v>10</v>
      </c>
      <c r="Q134" s="216">
        <v>0.03</v>
      </c>
      <c r="R134" s="216">
        <v>0.04</v>
      </c>
      <c r="S134" s="216">
        <v>0.2</v>
      </c>
      <c r="T134" s="240">
        <v>7.5</v>
      </c>
      <c r="U134" s="240">
        <v>220.7</v>
      </c>
      <c r="V134" s="240">
        <v>23</v>
      </c>
      <c r="W134" s="241">
        <v>0.2</v>
      </c>
      <c r="X134" s="233">
        <v>1.43</v>
      </c>
      <c r="Y134" s="240">
        <v>70</v>
      </c>
      <c r="Z134" s="216">
        <v>1.5</v>
      </c>
      <c r="AA134" s="241">
        <v>0.122</v>
      </c>
      <c r="AB134" s="241">
        <v>0.14699999999999999</v>
      </c>
      <c r="AC134" s="240">
        <v>19</v>
      </c>
      <c r="AD134" s="240">
        <v>0</v>
      </c>
      <c r="AE134" s="233">
        <v>0.9</v>
      </c>
      <c r="AF134" s="233">
        <v>0</v>
      </c>
      <c r="AG134" s="240">
        <v>0</v>
      </c>
      <c r="AH134" s="240">
        <f t="shared" si="14"/>
        <v>0</v>
      </c>
      <c r="AI134" s="236">
        <f t="shared" si="15"/>
        <v>8.3333333333333301E-2</v>
      </c>
      <c r="AJ134" s="252"/>
      <c r="AK134" s="233">
        <v>0.02</v>
      </c>
      <c r="AL134" s="216">
        <v>0.4</v>
      </c>
      <c r="AM134" s="236">
        <v>1</v>
      </c>
      <c r="AN134" s="231">
        <v>0</v>
      </c>
      <c r="AO134" s="231">
        <v>0</v>
      </c>
      <c r="AP134" s="231">
        <v>0</v>
      </c>
      <c r="AQ134" s="231">
        <v>0</v>
      </c>
      <c r="AR134" s="231"/>
      <c r="AS134" s="231"/>
      <c r="AT134" s="231"/>
      <c r="AU134" s="231"/>
      <c r="AV134" s="231">
        <v>13</v>
      </c>
      <c r="AW134" s="236">
        <v>2.5999999999999999E-2</v>
      </c>
      <c r="AX134" s="242">
        <v>1.4999999999999999E-2</v>
      </c>
      <c r="AY134" s="242">
        <v>0</v>
      </c>
      <c r="AZ134" s="242">
        <v>2E-3</v>
      </c>
      <c r="BA134" s="242">
        <v>0</v>
      </c>
      <c r="BB134" s="242">
        <v>0</v>
      </c>
      <c r="BC134" s="242">
        <v>0</v>
      </c>
      <c r="BD134" s="242">
        <v>2.3E-2</v>
      </c>
      <c r="BE134" s="231">
        <v>0</v>
      </c>
      <c r="BF134" s="242">
        <v>0</v>
      </c>
      <c r="BG134" s="242">
        <v>6.0000000000000001E-3</v>
      </c>
      <c r="BH134" s="242">
        <v>6.2E-2</v>
      </c>
      <c r="BI134" s="242">
        <v>0.06</v>
      </c>
      <c r="BJ134" s="242">
        <v>2E-3</v>
      </c>
      <c r="BK134" s="242">
        <v>0</v>
      </c>
      <c r="BL134" s="242">
        <v>0</v>
      </c>
      <c r="BM134" s="242">
        <v>0</v>
      </c>
      <c r="BN134" s="242"/>
      <c r="BO134" s="231">
        <v>0</v>
      </c>
      <c r="BP134" s="231">
        <v>15</v>
      </c>
      <c r="BQ134" s="204">
        <v>60</v>
      </c>
      <c r="BR134" s="204">
        <v>16</v>
      </c>
      <c r="BS134" s="204">
        <v>20</v>
      </c>
      <c r="BT134" s="204">
        <v>41</v>
      </c>
      <c r="BU134" s="204">
        <v>22</v>
      </c>
      <c r="BV134" s="204">
        <v>25</v>
      </c>
      <c r="BW134" s="204">
        <v>44</v>
      </c>
      <c r="BX134" s="204">
        <v>23</v>
      </c>
      <c r="BY134" s="204">
        <v>160</v>
      </c>
      <c r="BZ134" s="204">
        <v>14</v>
      </c>
      <c r="CA134" s="204">
        <v>19</v>
      </c>
      <c r="CB134" s="204">
        <v>30</v>
      </c>
      <c r="CC134" s="204">
        <v>58</v>
      </c>
      <c r="CD134" s="204">
        <v>70</v>
      </c>
      <c r="CE134" s="204">
        <v>220</v>
      </c>
      <c r="CF134" s="204">
        <v>41</v>
      </c>
      <c r="CG134" s="204">
        <v>30</v>
      </c>
      <c r="CH134" s="204">
        <v>27</v>
      </c>
      <c r="CI134" s="231"/>
    </row>
    <row r="135" spans="1:87" ht="25.2" customHeight="1" outlineLevel="1">
      <c r="A135" s="204">
        <v>123</v>
      </c>
      <c r="B135" s="207">
        <v>4040</v>
      </c>
      <c r="C135" s="208" t="s">
        <v>312</v>
      </c>
      <c r="D135" s="194" t="s">
        <v>181</v>
      </c>
      <c r="E135" s="209">
        <f t="shared" si="12"/>
        <v>161.19999999999999</v>
      </c>
      <c r="F135" s="216">
        <v>57.9</v>
      </c>
      <c r="G135" s="217">
        <v>9.5</v>
      </c>
      <c r="H135" s="218"/>
      <c r="I135" s="230">
        <f t="shared" si="13"/>
        <v>30.8</v>
      </c>
      <c r="J135" s="216">
        <v>0.8</v>
      </c>
      <c r="K135" s="216">
        <v>1.8</v>
      </c>
      <c r="L135" s="233"/>
      <c r="M135" s="216">
        <v>76</v>
      </c>
      <c r="N135" s="216">
        <v>164</v>
      </c>
      <c r="O135" s="216">
        <v>1.4</v>
      </c>
      <c r="P135" s="216">
        <v>0</v>
      </c>
      <c r="Q135" s="216">
        <v>0.17</v>
      </c>
      <c r="R135" s="216">
        <v>0.09</v>
      </c>
      <c r="S135" s="216">
        <v>0.8</v>
      </c>
      <c r="T135" s="231">
        <v>1</v>
      </c>
      <c r="U135" s="231">
        <v>367</v>
      </c>
      <c r="V135" s="231">
        <v>56</v>
      </c>
      <c r="W135" s="242">
        <v>0.621</v>
      </c>
      <c r="X135" s="232">
        <v>0.28000000000000003</v>
      </c>
      <c r="Y135" s="231">
        <v>94</v>
      </c>
      <c r="Z135" s="231"/>
      <c r="AA135" s="241">
        <v>0.22800000000000001</v>
      </c>
      <c r="AB135" s="241">
        <v>0.16800000000000001</v>
      </c>
      <c r="AC135" s="240">
        <v>51</v>
      </c>
      <c r="AD135" s="240">
        <v>0</v>
      </c>
      <c r="AE135" s="233"/>
      <c r="AF135" s="233">
        <v>0</v>
      </c>
      <c r="AG135" s="240">
        <v>0</v>
      </c>
      <c r="AH135" s="240">
        <f t="shared" si="14"/>
        <v>0</v>
      </c>
      <c r="AI135" s="236">
        <f t="shared" si="15"/>
        <v>0.83333333333333304</v>
      </c>
      <c r="AJ135" s="252"/>
      <c r="AK135" s="233"/>
      <c r="AL135" s="216"/>
      <c r="AM135" s="236">
        <v>10</v>
      </c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6">
        <v>8.7999999999999995E-2</v>
      </c>
      <c r="AX135" s="242">
        <v>7.6999999999999999E-2</v>
      </c>
      <c r="AY135" s="242">
        <v>0</v>
      </c>
      <c r="AZ135" s="242">
        <v>0</v>
      </c>
      <c r="BA135" s="242">
        <v>0</v>
      </c>
      <c r="BB135" s="242">
        <v>0</v>
      </c>
      <c r="BC135" s="242">
        <v>0</v>
      </c>
      <c r="BD135" s="242">
        <v>0.104</v>
      </c>
      <c r="BE135" s="231">
        <v>0</v>
      </c>
      <c r="BF135" s="231">
        <v>0</v>
      </c>
      <c r="BG135" s="242">
        <v>6.2E-2</v>
      </c>
      <c r="BH135" s="242">
        <v>0.312</v>
      </c>
      <c r="BI135" s="242">
        <v>0.28499999999999998</v>
      </c>
      <c r="BJ135" s="242">
        <v>2.7E-2</v>
      </c>
      <c r="BK135" s="242">
        <v>0</v>
      </c>
      <c r="BL135" s="242">
        <v>0</v>
      </c>
      <c r="BM135" s="242">
        <v>0</v>
      </c>
      <c r="BN135" s="242"/>
      <c r="BO135" s="231">
        <v>0</v>
      </c>
      <c r="BP135" s="231"/>
      <c r="BQ135" s="231">
        <v>264</v>
      </c>
      <c r="BR135" s="231">
        <v>72</v>
      </c>
      <c r="BS135" s="231">
        <v>59</v>
      </c>
      <c r="BT135" s="231">
        <v>206</v>
      </c>
      <c r="BU135" s="231">
        <v>200</v>
      </c>
      <c r="BV135" s="231">
        <v>266</v>
      </c>
      <c r="BW135" s="231">
        <v>326</v>
      </c>
      <c r="BX135" s="231">
        <v>205</v>
      </c>
      <c r="BY135" s="231">
        <v>338</v>
      </c>
      <c r="BZ135" s="231">
        <v>115</v>
      </c>
      <c r="CA135" s="231">
        <v>54</v>
      </c>
      <c r="CB135" s="231">
        <v>100</v>
      </c>
      <c r="CC135" s="231">
        <v>239</v>
      </c>
      <c r="CD135" s="231">
        <v>505</v>
      </c>
      <c r="CE135" s="231">
        <v>957</v>
      </c>
      <c r="CF135" s="231">
        <v>221</v>
      </c>
      <c r="CG135" s="231">
        <v>344</v>
      </c>
      <c r="CH135" s="231">
        <v>252</v>
      </c>
      <c r="CI135" s="231"/>
    </row>
    <row r="136" spans="1:87" ht="25.2" customHeight="1" outlineLevel="1">
      <c r="A136" s="204">
        <v>124</v>
      </c>
      <c r="B136" s="207">
        <v>4041</v>
      </c>
      <c r="C136" s="208" t="s">
        <v>313</v>
      </c>
      <c r="D136" s="194" t="s">
        <v>181</v>
      </c>
      <c r="E136" s="209">
        <f t="shared" si="12"/>
        <v>342.4</v>
      </c>
      <c r="F136" s="216">
        <v>14</v>
      </c>
      <c r="G136" s="217">
        <v>20</v>
      </c>
      <c r="H136" s="218">
        <v>2.4</v>
      </c>
      <c r="I136" s="230">
        <f t="shared" si="13"/>
        <v>60.2</v>
      </c>
      <c r="J136" s="216">
        <v>2.2000000000000002</v>
      </c>
      <c r="K136" s="216">
        <v>3.4</v>
      </c>
      <c r="L136" s="233"/>
      <c r="M136" s="216">
        <v>89</v>
      </c>
      <c r="N136" s="216">
        <v>285</v>
      </c>
      <c r="O136" s="216">
        <v>6.4</v>
      </c>
      <c r="P136" s="216">
        <v>0</v>
      </c>
      <c r="Q136" s="216">
        <v>0.64</v>
      </c>
      <c r="R136" s="216">
        <v>0.15</v>
      </c>
      <c r="S136" s="216">
        <v>1.6</v>
      </c>
      <c r="T136" s="231">
        <v>5</v>
      </c>
      <c r="U136" s="231">
        <v>1368</v>
      </c>
      <c r="V136" s="231">
        <v>210</v>
      </c>
      <c r="W136" s="242">
        <v>2.3180000000000001</v>
      </c>
      <c r="X136" s="232">
        <v>1.05</v>
      </c>
      <c r="Y136" s="231">
        <v>350</v>
      </c>
      <c r="Z136" s="231"/>
      <c r="AA136" s="241">
        <v>0.85099999999999998</v>
      </c>
      <c r="AB136" s="241">
        <v>0.629</v>
      </c>
      <c r="AC136" s="240">
        <v>104</v>
      </c>
      <c r="AD136" s="240">
        <v>0</v>
      </c>
      <c r="AE136" s="233"/>
      <c r="AF136" s="233">
        <v>0</v>
      </c>
      <c r="AG136" s="240">
        <v>0</v>
      </c>
      <c r="AH136" s="240">
        <f t="shared" si="14"/>
        <v>0</v>
      </c>
      <c r="AI136" s="236">
        <f t="shared" si="15"/>
        <v>2.5</v>
      </c>
      <c r="AJ136" s="252"/>
      <c r="AK136" s="233"/>
      <c r="AL136" s="216"/>
      <c r="AM136" s="236">
        <v>30</v>
      </c>
      <c r="AN136" s="231"/>
      <c r="AO136" s="231"/>
      <c r="AP136" s="231"/>
      <c r="AQ136" s="231"/>
      <c r="AR136" s="231"/>
      <c r="AS136" s="231"/>
      <c r="AT136" s="231"/>
      <c r="AU136" s="231"/>
      <c r="AV136" s="231"/>
      <c r="AW136" s="236">
        <v>0.33</v>
      </c>
      <c r="AX136" s="242">
        <v>0.28799999999999998</v>
      </c>
      <c r="AY136" s="242">
        <v>0</v>
      </c>
      <c r="AZ136" s="242">
        <v>0</v>
      </c>
      <c r="BA136" s="242">
        <v>0</v>
      </c>
      <c r="BB136" s="242">
        <v>0</v>
      </c>
      <c r="BC136" s="242">
        <v>0</v>
      </c>
      <c r="BD136" s="242">
        <v>0.38800000000000001</v>
      </c>
      <c r="BE136" s="231">
        <v>0</v>
      </c>
      <c r="BF136" s="242">
        <v>0</v>
      </c>
      <c r="BG136" s="242">
        <v>0.23</v>
      </c>
      <c r="BH136" s="242">
        <v>1.1659999999999999</v>
      </c>
      <c r="BI136" s="242">
        <v>1.0640000000000001</v>
      </c>
      <c r="BJ136" s="242">
        <v>0.10199999999999999</v>
      </c>
      <c r="BK136" s="242">
        <v>0</v>
      </c>
      <c r="BL136" s="242">
        <v>0</v>
      </c>
      <c r="BM136" s="242">
        <v>0</v>
      </c>
      <c r="BN136" s="242"/>
      <c r="BO136" s="231">
        <v>0</v>
      </c>
      <c r="BP136" s="231"/>
      <c r="BQ136" s="231">
        <v>985</v>
      </c>
      <c r="BR136" s="231">
        <v>267</v>
      </c>
      <c r="BS136" s="231">
        <v>221</v>
      </c>
      <c r="BT136" s="231">
        <v>767</v>
      </c>
      <c r="BU136" s="231">
        <v>747</v>
      </c>
      <c r="BV136" s="231">
        <v>991</v>
      </c>
      <c r="BW136" s="231">
        <v>1215</v>
      </c>
      <c r="BX136" s="231">
        <v>765</v>
      </c>
      <c r="BY136" s="231">
        <v>1262</v>
      </c>
      <c r="BZ136" s="231">
        <v>430</v>
      </c>
      <c r="CA136" s="231">
        <v>201</v>
      </c>
      <c r="CB136" s="231">
        <v>375</v>
      </c>
      <c r="CC136" s="231">
        <v>892</v>
      </c>
      <c r="CD136" s="231">
        <v>1884</v>
      </c>
      <c r="CE136" s="231">
        <v>3570</v>
      </c>
      <c r="CF136" s="231">
        <v>826</v>
      </c>
      <c r="CG136" s="231">
        <v>1285</v>
      </c>
      <c r="CH136" s="231">
        <v>939</v>
      </c>
      <c r="CI136" s="231"/>
    </row>
    <row r="137" spans="1:87" ht="25.2" customHeight="1" outlineLevel="1">
      <c r="A137" s="204">
        <v>125</v>
      </c>
      <c r="B137" s="207">
        <v>4042</v>
      </c>
      <c r="C137" s="208" t="s">
        <v>314</v>
      </c>
      <c r="D137" s="194" t="s">
        <v>181</v>
      </c>
      <c r="E137" s="209">
        <f t="shared" si="12"/>
        <v>19.600000000000001</v>
      </c>
      <c r="F137" s="216">
        <v>94.5</v>
      </c>
      <c r="G137" s="217">
        <v>2.2000000000000002</v>
      </c>
      <c r="H137" s="218"/>
      <c r="I137" s="230">
        <f t="shared" si="13"/>
        <v>2.7</v>
      </c>
      <c r="J137" s="216">
        <v>0.9</v>
      </c>
      <c r="K137" s="216">
        <v>0.6</v>
      </c>
      <c r="L137" s="233">
        <v>3.9</v>
      </c>
      <c r="M137" s="216">
        <v>56</v>
      </c>
      <c r="N137" s="216">
        <v>45</v>
      </c>
      <c r="O137" s="216">
        <v>1.3</v>
      </c>
      <c r="P137" s="216">
        <v>19</v>
      </c>
      <c r="Q137" s="216">
        <v>0.03</v>
      </c>
      <c r="R137" s="216">
        <v>0.09</v>
      </c>
      <c r="S137" s="216">
        <v>0.9</v>
      </c>
      <c r="T137" s="240">
        <v>6</v>
      </c>
      <c r="U137" s="240">
        <v>234</v>
      </c>
      <c r="V137" s="240">
        <v>18</v>
      </c>
      <c r="W137" s="241">
        <v>0.3</v>
      </c>
      <c r="X137" s="233">
        <v>0.2</v>
      </c>
      <c r="Y137" s="240">
        <v>100</v>
      </c>
      <c r="Z137" s="216">
        <v>1</v>
      </c>
      <c r="AA137" s="241">
        <v>0.14000000000000001</v>
      </c>
      <c r="AB137" s="241">
        <v>0.23300000000000001</v>
      </c>
      <c r="AC137" s="240">
        <v>64</v>
      </c>
      <c r="AD137" s="240">
        <v>0</v>
      </c>
      <c r="AE137" s="233">
        <v>1.4</v>
      </c>
      <c r="AF137" s="233">
        <v>0</v>
      </c>
      <c r="AG137" s="240">
        <v>0</v>
      </c>
      <c r="AH137" s="240">
        <f t="shared" si="14"/>
        <v>0</v>
      </c>
      <c r="AI137" s="236">
        <f t="shared" si="15"/>
        <v>83.3333333333333</v>
      </c>
      <c r="AJ137" s="252"/>
      <c r="AK137" s="233">
        <v>0.92</v>
      </c>
      <c r="AL137" s="216">
        <v>47</v>
      </c>
      <c r="AM137" s="236">
        <v>1000</v>
      </c>
      <c r="AN137" s="231">
        <v>0</v>
      </c>
      <c r="AO137" s="231">
        <v>0</v>
      </c>
      <c r="AP137" s="231">
        <v>0</v>
      </c>
      <c r="AQ137" s="231">
        <v>1900</v>
      </c>
      <c r="AR137" s="231"/>
      <c r="AS137" s="231"/>
      <c r="AT137" s="231"/>
      <c r="AU137" s="231"/>
      <c r="AV137" s="231"/>
      <c r="AW137" s="236">
        <v>0.04</v>
      </c>
      <c r="AX137" s="242">
        <v>3.7999999999999999E-2</v>
      </c>
      <c r="AY137" s="242">
        <v>0</v>
      </c>
      <c r="AZ137" s="242">
        <v>2E-3</v>
      </c>
      <c r="BA137" s="242">
        <v>0</v>
      </c>
      <c r="BB137" s="242">
        <v>0</v>
      </c>
      <c r="BC137" s="242">
        <v>0</v>
      </c>
      <c r="BD137" s="242">
        <v>4.0000000000000001E-3</v>
      </c>
      <c r="BE137" s="231">
        <v>0</v>
      </c>
      <c r="BF137" s="242">
        <v>0</v>
      </c>
      <c r="BG137" s="242">
        <v>4.0000000000000001E-3</v>
      </c>
      <c r="BH137" s="242">
        <v>0.16600000000000001</v>
      </c>
      <c r="BI137" s="242">
        <v>6.7000000000000004E-2</v>
      </c>
      <c r="BJ137" s="242">
        <v>9.9000000000000005E-2</v>
      </c>
      <c r="BK137" s="242">
        <v>0</v>
      </c>
      <c r="BL137" s="242">
        <v>0</v>
      </c>
      <c r="BM137" s="242">
        <v>0</v>
      </c>
      <c r="BN137" s="242"/>
      <c r="BO137" s="231">
        <v>0</v>
      </c>
      <c r="BP137" s="231"/>
      <c r="BQ137" s="231">
        <v>78</v>
      </c>
      <c r="BR137" s="231">
        <v>18</v>
      </c>
      <c r="BS137" s="231">
        <v>12</v>
      </c>
      <c r="BT137" s="231">
        <v>55</v>
      </c>
      <c r="BU137" s="231">
        <v>63</v>
      </c>
      <c r="BV137" s="231">
        <v>56</v>
      </c>
      <c r="BW137" s="231">
        <v>96</v>
      </c>
      <c r="BX137" s="231">
        <v>52</v>
      </c>
      <c r="BY137" s="231">
        <v>78</v>
      </c>
      <c r="BZ137" s="231">
        <v>25</v>
      </c>
      <c r="CA137" s="231">
        <v>25</v>
      </c>
      <c r="CB137" s="231">
        <v>41</v>
      </c>
      <c r="CC137" s="231">
        <v>74</v>
      </c>
      <c r="CD137" s="231">
        <v>140</v>
      </c>
      <c r="CE137" s="231">
        <v>226</v>
      </c>
      <c r="CF137" s="231">
        <v>69</v>
      </c>
      <c r="CG137" s="231">
        <v>66</v>
      </c>
      <c r="CH137" s="231">
        <v>92</v>
      </c>
      <c r="CI137" s="231"/>
    </row>
    <row r="138" spans="1:87" ht="25.2" customHeight="1" outlineLevel="1">
      <c r="A138" s="204">
        <v>126</v>
      </c>
      <c r="B138" s="207">
        <v>4043</v>
      </c>
      <c r="C138" s="208" t="s">
        <v>315</v>
      </c>
      <c r="D138" s="194" t="s">
        <v>181</v>
      </c>
      <c r="E138" s="209">
        <f t="shared" si="12"/>
        <v>28</v>
      </c>
      <c r="F138" s="216">
        <v>92</v>
      </c>
      <c r="G138" s="217">
        <v>1.5</v>
      </c>
      <c r="H138" s="218"/>
      <c r="I138" s="230">
        <f t="shared" si="13"/>
        <v>5.5</v>
      </c>
      <c r="J138" s="216">
        <v>2</v>
      </c>
      <c r="K138" s="216">
        <v>1</v>
      </c>
      <c r="L138" s="233"/>
      <c r="M138" s="216">
        <v>44</v>
      </c>
      <c r="N138" s="216">
        <v>32</v>
      </c>
      <c r="O138" s="216">
        <v>0.9</v>
      </c>
      <c r="P138" s="216">
        <v>5</v>
      </c>
      <c r="Q138" s="216">
        <v>1.04</v>
      </c>
      <c r="R138" s="216">
        <v>0.03</v>
      </c>
      <c r="S138" s="216">
        <v>0.4</v>
      </c>
      <c r="T138" s="231"/>
      <c r="U138" s="231"/>
      <c r="V138" s="231"/>
      <c r="W138" s="242"/>
      <c r="X138" s="232"/>
      <c r="Y138" s="231"/>
      <c r="Z138" s="231"/>
      <c r="AA138" s="241"/>
      <c r="AB138" s="241"/>
      <c r="AC138" s="240"/>
      <c r="AD138" s="240"/>
      <c r="AE138" s="233"/>
      <c r="AF138" s="233"/>
      <c r="AG138" s="240">
        <v>0</v>
      </c>
      <c r="AH138" s="240">
        <f t="shared" si="14"/>
        <v>0</v>
      </c>
      <c r="AI138" s="236">
        <f t="shared" si="15"/>
        <v>14.1666666666667</v>
      </c>
      <c r="AJ138" s="252"/>
      <c r="AK138" s="233"/>
      <c r="AL138" s="216"/>
      <c r="AM138" s="236">
        <v>170</v>
      </c>
      <c r="AN138" s="231"/>
      <c r="AO138" s="231"/>
      <c r="AP138" s="231"/>
      <c r="AQ138" s="231"/>
      <c r="AR138" s="231"/>
      <c r="AS138" s="231"/>
      <c r="AT138" s="231"/>
      <c r="AU138" s="231"/>
      <c r="AV138" s="231"/>
      <c r="AW138" s="236"/>
      <c r="AX138" s="242"/>
      <c r="AY138" s="242"/>
      <c r="AZ138" s="242"/>
      <c r="BA138" s="242"/>
      <c r="BB138" s="242"/>
      <c r="BC138" s="242"/>
      <c r="BD138" s="242"/>
      <c r="BE138" s="231"/>
      <c r="BF138" s="242"/>
      <c r="BG138" s="242"/>
      <c r="BH138" s="242"/>
      <c r="BI138" s="242"/>
      <c r="BJ138" s="242"/>
      <c r="BK138" s="242"/>
      <c r="BL138" s="242"/>
      <c r="BM138" s="242"/>
      <c r="BN138" s="242"/>
      <c r="BO138" s="231">
        <v>0</v>
      </c>
      <c r="BP138" s="231"/>
      <c r="BQ138" s="231"/>
      <c r="BR138" s="231"/>
      <c r="BS138" s="231"/>
      <c r="BT138" s="231"/>
      <c r="BU138" s="231"/>
      <c r="BV138" s="231"/>
      <c r="BW138" s="231"/>
      <c r="BX138" s="231"/>
      <c r="BY138" s="231"/>
      <c r="BZ138" s="231"/>
      <c r="CA138" s="231"/>
      <c r="CB138" s="231"/>
      <c r="CC138" s="231"/>
      <c r="CD138" s="231"/>
      <c r="CE138" s="231"/>
      <c r="CF138" s="231"/>
      <c r="CG138" s="231"/>
      <c r="CH138" s="231"/>
      <c r="CI138" s="231"/>
    </row>
    <row r="139" spans="1:87" ht="25.2" customHeight="1" outlineLevel="1">
      <c r="A139" s="204">
        <v>127</v>
      </c>
      <c r="B139" s="207">
        <v>4044</v>
      </c>
      <c r="C139" s="208" t="s">
        <v>316</v>
      </c>
      <c r="D139" s="194" t="s">
        <v>181</v>
      </c>
      <c r="E139" s="209">
        <f t="shared" si="12"/>
        <v>34.799999999999997</v>
      </c>
      <c r="F139" s="216">
        <v>90.5</v>
      </c>
      <c r="G139" s="217">
        <v>2.9</v>
      </c>
      <c r="H139" s="218"/>
      <c r="I139" s="230">
        <f t="shared" si="13"/>
        <v>5.8</v>
      </c>
      <c r="J139" s="216">
        <v>3</v>
      </c>
      <c r="K139" s="216">
        <v>0.8</v>
      </c>
      <c r="L139" s="233"/>
      <c r="M139" s="216">
        <v>52</v>
      </c>
      <c r="N139" s="216">
        <v>53</v>
      </c>
      <c r="O139" s="216">
        <v>1.2</v>
      </c>
      <c r="P139" s="216">
        <v>48</v>
      </c>
      <c r="Q139" s="216">
        <v>0.19</v>
      </c>
      <c r="R139" s="216">
        <v>0.13</v>
      </c>
      <c r="S139" s="216">
        <v>1.1000000000000001</v>
      </c>
      <c r="T139" s="231"/>
      <c r="U139" s="231"/>
      <c r="V139" s="231"/>
      <c r="W139" s="242"/>
      <c r="X139" s="232">
        <v>0.2</v>
      </c>
      <c r="Y139" s="231"/>
      <c r="Z139" s="231"/>
      <c r="AA139" s="241"/>
      <c r="AB139" s="241">
        <v>0.1</v>
      </c>
      <c r="AC139" s="240">
        <v>81</v>
      </c>
      <c r="AD139" s="240"/>
      <c r="AE139" s="233"/>
      <c r="AF139" s="233"/>
      <c r="AG139" s="240">
        <v>0</v>
      </c>
      <c r="AH139" s="240">
        <f t="shared" si="14"/>
        <v>0</v>
      </c>
      <c r="AI139" s="236">
        <f t="shared" si="15"/>
        <v>48.75</v>
      </c>
      <c r="AJ139" s="252"/>
      <c r="AK139" s="233"/>
      <c r="AL139" s="216"/>
      <c r="AM139" s="236">
        <v>585</v>
      </c>
      <c r="AN139" s="231"/>
      <c r="AO139" s="231"/>
      <c r="AP139" s="231"/>
      <c r="AQ139" s="231"/>
      <c r="AR139" s="231"/>
      <c r="AS139" s="231"/>
      <c r="AT139" s="231"/>
      <c r="AU139" s="231"/>
      <c r="AV139" s="231"/>
      <c r="AW139" s="236"/>
      <c r="AX139" s="242"/>
      <c r="AY139" s="242"/>
      <c r="AZ139" s="242"/>
      <c r="BA139" s="242"/>
      <c r="BB139" s="242"/>
      <c r="BC139" s="242"/>
      <c r="BD139" s="242"/>
      <c r="BE139" s="231"/>
      <c r="BF139" s="242"/>
      <c r="BG139" s="242"/>
      <c r="BH139" s="242"/>
      <c r="BI139" s="242"/>
      <c r="BJ139" s="242"/>
      <c r="BK139" s="242"/>
      <c r="BL139" s="242"/>
      <c r="BM139" s="242"/>
      <c r="BN139" s="242"/>
      <c r="BO139" s="231">
        <v>0</v>
      </c>
      <c r="BP139" s="231"/>
      <c r="BQ139" s="231"/>
      <c r="BR139" s="231"/>
      <c r="BS139" s="231"/>
      <c r="BT139" s="231"/>
      <c r="BU139" s="231"/>
      <c r="BV139" s="231"/>
      <c r="BW139" s="231"/>
      <c r="BX139" s="231"/>
      <c r="BY139" s="231"/>
      <c r="BZ139" s="231"/>
      <c r="CA139" s="231"/>
      <c r="CB139" s="231"/>
      <c r="CC139" s="231"/>
      <c r="CD139" s="231"/>
      <c r="CE139" s="231"/>
      <c r="CF139" s="231"/>
      <c r="CG139" s="231"/>
      <c r="CH139" s="231"/>
      <c r="CI139" s="231"/>
    </row>
    <row r="140" spans="1:87" ht="25.2" customHeight="1" outlineLevel="1">
      <c r="A140" s="204">
        <v>128</v>
      </c>
      <c r="B140" s="207">
        <v>4045</v>
      </c>
      <c r="C140" s="208" t="s">
        <v>317</v>
      </c>
      <c r="D140" s="194" t="s">
        <v>181</v>
      </c>
      <c r="E140" s="209">
        <f t="shared" si="12"/>
        <v>25.2</v>
      </c>
      <c r="F140" s="216">
        <v>93.5</v>
      </c>
      <c r="G140" s="217">
        <v>0.6</v>
      </c>
      <c r="H140" s="218"/>
      <c r="I140" s="230">
        <f t="shared" si="13"/>
        <v>5.7</v>
      </c>
      <c r="J140" s="216">
        <v>2.6</v>
      </c>
      <c r="K140" s="216">
        <v>0.2</v>
      </c>
      <c r="L140" s="233">
        <v>3.98</v>
      </c>
      <c r="M140" s="216">
        <v>10</v>
      </c>
      <c r="N140" s="216">
        <v>8</v>
      </c>
      <c r="O140" s="216">
        <v>0.9</v>
      </c>
      <c r="P140" s="216">
        <v>30</v>
      </c>
      <c r="Q140" s="216">
        <v>0.05</v>
      </c>
      <c r="R140" s="216">
        <v>0.04</v>
      </c>
      <c r="S140" s="216">
        <v>0.4</v>
      </c>
      <c r="T140" s="231">
        <v>2</v>
      </c>
      <c r="U140" s="231">
        <v>133</v>
      </c>
      <c r="V140" s="231">
        <v>10</v>
      </c>
      <c r="W140" s="242">
        <v>3.6999999999999998E-2</v>
      </c>
      <c r="X140" s="232">
        <v>0.12</v>
      </c>
      <c r="Y140" s="231">
        <v>137</v>
      </c>
      <c r="Z140" s="231">
        <v>0.6</v>
      </c>
      <c r="AA140" s="241">
        <v>0.39100000000000001</v>
      </c>
      <c r="AB140" s="241">
        <v>1.7000000000000001E-2</v>
      </c>
      <c r="AC140" s="240">
        <v>12</v>
      </c>
      <c r="AD140" s="240">
        <v>0</v>
      </c>
      <c r="AE140" s="233"/>
      <c r="AF140" s="233">
        <v>0</v>
      </c>
      <c r="AG140" s="240">
        <v>0</v>
      </c>
      <c r="AH140" s="240">
        <f t="shared" si="14"/>
        <v>0</v>
      </c>
      <c r="AI140" s="236">
        <f t="shared" si="15"/>
        <v>3.0833333333333299</v>
      </c>
      <c r="AJ140" s="252"/>
      <c r="AK140" s="233">
        <v>0.15</v>
      </c>
      <c r="AL140" s="216">
        <v>0</v>
      </c>
      <c r="AM140" s="236">
        <v>25</v>
      </c>
      <c r="AN140" s="231">
        <v>24</v>
      </c>
      <c r="AO140" s="231">
        <v>0</v>
      </c>
      <c r="AP140" s="231">
        <v>0</v>
      </c>
      <c r="AQ140" s="231">
        <v>64</v>
      </c>
      <c r="AR140" s="231"/>
      <c r="AS140" s="231"/>
      <c r="AT140" s="231"/>
      <c r="AU140" s="231"/>
      <c r="AV140" s="231"/>
      <c r="AW140" s="236">
        <v>1.9E-2</v>
      </c>
      <c r="AX140" s="242">
        <v>1.0999999999999999E-2</v>
      </c>
      <c r="AY140" s="242">
        <v>0</v>
      </c>
      <c r="AZ140" s="242">
        <v>8.0000000000000002E-3</v>
      </c>
      <c r="BA140" s="242">
        <v>0</v>
      </c>
      <c r="BB140" s="242">
        <v>0</v>
      </c>
      <c r="BC140" s="242">
        <v>0</v>
      </c>
      <c r="BD140" s="242">
        <v>0.03</v>
      </c>
      <c r="BE140" s="231">
        <v>0</v>
      </c>
      <c r="BF140" s="242">
        <v>0</v>
      </c>
      <c r="BG140" s="242">
        <v>0.03</v>
      </c>
      <c r="BH140" s="242">
        <v>0.184</v>
      </c>
      <c r="BI140" s="242">
        <v>0.157</v>
      </c>
      <c r="BJ140" s="242">
        <v>2.7E-2</v>
      </c>
      <c r="BK140" s="242">
        <v>0</v>
      </c>
      <c r="BL140" s="242">
        <v>0</v>
      </c>
      <c r="BM140" s="242">
        <v>0</v>
      </c>
      <c r="BN140" s="242"/>
      <c r="BO140" s="231">
        <v>0</v>
      </c>
      <c r="BP140" s="231"/>
      <c r="BQ140" s="231">
        <v>77</v>
      </c>
      <c r="BR140" s="231">
        <v>21</v>
      </c>
      <c r="BS140" s="231">
        <v>8</v>
      </c>
      <c r="BT140" s="231">
        <v>37</v>
      </c>
      <c r="BU140" s="231">
        <v>44</v>
      </c>
      <c r="BV140" s="231">
        <v>50</v>
      </c>
      <c r="BW140" s="231">
        <v>77</v>
      </c>
      <c r="BX140" s="231">
        <v>44</v>
      </c>
      <c r="BY140" s="231">
        <v>21</v>
      </c>
      <c r="BZ140" s="231">
        <v>8</v>
      </c>
      <c r="CA140" s="231"/>
      <c r="CB140" s="231">
        <v>44</v>
      </c>
      <c r="CC140" s="231">
        <v>71</v>
      </c>
      <c r="CD140" s="231">
        <v>98</v>
      </c>
      <c r="CE140" s="231">
        <v>148</v>
      </c>
      <c r="CF140" s="231">
        <v>50</v>
      </c>
      <c r="CG140" s="231">
        <v>50</v>
      </c>
      <c r="CH140" s="231">
        <v>83</v>
      </c>
      <c r="CI140" s="231"/>
    </row>
    <row r="141" spans="1:87" ht="25.2" customHeight="1" outlineLevel="1">
      <c r="A141" s="204">
        <v>129</v>
      </c>
      <c r="B141" s="207">
        <v>4046</v>
      </c>
      <c r="C141" s="208" t="s">
        <v>318</v>
      </c>
      <c r="D141" s="194" t="s">
        <v>181</v>
      </c>
      <c r="E141" s="209">
        <f t="shared" si="12"/>
        <v>48.8</v>
      </c>
      <c r="F141" s="216">
        <v>86.5</v>
      </c>
      <c r="G141" s="217">
        <v>4.3</v>
      </c>
      <c r="H141" s="218"/>
      <c r="I141" s="230">
        <f t="shared" si="13"/>
        <v>7.9000000000000101</v>
      </c>
      <c r="J141" s="216">
        <v>2.5</v>
      </c>
      <c r="K141" s="216">
        <v>1.3</v>
      </c>
      <c r="L141" s="233"/>
      <c r="M141" s="216">
        <v>260</v>
      </c>
      <c r="N141" s="216">
        <v>980</v>
      </c>
      <c r="O141" s="216">
        <v>4.0999999999999996</v>
      </c>
      <c r="P141" s="216">
        <v>34</v>
      </c>
      <c r="Q141" s="216">
        <v>0</v>
      </c>
      <c r="R141" s="216">
        <v>0</v>
      </c>
      <c r="S141" s="216">
        <v>0</v>
      </c>
      <c r="T141" s="240">
        <v>15.27</v>
      </c>
      <c r="U141" s="240">
        <v>598.11</v>
      </c>
      <c r="V141" s="240">
        <v>97.91</v>
      </c>
      <c r="W141" s="241"/>
      <c r="X141" s="233"/>
      <c r="Y141" s="240"/>
      <c r="Z141" s="216"/>
      <c r="AA141" s="241"/>
      <c r="AB141" s="241"/>
      <c r="AC141" s="240"/>
      <c r="AD141" s="240"/>
      <c r="AE141" s="233"/>
      <c r="AF141" s="233"/>
      <c r="AG141" s="240">
        <v>0</v>
      </c>
      <c r="AH141" s="240">
        <f t="shared" si="14"/>
        <v>0</v>
      </c>
      <c r="AI141" s="236">
        <f t="shared" si="15"/>
        <v>337.5</v>
      </c>
      <c r="AJ141" s="252"/>
      <c r="AK141" s="233"/>
      <c r="AL141" s="216"/>
      <c r="AM141" s="236">
        <v>4050</v>
      </c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6"/>
      <c r="AX141" s="242"/>
      <c r="AY141" s="242"/>
      <c r="AZ141" s="242"/>
      <c r="BA141" s="242"/>
      <c r="BB141" s="242"/>
      <c r="BC141" s="242"/>
      <c r="BD141" s="242"/>
      <c r="BE141" s="231"/>
      <c r="BF141" s="242"/>
      <c r="BG141" s="242"/>
      <c r="BH141" s="242"/>
      <c r="BI141" s="242"/>
      <c r="BJ141" s="242"/>
      <c r="BK141" s="242"/>
      <c r="BL141" s="242"/>
      <c r="BM141" s="242"/>
      <c r="BN141" s="242"/>
      <c r="BO141" s="231">
        <v>0</v>
      </c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</row>
    <row r="142" spans="1:87" ht="25.2" customHeight="1" outlineLevel="1">
      <c r="A142" s="204">
        <v>130</v>
      </c>
      <c r="B142" s="207">
        <v>4047</v>
      </c>
      <c r="C142" s="208" t="s">
        <v>319</v>
      </c>
      <c r="D142" s="194" t="s">
        <v>181</v>
      </c>
      <c r="E142" s="209">
        <f t="shared" si="12"/>
        <v>46</v>
      </c>
      <c r="F142" s="216">
        <v>86</v>
      </c>
      <c r="G142" s="217">
        <v>7.5</v>
      </c>
      <c r="H142" s="218"/>
      <c r="I142" s="230">
        <f t="shared" si="13"/>
        <v>4</v>
      </c>
      <c r="J142" s="216" t="s">
        <v>247</v>
      </c>
      <c r="K142" s="216">
        <v>2.5</v>
      </c>
      <c r="L142" s="233"/>
      <c r="M142" s="236">
        <v>319</v>
      </c>
      <c r="N142" s="236"/>
      <c r="O142" s="236"/>
      <c r="P142" s="236"/>
      <c r="Q142" s="236"/>
      <c r="R142" s="236"/>
      <c r="S142" s="236"/>
      <c r="T142" s="231"/>
      <c r="U142" s="231"/>
      <c r="V142" s="231"/>
      <c r="W142" s="242"/>
      <c r="X142" s="232"/>
      <c r="Y142" s="231"/>
      <c r="Z142" s="231"/>
      <c r="AA142" s="241"/>
      <c r="AB142" s="241"/>
      <c r="AC142" s="240"/>
      <c r="AD142" s="240"/>
      <c r="AE142" s="236"/>
      <c r="AF142" s="236"/>
      <c r="AG142" s="240">
        <v>0</v>
      </c>
      <c r="AH142" s="240">
        <f t="shared" si="14"/>
        <v>0</v>
      </c>
      <c r="AI142" s="236">
        <f t="shared" si="15"/>
        <v>0</v>
      </c>
      <c r="AJ142" s="252"/>
      <c r="AK142" s="233"/>
      <c r="AL142" s="216"/>
      <c r="AM142" s="236"/>
      <c r="AN142" s="231"/>
      <c r="AO142" s="231"/>
      <c r="AP142" s="231"/>
      <c r="AQ142" s="231"/>
      <c r="AR142" s="231"/>
      <c r="AS142" s="231"/>
      <c r="AT142" s="231"/>
      <c r="AU142" s="231"/>
      <c r="AV142" s="231"/>
      <c r="AW142" s="236"/>
      <c r="AX142" s="242"/>
      <c r="AY142" s="242"/>
      <c r="AZ142" s="242"/>
      <c r="BA142" s="242"/>
      <c r="BB142" s="242"/>
      <c r="BC142" s="242"/>
      <c r="BD142" s="242"/>
      <c r="BE142" s="231"/>
      <c r="BF142" s="242"/>
      <c r="BG142" s="242"/>
      <c r="BH142" s="242"/>
      <c r="BI142" s="242"/>
      <c r="BJ142" s="242"/>
      <c r="BK142" s="242"/>
      <c r="BL142" s="242"/>
      <c r="BM142" s="242"/>
      <c r="BN142" s="242"/>
      <c r="BO142" s="231">
        <v>0</v>
      </c>
      <c r="BP142" s="231"/>
      <c r="BQ142" s="231"/>
      <c r="BR142" s="231"/>
      <c r="BS142" s="231"/>
      <c r="BT142" s="231"/>
      <c r="BU142" s="231"/>
      <c r="BV142" s="231"/>
      <c r="BW142" s="231"/>
      <c r="BX142" s="231"/>
      <c r="BY142" s="231"/>
      <c r="BZ142" s="231"/>
      <c r="CA142" s="231"/>
      <c r="CB142" s="231"/>
      <c r="CC142" s="231"/>
      <c r="CD142" s="231"/>
      <c r="CE142" s="231"/>
      <c r="CF142" s="231"/>
      <c r="CG142" s="231"/>
      <c r="CH142" s="231"/>
      <c r="CI142" s="231"/>
    </row>
    <row r="143" spans="1:87" ht="25.2" customHeight="1" outlineLevel="1">
      <c r="A143" s="204">
        <v>131</v>
      </c>
      <c r="B143" s="207">
        <v>4048</v>
      </c>
      <c r="C143" s="208" t="s">
        <v>320</v>
      </c>
      <c r="D143" s="194" t="s">
        <v>181</v>
      </c>
      <c r="E143" s="209">
        <f t="shared" si="12"/>
        <v>47.6</v>
      </c>
      <c r="F143" s="216">
        <v>86.1</v>
      </c>
      <c r="G143" s="217">
        <v>3.9</v>
      </c>
      <c r="H143" s="218"/>
      <c r="I143" s="230">
        <f t="shared" si="13"/>
        <v>8</v>
      </c>
      <c r="J143" s="216">
        <v>5.0999999999999996</v>
      </c>
      <c r="K143" s="216">
        <v>2</v>
      </c>
      <c r="L143" s="233"/>
      <c r="M143" s="236">
        <v>211</v>
      </c>
      <c r="N143" s="236">
        <v>2.8</v>
      </c>
      <c r="O143" s="236"/>
      <c r="P143" s="236">
        <v>75</v>
      </c>
      <c r="Q143" s="236"/>
      <c r="R143" s="236"/>
      <c r="S143" s="236"/>
      <c r="T143" s="231"/>
      <c r="U143" s="231"/>
      <c r="V143" s="231"/>
      <c r="W143" s="242"/>
      <c r="X143" s="232"/>
      <c r="Y143" s="231"/>
      <c r="Z143" s="231"/>
      <c r="AA143" s="241"/>
      <c r="AB143" s="241"/>
      <c r="AC143" s="240"/>
      <c r="AD143" s="240"/>
      <c r="AE143" s="236"/>
      <c r="AF143" s="236"/>
      <c r="AG143" s="240">
        <v>0</v>
      </c>
      <c r="AH143" s="240">
        <f t="shared" si="14"/>
        <v>0</v>
      </c>
      <c r="AI143" s="236">
        <f t="shared" si="15"/>
        <v>27.5</v>
      </c>
      <c r="AJ143" s="252"/>
      <c r="AK143" s="233"/>
      <c r="AL143" s="216"/>
      <c r="AM143" s="236">
        <v>330</v>
      </c>
      <c r="AN143" s="231"/>
      <c r="AO143" s="231"/>
      <c r="AP143" s="231"/>
      <c r="AQ143" s="231"/>
      <c r="AR143" s="231"/>
      <c r="AS143" s="231"/>
      <c r="AT143" s="231"/>
      <c r="AU143" s="231"/>
      <c r="AV143" s="231"/>
      <c r="AW143" s="236"/>
      <c r="AX143" s="242"/>
      <c r="AY143" s="242"/>
      <c r="AZ143" s="242"/>
      <c r="BA143" s="242"/>
      <c r="BB143" s="242"/>
      <c r="BC143" s="242"/>
      <c r="BD143" s="242"/>
      <c r="BE143" s="231"/>
      <c r="BF143" s="242"/>
      <c r="BG143" s="242"/>
      <c r="BH143" s="242"/>
      <c r="BI143" s="242"/>
      <c r="BJ143" s="242"/>
      <c r="BK143" s="242"/>
      <c r="BL143" s="242"/>
      <c r="BM143" s="242"/>
      <c r="BN143" s="242"/>
      <c r="BO143" s="231">
        <v>0</v>
      </c>
      <c r="BP143" s="231"/>
      <c r="BQ143" s="231"/>
      <c r="BR143" s="231"/>
      <c r="BS143" s="231"/>
      <c r="BT143" s="231"/>
      <c r="BU143" s="231"/>
      <c r="BV143" s="231"/>
      <c r="BW143" s="231"/>
      <c r="BX143" s="231"/>
      <c r="BY143" s="231"/>
      <c r="BZ143" s="231"/>
      <c r="CA143" s="231"/>
      <c r="CB143" s="231"/>
      <c r="CC143" s="231"/>
      <c r="CD143" s="231"/>
      <c r="CE143" s="231"/>
      <c r="CF143" s="231"/>
      <c r="CG143" s="231"/>
      <c r="CH143" s="231"/>
      <c r="CI143" s="231"/>
    </row>
    <row r="144" spans="1:87" ht="25.2" customHeight="1" outlineLevel="1">
      <c r="A144" s="204">
        <v>132</v>
      </c>
      <c r="B144" s="207">
        <v>4049</v>
      </c>
      <c r="C144" s="208" t="s">
        <v>321</v>
      </c>
      <c r="D144" s="194" t="s">
        <v>181</v>
      </c>
      <c r="E144" s="209">
        <f t="shared" si="12"/>
        <v>95.6</v>
      </c>
      <c r="F144" s="216">
        <v>74.8</v>
      </c>
      <c r="G144" s="217">
        <v>7</v>
      </c>
      <c r="H144" s="218"/>
      <c r="I144" s="230">
        <f t="shared" si="13"/>
        <v>16.899999999999999</v>
      </c>
      <c r="J144" s="216">
        <v>4.3</v>
      </c>
      <c r="K144" s="216">
        <v>1.3</v>
      </c>
      <c r="L144" s="233"/>
      <c r="M144" s="216">
        <v>200</v>
      </c>
      <c r="N144" s="216">
        <v>27</v>
      </c>
      <c r="O144" s="216">
        <v>1.9</v>
      </c>
      <c r="P144" s="216">
        <v>295</v>
      </c>
      <c r="Q144" s="216">
        <v>0.25</v>
      </c>
      <c r="R144" s="216">
        <v>0.66</v>
      </c>
      <c r="S144" s="216">
        <v>2.4</v>
      </c>
      <c r="T144" s="231"/>
      <c r="U144" s="231"/>
      <c r="V144" s="231"/>
      <c r="W144" s="242"/>
      <c r="X144" s="232"/>
      <c r="Y144" s="231"/>
      <c r="Z144" s="231"/>
      <c r="AA144" s="241"/>
      <c r="AB144" s="241"/>
      <c r="AC144" s="240"/>
      <c r="AD144" s="240"/>
      <c r="AE144" s="233"/>
      <c r="AF144" s="233"/>
      <c r="AG144" s="240">
        <v>0</v>
      </c>
      <c r="AH144" s="240">
        <f t="shared" si="14"/>
        <v>0</v>
      </c>
      <c r="AI144" s="236">
        <f t="shared" si="15"/>
        <v>690</v>
      </c>
      <c r="AJ144" s="252"/>
      <c r="AK144" s="233"/>
      <c r="AL144" s="216"/>
      <c r="AM144" s="236">
        <v>8280</v>
      </c>
      <c r="AN144" s="231"/>
      <c r="AO144" s="231"/>
      <c r="AP144" s="231"/>
      <c r="AQ144" s="231"/>
      <c r="AR144" s="231"/>
      <c r="AS144" s="231"/>
      <c r="AT144" s="231"/>
      <c r="AU144" s="231"/>
      <c r="AV144" s="231"/>
      <c r="AW144" s="236"/>
      <c r="AX144" s="242"/>
      <c r="AY144" s="242"/>
      <c r="AZ144" s="242"/>
      <c r="BA144" s="242"/>
      <c r="BB144" s="242"/>
      <c r="BC144" s="242"/>
      <c r="BD144" s="242"/>
      <c r="BE144" s="231"/>
      <c r="BF144" s="242"/>
      <c r="BG144" s="242"/>
      <c r="BH144" s="242"/>
      <c r="BI144" s="242"/>
      <c r="BJ144" s="242"/>
      <c r="BK144" s="242"/>
      <c r="BL144" s="242"/>
      <c r="BM144" s="242"/>
      <c r="BN144" s="242"/>
      <c r="BO144" s="231">
        <v>0</v>
      </c>
      <c r="BP144" s="231"/>
      <c r="BQ144" s="204">
        <v>340</v>
      </c>
      <c r="BR144" s="204">
        <v>140</v>
      </c>
      <c r="BS144" s="204">
        <v>110</v>
      </c>
      <c r="BT144" s="204">
        <v>420</v>
      </c>
      <c r="BU144" s="204">
        <v>300</v>
      </c>
      <c r="BV144" s="204">
        <v>460</v>
      </c>
      <c r="BW144" s="204">
        <v>710</v>
      </c>
      <c r="BX144" s="204">
        <v>390</v>
      </c>
      <c r="BY144" s="204">
        <v>350</v>
      </c>
      <c r="BZ144" s="204">
        <v>150</v>
      </c>
      <c r="CA144" s="204">
        <v>76</v>
      </c>
      <c r="CB144" s="204">
        <v>227</v>
      </c>
      <c r="CC144" s="204"/>
      <c r="CD144" s="204"/>
      <c r="CE144" s="204"/>
      <c r="CF144" s="204"/>
      <c r="CG144" s="204"/>
      <c r="CH144" s="204"/>
      <c r="CI144" s="231"/>
    </row>
    <row r="145" spans="1:87" ht="25.2" customHeight="1" outlineLevel="1">
      <c r="A145" s="204">
        <v>133</v>
      </c>
      <c r="B145" s="207">
        <v>4050</v>
      </c>
      <c r="C145" s="208" t="s">
        <v>322</v>
      </c>
      <c r="D145" s="194" t="s">
        <v>181</v>
      </c>
      <c r="E145" s="209">
        <f t="shared" si="12"/>
        <v>27.6</v>
      </c>
      <c r="F145" s="216">
        <v>92.8</v>
      </c>
      <c r="G145" s="217">
        <v>1.4</v>
      </c>
      <c r="H145" s="218"/>
      <c r="I145" s="230">
        <f t="shared" si="13"/>
        <v>5.5</v>
      </c>
      <c r="J145" s="216">
        <v>4.0999999999999996</v>
      </c>
      <c r="K145" s="216">
        <v>0.3</v>
      </c>
      <c r="L145" s="233"/>
      <c r="M145" s="216">
        <v>18</v>
      </c>
      <c r="N145" s="216">
        <v>29</v>
      </c>
      <c r="O145" s="216">
        <v>0.9</v>
      </c>
      <c r="P145" s="216">
        <v>9</v>
      </c>
      <c r="Q145" s="216">
        <v>0.11</v>
      </c>
      <c r="R145" s="216">
        <v>0.09</v>
      </c>
      <c r="S145" s="216">
        <v>0.6</v>
      </c>
      <c r="T145" s="240">
        <v>9</v>
      </c>
      <c r="U145" s="240">
        <v>486</v>
      </c>
      <c r="V145" s="240">
        <v>88</v>
      </c>
      <c r="W145" s="241"/>
      <c r="X145" s="233">
        <v>1.1000000000000001</v>
      </c>
      <c r="Y145" s="240">
        <v>190</v>
      </c>
      <c r="Z145" s="216"/>
      <c r="AA145" s="241"/>
      <c r="AB145" s="241"/>
      <c r="AC145" s="240"/>
      <c r="AD145" s="240"/>
      <c r="AE145" s="233"/>
      <c r="AF145" s="233"/>
      <c r="AG145" s="240">
        <v>0</v>
      </c>
      <c r="AH145" s="240">
        <f t="shared" si="14"/>
        <v>0</v>
      </c>
      <c r="AI145" s="236">
        <f t="shared" si="15"/>
        <v>1.25</v>
      </c>
      <c r="AJ145" s="252"/>
      <c r="AK145" s="233"/>
      <c r="AL145" s="216"/>
      <c r="AM145" s="236">
        <v>15</v>
      </c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6"/>
      <c r="AX145" s="242"/>
      <c r="AY145" s="242"/>
      <c r="AZ145" s="242"/>
      <c r="BA145" s="242"/>
      <c r="BB145" s="242"/>
      <c r="BC145" s="242"/>
      <c r="BD145" s="242"/>
      <c r="BE145" s="231"/>
      <c r="BF145" s="242"/>
      <c r="BG145" s="242"/>
      <c r="BH145" s="242"/>
      <c r="BI145" s="242"/>
      <c r="BJ145" s="242"/>
      <c r="BK145" s="242"/>
      <c r="BL145" s="242"/>
      <c r="BM145" s="242"/>
      <c r="BN145" s="242"/>
      <c r="BO145" s="231">
        <v>0</v>
      </c>
      <c r="BP145" s="231"/>
      <c r="BQ145" s="231"/>
      <c r="BR145" s="231"/>
      <c r="BS145" s="231"/>
      <c r="BT145" s="231"/>
      <c r="BU145" s="231"/>
      <c r="BV145" s="231"/>
      <c r="BW145" s="231"/>
      <c r="BX145" s="231"/>
      <c r="BY145" s="231"/>
      <c r="BZ145" s="231"/>
      <c r="CA145" s="231"/>
      <c r="CB145" s="231"/>
      <c r="CC145" s="231"/>
      <c r="CD145" s="231"/>
      <c r="CE145" s="231"/>
      <c r="CF145" s="231"/>
      <c r="CG145" s="231"/>
      <c r="CH145" s="231"/>
      <c r="CI145" s="231"/>
    </row>
    <row r="146" spans="1:87" ht="25.2" customHeight="1" outlineLevel="1">
      <c r="A146" s="204">
        <v>134</v>
      </c>
      <c r="B146" s="207">
        <v>4051</v>
      </c>
      <c r="C146" s="208" t="s">
        <v>323</v>
      </c>
      <c r="D146" s="194" t="s">
        <v>181</v>
      </c>
      <c r="E146" s="209">
        <f t="shared" si="12"/>
        <v>300.89999999999998</v>
      </c>
      <c r="F146" s="216">
        <v>23</v>
      </c>
      <c r="G146" s="217">
        <v>13</v>
      </c>
      <c r="H146" s="218">
        <v>2.1</v>
      </c>
      <c r="I146" s="230">
        <f t="shared" si="13"/>
        <v>57.5</v>
      </c>
      <c r="J146" s="216">
        <v>36</v>
      </c>
      <c r="K146" s="216">
        <v>4.4000000000000004</v>
      </c>
      <c r="L146" s="233"/>
      <c r="M146" s="216">
        <v>100</v>
      </c>
      <c r="N146" s="216">
        <v>200</v>
      </c>
      <c r="O146" s="216">
        <v>5</v>
      </c>
      <c r="P146" s="216">
        <v>1</v>
      </c>
      <c r="Q146" s="216">
        <v>0.11</v>
      </c>
      <c r="R146" s="216">
        <v>0.14000000000000001</v>
      </c>
      <c r="S146" s="216">
        <v>1.3</v>
      </c>
      <c r="T146" s="231"/>
      <c r="U146" s="231"/>
      <c r="V146" s="231"/>
      <c r="W146" s="242"/>
      <c r="X146" s="232"/>
      <c r="Y146" s="231"/>
      <c r="Z146" s="231"/>
      <c r="AA146" s="241"/>
      <c r="AB146" s="241"/>
      <c r="AC146" s="240"/>
      <c r="AD146" s="240"/>
      <c r="AE146" s="233"/>
      <c r="AF146" s="233"/>
      <c r="AG146" s="240">
        <v>0</v>
      </c>
      <c r="AH146" s="240">
        <f t="shared" si="14"/>
        <v>0</v>
      </c>
      <c r="AI146" s="236">
        <f t="shared" si="15"/>
        <v>1.6666666666666701</v>
      </c>
      <c r="AJ146" s="252"/>
      <c r="AK146" s="233"/>
      <c r="AL146" s="216"/>
      <c r="AM146" s="236">
        <v>20</v>
      </c>
      <c r="AN146" s="231"/>
      <c r="AO146" s="231"/>
      <c r="AP146" s="231"/>
      <c r="AQ146" s="231"/>
      <c r="AR146" s="231"/>
      <c r="AS146" s="231"/>
      <c r="AT146" s="231"/>
      <c r="AU146" s="231"/>
      <c r="AV146" s="231"/>
      <c r="AW146" s="236"/>
      <c r="AX146" s="242"/>
      <c r="AY146" s="242"/>
      <c r="AZ146" s="242"/>
      <c r="BA146" s="242"/>
      <c r="BB146" s="242"/>
      <c r="BC146" s="242"/>
      <c r="BD146" s="242"/>
      <c r="BE146" s="231"/>
      <c r="BF146" s="242"/>
      <c r="BG146" s="242"/>
      <c r="BH146" s="242"/>
      <c r="BI146" s="242"/>
      <c r="BJ146" s="242"/>
      <c r="BK146" s="242"/>
      <c r="BL146" s="242"/>
      <c r="BM146" s="242"/>
      <c r="BN146" s="242"/>
      <c r="BO146" s="231">
        <v>0</v>
      </c>
      <c r="BP146" s="231"/>
      <c r="BQ146" s="231"/>
      <c r="BR146" s="231"/>
      <c r="BS146" s="231"/>
      <c r="BT146" s="231"/>
      <c r="BU146" s="231"/>
      <c r="BV146" s="231"/>
      <c r="BW146" s="231"/>
      <c r="BX146" s="231"/>
      <c r="BY146" s="231"/>
      <c r="BZ146" s="231"/>
      <c r="CA146" s="231"/>
      <c r="CB146" s="231"/>
      <c r="CC146" s="231"/>
      <c r="CD146" s="231"/>
      <c r="CE146" s="231"/>
      <c r="CF146" s="231"/>
      <c r="CG146" s="231"/>
      <c r="CH146" s="231"/>
      <c r="CI146" s="231"/>
    </row>
    <row r="147" spans="1:87" ht="25.2" customHeight="1" outlineLevel="1">
      <c r="A147" s="204">
        <v>135</v>
      </c>
      <c r="B147" s="207">
        <v>4052</v>
      </c>
      <c r="C147" s="208" t="s">
        <v>324</v>
      </c>
      <c r="D147" s="194" t="s">
        <v>181</v>
      </c>
      <c r="E147" s="209">
        <f t="shared" si="12"/>
        <v>22.8</v>
      </c>
      <c r="F147" s="216">
        <v>93.7</v>
      </c>
      <c r="G147" s="217">
        <v>2.2000000000000002</v>
      </c>
      <c r="H147" s="218"/>
      <c r="I147" s="230">
        <f t="shared" si="13"/>
        <v>3.5</v>
      </c>
      <c r="J147" s="216">
        <v>2.2999999999999998</v>
      </c>
      <c r="K147" s="216">
        <v>0.6</v>
      </c>
      <c r="L147" s="233">
        <v>1.88</v>
      </c>
      <c r="M147" s="216">
        <v>21</v>
      </c>
      <c r="N147" s="216">
        <v>6.2</v>
      </c>
      <c r="O147" s="216">
        <v>0.9</v>
      </c>
      <c r="P147" s="216">
        <v>10</v>
      </c>
      <c r="Q147" s="216">
        <v>0.16</v>
      </c>
      <c r="R147" s="216">
        <v>0.03</v>
      </c>
      <c r="S147" s="216">
        <v>3</v>
      </c>
      <c r="T147" s="231">
        <v>2</v>
      </c>
      <c r="U147" s="231">
        <v>202</v>
      </c>
      <c r="V147" s="231">
        <v>14</v>
      </c>
      <c r="W147" s="242">
        <v>0.158</v>
      </c>
      <c r="X147" s="232">
        <v>0.54</v>
      </c>
      <c r="Y147" s="231">
        <v>189</v>
      </c>
      <c r="Z147" s="231">
        <v>2.2999999999999998</v>
      </c>
      <c r="AA147" s="241">
        <v>0.27400000000000002</v>
      </c>
      <c r="AB147" s="241">
        <v>9.0999999999999998E-2</v>
      </c>
      <c r="AC147" s="240">
        <v>52</v>
      </c>
      <c r="AD147" s="240">
        <v>0</v>
      </c>
      <c r="AE147" s="233">
        <v>0.2</v>
      </c>
      <c r="AF147" s="233">
        <v>0</v>
      </c>
      <c r="AG147" s="240">
        <v>0</v>
      </c>
      <c r="AH147" s="240">
        <f t="shared" si="14"/>
        <v>0</v>
      </c>
      <c r="AI147" s="236">
        <f t="shared" si="15"/>
        <v>37.7916666666667</v>
      </c>
      <c r="AJ147" s="252"/>
      <c r="AK147" s="233">
        <v>1.1299999999999999</v>
      </c>
      <c r="AL147" s="216">
        <v>41.6</v>
      </c>
      <c r="AM147" s="236">
        <v>449</v>
      </c>
      <c r="AN147" s="231">
        <v>9</v>
      </c>
      <c r="AO147" s="231">
        <v>0</v>
      </c>
      <c r="AP147" s="231">
        <v>0</v>
      </c>
      <c r="AQ147" s="231">
        <v>710</v>
      </c>
      <c r="AR147" s="231"/>
      <c r="AS147" s="231"/>
      <c r="AT147" s="231"/>
      <c r="AU147" s="231"/>
      <c r="AV147" s="231">
        <v>23</v>
      </c>
      <c r="AW147" s="236">
        <v>4.5999999999999999E-2</v>
      </c>
      <c r="AX147" s="242">
        <v>0.04</v>
      </c>
      <c r="AY147" s="242">
        <v>0</v>
      </c>
      <c r="AZ147" s="242">
        <v>0</v>
      </c>
      <c r="BA147" s="242">
        <v>0</v>
      </c>
      <c r="BB147" s="242">
        <v>0</v>
      </c>
      <c r="BC147" s="242">
        <v>0</v>
      </c>
      <c r="BD147" s="242">
        <v>6.0000000000000001E-3</v>
      </c>
      <c r="BE147" s="231">
        <v>0</v>
      </c>
      <c r="BF147" s="242">
        <v>0</v>
      </c>
      <c r="BG147" s="242">
        <v>0</v>
      </c>
      <c r="BH147" s="242">
        <v>8.7999999999999995E-2</v>
      </c>
      <c r="BI147" s="242">
        <v>0.04</v>
      </c>
      <c r="BJ147" s="242">
        <v>0.01</v>
      </c>
      <c r="BK147" s="242">
        <v>0</v>
      </c>
      <c r="BL147" s="242">
        <v>0</v>
      </c>
      <c r="BM147" s="242">
        <v>0</v>
      </c>
      <c r="BN147" s="242"/>
      <c r="BO147" s="231">
        <v>0</v>
      </c>
      <c r="BP147" s="231">
        <v>24</v>
      </c>
      <c r="BQ147" s="231">
        <v>108</v>
      </c>
      <c r="BR147" s="231">
        <v>22</v>
      </c>
      <c r="BS147" s="231">
        <v>22</v>
      </c>
      <c r="BT147" s="231">
        <v>54</v>
      </c>
      <c r="BU147" s="231">
        <v>64</v>
      </c>
      <c r="BV147" s="231">
        <v>88</v>
      </c>
      <c r="BW147" s="231">
        <v>99</v>
      </c>
      <c r="BX147" s="231">
        <v>84</v>
      </c>
      <c r="BY147" s="231">
        <v>107</v>
      </c>
      <c r="BZ147" s="231">
        <v>35</v>
      </c>
      <c r="CA147" s="231">
        <v>27</v>
      </c>
      <c r="CB147" s="231">
        <v>36</v>
      </c>
      <c r="CC147" s="231">
        <v>107</v>
      </c>
      <c r="CD147" s="231">
        <v>265</v>
      </c>
      <c r="CE147" s="231">
        <v>374</v>
      </c>
      <c r="CF147" s="231">
        <v>74</v>
      </c>
      <c r="CG147" s="231">
        <v>121</v>
      </c>
      <c r="CH147" s="231">
        <v>87</v>
      </c>
      <c r="CI147" s="231"/>
    </row>
    <row r="148" spans="1:87" ht="25.2" customHeight="1" outlineLevel="1">
      <c r="A148" s="204">
        <v>136</v>
      </c>
      <c r="B148" s="207">
        <v>4053</v>
      </c>
      <c r="C148" s="208" t="s">
        <v>325</v>
      </c>
      <c r="D148" s="194" t="s">
        <v>181</v>
      </c>
      <c r="E148" s="209">
        <f t="shared" si="12"/>
        <v>30</v>
      </c>
      <c r="F148" s="216">
        <v>92</v>
      </c>
      <c r="G148" s="217">
        <v>1.7</v>
      </c>
      <c r="H148" s="218"/>
      <c r="I148" s="230">
        <f t="shared" si="13"/>
        <v>5.8</v>
      </c>
      <c r="J148" s="216">
        <v>4.0999999999999996</v>
      </c>
      <c r="K148" s="216">
        <v>0.5</v>
      </c>
      <c r="L148" s="233">
        <v>3</v>
      </c>
      <c r="M148" s="216">
        <v>22</v>
      </c>
      <c r="N148" s="216">
        <v>58</v>
      </c>
      <c r="O148" s="216">
        <v>1</v>
      </c>
      <c r="P148" s="216">
        <v>1</v>
      </c>
      <c r="Q148" s="216">
        <v>0.08</v>
      </c>
      <c r="R148" s="216">
        <v>0.08</v>
      </c>
      <c r="S148" s="216">
        <v>0.6</v>
      </c>
      <c r="T148" s="231">
        <v>4</v>
      </c>
      <c r="U148" s="231">
        <v>533</v>
      </c>
      <c r="V148" s="231">
        <v>3</v>
      </c>
      <c r="W148" s="242">
        <v>0.26200000000000001</v>
      </c>
      <c r="X148" s="232">
        <v>1.1000000000000001</v>
      </c>
      <c r="Y148" s="231">
        <v>190</v>
      </c>
      <c r="Z148" s="231">
        <v>0.8</v>
      </c>
      <c r="AA148" s="241">
        <v>0.161</v>
      </c>
      <c r="AB148" s="241">
        <v>0.24</v>
      </c>
      <c r="AC148" s="240">
        <v>7</v>
      </c>
      <c r="AD148" s="240">
        <v>0</v>
      </c>
      <c r="AE148" s="233"/>
      <c r="AF148" s="233">
        <v>0</v>
      </c>
      <c r="AG148" s="240">
        <v>0</v>
      </c>
      <c r="AH148" s="240">
        <f t="shared" si="14"/>
        <v>0</v>
      </c>
      <c r="AI148" s="236">
        <f t="shared" si="15"/>
        <v>1</v>
      </c>
      <c r="AJ148" s="252"/>
      <c r="AK148" s="233">
        <v>1</v>
      </c>
      <c r="AL148" s="216">
        <v>0</v>
      </c>
      <c r="AM148" s="236">
        <v>12</v>
      </c>
      <c r="AN148" s="231"/>
      <c r="AO148" s="231"/>
      <c r="AP148" s="231"/>
      <c r="AQ148" s="231"/>
      <c r="AR148" s="231"/>
      <c r="AS148" s="231"/>
      <c r="AT148" s="231"/>
      <c r="AU148" s="231"/>
      <c r="AV148" s="231">
        <v>29</v>
      </c>
      <c r="AW148" s="236">
        <v>6.9000000000000006E-2</v>
      </c>
      <c r="AX148" s="242">
        <v>5.0999999999999997E-2</v>
      </c>
      <c r="AY148" s="242">
        <v>0</v>
      </c>
      <c r="AZ148" s="242">
        <v>6.0000000000000001E-3</v>
      </c>
      <c r="BA148" s="242">
        <v>0</v>
      </c>
      <c r="BB148" s="242">
        <v>0</v>
      </c>
      <c r="BC148" s="242">
        <v>0</v>
      </c>
      <c r="BD148" s="242">
        <v>7.0000000000000001E-3</v>
      </c>
      <c r="BE148" s="231">
        <v>0</v>
      </c>
      <c r="BF148" s="242">
        <v>0</v>
      </c>
      <c r="BG148" s="242">
        <v>7.0000000000000001E-3</v>
      </c>
      <c r="BH148" s="242">
        <v>0.13400000000000001</v>
      </c>
      <c r="BI148" s="242">
        <v>0.114</v>
      </c>
      <c r="BJ148" s="242">
        <v>0.02</v>
      </c>
      <c r="BK148" s="242">
        <v>0</v>
      </c>
      <c r="BL148" s="242">
        <v>0</v>
      </c>
      <c r="BM148" s="242">
        <v>0</v>
      </c>
      <c r="BN148" s="242"/>
      <c r="BO148" s="231">
        <v>0</v>
      </c>
      <c r="BP148" s="231">
        <v>19</v>
      </c>
      <c r="BQ148" s="204">
        <v>134</v>
      </c>
      <c r="BR148" s="204">
        <v>30</v>
      </c>
      <c r="BS148" s="204">
        <v>27</v>
      </c>
      <c r="BT148" s="204">
        <v>90</v>
      </c>
      <c r="BU148" s="204">
        <v>86</v>
      </c>
      <c r="BV148" s="204">
        <v>106</v>
      </c>
      <c r="BW148" s="204">
        <v>140</v>
      </c>
      <c r="BX148" s="204">
        <v>88</v>
      </c>
      <c r="BY148" s="204">
        <v>97</v>
      </c>
      <c r="BZ148" s="204">
        <v>42</v>
      </c>
      <c r="CA148" s="204">
        <v>22</v>
      </c>
      <c r="CB148" s="204"/>
      <c r="CC148" s="204">
        <v>124</v>
      </c>
      <c r="CD148" s="204">
        <v>425</v>
      </c>
      <c r="CE148" s="204">
        <v>248</v>
      </c>
      <c r="CF148" s="204">
        <v>87</v>
      </c>
      <c r="CG148" s="204">
        <v>219</v>
      </c>
      <c r="CH148" s="204">
        <v>127</v>
      </c>
      <c r="CI148" s="231"/>
    </row>
    <row r="149" spans="1:87" ht="25.2" customHeight="1" outlineLevel="1">
      <c r="A149" s="204">
        <v>137</v>
      </c>
      <c r="B149" s="207">
        <v>4054</v>
      </c>
      <c r="C149" s="208" t="s">
        <v>326</v>
      </c>
      <c r="D149" s="194" t="s">
        <v>181</v>
      </c>
      <c r="E149" s="209">
        <f t="shared" si="12"/>
        <v>17.600000000000001</v>
      </c>
      <c r="F149" s="216">
        <v>95.1</v>
      </c>
      <c r="G149" s="217">
        <v>0.9</v>
      </c>
      <c r="H149" s="218"/>
      <c r="I149" s="230">
        <f t="shared" si="13"/>
        <v>3.5</v>
      </c>
      <c r="J149" s="216">
        <v>0.5</v>
      </c>
      <c r="K149" s="216">
        <v>0.5</v>
      </c>
      <c r="L149" s="233"/>
      <c r="M149" s="216">
        <v>28</v>
      </c>
      <c r="N149" s="216">
        <v>45</v>
      </c>
      <c r="O149" s="216">
        <v>0.8</v>
      </c>
      <c r="P149" s="216">
        <v>8</v>
      </c>
      <c r="Q149" s="216">
        <v>0.04</v>
      </c>
      <c r="R149" s="216">
        <v>0.06</v>
      </c>
      <c r="S149" s="216">
        <v>0.5</v>
      </c>
      <c r="T149" s="231">
        <v>3</v>
      </c>
      <c r="U149" s="231">
        <v>139</v>
      </c>
      <c r="V149" s="231">
        <v>14</v>
      </c>
      <c r="W149" s="242">
        <v>9.1999999999999998E-2</v>
      </c>
      <c r="X149" s="232">
        <v>7.0000000000000007E-2</v>
      </c>
      <c r="Y149" s="209">
        <v>35</v>
      </c>
      <c r="Z149" s="231">
        <v>0.2</v>
      </c>
      <c r="AA149" s="241">
        <v>0.218</v>
      </c>
      <c r="AB149" s="241">
        <v>4.2999999999999997E-2</v>
      </c>
      <c r="AC149" s="240">
        <v>7</v>
      </c>
      <c r="AD149" s="240">
        <v>0</v>
      </c>
      <c r="AE149" s="233"/>
      <c r="AF149" s="233">
        <v>0</v>
      </c>
      <c r="AG149" s="240">
        <v>0</v>
      </c>
      <c r="AH149" s="240">
        <f t="shared" si="14"/>
        <v>0</v>
      </c>
      <c r="AI149" s="236">
        <f t="shared" si="15"/>
        <v>13.3333333333333</v>
      </c>
      <c r="AJ149" s="252"/>
      <c r="AK149" s="233"/>
      <c r="AL149" s="216"/>
      <c r="AM149" s="236">
        <v>160</v>
      </c>
      <c r="AN149" s="231"/>
      <c r="AO149" s="231"/>
      <c r="AP149" s="231"/>
      <c r="AQ149" s="231"/>
      <c r="AR149" s="231"/>
      <c r="AS149" s="231"/>
      <c r="AT149" s="231"/>
      <c r="AU149" s="231"/>
      <c r="AV149" s="231"/>
      <c r="AW149" s="236">
        <v>1.6E-2</v>
      </c>
      <c r="AX149" s="242">
        <v>1.0999999999999999E-2</v>
      </c>
      <c r="AY149" s="242">
        <v>0</v>
      </c>
      <c r="AZ149" s="242">
        <v>5.0000000000000001E-3</v>
      </c>
      <c r="BA149" s="242">
        <v>0</v>
      </c>
      <c r="BB149" s="242">
        <v>0</v>
      </c>
      <c r="BC149" s="242">
        <v>0</v>
      </c>
      <c r="BD149" s="242">
        <v>3.6999999999999998E-2</v>
      </c>
      <c r="BE149" s="231">
        <v>0</v>
      </c>
      <c r="BF149" s="242">
        <v>0</v>
      </c>
      <c r="BG149" s="242">
        <v>3.6999999999999998E-2</v>
      </c>
      <c r="BH149" s="242">
        <v>8.6999999999999994E-2</v>
      </c>
      <c r="BI149" s="242">
        <v>8.6999999999999994E-2</v>
      </c>
      <c r="BJ149" s="242">
        <v>0</v>
      </c>
      <c r="BK149" s="242">
        <v>0</v>
      </c>
      <c r="BL149" s="242">
        <v>0</v>
      </c>
      <c r="BM149" s="242">
        <v>0</v>
      </c>
      <c r="BN149" s="242"/>
      <c r="BO149" s="231">
        <v>0</v>
      </c>
      <c r="BP149" s="231"/>
      <c r="BQ149" s="231"/>
      <c r="BR149" s="231"/>
      <c r="BS149" s="231"/>
      <c r="BT149" s="231"/>
      <c r="BU149" s="231"/>
      <c r="BV149" s="231"/>
      <c r="BW149" s="231"/>
      <c r="BX149" s="231"/>
      <c r="BY149" s="231"/>
      <c r="BZ149" s="231"/>
      <c r="CA149" s="231"/>
      <c r="CB149" s="231"/>
      <c r="CC149" s="231"/>
      <c r="CD149" s="231"/>
      <c r="CE149" s="231"/>
      <c r="CF149" s="231"/>
      <c r="CG149" s="231"/>
      <c r="CH149" s="231"/>
      <c r="CI149" s="231"/>
    </row>
    <row r="150" spans="1:87" ht="25.2" customHeight="1" outlineLevel="1">
      <c r="A150" s="204">
        <v>138</v>
      </c>
      <c r="B150" s="207">
        <v>4055</v>
      </c>
      <c r="C150" s="208" t="s">
        <v>327</v>
      </c>
      <c r="D150" s="194" t="s">
        <v>181</v>
      </c>
      <c r="E150" s="209">
        <f t="shared" si="12"/>
        <v>20</v>
      </c>
      <c r="F150" s="216">
        <v>94.4</v>
      </c>
      <c r="G150" s="217">
        <v>0.9</v>
      </c>
      <c r="H150" s="218"/>
      <c r="I150" s="230">
        <f t="shared" si="13"/>
        <v>4.0999999999999899</v>
      </c>
      <c r="J150" s="216">
        <v>1.1000000000000001</v>
      </c>
      <c r="K150" s="216">
        <v>0.6</v>
      </c>
      <c r="L150" s="233"/>
      <c r="M150" s="216">
        <v>18</v>
      </c>
      <c r="N150" s="216">
        <v>29</v>
      </c>
      <c r="O150" s="216">
        <v>0.6</v>
      </c>
      <c r="P150" s="216">
        <v>22</v>
      </c>
      <c r="Q150" s="216">
        <v>7.0000000000000007E-2</v>
      </c>
      <c r="R150" s="216">
        <v>0.04</v>
      </c>
      <c r="S150" s="216">
        <v>0.3</v>
      </c>
      <c r="T150" s="231">
        <v>5</v>
      </c>
      <c r="U150" s="231">
        <v>296</v>
      </c>
      <c r="V150" s="231">
        <v>17</v>
      </c>
      <c r="W150" s="242">
        <v>8.8999999999999996E-2</v>
      </c>
      <c r="X150" s="232">
        <v>0.8</v>
      </c>
      <c r="Y150" s="231">
        <v>34</v>
      </c>
      <c r="Z150" s="231">
        <v>0.2</v>
      </c>
      <c r="AA150" s="241">
        <v>0.21199999999999999</v>
      </c>
      <c r="AB150" s="241">
        <v>4.2999999999999997E-2</v>
      </c>
      <c r="AC150" s="240">
        <v>72</v>
      </c>
      <c r="AD150" s="240">
        <v>0</v>
      </c>
      <c r="AE150" s="233"/>
      <c r="AF150" s="233">
        <v>0</v>
      </c>
      <c r="AG150" s="240">
        <v>0</v>
      </c>
      <c r="AH150" s="240">
        <f t="shared" si="14"/>
        <v>0</v>
      </c>
      <c r="AI150" s="236">
        <f t="shared" si="15"/>
        <v>23.5416666666667</v>
      </c>
      <c r="AJ150" s="252"/>
      <c r="AK150" s="233"/>
      <c r="AL150" s="216"/>
      <c r="AM150" s="236">
        <v>190</v>
      </c>
      <c r="AN150" s="231">
        <v>185</v>
      </c>
      <c r="AO150" s="231">
        <v>0</v>
      </c>
      <c r="AP150" s="231">
        <v>0</v>
      </c>
      <c r="AQ150" s="231">
        <v>170</v>
      </c>
      <c r="AR150" s="231"/>
      <c r="AS150" s="231"/>
      <c r="AT150" s="231"/>
      <c r="AU150" s="231"/>
      <c r="AV150" s="231"/>
      <c r="AW150" s="236"/>
      <c r="AX150" s="242"/>
      <c r="AY150" s="242"/>
      <c r="AZ150" s="242"/>
      <c r="BA150" s="242"/>
      <c r="BB150" s="242"/>
      <c r="BC150" s="242"/>
      <c r="BD150" s="242"/>
      <c r="BE150" s="231"/>
      <c r="BF150" s="242"/>
      <c r="BG150" s="242"/>
      <c r="BH150" s="242"/>
      <c r="BI150" s="242"/>
      <c r="BJ150" s="242"/>
      <c r="BK150" s="242"/>
      <c r="BL150" s="242"/>
      <c r="BM150" s="242"/>
      <c r="BN150" s="242"/>
      <c r="BO150" s="231">
        <v>0</v>
      </c>
      <c r="BP150" s="231"/>
      <c r="BQ150" s="231"/>
      <c r="BR150" s="231"/>
      <c r="BS150" s="231"/>
      <c r="BT150" s="231"/>
      <c r="BU150" s="231"/>
      <c r="BV150" s="231"/>
      <c r="BW150" s="231"/>
      <c r="BX150" s="231"/>
      <c r="BY150" s="231"/>
      <c r="BZ150" s="231"/>
      <c r="CA150" s="231"/>
      <c r="CB150" s="231"/>
      <c r="CC150" s="231"/>
      <c r="CD150" s="231"/>
      <c r="CE150" s="231"/>
      <c r="CF150" s="231"/>
      <c r="CG150" s="231"/>
      <c r="CH150" s="231"/>
      <c r="CI150" s="231"/>
    </row>
    <row r="151" spans="1:87" ht="25.2" customHeight="1" outlineLevel="1">
      <c r="A151" s="204">
        <v>139</v>
      </c>
      <c r="B151" s="207">
        <v>4056</v>
      </c>
      <c r="C151" s="208" t="s">
        <v>328</v>
      </c>
      <c r="D151" s="194" t="s">
        <v>181</v>
      </c>
      <c r="E151" s="209">
        <f t="shared" si="12"/>
        <v>16</v>
      </c>
      <c r="F151" s="216">
        <v>95.4</v>
      </c>
      <c r="G151" s="217">
        <v>0.8</v>
      </c>
      <c r="H151" s="218">
        <v>0</v>
      </c>
      <c r="I151" s="230">
        <f t="shared" si="13"/>
        <v>3.2</v>
      </c>
      <c r="J151" s="216">
        <v>1.4</v>
      </c>
      <c r="K151" s="216">
        <v>0.6</v>
      </c>
      <c r="L151" s="233"/>
      <c r="M151" s="236">
        <v>29.8</v>
      </c>
      <c r="N151" s="236">
        <v>22.3</v>
      </c>
      <c r="O151" s="236">
        <v>0.3</v>
      </c>
      <c r="P151" s="236"/>
      <c r="Q151" s="236"/>
      <c r="R151" s="236"/>
      <c r="S151" s="236"/>
      <c r="T151" s="231"/>
      <c r="U151" s="231"/>
      <c r="V151" s="231"/>
      <c r="W151" s="242"/>
      <c r="X151" s="232"/>
      <c r="Y151" s="231"/>
      <c r="Z151" s="231"/>
      <c r="AA151" s="241"/>
      <c r="AB151" s="241"/>
      <c r="AC151" s="240"/>
      <c r="AD151" s="240"/>
      <c r="AE151" s="236"/>
      <c r="AF151" s="236"/>
      <c r="AG151" s="240">
        <v>0</v>
      </c>
      <c r="AH151" s="240">
        <f t="shared" si="14"/>
        <v>0</v>
      </c>
      <c r="AI151" s="236">
        <f t="shared" si="15"/>
        <v>0</v>
      </c>
      <c r="AJ151" s="252"/>
      <c r="AK151" s="233"/>
      <c r="AL151" s="216"/>
      <c r="AM151" s="236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6"/>
      <c r="AX151" s="242"/>
      <c r="AY151" s="242"/>
      <c r="AZ151" s="242"/>
      <c r="BA151" s="242"/>
      <c r="BB151" s="242"/>
      <c r="BC151" s="242"/>
      <c r="BD151" s="242"/>
      <c r="BE151" s="231"/>
      <c r="BF151" s="242"/>
      <c r="BG151" s="242"/>
      <c r="BH151" s="242"/>
      <c r="BI151" s="242"/>
      <c r="BJ151" s="242"/>
      <c r="BK151" s="242"/>
      <c r="BL151" s="242"/>
      <c r="BM151" s="242"/>
      <c r="BN151" s="242"/>
      <c r="BO151" s="231">
        <v>0</v>
      </c>
      <c r="BP151" s="231"/>
      <c r="BQ151" s="231"/>
      <c r="BR151" s="231"/>
      <c r="BS151" s="231"/>
      <c r="BT151" s="231"/>
      <c r="BU151" s="231"/>
      <c r="BV151" s="231"/>
      <c r="BW151" s="231"/>
      <c r="BX151" s="231"/>
      <c r="BY151" s="231"/>
      <c r="BZ151" s="231"/>
      <c r="CA151" s="231"/>
      <c r="CB151" s="231"/>
      <c r="CC151" s="231"/>
      <c r="CD151" s="231"/>
      <c r="CE151" s="231"/>
      <c r="CF151" s="231"/>
      <c r="CG151" s="231"/>
      <c r="CH151" s="231"/>
      <c r="CI151" s="231"/>
    </row>
    <row r="152" spans="1:87" ht="25.2" customHeight="1" outlineLevel="1">
      <c r="A152" s="204">
        <v>140</v>
      </c>
      <c r="B152" s="207">
        <v>4057</v>
      </c>
      <c r="C152" s="208" t="s">
        <v>329</v>
      </c>
      <c r="D152" s="194" t="s">
        <v>181</v>
      </c>
      <c r="E152" s="209">
        <f t="shared" si="12"/>
        <v>32.799999999999997</v>
      </c>
      <c r="F152" s="216">
        <v>89.7</v>
      </c>
      <c r="G152" s="217">
        <v>3.8</v>
      </c>
      <c r="H152" s="218">
        <v>0</v>
      </c>
      <c r="I152" s="230">
        <f t="shared" si="13"/>
        <v>4.4000000000000101</v>
      </c>
      <c r="J152" s="216">
        <v>2</v>
      </c>
      <c r="K152" s="216">
        <v>2.1</v>
      </c>
      <c r="L152" s="233"/>
      <c r="M152" s="236">
        <v>136.30000000000001</v>
      </c>
      <c r="N152" s="236">
        <v>45.4</v>
      </c>
      <c r="O152" s="236">
        <v>3.1</v>
      </c>
      <c r="P152" s="236"/>
      <c r="Q152" s="236"/>
      <c r="R152" s="236"/>
      <c r="S152" s="236"/>
      <c r="T152" s="231">
        <v>98</v>
      </c>
      <c r="U152" s="231">
        <v>612</v>
      </c>
      <c r="V152" s="231">
        <v>63</v>
      </c>
      <c r="W152" s="242"/>
      <c r="X152" s="232"/>
      <c r="Y152" s="231"/>
      <c r="Z152" s="231"/>
      <c r="AA152" s="241"/>
      <c r="AB152" s="241"/>
      <c r="AC152" s="240"/>
      <c r="AD152" s="240"/>
      <c r="AE152" s="236"/>
      <c r="AF152" s="236"/>
      <c r="AG152" s="240">
        <v>0</v>
      </c>
      <c r="AH152" s="240">
        <f t="shared" si="14"/>
        <v>0</v>
      </c>
      <c r="AI152" s="236">
        <f t="shared" si="15"/>
        <v>0</v>
      </c>
      <c r="AJ152" s="252"/>
      <c r="AK152" s="233"/>
      <c r="AL152" s="216"/>
      <c r="AM152" s="236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6"/>
      <c r="AX152" s="242"/>
      <c r="AY152" s="242"/>
      <c r="AZ152" s="242"/>
      <c r="BA152" s="242"/>
      <c r="BB152" s="242"/>
      <c r="BC152" s="242"/>
      <c r="BD152" s="242"/>
      <c r="BE152" s="231"/>
      <c r="BF152" s="242"/>
      <c r="BG152" s="242"/>
      <c r="BH152" s="242"/>
      <c r="BI152" s="242"/>
      <c r="BJ152" s="242"/>
      <c r="BK152" s="242"/>
      <c r="BL152" s="242"/>
      <c r="BM152" s="242"/>
      <c r="BN152" s="242"/>
      <c r="BO152" s="231">
        <v>0</v>
      </c>
      <c r="BP152" s="231"/>
      <c r="BQ152" s="231"/>
      <c r="BR152" s="231"/>
      <c r="BS152" s="231"/>
      <c r="BT152" s="231"/>
      <c r="BU152" s="231"/>
      <c r="BV152" s="231"/>
      <c r="BW152" s="231"/>
      <c r="BX152" s="231"/>
      <c r="BY152" s="231"/>
      <c r="BZ152" s="231"/>
      <c r="CA152" s="231"/>
      <c r="CB152" s="231"/>
      <c r="CC152" s="231"/>
      <c r="CD152" s="231"/>
      <c r="CE152" s="231"/>
      <c r="CF152" s="231"/>
      <c r="CG152" s="231"/>
      <c r="CH152" s="231"/>
      <c r="CI152" s="231"/>
    </row>
    <row r="153" spans="1:87" ht="25.2" customHeight="1" outlineLevel="1">
      <c r="A153" s="204">
        <v>141</v>
      </c>
      <c r="B153" s="207">
        <v>4058</v>
      </c>
      <c r="C153" s="208" t="s">
        <v>330</v>
      </c>
      <c r="D153" s="194" t="s">
        <v>181</v>
      </c>
      <c r="E153" s="209">
        <f t="shared" si="12"/>
        <v>41.8</v>
      </c>
      <c r="F153" s="216">
        <v>89.2</v>
      </c>
      <c r="G153" s="217">
        <v>2.2000000000000002</v>
      </c>
      <c r="H153" s="218">
        <v>0.2</v>
      </c>
      <c r="I153" s="230">
        <f t="shared" si="13"/>
        <v>7.8</v>
      </c>
      <c r="J153" s="216">
        <v>0.4</v>
      </c>
      <c r="K153" s="216">
        <v>0.6</v>
      </c>
      <c r="L153" s="233"/>
      <c r="M153" s="216">
        <v>5</v>
      </c>
      <c r="N153" s="216">
        <v>52</v>
      </c>
      <c r="O153" s="216">
        <v>0.9</v>
      </c>
      <c r="P153" s="216">
        <v>34</v>
      </c>
      <c r="Q153" s="216">
        <v>0.09</v>
      </c>
      <c r="R153" s="216">
        <v>0.2</v>
      </c>
      <c r="S153" s="216">
        <v>0.7</v>
      </c>
      <c r="T153" s="231"/>
      <c r="U153" s="231"/>
      <c r="V153" s="231"/>
      <c r="W153" s="242"/>
      <c r="X153" s="232"/>
      <c r="Y153" s="231"/>
      <c r="Z153" s="231"/>
      <c r="AA153" s="241"/>
      <c r="AB153" s="241"/>
      <c r="AC153" s="240"/>
      <c r="AD153" s="240"/>
      <c r="AE153" s="233"/>
      <c r="AF153" s="233"/>
      <c r="AG153" s="240">
        <v>0</v>
      </c>
      <c r="AH153" s="240">
        <f t="shared" si="14"/>
        <v>0</v>
      </c>
      <c r="AI153" s="236">
        <f t="shared" si="15"/>
        <v>0</v>
      </c>
      <c r="AJ153" s="252"/>
      <c r="AK153" s="233"/>
      <c r="AL153" s="216"/>
      <c r="AM153" s="236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6"/>
      <c r="AX153" s="242"/>
      <c r="AY153" s="242"/>
      <c r="AZ153" s="242"/>
      <c r="BA153" s="242"/>
      <c r="BB153" s="242"/>
      <c r="BC153" s="242"/>
      <c r="BD153" s="242"/>
      <c r="BE153" s="231"/>
      <c r="BF153" s="242"/>
      <c r="BG153" s="242"/>
      <c r="BH153" s="242"/>
      <c r="BI153" s="242"/>
      <c r="BJ153" s="242"/>
      <c r="BK153" s="242"/>
      <c r="BL153" s="242"/>
      <c r="BM153" s="242"/>
      <c r="BN153" s="242"/>
      <c r="BO153" s="231">
        <v>0</v>
      </c>
      <c r="BP153" s="231"/>
      <c r="BQ153" s="231"/>
      <c r="BR153" s="231"/>
      <c r="BS153" s="231"/>
      <c r="BT153" s="231"/>
      <c r="BU153" s="231"/>
      <c r="BV153" s="231"/>
      <c r="BW153" s="231"/>
      <c r="BX153" s="231"/>
      <c r="BY153" s="231"/>
      <c r="BZ153" s="231"/>
      <c r="CA153" s="231"/>
      <c r="CB153" s="231"/>
      <c r="CC153" s="231"/>
      <c r="CD153" s="231"/>
      <c r="CE153" s="231"/>
      <c r="CF153" s="231"/>
      <c r="CG153" s="231"/>
      <c r="CH153" s="231"/>
      <c r="CI153" s="231"/>
    </row>
    <row r="154" spans="1:87" ht="25.2" customHeight="1" outlineLevel="1">
      <c r="A154" s="204">
        <v>142</v>
      </c>
      <c r="B154" s="207">
        <v>4059</v>
      </c>
      <c r="C154" s="208" t="s">
        <v>331</v>
      </c>
      <c r="D154" s="194" t="s">
        <v>181</v>
      </c>
      <c r="E154" s="209">
        <f t="shared" si="12"/>
        <v>64.8</v>
      </c>
      <c r="F154" s="216">
        <v>82.9</v>
      </c>
      <c r="G154" s="217">
        <v>1</v>
      </c>
      <c r="H154" s="218"/>
      <c r="I154" s="230">
        <f t="shared" si="13"/>
        <v>15.2</v>
      </c>
      <c r="J154" s="216">
        <v>1.2</v>
      </c>
      <c r="K154" s="216">
        <v>0.9</v>
      </c>
      <c r="L154" s="233"/>
      <c r="M154" s="216">
        <v>19</v>
      </c>
      <c r="N154" s="216">
        <v>51</v>
      </c>
      <c r="O154" s="216">
        <v>0.5</v>
      </c>
      <c r="P154" s="216">
        <v>25</v>
      </c>
      <c r="Q154" s="216">
        <v>0.11</v>
      </c>
      <c r="R154" s="216">
        <v>0.04</v>
      </c>
      <c r="S154" s="216">
        <v>0.4</v>
      </c>
      <c r="T154" s="231">
        <v>40</v>
      </c>
      <c r="U154" s="231">
        <v>556</v>
      </c>
      <c r="V154" s="231">
        <v>23</v>
      </c>
      <c r="W154" s="242">
        <v>0.26100000000000001</v>
      </c>
      <c r="X154" s="232">
        <v>0.39</v>
      </c>
      <c r="Y154" s="231">
        <v>257</v>
      </c>
      <c r="Z154" s="231">
        <v>0.7</v>
      </c>
      <c r="AA154" s="241">
        <v>0.377</v>
      </c>
      <c r="AB154" s="241">
        <v>0.25800000000000001</v>
      </c>
      <c r="AC154" s="240">
        <v>13</v>
      </c>
      <c r="AD154" s="240">
        <v>0</v>
      </c>
      <c r="AE154" s="233"/>
      <c r="AF154" s="233">
        <v>0</v>
      </c>
      <c r="AG154" s="240">
        <v>0</v>
      </c>
      <c r="AH154" s="240">
        <f t="shared" si="14"/>
        <v>0</v>
      </c>
      <c r="AI154" s="236">
        <f t="shared" si="15"/>
        <v>0.83333333333333304</v>
      </c>
      <c r="AJ154" s="252"/>
      <c r="AK154" s="233"/>
      <c r="AL154" s="216"/>
      <c r="AM154" s="236">
        <v>10</v>
      </c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6">
        <v>0.03</v>
      </c>
      <c r="AX154" s="242">
        <v>2.8000000000000001E-2</v>
      </c>
      <c r="AY154" s="242">
        <v>0</v>
      </c>
      <c r="AZ154" s="242">
        <v>1E-3</v>
      </c>
      <c r="BA154" s="242">
        <v>0</v>
      </c>
      <c r="BB154" s="242">
        <v>0</v>
      </c>
      <c r="BC154" s="242">
        <v>0</v>
      </c>
      <c r="BD154" s="242">
        <v>0.02</v>
      </c>
      <c r="BE154" s="231">
        <v>0</v>
      </c>
      <c r="BF154" s="242">
        <v>2E-3</v>
      </c>
      <c r="BG154" s="242">
        <v>1.4E-2</v>
      </c>
      <c r="BH154" s="242">
        <v>0.02</v>
      </c>
      <c r="BI154" s="242">
        <v>1.4E-2</v>
      </c>
      <c r="BJ154" s="242">
        <v>6.0000000000000001E-3</v>
      </c>
      <c r="BK154" s="242">
        <v>0</v>
      </c>
      <c r="BL154" s="242">
        <v>0</v>
      </c>
      <c r="BM154" s="242">
        <v>0</v>
      </c>
      <c r="BN154" s="242"/>
      <c r="BO154" s="231">
        <v>0</v>
      </c>
      <c r="BP154" s="231"/>
      <c r="BQ154" s="231">
        <v>94</v>
      </c>
      <c r="BR154" s="231">
        <v>22</v>
      </c>
      <c r="BS154" s="231">
        <v>20</v>
      </c>
      <c r="BT154" s="231">
        <v>47</v>
      </c>
      <c r="BU154" s="231">
        <v>51</v>
      </c>
      <c r="BV154" s="231">
        <v>55</v>
      </c>
      <c r="BW154" s="231">
        <v>69</v>
      </c>
      <c r="BX154" s="231">
        <v>54</v>
      </c>
      <c r="BY154" s="231">
        <v>88</v>
      </c>
      <c r="BZ154" s="231">
        <v>38</v>
      </c>
      <c r="CA154" s="231">
        <v>22</v>
      </c>
      <c r="CB154" s="231">
        <v>29</v>
      </c>
      <c r="CC154" s="231">
        <v>54</v>
      </c>
      <c r="CD154" s="231">
        <v>369</v>
      </c>
      <c r="CE154" s="231">
        <v>139</v>
      </c>
      <c r="CF154" s="231">
        <v>156</v>
      </c>
      <c r="CG154" s="231">
        <v>136</v>
      </c>
      <c r="CH154" s="231">
        <v>60</v>
      </c>
      <c r="CI154" s="231"/>
    </row>
    <row r="155" spans="1:87" ht="25.2" customHeight="1" outlineLevel="1">
      <c r="A155" s="204">
        <v>143</v>
      </c>
      <c r="B155" s="207">
        <v>4060</v>
      </c>
      <c r="C155" s="208" t="s">
        <v>332</v>
      </c>
      <c r="D155" s="194" t="s">
        <v>181</v>
      </c>
      <c r="E155" s="209">
        <f t="shared" si="12"/>
        <v>35.6</v>
      </c>
      <c r="F155" s="216">
        <v>90</v>
      </c>
      <c r="G155" s="217">
        <v>4.9000000000000004</v>
      </c>
      <c r="H155" s="218"/>
      <c r="I155" s="230">
        <f t="shared" si="13"/>
        <v>4</v>
      </c>
      <c r="J155" s="216">
        <v>1.5</v>
      </c>
      <c r="K155" s="216">
        <v>1.1000000000000001</v>
      </c>
      <c r="L155" s="233"/>
      <c r="M155" s="236">
        <v>140</v>
      </c>
      <c r="N155" s="236">
        <v>80</v>
      </c>
      <c r="O155" s="236">
        <v>1.2</v>
      </c>
      <c r="P155" s="236"/>
      <c r="Q155" s="236"/>
      <c r="R155" s="236"/>
      <c r="S155" s="236"/>
      <c r="T155" s="231"/>
      <c r="U155" s="231"/>
      <c r="V155" s="231"/>
      <c r="W155" s="242"/>
      <c r="X155" s="232"/>
      <c r="Y155" s="231"/>
      <c r="Z155" s="231"/>
      <c r="AA155" s="241"/>
      <c r="AB155" s="241"/>
      <c r="AC155" s="240"/>
      <c r="AD155" s="240"/>
      <c r="AE155" s="236"/>
      <c r="AF155" s="236"/>
      <c r="AG155" s="240">
        <v>0</v>
      </c>
      <c r="AH155" s="240">
        <f t="shared" si="14"/>
        <v>0</v>
      </c>
      <c r="AI155" s="236">
        <f t="shared" si="15"/>
        <v>0</v>
      </c>
      <c r="AJ155" s="252"/>
      <c r="AK155" s="233"/>
      <c r="AL155" s="216"/>
      <c r="AM155" s="236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6"/>
      <c r="AX155" s="242"/>
      <c r="AY155" s="242"/>
      <c r="AZ155" s="242"/>
      <c r="BA155" s="242"/>
      <c r="BB155" s="242"/>
      <c r="BC155" s="242"/>
      <c r="BD155" s="242"/>
      <c r="BE155" s="231"/>
      <c r="BF155" s="242"/>
      <c r="BG155" s="242"/>
      <c r="BH155" s="242"/>
      <c r="BI155" s="242"/>
      <c r="BJ155" s="242"/>
      <c r="BK155" s="242"/>
      <c r="BL155" s="242"/>
      <c r="BM155" s="242"/>
      <c r="BN155" s="242"/>
      <c r="BO155" s="231">
        <v>0</v>
      </c>
      <c r="BP155" s="231"/>
      <c r="BQ155" s="231"/>
      <c r="BR155" s="231"/>
      <c r="BS155" s="231"/>
      <c r="BT155" s="231"/>
      <c r="BU155" s="231"/>
      <c r="BV155" s="231"/>
      <c r="BW155" s="231"/>
      <c r="BX155" s="231"/>
      <c r="BY155" s="231"/>
      <c r="BZ155" s="231"/>
      <c r="CA155" s="231"/>
      <c r="CB155" s="231"/>
      <c r="CC155" s="231"/>
      <c r="CD155" s="231"/>
      <c r="CE155" s="231"/>
      <c r="CF155" s="231"/>
      <c r="CG155" s="231"/>
      <c r="CH155" s="231"/>
      <c r="CI155" s="231"/>
    </row>
    <row r="156" spans="1:87" ht="25.2" customHeight="1" outlineLevel="1">
      <c r="A156" s="204">
        <v>144</v>
      </c>
      <c r="B156" s="207">
        <v>4061</v>
      </c>
      <c r="C156" s="208" t="s">
        <v>333</v>
      </c>
      <c r="D156" s="194" t="s">
        <v>181</v>
      </c>
      <c r="E156" s="209">
        <f t="shared" si="12"/>
        <v>30.82</v>
      </c>
      <c r="F156" s="216">
        <v>92.2</v>
      </c>
      <c r="G156" s="217">
        <v>0.99</v>
      </c>
      <c r="H156" s="218">
        <v>0.3</v>
      </c>
      <c r="I156" s="230">
        <f t="shared" si="13"/>
        <v>6.0400000000000098</v>
      </c>
      <c r="J156" s="231">
        <v>2</v>
      </c>
      <c r="K156" s="216">
        <v>0.47</v>
      </c>
      <c r="L156" s="233">
        <v>4.2</v>
      </c>
      <c r="M156" s="236">
        <v>7</v>
      </c>
      <c r="N156" s="236">
        <v>26</v>
      </c>
      <c r="O156" s="236">
        <v>0.43</v>
      </c>
      <c r="P156" s="236">
        <v>190</v>
      </c>
      <c r="Q156" s="236">
        <v>5.3999999999999999E-2</v>
      </c>
      <c r="R156" s="236">
        <v>8.5000000000000006E-2</v>
      </c>
      <c r="S156" s="236">
        <v>0.97899999999999998</v>
      </c>
      <c r="T156" s="231">
        <v>2</v>
      </c>
      <c r="U156" s="231">
        <v>211</v>
      </c>
      <c r="V156" s="231">
        <v>12</v>
      </c>
      <c r="W156" s="242">
        <v>0.112</v>
      </c>
      <c r="X156" s="232">
        <v>0.25</v>
      </c>
      <c r="Y156" s="231">
        <v>17</v>
      </c>
      <c r="Z156" s="231">
        <v>0.1</v>
      </c>
      <c r="AA156" s="241">
        <v>0.317</v>
      </c>
      <c r="AB156" s="241">
        <v>0.29099999999999998</v>
      </c>
      <c r="AC156" s="240">
        <v>18</v>
      </c>
      <c r="AD156" s="240">
        <v>0</v>
      </c>
      <c r="AE156" s="236"/>
      <c r="AF156" s="236"/>
      <c r="AG156" s="240">
        <v>0</v>
      </c>
      <c r="AH156" s="240">
        <f t="shared" si="14"/>
        <v>0</v>
      </c>
      <c r="AI156" s="236">
        <f t="shared" si="15"/>
        <v>156.583333333333</v>
      </c>
      <c r="AJ156" s="261"/>
      <c r="AK156" s="233">
        <v>1.58</v>
      </c>
      <c r="AL156" s="216">
        <v>4.9000000000000004</v>
      </c>
      <c r="AM156" s="236">
        <v>1624</v>
      </c>
      <c r="AN156" s="231">
        <v>20</v>
      </c>
      <c r="AO156" s="231">
        <v>490</v>
      </c>
      <c r="AP156" s="231">
        <v>308</v>
      </c>
      <c r="AQ156" s="231">
        <v>51</v>
      </c>
      <c r="AR156" s="231"/>
      <c r="AS156" s="231"/>
      <c r="AT156" s="231"/>
      <c r="AU156" s="231"/>
      <c r="AV156" s="231"/>
      <c r="AW156" s="236">
        <v>5.8999999999999997E-2</v>
      </c>
      <c r="AX156" s="242">
        <v>5.6000000000000001E-2</v>
      </c>
      <c r="AY156" s="242">
        <v>0</v>
      </c>
      <c r="AZ156" s="242">
        <v>4.0000000000000001E-3</v>
      </c>
      <c r="BA156" s="242">
        <v>0</v>
      </c>
      <c r="BB156" s="242">
        <v>0</v>
      </c>
      <c r="BC156" s="242">
        <v>0</v>
      </c>
      <c r="BD156" s="242">
        <v>7.0000000000000001E-3</v>
      </c>
      <c r="BE156" s="231">
        <v>0</v>
      </c>
      <c r="BF156" s="242">
        <v>4.0000000000000001E-3</v>
      </c>
      <c r="BG156" s="242">
        <v>4.0000000000000001E-3</v>
      </c>
      <c r="BH156" s="242">
        <v>0.156</v>
      </c>
      <c r="BI156" s="242">
        <v>0.1</v>
      </c>
      <c r="BJ156" s="242">
        <v>5.6000000000000001E-2</v>
      </c>
      <c r="BK156" s="242">
        <v>0</v>
      </c>
      <c r="BL156" s="242">
        <v>0</v>
      </c>
      <c r="BM156" s="242">
        <v>0</v>
      </c>
      <c r="BN156" s="242"/>
      <c r="BO156" s="231">
        <v>0</v>
      </c>
      <c r="BP156" s="231"/>
      <c r="BQ156" s="231">
        <v>43</v>
      </c>
      <c r="BR156" s="231">
        <v>12</v>
      </c>
      <c r="BS156" s="231">
        <v>12</v>
      </c>
      <c r="BT156" s="231">
        <v>30</v>
      </c>
      <c r="BU156" s="231">
        <v>37</v>
      </c>
      <c r="BV156" s="231">
        <v>41</v>
      </c>
      <c r="BW156" s="231">
        <v>43</v>
      </c>
      <c r="BX156" s="231">
        <v>32</v>
      </c>
      <c r="BY156" s="231">
        <v>48</v>
      </c>
      <c r="BZ156" s="231">
        <v>20</v>
      </c>
      <c r="CA156" s="231">
        <v>19</v>
      </c>
      <c r="CB156" s="231">
        <v>20</v>
      </c>
      <c r="CC156" s="231">
        <v>40</v>
      </c>
      <c r="CD156" s="231">
        <v>142</v>
      </c>
      <c r="CE156" s="231">
        <v>130</v>
      </c>
      <c r="CF156" s="231">
        <v>37</v>
      </c>
      <c r="CG156" s="231">
        <v>43</v>
      </c>
      <c r="CH156" s="231">
        <v>40</v>
      </c>
      <c r="CI156" s="231"/>
    </row>
    <row r="157" spans="1:87" ht="25.2" customHeight="1" outlineLevel="1">
      <c r="A157" s="204">
        <v>145</v>
      </c>
      <c r="B157" s="207">
        <v>4062</v>
      </c>
      <c r="C157" s="208" t="s">
        <v>334</v>
      </c>
      <c r="D157" s="194" t="s">
        <v>181</v>
      </c>
      <c r="E157" s="209">
        <f t="shared" si="12"/>
        <v>33.6</v>
      </c>
      <c r="F157" s="216">
        <v>91</v>
      </c>
      <c r="G157" s="217">
        <v>1.3</v>
      </c>
      <c r="H157" s="218"/>
      <c r="I157" s="230">
        <f t="shared" si="13"/>
        <v>7.1000000000000103</v>
      </c>
      <c r="J157" s="216">
        <v>1.4</v>
      </c>
      <c r="K157" s="216">
        <v>0.6</v>
      </c>
      <c r="L157" s="233"/>
      <c r="M157" s="216">
        <v>86</v>
      </c>
      <c r="N157" s="216">
        <v>120</v>
      </c>
      <c r="O157" s="216">
        <v>3.6</v>
      </c>
      <c r="P157" s="216">
        <v>250</v>
      </c>
      <c r="Q157" s="216">
        <v>0.37</v>
      </c>
      <c r="R157" s="216">
        <v>0.51</v>
      </c>
      <c r="S157" s="216">
        <v>2.5</v>
      </c>
      <c r="T157" s="240">
        <v>14.5</v>
      </c>
      <c r="U157" s="240">
        <v>275.10000000000002</v>
      </c>
      <c r="V157" s="240">
        <v>12</v>
      </c>
      <c r="W157" s="241">
        <v>1.1000000000000001</v>
      </c>
      <c r="X157" s="233">
        <v>0.32</v>
      </c>
      <c r="Y157" s="240">
        <v>140</v>
      </c>
      <c r="Z157" s="216">
        <v>0.3</v>
      </c>
      <c r="AA157" s="241">
        <v>0.16800000000000001</v>
      </c>
      <c r="AB157" s="241">
        <v>0.16800000000000001</v>
      </c>
      <c r="AC157" s="240">
        <v>26</v>
      </c>
      <c r="AD157" s="240">
        <v>0</v>
      </c>
      <c r="AE157" s="233"/>
      <c r="AF157" s="233">
        <v>0</v>
      </c>
      <c r="AG157" s="240">
        <v>0</v>
      </c>
      <c r="AH157" s="240">
        <f t="shared" si="14"/>
        <v>0</v>
      </c>
      <c r="AI157" s="231">
        <f t="shared" si="15"/>
        <v>436.875</v>
      </c>
      <c r="AJ157" s="252"/>
      <c r="AK157" s="233"/>
      <c r="AL157" s="216"/>
      <c r="AM157" s="231">
        <v>3607</v>
      </c>
      <c r="AN157" s="231">
        <v>3271</v>
      </c>
      <c r="AO157" s="231"/>
      <c r="AP157" s="231"/>
      <c r="AQ157" s="231">
        <v>121</v>
      </c>
      <c r="AR157" s="231"/>
      <c r="AS157" s="231"/>
      <c r="AT157" s="231"/>
      <c r="AU157" s="231"/>
      <c r="AV157" s="231"/>
      <c r="AW157" s="231">
        <v>3.1E-2</v>
      </c>
      <c r="AX157" s="242"/>
      <c r="AY157" s="242"/>
      <c r="AZ157" s="242"/>
      <c r="BA157" s="242"/>
      <c r="BB157" s="242"/>
      <c r="BC157" s="242"/>
      <c r="BD157" s="242"/>
      <c r="BE157" s="231"/>
      <c r="BF157" s="242"/>
      <c r="BG157" s="242"/>
      <c r="BH157" s="242"/>
      <c r="BI157" s="242"/>
      <c r="BJ157" s="242"/>
      <c r="BK157" s="242"/>
      <c r="BL157" s="242"/>
      <c r="BM157" s="242"/>
      <c r="BN157" s="242"/>
      <c r="BO157" s="231">
        <v>0</v>
      </c>
      <c r="BP157" s="231"/>
      <c r="BQ157" s="231">
        <v>44</v>
      </c>
      <c r="BR157" s="231">
        <v>12</v>
      </c>
      <c r="BS157" s="231">
        <v>13</v>
      </c>
      <c r="BT157" s="231">
        <v>31</v>
      </c>
      <c r="BU157" s="231">
        <v>37</v>
      </c>
      <c r="BV157" s="231">
        <v>42</v>
      </c>
      <c r="BW157" s="231">
        <v>52</v>
      </c>
      <c r="BX157" s="231">
        <v>32</v>
      </c>
      <c r="BY157" s="231">
        <v>48</v>
      </c>
      <c r="BZ157" s="231">
        <v>20</v>
      </c>
      <c r="CA157" s="231">
        <v>19</v>
      </c>
      <c r="CB157" s="231">
        <v>21</v>
      </c>
      <c r="CC157" s="231">
        <v>41</v>
      </c>
      <c r="CD157" s="231">
        <v>143</v>
      </c>
      <c r="CE157" s="231">
        <v>132</v>
      </c>
      <c r="CF157" s="231">
        <v>37</v>
      </c>
      <c r="CG157" s="231">
        <v>44</v>
      </c>
      <c r="CH157" s="231">
        <v>40</v>
      </c>
      <c r="CI157" s="231"/>
    </row>
    <row r="158" spans="1:87" ht="25.2" customHeight="1" outlineLevel="1">
      <c r="A158" s="204">
        <v>146</v>
      </c>
      <c r="B158" s="207">
        <v>4063</v>
      </c>
      <c r="C158" s="208" t="s">
        <v>335</v>
      </c>
      <c r="D158" s="194" t="s">
        <v>181</v>
      </c>
      <c r="E158" s="209">
        <f t="shared" si="12"/>
        <v>30</v>
      </c>
      <c r="F158" s="216">
        <v>92</v>
      </c>
      <c r="G158" s="217">
        <v>1.3</v>
      </c>
      <c r="H158" s="218"/>
      <c r="I158" s="230">
        <f t="shared" si="13"/>
        <v>6.2</v>
      </c>
      <c r="J158" s="216">
        <v>1.5</v>
      </c>
      <c r="K158" s="216">
        <v>0.5</v>
      </c>
      <c r="L158" s="233">
        <v>2.4</v>
      </c>
      <c r="M158" s="216">
        <v>6</v>
      </c>
      <c r="N158" s="216">
        <v>25</v>
      </c>
      <c r="O158" s="216">
        <v>0.8</v>
      </c>
      <c r="P158" s="216">
        <v>103</v>
      </c>
      <c r="Q158" s="216">
        <v>0.04</v>
      </c>
      <c r="R158" s="216">
        <v>0.05</v>
      </c>
      <c r="S158" s="216">
        <v>0.9</v>
      </c>
      <c r="T158" s="231">
        <v>3</v>
      </c>
      <c r="U158" s="231">
        <v>175</v>
      </c>
      <c r="V158" s="231">
        <v>10</v>
      </c>
      <c r="W158" s="242">
        <v>0.122</v>
      </c>
      <c r="X158" s="232">
        <v>0.13</v>
      </c>
      <c r="Y158" s="231">
        <v>66</v>
      </c>
      <c r="Z158" s="231">
        <v>0</v>
      </c>
      <c r="AA158" s="241">
        <v>9.9000000000000005E-2</v>
      </c>
      <c r="AB158" s="241">
        <v>0.224</v>
      </c>
      <c r="AC158" s="240">
        <v>11</v>
      </c>
      <c r="AD158" s="240">
        <v>0</v>
      </c>
      <c r="AE158" s="233"/>
      <c r="AF158" s="233">
        <v>0</v>
      </c>
      <c r="AG158" s="240">
        <v>0</v>
      </c>
      <c r="AH158" s="240">
        <f t="shared" si="14"/>
        <v>0</v>
      </c>
      <c r="AI158" s="236">
        <f t="shared" si="15"/>
        <v>17.4166666666667</v>
      </c>
      <c r="AJ158" s="252"/>
      <c r="AK158" s="233"/>
      <c r="AL158" s="216"/>
      <c r="AM158" s="236">
        <v>198</v>
      </c>
      <c r="AN158" s="231">
        <v>22</v>
      </c>
      <c r="AO158" s="231"/>
      <c r="AP158" s="231"/>
      <c r="AQ158" s="231"/>
      <c r="AR158" s="231"/>
      <c r="AS158" s="231"/>
      <c r="AT158" s="231"/>
      <c r="AU158" s="231"/>
      <c r="AV158" s="231">
        <v>55</v>
      </c>
      <c r="AW158" s="236">
        <v>5.8000000000000003E-2</v>
      </c>
      <c r="AX158" s="242">
        <v>0.05</v>
      </c>
      <c r="AY158" s="242">
        <v>0</v>
      </c>
      <c r="AZ158" s="242">
        <v>8.0000000000000002E-3</v>
      </c>
      <c r="BA158" s="242">
        <v>0</v>
      </c>
      <c r="BB158" s="242">
        <v>0</v>
      </c>
      <c r="BC158" s="242">
        <v>0</v>
      </c>
      <c r="BD158" s="242">
        <v>8.0000000000000002E-3</v>
      </c>
      <c r="BE158" s="231">
        <v>0</v>
      </c>
      <c r="BF158" s="242">
        <v>0</v>
      </c>
      <c r="BG158" s="242">
        <v>8.0000000000000002E-3</v>
      </c>
      <c r="BH158" s="242">
        <v>6.2E-2</v>
      </c>
      <c r="BI158" s="242">
        <v>5.3999999999999999E-2</v>
      </c>
      <c r="BJ158" s="242">
        <v>8.0000000000000002E-3</v>
      </c>
      <c r="BK158" s="242">
        <v>0</v>
      </c>
      <c r="BL158" s="242">
        <v>0</v>
      </c>
      <c r="BM158" s="242">
        <v>0</v>
      </c>
      <c r="BN158" s="242"/>
      <c r="BO158" s="231">
        <v>0</v>
      </c>
      <c r="BP158" s="231">
        <v>9</v>
      </c>
      <c r="BQ158" s="204">
        <v>65</v>
      </c>
      <c r="BR158" s="204">
        <v>17</v>
      </c>
      <c r="BS158" s="204">
        <v>8</v>
      </c>
      <c r="BT158" s="204">
        <v>43</v>
      </c>
      <c r="BU158" s="204">
        <v>41</v>
      </c>
      <c r="BV158" s="204">
        <v>26</v>
      </c>
      <c r="BW158" s="204">
        <v>49</v>
      </c>
      <c r="BX158" s="204">
        <v>42</v>
      </c>
      <c r="BY158" s="204">
        <v>21</v>
      </c>
      <c r="BZ158" s="204">
        <v>13</v>
      </c>
      <c r="CA158" s="204">
        <v>23</v>
      </c>
      <c r="CB158" s="204">
        <v>24</v>
      </c>
      <c r="CC158" s="204">
        <v>55</v>
      </c>
      <c r="CD158" s="204">
        <v>139</v>
      </c>
      <c r="CE158" s="204">
        <v>178</v>
      </c>
      <c r="CF158" s="204">
        <v>42</v>
      </c>
      <c r="CG158" s="204">
        <v>48</v>
      </c>
      <c r="CH158" s="204">
        <v>39</v>
      </c>
      <c r="CI158" s="231"/>
    </row>
    <row r="159" spans="1:87" ht="25.2" customHeight="1" outlineLevel="1">
      <c r="A159" s="204">
        <v>147</v>
      </c>
      <c r="B159" s="207">
        <v>4064</v>
      </c>
      <c r="C159" s="208" t="s">
        <v>336</v>
      </c>
      <c r="D159" s="194" t="s">
        <v>181</v>
      </c>
      <c r="E159" s="209">
        <f t="shared" si="12"/>
        <v>18.8</v>
      </c>
      <c r="F159" s="216">
        <v>95</v>
      </c>
      <c r="G159" s="217">
        <v>0.8</v>
      </c>
      <c r="H159" s="218">
        <v>0</v>
      </c>
      <c r="I159" s="230">
        <f t="shared" si="13"/>
        <v>3.9000000000000101</v>
      </c>
      <c r="J159" s="216" t="s">
        <v>247</v>
      </c>
      <c r="K159" s="216">
        <v>0.3</v>
      </c>
      <c r="L159" s="233"/>
      <c r="M159" s="236">
        <v>20.7</v>
      </c>
      <c r="N159" s="236">
        <v>4.5</v>
      </c>
      <c r="O159" s="236"/>
      <c r="P159" s="236"/>
      <c r="Q159" s="236"/>
      <c r="R159" s="236"/>
      <c r="S159" s="236"/>
      <c r="T159" s="231"/>
      <c r="U159" s="231"/>
      <c r="V159" s="231"/>
      <c r="W159" s="242"/>
      <c r="X159" s="232"/>
      <c r="Y159" s="231"/>
      <c r="Z159" s="231"/>
      <c r="AA159" s="241"/>
      <c r="AB159" s="241"/>
      <c r="AC159" s="240"/>
      <c r="AD159" s="240"/>
      <c r="AE159" s="236"/>
      <c r="AF159" s="236"/>
      <c r="AG159" s="240">
        <v>0</v>
      </c>
      <c r="AH159" s="240">
        <f t="shared" si="14"/>
        <v>0</v>
      </c>
      <c r="AI159" s="236">
        <f t="shared" si="15"/>
        <v>0</v>
      </c>
      <c r="AJ159" s="252"/>
      <c r="AK159" s="233"/>
      <c r="AL159" s="216"/>
      <c r="AM159" s="236"/>
      <c r="AN159" s="231"/>
      <c r="AO159" s="231"/>
      <c r="AP159" s="231"/>
      <c r="AQ159" s="231"/>
      <c r="AR159" s="231"/>
      <c r="AS159" s="231"/>
      <c r="AT159" s="231"/>
      <c r="AU159" s="231"/>
      <c r="AV159" s="231"/>
      <c r="AW159" s="236"/>
      <c r="AX159" s="242"/>
      <c r="AY159" s="242"/>
      <c r="AZ159" s="242"/>
      <c r="BA159" s="242"/>
      <c r="BB159" s="242"/>
      <c r="BC159" s="242"/>
      <c r="BD159" s="242"/>
      <c r="BE159" s="231"/>
      <c r="BF159" s="242"/>
      <c r="BG159" s="242"/>
      <c r="BH159" s="242"/>
      <c r="BI159" s="242"/>
      <c r="BJ159" s="242"/>
      <c r="BK159" s="242"/>
      <c r="BL159" s="242"/>
      <c r="BM159" s="242"/>
      <c r="BN159" s="242"/>
      <c r="BO159" s="231">
        <v>0</v>
      </c>
      <c r="BP159" s="231"/>
      <c r="BQ159" s="231"/>
      <c r="BR159" s="231"/>
      <c r="BS159" s="231"/>
      <c r="BT159" s="231"/>
      <c r="BU159" s="231"/>
      <c r="BV159" s="231"/>
      <c r="BW159" s="231"/>
      <c r="BX159" s="231"/>
      <c r="BY159" s="231"/>
      <c r="BZ159" s="231"/>
      <c r="CA159" s="231"/>
      <c r="CB159" s="231"/>
      <c r="CC159" s="231"/>
      <c r="CD159" s="231"/>
      <c r="CE159" s="231"/>
      <c r="CF159" s="231"/>
      <c r="CG159" s="231"/>
      <c r="CH159" s="231"/>
      <c r="CI159" s="231"/>
    </row>
    <row r="160" spans="1:87" ht="25.2" customHeight="1" outlineLevel="1">
      <c r="A160" s="204">
        <v>148</v>
      </c>
      <c r="B160" s="207">
        <v>4065</v>
      </c>
      <c r="C160" s="208" t="s">
        <v>337</v>
      </c>
      <c r="D160" s="194" t="s">
        <v>181</v>
      </c>
      <c r="E160" s="209">
        <f t="shared" ref="E160:E206" si="16">G160*4+H160*9+I160*4</f>
        <v>34.799999999999997</v>
      </c>
      <c r="F160" s="216">
        <v>90.3</v>
      </c>
      <c r="G160" s="217">
        <v>1.9</v>
      </c>
      <c r="H160" s="218"/>
      <c r="I160" s="230">
        <f t="shared" ref="I160:I202" si="17">100-SUM(F160,G160,H160,K160)</f>
        <v>6.8</v>
      </c>
      <c r="J160" s="216">
        <v>2</v>
      </c>
      <c r="K160" s="216">
        <v>1</v>
      </c>
      <c r="L160" s="233"/>
      <c r="M160" s="216">
        <v>130</v>
      </c>
      <c r="N160" s="216">
        <v>46</v>
      </c>
      <c r="O160" s="216">
        <v>0.4</v>
      </c>
      <c r="P160" s="216">
        <v>12</v>
      </c>
      <c r="Q160" s="216">
        <v>0.15</v>
      </c>
      <c r="R160" s="216">
        <v>0.05</v>
      </c>
      <c r="S160" s="216">
        <v>0.4</v>
      </c>
      <c r="T160" s="231"/>
      <c r="U160" s="231"/>
      <c r="V160" s="231"/>
      <c r="W160" s="242"/>
      <c r="X160" s="232"/>
      <c r="Y160" s="231"/>
      <c r="Z160" s="231"/>
      <c r="AA160" s="241"/>
      <c r="AB160" s="241"/>
      <c r="AC160" s="240"/>
      <c r="AD160" s="240"/>
      <c r="AE160" s="233"/>
      <c r="AF160" s="233"/>
      <c r="AG160" s="240">
        <v>0</v>
      </c>
      <c r="AH160" s="240">
        <f t="shared" ref="AH160:AH202" si="18">AG160*3.33</f>
        <v>0</v>
      </c>
      <c r="AI160" s="236">
        <f t="shared" ref="AI160:AI206" si="19">AG160+AM160/12+AN160/24+AO160/24</f>
        <v>0.83333333333333304</v>
      </c>
      <c r="AJ160" s="252"/>
      <c r="AK160" s="233"/>
      <c r="AL160" s="216"/>
      <c r="AM160" s="236">
        <v>10</v>
      </c>
      <c r="AN160" s="231"/>
      <c r="AO160" s="231"/>
      <c r="AP160" s="231"/>
      <c r="AQ160" s="231"/>
      <c r="AR160" s="231"/>
      <c r="AS160" s="231"/>
      <c r="AT160" s="231"/>
      <c r="AU160" s="231"/>
      <c r="AV160" s="231"/>
      <c r="AW160" s="236"/>
      <c r="AX160" s="242"/>
      <c r="AY160" s="242"/>
      <c r="AZ160" s="242"/>
      <c r="BA160" s="242"/>
      <c r="BB160" s="242"/>
      <c r="BC160" s="242"/>
      <c r="BD160" s="242"/>
      <c r="BE160" s="231"/>
      <c r="BF160" s="242"/>
      <c r="BG160" s="242"/>
      <c r="BH160" s="242"/>
      <c r="BI160" s="242"/>
      <c r="BJ160" s="242"/>
      <c r="BK160" s="242"/>
      <c r="BL160" s="242"/>
      <c r="BM160" s="242"/>
      <c r="BN160" s="242"/>
      <c r="BO160" s="231">
        <v>0</v>
      </c>
      <c r="BP160" s="231"/>
      <c r="BQ160" s="231"/>
      <c r="BR160" s="231"/>
      <c r="BS160" s="231"/>
      <c r="BT160" s="231"/>
      <c r="BU160" s="231"/>
      <c r="BV160" s="231"/>
      <c r="BW160" s="231"/>
      <c r="BX160" s="231"/>
      <c r="BY160" s="231"/>
      <c r="BZ160" s="231"/>
      <c r="CA160" s="231"/>
      <c r="CB160" s="231"/>
      <c r="CC160" s="231"/>
      <c r="CD160" s="231"/>
      <c r="CE160" s="231"/>
      <c r="CF160" s="231"/>
      <c r="CG160" s="231"/>
      <c r="CH160" s="231"/>
      <c r="CI160" s="231"/>
    </row>
    <row r="161" spans="1:94" ht="25.2" customHeight="1" outlineLevel="1">
      <c r="A161" s="204">
        <v>149</v>
      </c>
      <c r="B161" s="207">
        <v>4066</v>
      </c>
      <c r="C161" s="208" t="s">
        <v>338</v>
      </c>
      <c r="D161" s="194" t="s">
        <v>181</v>
      </c>
      <c r="E161" s="209">
        <f t="shared" si="16"/>
        <v>24.4</v>
      </c>
      <c r="F161" s="216">
        <v>93.2</v>
      </c>
      <c r="G161" s="217">
        <v>2.7</v>
      </c>
      <c r="H161" s="218"/>
      <c r="I161" s="230">
        <f t="shared" si="17"/>
        <v>3.3999999999999901</v>
      </c>
      <c r="J161" s="216">
        <v>1.7</v>
      </c>
      <c r="K161" s="216">
        <v>0.7</v>
      </c>
      <c r="L161" s="233"/>
      <c r="M161" s="216">
        <v>100</v>
      </c>
      <c r="N161" s="216">
        <v>25.8</v>
      </c>
      <c r="O161" s="216">
        <v>2.1</v>
      </c>
      <c r="P161" s="216">
        <v>11</v>
      </c>
      <c r="Q161" s="216">
        <v>0.09</v>
      </c>
      <c r="R161" s="216">
        <v>0.13</v>
      </c>
      <c r="S161" s="216">
        <v>0.9</v>
      </c>
      <c r="T161" s="240">
        <v>17.21</v>
      </c>
      <c r="U161" s="240">
        <v>390.06</v>
      </c>
      <c r="V161" s="240">
        <v>18.02</v>
      </c>
      <c r="W161" s="241">
        <v>0.28999999999999998</v>
      </c>
      <c r="X161" s="233">
        <v>0.45</v>
      </c>
      <c r="Y161" s="240">
        <v>90</v>
      </c>
      <c r="Z161" s="216">
        <v>0.9</v>
      </c>
      <c r="AA161" s="241">
        <v>4.2000000000000003E-2</v>
      </c>
      <c r="AB161" s="241">
        <v>0.20699999999999999</v>
      </c>
      <c r="AC161" s="240">
        <v>36</v>
      </c>
      <c r="AD161" s="240">
        <v>0</v>
      </c>
      <c r="AE161" s="233"/>
      <c r="AF161" s="233">
        <v>0</v>
      </c>
      <c r="AG161" s="240">
        <v>0</v>
      </c>
      <c r="AH161" s="240">
        <f t="shared" si="18"/>
        <v>0</v>
      </c>
      <c r="AI161" s="236">
        <f t="shared" si="19"/>
        <v>161.666666666667</v>
      </c>
      <c r="AJ161" s="252"/>
      <c r="AK161" s="233"/>
      <c r="AL161" s="216"/>
      <c r="AM161" s="236">
        <v>1940</v>
      </c>
      <c r="AN161" s="231"/>
      <c r="AO161" s="231"/>
      <c r="AP161" s="231"/>
      <c r="AQ161" s="231"/>
      <c r="AR161" s="231"/>
      <c r="AS161" s="231"/>
      <c r="AT161" s="231"/>
      <c r="AU161" s="231"/>
      <c r="AV161" s="231"/>
      <c r="AW161" s="236">
        <v>0.20699999999999999</v>
      </c>
      <c r="AX161" s="242">
        <v>0.14599999999999999</v>
      </c>
      <c r="AY161" s="242">
        <v>0</v>
      </c>
      <c r="AZ161" s="242">
        <v>1.0999999999999999E-2</v>
      </c>
      <c r="BA161" s="242">
        <v>0</v>
      </c>
      <c r="BB161" s="242">
        <v>0</v>
      </c>
      <c r="BC161" s="242">
        <v>0</v>
      </c>
      <c r="BD161" s="242">
        <v>5.1999999999999998E-2</v>
      </c>
      <c r="BE161" s="231">
        <v>0</v>
      </c>
      <c r="BF161" s="242">
        <v>2.5999999999999999E-2</v>
      </c>
      <c r="BG161" s="242">
        <v>2.5000000000000001E-2</v>
      </c>
      <c r="BH161" s="242">
        <v>2.1999999999999999E-2</v>
      </c>
      <c r="BI161" s="242">
        <v>0.01</v>
      </c>
      <c r="BJ161" s="242">
        <v>1.2E-2</v>
      </c>
      <c r="BK161" s="242">
        <v>0</v>
      </c>
      <c r="BL161" s="242">
        <v>0</v>
      </c>
      <c r="BM161" s="242">
        <v>0</v>
      </c>
      <c r="BN161" s="242"/>
      <c r="BO161" s="231">
        <v>0</v>
      </c>
      <c r="BP161" s="231"/>
      <c r="BQ161" s="231">
        <v>200</v>
      </c>
      <c r="BR161" s="231">
        <v>54</v>
      </c>
      <c r="BS161" s="231">
        <v>41</v>
      </c>
      <c r="BT161" s="231">
        <v>171</v>
      </c>
      <c r="BU161" s="231">
        <v>156</v>
      </c>
      <c r="BV161" s="231">
        <v>181</v>
      </c>
      <c r="BW161" s="231">
        <v>318</v>
      </c>
      <c r="BX161" s="231">
        <v>156</v>
      </c>
      <c r="BY161" s="231">
        <v>217</v>
      </c>
      <c r="BZ161" s="231">
        <v>50</v>
      </c>
      <c r="CA161" s="231">
        <v>32</v>
      </c>
      <c r="CB161" s="231">
        <v>156</v>
      </c>
      <c r="CC161" s="231"/>
      <c r="CD161" s="231"/>
      <c r="CE161" s="231"/>
      <c r="CF161" s="231"/>
      <c r="CG161" s="231"/>
      <c r="CH161" s="231"/>
      <c r="CI161" s="231"/>
    </row>
    <row r="162" spans="1:94" ht="25.2" customHeight="1" outlineLevel="1">
      <c r="A162" s="204">
        <v>150</v>
      </c>
      <c r="B162" s="207">
        <v>4067</v>
      </c>
      <c r="C162" s="208" t="s">
        <v>339</v>
      </c>
      <c r="D162" s="194" t="s">
        <v>181</v>
      </c>
      <c r="E162" s="209">
        <f t="shared" si="16"/>
        <v>281.10000000000002</v>
      </c>
      <c r="F162" s="216">
        <v>20</v>
      </c>
      <c r="G162" s="217">
        <v>11.2</v>
      </c>
      <c r="H162" s="218">
        <v>1.1000000000000001</v>
      </c>
      <c r="I162" s="230">
        <f t="shared" si="17"/>
        <v>56.6</v>
      </c>
      <c r="J162" s="216">
        <v>20.8</v>
      </c>
      <c r="K162" s="216">
        <v>11.1</v>
      </c>
      <c r="L162" s="233">
        <v>2.97</v>
      </c>
      <c r="M162" s="236">
        <v>378</v>
      </c>
      <c r="N162" s="236">
        <v>124.1</v>
      </c>
      <c r="O162" s="236">
        <v>8.8000000000000007</v>
      </c>
      <c r="P162" s="236">
        <v>0</v>
      </c>
      <c r="Q162" s="236">
        <v>0.01</v>
      </c>
      <c r="R162" s="236">
        <v>0.222</v>
      </c>
      <c r="S162" s="236">
        <v>0.20200000000000001</v>
      </c>
      <c r="T162" s="231">
        <v>102</v>
      </c>
      <c r="U162" s="231">
        <v>1125</v>
      </c>
      <c r="V162" s="231">
        <v>770</v>
      </c>
      <c r="W162" s="242">
        <v>4.3</v>
      </c>
      <c r="X162" s="232">
        <v>5.8</v>
      </c>
      <c r="Y162" s="231">
        <v>610</v>
      </c>
      <c r="Z162" s="231">
        <v>7.4</v>
      </c>
      <c r="AA162" s="241">
        <v>3.0179999999999998</v>
      </c>
      <c r="AB162" s="241">
        <v>0.30299999999999999</v>
      </c>
      <c r="AC162" s="240">
        <v>580</v>
      </c>
      <c r="AD162" s="240">
        <v>0</v>
      </c>
      <c r="AE162" s="236"/>
      <c r="AF162" s="236">
        <v>0</v>
      </c>
      <c r="AG162" s="240">
        <v>0</v>
      </c>
      <c r="AH162" s="240">
        <f t="shared" si="18"/>
        <v>0</v>
      </c>
      <c r="AI162" s="236">
        <f t="shared" si="19"/>
        <v>0</v>
      </c>
      <c r="AJ162" s="252"/>
      <c r="AK162" s="233">
        <v>5</v>
      </c>
      <c r="AL162" s="216">
        <v>24.4</v>
      </c>
      <c r="AM162" s="236"/>
      <c r="AN162" s="231"/>
      <c r="AO162" s="231"/>
      <c r="AP162" s="231"/>
      <c r="AQ162" s="231"/>
      <c r="AR162" s="231"/>
      <c r="AS162" s="231"/>
      <c r="AT162" s="231"/>
      <c r="AU162" s="231"/>
      <c r="AV162" s="231"/>
      <c r="AW162" s="236">
        <v>6.0999999999999999E-2</v>
      </c>
      <c r="AX162" s="242">
        <v>5.5E-2</v>
      </c>
      <c r="AY162" s="242">
        <v>0</v>
      </c>
      <c r="AZ162" s="242">
        <v>3.0000000000000001E-3</v>
      </c>
      <c r="BA162" s="242">
        <v>0</v>
      </c>
      <c r="BB162" s="242">
        <v>0</v>
      </c>
      <c r="BC162" s="242">
        <v>0</v>
      </c>
      <c r="BD162" s="242">
        <v>2.7E-2</v>
      </c>
      <c r="BE162" s="231">
        <v>0</v>
      </c>
      <c r="BF162" s="242">
        <v>8.9999999999999993E-3</v>
      </c>
      <c r="BG162" s="242">
        <v>8.9999999999999993E-3</v>
      </c>
      <c r="BH162" s="242">
        <v>0.10199999999999999</v>
      </c>
      <c r="BI162" s="242">
        <v>4.0000000000000001E-3</v>
      </c>
      <c r="BJ162" s="242">
        <v>1E-3</v>
      </c>
      <c r="BK162" s="242">
        <v>0</v>
      </c>
      <c r="BL162" s="242">
        <v>0</v>
      </c>
      <c r="BM162" s="242">
        <v>0</v>
      </c>
      <c r="BN162" s="242"/>
      <c r="BO162" s="231">
        <v>0</v>
      </c>
      <c r="BP162" s="231"/>
      <c r="BQ162" s="231"/>
      <c r="BR162" s="231"/>
      <c r="BS162" s="231"/>
      <c r="BT162" s="231"/>
      <c r="BU162" s="231"/>
      <c r="BV162" s="231"/>
      <c r="BW162" s="231"/>
      <c r="BX162" s="231"/>
      <c r="BY162" s="231"/>
      <c r="BZ162" s="231"/>
      <c r="CA162" s="231"/>
      <c r="CB162" s="231"/>
      <c r="CC162" s="231"/>
      <c r="CD162" s="231"/>
      <c r="CE162" s="231"/>
      <c r="CF162" s="231"/>
      <c r="CG162" s="231"/>
      <c r="CH162" s="231"/>
      <c r="CI162" s="231"/>
    </row>
    <row r="163" spans="1:94" ht="25.2" customHeight="1" outlineLevel="1">
      <c r="A163" s="204">
        <v>151</v>
      </c>
      <c r="B163" s="207">
        <v>4068</v>
      </c>
      <c r="C163" s="208" t="s">
        <v>340</v>
      </c>
      <c r="D163" s="194" t="s">
        <v>181</v>
      </c>
      <c r="E163" s="209">
        <f t="shared" si="16"/>
        <v>44.9</v>
      </c>
      <c r="F163" s="216">
        <v>86.2</v>
      </c>
      <c r="G163" s="217">
        <v>1.9</v>
      </c>
      <c r="H163" s="218">
        <v>0.1</v>
      </c>
      <c r="I163" s="230">
        <f t="shared" si="17"/>
        <v>9.0999999999999908</v>
      </c>
      <c r="J163" s="216">
        <v>5</v>
      </c>
      <c r="K163" s="216">
        <v>2.7</v>
      </c>
      <c r="L163" s="233">
        <v>0.28000000000000003</v>
      </c>
      <c r="M163" s="216">
        <v>85</v>
      </c>
      <c r="N163" s="216">
        <v>34</v>
      </c>
      <c r="O163" s="216">
        <v>0.9</v>
      </c>
      <c r="P163" s="216">
        <v>0</v>
      </c>
      <c r="Q163" s="216">
        <v>5.0000000000000001E-3</v>
      </c>
      <c r="R163" s="216">
        <v>0.03</v>
      </c>
      <c r="S163" s="216">
        <v>0.5</v>
      </c>
      <c r="T163" s="231">
        <v>9</v>
      </c>
      <c r="U163" s="231">
        <v>226</v>
      </c>
      <c r="V163" s="231">
        <v>67</v>
      </c>
      <c r="W163" s="242">
        <v>0.373</v>
      </c>
      <c r="X163" s="232">
        <v>0.57999999999999996</v>
      </c>
      <c r="Y163" s="231">
        <v>61</v>
      </c>
      <c r="Z163" s="231">
        <v>0.7</v>
      </c>
      <c r="AA163" s="241">
        <v>0.30199999999999999</v>
      </c>
      <c r="AB163" s="241">
        <v>3.2000000000000001E-2</v>
      </c>
      <c r="AC163" s="240">
        <v>85</v>
      </c>
      <c r="AD163" s="240">
        <v>0</v>
      </c>
      <c r="AE163" s="233"/>
      <c r="AF163" s="233">
        <v>0</v>
      </c>
      <c r="AG163" s="240">
        <v>0</v>
      </c>
      <c r="AH163" s="240">
        <f t="shared" si="18"/>
        <v>0</v>
      </c>
      <c r="AI163" s="236">
        <f t="shared" si="19"/>
        <v>0</v>
      </c>
      <c r="AJ163" s="252"/>
      <c r="AK163" s="233">
        <v>0.87</v>
      </c>
      <c r="AL163" s="216">
        <v>2.2999999999999998</v>
      </c>
      <c r="AM163" s="236"/>
      <c r="AN163" s="231"/>
      <c r="AO163" s="231"/>
      <c r="AP163" s="231"/>
      <c r="AQ163" s="231"/>
      <c r="AR163" s="231"/>
      <c r="AS163" s="231"/>
      <c r="AT163" s="231"/>
      <c r="AU163" s="231"/>
      <c r="AV163" s="231"/>
      <c r="AW163" s="236">
        <v>6.0000000000000001E-3</v>
      </c>
      <c r="AX163" s="242">
        <v>5.0000000000000001E-3</v>
      </c>
      <c r="AY163" s="242">
        <v>0</v>
      </c>
      <c r="AZ163" s="242">
        <v>0</v>
      </c>
      <c r="BA163" s="242">
        <v>0</v>
      </c>
      <c r="BB163" s="242">
        <v>0</v>
      </c>
      <c r="BC163" s="242">
        <v>0</v>
      </c>
      <c r="BD163" s="242">
        <v>3.0000000000000001E-3</v>
      </c>
      <c r="BE163" s="231">
        <v>0</v>
      </c>
      <c r="BF163" s="242">
        <v>1E-3</v>
      </c>
      <c r="BG163" s="242">
        <v>1E-3</v>
      </c>
      <c r="BH163" s="242">
        <v>0.01</v>
      </c>
      <c r="BI163" s="242">
        <v>0</v>
      </c>
      <c r="BJ163" s="242">
        <v>0</v>
      </c>
      <c r="BK163" s="242">
        <v>1E-3</v>
      </c>
      <c r="BL163" s="242">
        <v>8.0000000000000002E-3</v>
      </c>
      <c r="BM163" s="242">
        <v>0</v>
      </c>
      <c r="BN163" s="242"/>
      <c r="BO163" s="231">
        <v>0</v>
      </c>
      <c r="BP163" s="231"/>
      <c r="BQ163" s="231"/>
      <c r="BR163" s="231"/>
      <c r="BS163" s="231"/>
      <c r="BT163" s="231"/>
      <c r="BU163" s="231"/>
      <c r="BV163" s="231"/>
      <c r="BW163" s="231"/>
      <c r="BX163" s="231"/>
      <c r="BY163" s="231"/>
      <c r="BZ163" s="231"/>
      <c r="CA163" s="231"/>
      <c r="CB163" s="231"/>
      <c r="CC163" s="231"/>
      <c r="CD163" s="231"/>
      <c r="CE163" s="231"/>
      <c r="CF163" s="231"/>
      <c r="CG163" s="231"/>
      <c r="CH163" s="231"/>
      <c r="CI163" s="231"/>
    </row>
    <row r="164" spans="1:94" ht="25.2" customHeight="1" outlineLevel="1">
      <c r="A164" s="204">
        <v>152</v>
      </c>
      <c r="B164" s="207">
        <v>4069</v>
      </c>
      <c r="C164" s="208" t="s">
        <v>341</v>
      </c>
      <c r="D164" s="194" t="s">
        <v>181</v>
      </c>
      <c r="E164" s="209">
        <f t="shared" si="16"/>
        <v>14.8</v>
      </c>
      <c r="F164" s="216">
        <v>95.7</v>
      </c>
      <c r="G164" s="217">
        <v>1.2</v>
      </c>
      <c r="H164" s="218"/>
      <c r="I164" s="230">
        <f t="shared" si="17"/>
        <v>2.5</v>
      </c>
      <c r="J164" s="216">
        <v>0.5</v>
      </c>
      <c r="K164" s="216">
        <v>0.6</v>
      </c>
      <c r="L164" s="233">
        <v>0.78</v>
      </c>
      <c r="M164" s="216">
        <v>38</v>
      </c>
      <c r="N164" s="216">
        <v>37</v>
      </c>
      <c r="O164" s="216">
        <v>1.1000000000000001</v>
      </c>
      <c r="P164" s="216">
        <v>30</v>
      </c>
      <c r="Q164" s="216">
        <v>0.3</v>
      </c>
      <c r="R164" s="216">
        <v>0.09</v>
      </c>
      <c r="S164" s="216">
        <v>0.22</v>
      </c>
      <c r="T164" s="240">
        <v>14</v>
      </c>
      <c r="U164" s="240">
        <v>254</v>
      </c>
      <c r="V164" s="240">
        <v>18</v>
      </c>
      <c r="W164" s="241">
        <v>0.8</v>
      </c>
      <c r="X164" s="233">
        <v>0.4</v>
      </c>
      <c r="Y164" s="240">
        <v>180</v>
      </c>
      <c r="Z164" s="216">
        <v>0.8</v>
      </c>
      <c r="AA164" s="241">
        <v>0.13400000000000001</v>
      </c>
      <c r="AB164" s="241">
        <v>0.09</v>
      </c>
      <c r="AC164" s="240">
        <v>38</v>
      </c>
      <c r="AD164" s="240">
        <v>0</v>
      </c>
      <c r="AE164" s="233"/>
      <c r="AF164" s="233">
        <v>0</v>
      </c>
      <c r="AG164" s="240">
        <v>0</v>
      </c>
      <c r="AH164" s="240">
        <f t="shared" si="18"/>
        <v>0</v>
      </c>
      <c r="AI164" s="236">
        <f t="shared" si="19"/>
        <v>370.25</v>
      </c>
      <c r="AJ164" s="252"/>
      <c r="AK164" s="233">
        <v>0.28999999999999998</v>
      </c>
      <c r="AL164" s="216">
        <v>173.6</v>
      </c>
      <c r="AM164" s="236">
        <v>4443</v>
      </c>
      <c r="AN164" s="231">
        <v>0</v>
      </c>
      <c r="AO164" s="231">
        <v>0</v>
      </c>
      <c r="AP164" s="231">
        <v>0</v>
      </c>
      <c r="AQ164" s="231">
        <v>1730</v>
      </c>
      <c r="AR164" s="231"/>
      <c r="AS164" s="231"/>
      <c r="AT164" s="231"/>
      <c r="AU164" s="231"/>
      <c r="AV164" s="231">
        <v>13</v>
      </c>
      <c r="AW164" s="236">
        <v>0.02</v>
      </c>
      <c r="AX164" s="242">
        <v>1.7999999999999999E-2</v>
      </c>
      <c r="AY164" s="242">
        <v>0</v>
      </c>
      <c r="AZ164" s="242">
        <v>2E-3</v>
      </c>
      <c r="BA164" s="242">
        <v>0</v>
      </c>
      <c r="BB164" s="242">
        <v>0</v>
      </c>
      <c r="BC164" s="242">
        <v>0</v>
      </c>
      <c r="BD164" s="242">
        <v>6.0000000000000001E-3</v>
      </c>
      <c r="BE164" s="231">
        <v>0</v>
      </c>
      <c r="BF164" s="242">
        <v>2E-3</v>
      </c>
      <c r="BG164" s="242">
        <v>5.0000000000000001E-3</v>
      </c>
      <c r="BH164" s="242">
        <v>8.2000000000000003E-2</v>
      </c>
      <c r="BI164" s="242">
        <v>2.4E-2</v>
      </c>
      <c r="BJ164" s="242">
        <v>5.8000000000000003E-2</v>
      </c>
      <c r="BK164" s="242">
        <v>0</v>
      </c>
      <c r="BL164" s="242">
        <v>0</v>
      </c>
      <c r="BM164" s="242">
        <v>0</v>
      </c>
      <c r="BN164" s="242"/>
      <c r="BO164" s="231">
        <v>0</v>
      </c>
      <c r="BP164" s="231">
        <v>38</v>
      </c>
      <c r="BQ164" s="204">
        <v>84</v>
      </c>
      <c r="BR164" s="204">
        <v>16</v>
      </c>
      <c r="BS164" s="204">
        <v>9</v>
      </c>
      <c r="BT164" s="204">
        <v>55</v>
      </c>
      <c r="BU164" s="204">
        <v>59</v>
      </c>
      <c r="BV164" s="204">
        <v>70</v>
      </c>
      <c r="BW164" s="204">
        <v>79</v>
      </c>
      <c r="BX164" s="204">
        <v>84</v>
      </c>
      <c r="BY164" s="204">
        <v>71</v>
      </c>
      <c r="BZ164" s="204">
        <v>22</v>
      </c>
      <c r="CA164" s="204">
        <v>16</v>
      </c>
      <c r="CB164" s="204">
        <v>32</v>
      </c>
      <c r="CC164" s="204">
        <v>56</v>
      </c>
      <c r="CD164" s="204">
        <v>142</v>
      </c>
      <c r="CE164" s="204">
        <v>182</v>
      </c>
      <c r="CF164" s="204">
        <v>57</v>
      </c>
      <c r="CG164" s="204">
        <v>48</v>
      </c>
      <c r="CH164" s="204">
        <v>39</v>
      </c>
      <c r="CI164" s="231"/>
    </row>
    <row r="165" spans="1:94" ht="25.2" customHeight="1" outlineLevel="1">
      <c r="A165" s="204">
        <v>153</v>
      </c>
      <c r="B165" s="207">
        <v>4070</v>
      </c>
      <c r="C165" s="208" t="s">
        <v>342</v>
      </c>
      <c r="D165" s="194" t="s">
        <v>181</v>
      </c>
      <c r="E165" s="209">
        <f t="shared" si="16"/>
        <v>30</v>
      </c>
      <c r="F165" s="216">
        <v>91.4</v>
      </c>
      <c r="G165" s="217">
        <v>2.8</v>
      </c>
      <c r="H165" s="218"/>
      <c r="I165" s="230">
        <f t="shared" si="17"/>
        <v>4.7</v>
      </c>
      <c r="J165" s="216">
        <v>1.5</v>
      </c>
      <c r="K165" s="216">
        <v>1.1000000000000001</v>
      </c>
      <c r="L165" s="233"/>
      <c r="M165" s="216">
        <v>182</v>
      </c>
      <c r="N165" s="216">
        <v>57.3</v>
      </c>
      <c r="O165" s="216">
        <v>7.7</v>
      </c>
      <c r="P165" s="216">
        <v>77</v>
      </c>
      <c r="Q165" s="216">
        <v>0.13</v>
      </c>
      <c r="R165" s="216">
        <v>0.26</v>
      </c>
      <c r="S165" s="216">
        <v>1.1000000000000001</v>
      </c>
      <c r="T165" s="240">
        <v>16.12</v>
      </c>
      <c r="U165" s="240">
        <v>417</v>
      </c>
      <c r="V165" s="240">
        <v>78.61</v>
      </c>
      <c r="W165" s="241">
        <v>0.123</v>
      </c>
      <c r="X165" s="233">
        <v>0.79</v>
      </c>
      <c r="Y165" s="240">
        <v>255</v>
      </c>
      <c r="Z165" s="216">
        <v>0.9</v>
      </c>
      <c r="AA165" s="241">
        <v>7.1999999999999995E-2</v>
      </c>
      <c r="AB165" s="241">
        <v>0.6</v>
      </c>
      <c r="AC165" s="240">
        <v>123</v>
      </c>
      <c r="AD165" s="240">
        <v>0</v>
      </c>
      <c r="AE165" s="233"/>
      <c r="AF165" s="233">
        <v>0</v>
      </c>
      <c r="AG165" s="240">
        <v>0</v>
      </c>
      <c r="AH165" s="240">
        <f t="shared" si="18"/>
        <v>0</v>
      </c>
      <c r="AI165" s="236">
        <f t="shared" si="19"/>
        <v>380</v>
      </c>
      <c r="AJ165" s="252"/>
      <c r="AK165" s="233"/>
      <c r="AL165" s="216"/>
      <c r="AM165" s="236">
        <v>4560</v>
      </c>
      <c r="AN165" s="231"/>
      <c r="AO165" s="231"/>
      <c r="AP165" s="231"/>
      <c r="AQ165" s="231"/>
      <c r="AR165" s="231"/>
      <c r="AS165" s="231"/>
      <c r="AT165" s="231"/>
      <c r="AU165" s="231"/>
      <c r="AV165" s="231"/>
      <c r="AW165" s="236">
        <v>3.7999999999999999E-2</v>
      </c>
      <c r="AX165" s="242">
        <v>0.03</v>
      </c>
      <c r="AY165" s="242">
        <v>0</v>
      </c>
      <c r="AZ165" s="242">
        <v>6.0000000000000001E-3</v>
      </c>
      <c r="BA165" s="242">
        <v>0</v>
      </c>
      <c r="BB165" s="242">
        <v>0</v>
      </c>
      <c r="BC165" s="242">
        <v>0</v>
      </c>
      <c r="BD165" s="242">
        <v>1.7000000000000001E-2</v>
      </c>
      <c r="BE165" s="231">
        <v>0</v>
      </c>
      <c r="BF165" s="242">
        <v>3.0000000000000001E-3</v>
      </c>
      <c r="BG165" s="242">
        <v>1.4E-2</v>
      </c>
      <c r="BH165" s="242">
        <v>0.12</v>
      </c>
      <c r="BI165" s="242">
        <v>0.11700000000000001</v>
      </c>
      <c r="BJ165" s="242">
        <v>2E-3</v>
      </c>
      <c r="BK165" s="242">
        <v>0</v>
      </c>
      <c r="BL165" s="242">
        <v>0</v>
      </c>
      <c r="BM165" s="242">
        <v>0</v>
      </c>
      <c r="BN165" s="242"/>
      <c r="BO165" s="231">
        <v>0</v>
      </c>
      <c r="BP165" s="231"/>
      <c r="BQ165" s="231">
        <v>219</v>
      </c>
      <c r="BR165" s="231">
        <v>65</v>
      </c>
      <c r="BS165" s="231">
        <v>30</v>
      </c>
      <c r="BT165" s="231">
        <v>212</v>
      </c>
      <c r="BU165" s="231">
        <v>164</v>
      </c>
      <c r="BV165" s="231">
        <v>248</v>
      </c>
      <c r="BW165" s="231">
        <v>388</v>
      </c>
      <c r="BX165" s="231">
        <v>221</v>
      </c>
      <c r="BY165" s="231">
        <v>248</v>
      </c>
      <c r="BZ165" s="231">
        <v>110</v>
      </c>
      <c r="CA165" s="231">
        <v>40</v>
      </c>
      <c r="CB165" s="231">
        <v>147</v>
      </c>
      <c r="CC165" s="231">
        <v>256</v>
      </c>
      <c r="CD165" s="231">
        <v>567</v>
      </c>
      <c r="CE165" s="231">
        <v>493</v>
      </c>
      <c r="CF165" s="231">
        <v>214</v>
      </c>
      <c r="CG165" s="231">
        <v>246</v>
      </c>
      <c r="CH165" s="231">
        <v>182</v>
      </c>
      <c r="CI165" s="231"/>
    </row>
    <row r="166" spans="1:94" ht="25.2" customHeight="1" outlineLevel="1">
      <c r="A166" s="204">
        <v>154</v>
      </c>
      <c r="B166" s="207">
        <v>4071</v>
      </c>
      <c r="C166" s="208" t="s">
        <v>343</v>
      </c>
      <c r="D166" s="194" t="s">
        <v>181</v>
      </c>
      <c r="E166" s="209">
        <f t="shared" si="16"/>
        <v>29.6</v>
      </c>
      <c r="F166" s="216">
        <v>91.5</v>
      </c>
      <c r="G166" s="217">
        <v>2.9</v>
      </c>
      <c r="H166" s="218"/>
      <c r="I166" s="230">
        <f t="shared" si="17"/>
        <v>4.5</v>
      </c>
      <c r="J166" s="216">
        <v>1.8</v>
      </c>
      <c r="K166" s="216">
        <v>1.1000000000000001</v>
      </c>
      <c r="L166" s="233"/>
      <c r="M166" s="233"/>
      <c r="N166" s="233"/>
      <c r="O166" s="233"/>
      <c r="P166" s="233">
        <v>68</v>
      </c>
      <c r="Q166" s="233"/>
      <c r="R166" s="233"/>
      <c r="S166" s="233"/>
      <c r="T166" s="231">
        <v>72</v>
      </c>
      <c r="U166" s="231">
        <v>461</v>
      </c>
      <c r="V166" s="231">
        <v>81</v>
      </c>
      <c r="W166" s="242"/>
      <c r="X166" s="232"/>
      <c r="Y166" s="231"/>
      <c r="Z166" s="231"/>
      <c r="AA166" s="241"/>
      <c r="AB166" s="241"/>
      <c r="AC166" s="240"/>
      <c r="AD166" s="240"/>
      <c r="AE166" s="233"/>
      <c r="AF166" s="233"/>
      <c r="AG166" s="240">
        <v>0</v>
      </c>
      <c r="AH166" s="240">
        <f t="shared" si="18"/>
        <v>0</v>
      </c>
      <c r="AI166" s="236">
        <f t="shared" si="19"/>
        <v>51.6666666666667</v>
      </c>
      <c r="AJ166" s="252"/>
      <c r="AK166" s="233"/>
      <c r="AL166" s="216"/>
      <c r="AM166" s="236">
        <v>620</v>
      </c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6"/>
      <c r="AX166" s="242"/>
      <c r="AY166" s="242"/>
      <c r="AZ166" s="242"/>
      <c r="BA166" s="242"/>
      <c r="BB166" s="242"/>
      <c r="BC166" s="242"/>
      <c r="BD166" s="242"/>
      <c r="BE166" s="231"/>
      <c r="BF166" s="242"/>
      <c r="BG166" s="242"/>
      <c r="BH166" s="242"/>
      <c r="BI166" s="242"/>
      <c r="BJ166" s="242"/>
      <c r="BK166" s="242"/>
      <c r="BL166" s="242"/>
      <c r="BM166" s="242"/>
      <c r="BN166" s="242"/>
      <c r="BO166" s="231">
        <v>0</v>
      </c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</row>
    <row r="167" spans="1:94" ht="25.2" customHeight="1" outlineLevel="1">
      <c r="A167" s="204">
        <v>155</v>
      </c>
      <c r="B167" s="207">
        <v>4072</v>
      </c>
      <c r="C167" s="208" t="s">
        <v>344</v>
      </c>
      <c r="D167" s="194" t="s">
        <v>181</v>
      </c>
      <c r="E167" s="209">
        <f t="shared" si="16"/>
        <v>25.6</v>
      </c>
      <c r="F167" s="216">
        <v>92</v>
      </c>
      <c r="G167" s="217">
        <v>3.4</v>
      </c>
      <c r="H167" s="218"/>
      <c r="I167" s="230">
        <f t="shared" si="17"/>
        <v>3</v>
      </c>
      <c r="J167" s="216">
        <v>1.6</v>
      </c>
      <c r="K167" s="216">
        <v>1.6</v>
      </c>
      <c r="L167" s="233"/>
      <c r="M167" s="216">
        <v>341</v>
      </c>
      <c r="N167" s="216">
        <v>76</v>
      </c>
      <c r="O167" s="216">
        <v>4.0999999999999996</v>
      </c>
      <c r="P167" s="216">
        <v>63</v>
      </c>
      <c r="Q167" s="216">
        <v>0.36</v>
      </c>
      <c r="R167" s="216">
        <v>1.3</v>
      </c>
      <c r="S167" s="216">
        <v>1.3</v>
      </c>
      <c r="T167" s="231">
        <v>20</v>
      </c>
      <c r="U167" s="231">
        <v>611</v>
      </c>
      <c r="V167" s="231">
        <v>55</v>
      </c>
      <c r="W167" s="242">
        <v>0.88500000000000001</v>
      </c>
      <c r="X167" s="232">
        <v>0.9</v>
      </c>
      <c r="Y167" s="231">
        <v>162</v>
      </c>
      <c r="Z167" s="231">
        <v>0.9</v>
      </c>
      <c r="AA167" s="241">
        <v>6.4000000000000001E-2</v>
      </c>
      <c r="AB167" s="241">
        <v>0.192</v>
      </c>
      <c r="AC167" s="240">
        <v>85</v>
      </c>
      <c r="AD167" s="240">
        <v>0</v>
      </c>
      <c r="AE167" s="233"/>
      <c r="AF167" s="233">
        <v>0</v>
      </c>
      <c r="AG167" s="240">
        <v>0</v>
      </c>
      <c r="AH167" s="240">
        <f t="shared" si="18"/>
        <v>0</v>
      </c>
      <c r="AI167" s="236">
        <f t="shared" si="19"/>
        <v>441.66666666666703</v>
      </c>
      <c r="AJ167" s="252"/>
      <c r="AK167" s="233"/>
      <c r="AL167" s="216">
        <v>1140</v>
      </c>
      <c r="AM167" s="236">
        <v>5300</v>
      </c>
      <c r="AN167" s="231"/>
      <c r="AO167" s="231"/>
      <c r="AP167" s="231"/>
      <c r="AQ167" s="231"/>
      <c r="AR167" s="231"/>
      <c r="AS167" s="231"/>
      <c r="AT167" s="231"/>
      <c r="AU167" s="231"/>
      <c r="AV167" s="231"/>
      <c r="AW167" s="236">
        <v>9.0999999999999998E-2</v>
      </c>
      <c r="AX167" s="242">
        <v>7.2999999999999995E-2</v>
      </c>
      <c r="AY167" s="242">
        <v>0</v>
      </c>
      <c r="AZ167" s="242">
        <v>1.2E-2</v>
      </c>
      <c r="BA167" s="242">
        <v>0</v>
      </c>
      <c r="BB167" s="242">
        <v>0</v>
      </c>
      <c r="BC167" s="242">
        <v>0</v>
      </c>
      <c r="BD167" s="242">
        <v>7.5999999999999998E-2</v>
      </c>
      <c r="BE167" s="231">
        <v>0</v>
      </c>
      <c r="BF167" s="231">
        <v>0</v>
      </c>
      <c r="BG167" s="242">
        <v>7.5999999999999998E-2</v>
      </c>
      <c r="BH167" s="242">
        <v>0.14699999999999999</v>
      </c>
      <c r="BI167" s="242">
        <v>0.14499999999999999</v>
      </c>
      <c r="BJ167" s="242">
        <v>2E-3</v>
      </c>
      <c r="BK167" s="242">
        <v>0</v>
      </c>
      <c r="BL167" s="242">
        <v>0</v>
      </c>
      <c r="BM167" s="242">
        <v>0</v>
      </c>
      <c r="BN167" s="242"/>
      <c r="BO167" s="231">
        <v>0</v>
      </c>
      <c r="BP167" s="231"/>
      <c r="BQ167" s="231">
        <v>127</v>
      </c>
      <c r="BR167" s="231">
        <v>36</v>
      </c>
      <c r="BS167" s="231">
        <v>31</v>
      </c>
      <c r="BT167" s="231">
        <v>133</v>
      </c>
      <c r="BU167" s="231">
        <v>99</v>
      </c>
      <c r="BV167" s="231">
        <v>137</v>
      </c>
      <c r="BW167" s="231">
        <v>195</v>
      </c>
      <c r="BX167" s="231">
        <v>119</v>
      </c>
      <c r="BY167" s="231">
        <v>121</v>
      </c>
      <c r="BZ167" s="231">
        <v>52</v>
      </c>
      <c r="CA167" s="231">
        <v>29</v>
      </c>
      <c r="CB167" s="231">
        <v>80</v>
      </c>
      <c r="CC167" s="231">
        <v>139</v>
      </c>
      <c r="CD167" s="231">
        <v>229</v>
      </c>
      <c r="CE167" s="231">
        <v>292</v>
      </c>
      <c r="CF167" s="231">
        <v>132</v>
      </c>
      <c r="CG167" s="231">
        <v>121</v>
      </c>
      <c r="CH167" s="231">
        <v>111</v>
      </c>
      <c r="CI167" s="231"/>
    </row>
    <row r="168" spans="1:94" ht="25.2" customHeight="1" outlineLevel="1">
      <c r="A168" s="204">
        <v>156</v>
      </c>
      <c r="B168" s="207">
        <v>4073</v>
      </c>
      <c r="C168" s="208" t="s">
        <v>345</v>
      </c>
      <c r="D168" s="194" t="s">
        <v>181</v>
      </c>
      <c r="E168" s="209">
        <f t="shared" si="16"/>
        <v>47.1</v>
      </c>
      <c r="F168" s="216">
        <v>86.2</v>
      </c>
      <c r="G168" s="217">
        <v>3.3</v>
      </c>
      <c r="H168" s="218">
        <v>0.3</v>
      </c>
      <c r="I168" s="230">
        <f t="shared" si="17"/>
        <v>7.8</v>
      </c>
      <c r="J168" s="216">
        <v>1.6</v>
      </c>
      <c r="K168" s="216">
        <v>2.4</v>
      </c>
      <c r="L168" s="233"/>
      <c r="M168" s="216">
        <v>288</v>
      </c>
      <c r="N168" s="216">
        <v>123</v>
      </c>
      <c r="O168" s="216">
        <v>5.4</v>
      </c>
      <c r="P168" s="216">
        <v>89</v>
      </c>
      <c r="Q168" s="216">
        <v>0.08</v>
      </c>
      <c r="R168" s="216">
        <v>1.1599999999999999</v>
      </c>
      <c r="S168" s="216">
        <v>1.4</v>
      </c>
      <c r="T168" s="240">
        <v>55.8</v>
      </c>
      <c r="U168" s="240">
        <v>475.5</v>
      </c>
      <c r="V168" s="240">
        <v>164</v>
      </c>
      <c r="W168" s="241">
        <v>1.85</v>
      </c>
      <c r="X168" s="233">
        <v>0.5</v>
      </c>
      <c r="Y168" s="240">
        <v>200</v>
      </c>
      <c r="Z168" s="216"/>
      <c r="AA168" s="241"/>
      <c r="AB168" s="241"/>
      <c r="AC168" s="240"/>
      <c r="AD168" s="240"/>
      <c r="AE168" s="233"/>
      <c r="AF168" s="233"/>
      <c r="AG168" s="240">
        <v>0</v>
      </c>
      <c r="AH168" s="240">
        <f t="shared" si="18"/>
        <v>0</v>
      </c>
      <c r="AI168" s="236">
        <f t="shared" si="19"/>
        <v>340</v>
      </c>
      <c r="AJ168" s="252"/>
      <c r="AK168" s="233"/>
      <c r="AL168" s="216"/>
      <c r="AM168" s="236">
        <v>4080</v>
      </c>
      <c r="AN168" s="231"/>
      <c r="AO168" s="231"/>
      <c r="AP168" s="231"/>
      <c r="AQ168" s="231"/>
      <c r="AR168" s="231"/>
      <c r="AS168" s="231"/>
      <c r="AT168" s="231"/>
      <c r="AU168" s="231"/>
      <c r="AV168" s="231"/>
      <c r="AW168" s="236"/>
      <c r="AX168" s="242"/>
      <c r="AY168" s="242"/>
      <c r="AZ168" s="242"/>
      <c r="BA168" s="242"/>
      <c r="BB168" s="242"/>
      <c r="BC168" s="242"/>
      <c r="BD168" s="242"/>
      <c r="BE168" s="231"/>
      <c r="BF168" s="242"/>
      <c r="BG168" s="242"/>
      <c r="BH168" s="242"/>
      <c r="BI168" s="242"/>
      <c r="BJ168" s="242"/>
      <c r="BK168" s="242"/>
      <c r="BL168" s="242"/>
      <c r="BM168" s="242"/>
      <c r="BN168" s="242"/>
      <c r="BO168" s="231">
        <v>0</v>
      </c>
      <c r="BP168" s="231"/>
      <c r="BQ168" s="231"/>
      <c r="BR168" s="231"/>
      <c r="BS168" s="231"/>
      <c r="BT168" s="231"/>
      <c r="BU168" s="231"/>
      <c r="BV168" s="231"/>
      <c r="BW168" s="231"/>
      <c r="BX168" s="231"/>
      <c r="BY168" s="231"/>
      <c r="BZ168" s="231"/>
      <c r="CA168" s="231"/>
      <c r="CB168" s="231"/>
      <c r="CC168" s="231"/>
      <c r="CD168" s="231"/>
      <c r="CE168" s="231"/>
      <c r="CF168" s="231"/>
      <c r="CG168" s="231"/>
      <c r="CH168" s="231"/>
      <c r="CI168" s="231"/>
    </row>
    <row r="169" spans="1:94" ht="25.2" customHeight="1" outlineLevel="1">
      <c r="A169" s="204">
        <v>157</v>
      </c>
      <c r="B169" s="207">
        <v>4074</v>
      </c>
      <c r="C169" s="208" t="s">
        <v>346</v>
      </c>
      <c r="D169" s="194" t="s">
        <v>181</v>
      </c>
      <c r="E169" s="209">
        <f t="shared" si="16"/>
        <v>47.599999999999902</v>
      </c>
      <c r="F169" s="216">
        <v>86.7</v>
      </c>
      <c r="G169" s="217">
        <v>3.2</v>
      </c>
      <c r="H169" s="218">
        <v>0.4</v>
      </c>
      <c r="I169" s="230">
        <f t="shared" si="17"/>
        <v>7.7999999999999803</v>
      </c>
      <c r="J169" s="216">
        <v>1.5</v>
      </c>
      <c r="K169" s="216">
        <v>1.9</v>
      </c>
      <c r="L169" s="233"/>
      <c r="M169" s="216">
        <v>288</v>
      </c>
      <c r="N169" s="216">
        <v>80</v>
      </c>
      <c r="O169" s="216">
        <v>6.1</v>
      </c>
      <c r="P169" s="216">
        <v>27</v>
      </c>
      <c r="Q169" s="216">
        <v>0.08</v>
      </c>
      <c r="R169" s="216">
        <v>0.28000000000000003</v>
      </c>
      <c r="S169" s="216">
        <v>0.3</v>
      </c>
      <c r="T169" s="231"/>
      <c r="U169" s="231"/>
      <c r="V169" s="231"/>
      <c r="W169" s="242"/>
      <c r="X169" s="232"/>
      <c r="Y169" s="231"/>
      <c r="Z169" s="231"/>
      <c r="AA169" s="241"/>
      <c r="AB169" s="241"/>
      <c r="AC169" s="240"/>
      <c r="AD169" s="240"/>
      <c r="AE169" s="233"/>
      <c r="AF169" s="233"/>
      <c r="AG169" s="240">
        <v>0</v>
      </c>
      <c r="AH169" s="240">
        <f t="shared" si="18"/>
        <v>0</v>
      </c>
      <c r="AI169" s="236">
        <f t="shared" si="19"/>
        <v>237.916666666667</v>
      </c>
      <c r="AJ169" s="252"/>
      <c r="AK169" s="233"/>
      <c r="AL169" s="216"/>
      <c r="AM169" s="236">
        <v>2855</v>
      </c>
      <c r="AN169" s="231"/>
      <c r="AO169" s="231"/>
      <c r="AP169" s="231"/>
      <c r="AQ169" s="231"/>
      <c r="AR169" s="231"/>
      <c r="AS169" s="231"/>
      <c r="AT169" s="231"/>
      <c r="AU169" s="231"/>
      <c r="AV169" s="231"/>
      <c r="AW169" s="236"/>
      <c r="AX169" s="242"/>
      <c r="AY169" s="242"/>
      <c r="AZ169" s="242"/>
      <c r="BA169" s="242"/>
      <c r="BB169" s="242"/>
      <c r="BC169" s="242"/>
      <c r="BD169" s="242"/>
      <c r="BE169" s="231"/>
      <c r="BF169" s="242"/>
      <c r="BG169" s="242"/>
      <c r="BH169" s="242"/>
      <c r="BI169" s="242"/>
      <c r="BJ169" s="242"/>
      <c r="BK169" s="242"/>
      <c r="BL169" s="242"/>
      <c r="BM169" s="242"/>
      <c r="BN169" s="242"/>
      <c r="BO169" s="231">
        <v>0</v>
      </c>
      <c r="BP169" s="231"/>
      <c r="BQ169" s="204">
        <v>110</v>
      </c>
      <c r="BR169" s="204">
        <v>40</v>
      </c>
      <c r="BS169" s="204"/>
      <c r="BT169" s="204">
        <v>120</v>
      </c>
      <c r="BU169" s="204">
        <v>100</v>
      </c>
      <c r="BV169" s="204">
        <v>120</v>
      </c>
      <c r="BW169" s="204">
        <v>170</v>
      </c>
      <c r="BX169" s="204">
        <v>100</v>
      </c>
      <c r="BY169" s="204">
        <v>100</v>
      </c>
      <c r="BZ169" s="204">
        <v>40</v>
      </c>
      <c r="CA169" s="204"/>
      <c r="CB169" s="204"/>
      <c r="CC169" s="204"/>
      <c r="CD169" s="204"/>
      <c r="CE169" s="204"/>
      <c r="CF169" s="204"/>
      <c r="CG169" s="204"/>
      <c r="CH169" s="204"/>
      <c r="CI169" s="231"/>
    </row>
    <row r="170" spans="1:94" ht="25.2" customHeight="1" outlineLevel="1">
      <c r="A170" s="204">
        <v>158</v>
      </c>
      <c r="B170" s="207">
        <v>4075</v>
      </c>
      <c r="C170" s="208" t="s">
        <v>347</v>
      </c>
      <c r="D170" s="194" t="s">
        <v>181</v>
      </c>
      <c r="E170" s="209">
        <f t="shared" si="16"/>
        <v>31.2</v>
      </c>
      <c r="F170" s="216">
        <v>91.4</v>
      </c>
      <c r="G170" s="217">
        <v>2.2000000000000002</v>
      </c>
      <c r="H170" s="218"/>
      <c r="I170" s="230">
        <f t="shared" si="17"/>
        <v>5.5999999999999899</v>
      </c>
      <c r="J170" s="216">
        <v>3.5</v>
      </c>
      <c r="K170" s="216">
        <v>0.8</v>
      </c>
      <c r="L170" s="233">
        <v>0.3</v>
      </c>
      <c r="M170" s="216">
        <v>202</v>
      </c>
      <c r="N170" s="216">
        <v>82.5</v>
      </c>
      <c r="O170" s="216">
        <v>4.8</v>
      </c>
      <c r="P170" s="216">
        <v>27</v>
      </c>
      <c r="Q170" s="216">
        <v>0.08</v>
      </c>
      <c r="R170" s="216">
        <v>0.35</v>
      </c>
      <c r="S170" s="216">
        <v>0.8</v>
      </c>
      <c r="T170" s="240">
        <v>91</v>
      </c>
      <c r="U170" s="240">
        <v>148</v>
      </c>
      <c r="V170" s="240">
        <v>73.13</v>
      </c>
      <c r="W170" s="241">
        <v>1.86</v>
      </c>
      <c r="X170" s="233">
        <v>0.91</v>
      </c>
      <c r="Y170" s="240">
        <v>220</v>
      </c>
      <c r="Z170" s="216">
        <v>0.3</v>
      </c>
      <c r="AA170" s="241">
        <v>0.23799999999999999</v>
      </c>
      <c r="AB170" s="241">
        <v>0.129</v>
      </c>
      <c r="AC170" s="240">
        <v>64</v>
      </c>
      <c r="AD170" s="240">
        <v>0</v>
      </c>
      <c r="AE170" s="233"/>
      <c r="AF170" s="233">
        <v>0</v>
      </c>
      <c r="AG170" s="240">
        <v>0</v>
      </c>
      <c r="AH170" s="240">
        <f t="shared" si="18"/>
        <v>0</v>
      </c>
      <c r="AI170" s="236">
        <f t="shared" si="19"/>
        <v>263.75</v>
      </c>
      <c r="AJ170" s="252"/>
      <c r="AK170" s="233"/>
      <c r="AL170" s="216">
        <v>414.8</v>
      </c>
      <c r="AM170" s="236">
        <v>3142</v>
      </c>
      <c r="AN170" s="231">
        <v>0</v>
      </c>
      <c r="AO170" s="231">
        <v>46</v>
      </c>
      <c r="AP170" s="231">
        <v>0</v>
      </c>
      <c r="AQ170" s="231">
        <v>5650</v>
      </c>
      <c r="AR170" s="231"/>
      <c r="AS170" s="231"/>
      <c r="AT170" s="231"/>
      <c r="AU170" s="231"/>
      <c r="AV170" s="231"/>
      <c r="AW170" s="236">
        <v>4.1000000000000002E-2</v>
      </c>
      <c r="AX170" s="242">
        <v>3.5999999999999997E-2</v>
      </c>
      <c r="AY170" s="242">
        <v>0</v>
      </c>
      <c r="AZ170" s="242">
        <v>5.0000000000000001E-3</v>
      </c>
      <c r="BA170" s="242">
        <v>0</v>
      </c>
      <c r="BB170" s="242">
        <v>0</v>
      </c>
      <c r="BC170" s="242">
        <v>0</v>
      </c>
      <c r="BD170" s="242">
        <v>8.7999999999999995E-2</v>
      </c>
      <c r="BE170" s="231">
        <v>0</v>
      </c>
      <c r="BF170" s="231">
        <v>0</v>
      </c>
      <c r="BG170" s="242">
        <v>8.7999999999999995E-2</v>
      </c>
      <c r="BH170" s="242">
        <v>0.38900000000000001</v>
      </c>
      <c r="BI170" s="242">
        <v>7.2999999999999995E-2</v>
      </c>
      <c r="BJ170" s="242">
        <v>0.316</v>
      </c>
      <c r="BK170" s="242">
        <v>0</v>
      </c>
      <c r="BL170" s="242">
        <v>0</v>
      </c>
      <c r="BM170" s="242">
        <v>0</v>
      </c>
      <c r="BN170" s="242"/>
      <c r="BO170" s="231">
        <v>0</v>
      </c>
      <c r="BP170" s="231"/>
      <c r="BQ170" s="231">
        <v>110</v>
      </c>
      <c r="BR170" s="231">
        <v>36</v>
      </c>
      <c r="BS170" s="231">
        <v>39</v>
      </c>
      <c r="BT170" s="231">
        <v>130</v>
      </c>
      <c r="BU170" s="231">
        <v>104</v>
      </c>
      <c r="BV170" s="231">
        <v>127</v>
      </c>
      <c r="BW170" s="231">
        <v>191</v>
      </c>
      <c r="BX170" s="231">
        <v>104</v>
      </c>
      <c r="BY170" s="231">
        <v>117</v>
      </c>
      <c r="BZ170" s="231">
        <v>51</v>
      </c>
      <c r="CA170" s="231">
        <v>28</v>
      </c>
      <c r="CB170" s="231">
        <v>77</v>
      </c>
      <c r="CC170" s="231">
        <v>132</v>
      </c>
      <c r="CD170" s="231">
        <v>301</v>
      </c>
      <c r="CE170" s="231">
        <v>277</v>
      </c>
      <c r="CF170" s="231">
        <v>122</v>
      </c>
      <c r="CG170" s="231">
        <v>104</v>
      </c>
      <c r="CH170" s="231">
        <v>99</v>
      </c>
      <c r="CI170" s="231"/>
    </row>
    <row r="171" spans="1:94" ht="25.2" customHeight="1" outlineLevel="1">
      <c r="A171" s="204">
        <v>159</v>
      </c>
      <c r="B171" s="207">
        <v>4076</v>
      </c>
      <c r="C171" s="208" t="s">
        <v>348</v>
      </c>
      <c r="D171" s="194" t="s">
        <v>181</v>
      </c>
      <c r="E171" s="209">
        <f t="shared" si="16"/>
        <v>27.2</v>
      </c>
      <c r="F171" s="216">
        <v>91.9</v>
      </c>
      <c r="G171" s="217">
        <v>2.6</v>
      </c>
      <c r="H171" s="218"/>
      <c r="I171" s="230">
        <f t="shared" si="17"/>
        <v>4.2</v>
      </c>
      <c r="J171" s="216">
        <v>1.4</v>
      </c>
      <c r="K171" s="216">
        <v>1.3</v>
      </c>
      <c r="L171" s="233"/>
      <c r="M171" s="216">
        <v>48</v>
      </c>
      <c r="N171" s="216">
        <v>54</v>
      </c>
      <c r="O171" s="216">
        <v>2.7</v>
      </c>
      <c r="P171" s="216">
        <v>11</v>
      </c>
      <c r="Q171" s="216">
        <v>0.13</v>
      </c>
      <c r="R171" s="216">
        <v>0.26</v>
      </c>
      <c r="S171" s="216">
        <v>0.9</v>
      </c>
      <c r="T171" s="240">
        <v>19.010000000000002</v>
      </c>
      <c r="U171" s="240">
        <v>498.02</v>
      </c>
      <c r="V171" s="240">
        <v>60.11</v>
      </c>
      <c r="W171" s="241">
        <v>0.25600000000000001</v>
      </c>
      <c r="X171" s="233">
        <v>0.28999999999999998</v>
      </c>
      <c r="Y171" s="240">
        <v>37</v>
      </c>
      <c r="Z171" s="216">
        <v>0.9</v>
      </c>
      <c r="AA171" s="241">
        <v>0.22500000000000001</v>
      </c>
      <c r="AB171" s="241">
        <v>0.19</v>
      </c>
      <c r="AC171" s="240">
        <v>80</v>
      </c>
      <c r="AD171" s="240">
        <v>0</v>
      </c>
      <c r="AE171" s="233"/>
      <c r="AF171" s="233">
        <v>0</v>
      </c>
      <c r="AG171" s="240">
        <v>0</v>
      </c>
      <c r="AH171" s="240">
        <f t="shared" si="18"/>
        <v>0</v>
      </c>
      <c r="AI171" s="236">
        <f t="shared" si="19"/>
        <v>152.5</v>
      </c>
      <c r="AJ171" s="252"/>
      <c r="AK171" s="233"/>
      <c r="AL171" s="216"/>
      <c r="AM171" s="236">
        <v>1830</v>
      </c>
      <c r="AN171" s="231"/>
      <c r="AO171" s="231"/>
      <c r="AP171" s="231"/>
      <c r="AQ171" s="231"/>
      <c r="AR171" s="231"/>
      <c r="AS171" s="231"/>
      <c r="AT171" s="231"/>
      <c r="AU171" s="231"/>
      <c r="AV171" s="231"/>
      <c r="AW171" s="236">
        <v>6.5000000000000002E-2</v>
      </c>
      <c r="AX171" s="242">
        <v>5.8999999999999997E-2</v>
      </c>
      <c r="AY171" s="242">
        <v>0</v>
      </c>
      <c r="AZ171" s="242">
        <v>6.0000000000000001E-3</v>
      </c>
      <c r="BA171" s="242">
        <v>0</v>
      </c>
      <c r="BB171" s="242">
        <v>0</v>
      </c>
      <c r="BC171" s="242">
        <v>0</v>
      </c>
      <c r="BD171" s="242">
        <v>1.2E-2</v>
      </c>
      <c r="BE171" s="231">
        <v>0</v>
      </c>
      <c r="BF171" s="231">
        <v>0</v>
      </c>
      <c r="BG171" s="242">
        <v>1.2E-2</v>
      </c>
      <c r="BH171" s="242">
        <v>0.13400000000000001</v>
      </c>
      <c r="BI171" s="242">
        <v>0.113</v>
      </c>
      <c r="BJ171" s="242">
        <v>2.1000000000000001E-2</v>
      </c>
      <c r="BK171" s="242">
        <v>0</v>
      </c>
      <c r="BL171" s="242">
        <v>0</v>
      </c>
      <c r="BM171" s="242">
        <v>0</v>
      </c>
      <c r="BN171" s="242"/>
      <c r="BO171" s="231">
        <v>0</v>
      </c>
      <c r="BP171" s="231"/>
      <c r="BQ171" s="231">
        <v>228</v>
      </c>
      <c r="BR171" s="231">
        <v>86</v>
      </c>
      <c r="BS171" s="231">
        <v>35</v>
      </c>
      <c r="BT171" s="231"/>
      <c r="BU171" s="231"/>
      <c r="BV171" s="231"/>
      <c r="BW171" s="231"/>
      <c r="BX171" s="231"/>
      <c r="BY171" s="231"/>
      <c r="BZ171" s="231"/>
      <c r="CA171" s="231">
        <v>47</v>
      </c>
      <c r="CB171" s="231"/>
      <c r="CC171" s="231"/>
      <c r="CD171" s="231"/>
      <c r="CE171" s="231"/>
      <c r="CF171" s="231"/>
      <c r="CG171" s="231"/>
      <c r="CH171" s="231"/>
      <c r="CI171" s="231"/>
    </row>
    <row r="172" spans="1:94" ht="25.2" customHeight="1" outlineLevel="1">
      <c r="A172" s="204">
        <v>160</v>
      </c>
      <c r="B172" s="207">
        <v>4077</v>
      </c>
      <c r="C172" s="208" t="s">
        <v>349</v>
      </c>
      <c r="D172" s="194" t="s">
        <v>181</v>
      </c>
      <c r="E172" s="209">
        <f t="shared" si="16"/>
        <v>36.4</v>
      </c>
      <c r="F172" s="216">
        <v>90.3</v>
      </c>
      <c r="G172" s="217">
        <v>2.7</v>
      </c>
      <c r="H172" s="218"/>
      <c r="I172" s="230">
        <f t="shared" si="17"/>
        <v>6.4000000000000101</v>
      </c>
      <c r="J172" s="216">
        <v>3.6</v>
      </c>
      <c r="K172" s="216">
        <v>0.6</v>
      </c>
      <c r="L172" s="233"/>
      <c r="M172" s="233">
        <v>246</v>
      </c>
      <c r="N172" s="233">
        <v>15</v>
      </c>
      <c r="O172" s="233">
        <v>1</v>
      </c>
      <c r="P172" s="233">
        <v>110</v>
      </c>
      <c r="Q172" s="233"/>
      <c r="R172" s="233"/>
      <c r="S172" s="233"/>
      <c r="T172" s="240">
        <v>2</v>
      </c>
      <c r="U172" s="240">
        <v>210.6</v>
      </c>
      <c r="V172" s="240">
        <v>89.02</v>
      </c>
      <c r="W172" s="241"/>
      <c r="X172" s="233">
        <v>0.52</v>
      </c>
      <c r="Y172" s="240">
        <v>250</v>
      </c>
      <c r="Z172" s="216"/>
      <c r="AA172" s="241"/>
      <c r="AB172" s="241"/>
      <c r="AC172" s="240"/>
      <c r="AD172" s="240"/>
      <c r="AE172" s="233"/>
      <c r="AF172" s="233"/>
      <c r="AG172" s="240">
        <v>0</v>
      </c>
      <c r="AH172" s="240">
        <f t="shared" si="18"/>
        <v>0</v>
      </c>
      <c r="AI172" s="236">
        <f t="shared" si="19"/>
        <v>363.33333333333297</v>
      </c>
      <c r="AJ172" s="252"/>
      <c r="AK172" s="233"/>
      <c r="AL172" s="216"/>
      <c r="AM172" s="236">
        <v>4360</v>
      </c>
      <c r="AN172" s="231"/>
      <c r="AO172" s="231"/>
      <c r="AP172" s="231"/>
      <c r="AQ172" s="231"/>
      <c r="AR172" s="231"/>
      <c r="AS172" s="231"/>
      <c r="AT172" s="231"/>
      <c r="AU172" s="231"/>
      <c r="AV172" s="231"/>
      <c r="AW172" s="236"/>
      <c r="AX172" s="242"/>
      <c r="AY172" s="242"/>
      <c r="AZ172" s="242"/>
      <c r="BA172" s="242"/>
      <c r="BB172" s="242"/>
      <c r="BC172" s="242"/>
      <c r="BD172" s="242"/>
      <c r="BE172" s="231"/>
      <c r="BF172" s="242"/>
      <c r="BG172" s="242"/>
      <c r="BH172" s="242"/>
      <c r="BI172" s="242"/>
      <c r="BJ172" s="242"/>
      <c r="BK172" s="242"/>
      <c r="BL172" s="242"/>
      <c r="BM172" s="242"/>
      <c r="BN172" s="242"/>
      <c r="BO172" s="231">
        <v>0</v>
      </c>
      <c r="BP172" s="231"/>
      <c r="BQ172" s="231"/>
      <c r="BR172" s="231"/>
      <c r="BS172" s="231"/>
      <c r="BT172" s="231"/>
      <c r="BU172" s="231"/>
      <c r="BV172" s="231"/>
      <c r="BW172" s="231"/>
      <c r="BX172" s="231"/>
      <c r="BY172" s="231"/>
      <c r="BZ172" s="231"/>
      <c r="CA172" s="231"/>
      <c r="CB172" s="231"/>
      <c r="CC172" s="231"/>
      <c r="CD172" s="231"/>
      <c r="CE172" s="231"/>
      <c r="CF172" s="231"/>
      <c r="CG172" s="231"/>
      <c r="CH172" s="231"/>
      <c r="CI172" s="231"/>
      <c r="CP172" s="172"/>
    </row>
    <row r="173" spans="1:94" ht="25.2" customHeight="1" outlineLevel="1">
      <c r="A173" s="204">
        <v>161</v>
      </c>
      <c r="B173" s="207">
        <v>4078</v>
      </c>
      <c r="C173" s="208" t="s">
        <v>350</v>
      </c>
      <c r="D173" s="194" t="s">
        <v>181</v>
      </c>
      <c r="E173" s="209">
        <f t="shared" si="16"/>
        <v>30.8</v>
      </c>
      <c r="F173" s="216">
        <v>91.1</v>
      </c>
      <c r="G173" s="217">
        <v>3.1</v>
      </c>
      <c r="H173" s="218"/>
      <c r="I173" s="230">
        <f t="shared" si="17"/>
        <v>4.6000000000000103</v>
      </c>
      <c r="J173" s="216">
        <v>1.5</v>
      </c>
      <c r="K173" s="216">
        <v>1.2</v>
      </c>
      <c r="L173" s="233"/>
      <c r="M173" s="233">
        <v>172</v>
      </c>
      <c r="N173" s="233">
        <v>24</v>
      </c>
      <c r="O173" s="233">
        <v>0.2</v>
      </c>
      <c r="P173" s="233">
        <v>20</v>
      </c>
      <c r="Q173" s="233"/>
      <c r="R173" s="233"/>
      <c r="S173" s="233"/>
      <c r="T173" s="231"/>
      <c r="U173" s="231"/>
      <c r="V173" s="231"/>
      <c r="W173" s="242"/>
      <c r="X173" s="232"/>
      <c r="Y173" s="231"/>
      <c r="Z173" s="231"/>
      <c r="AA173" s="241"/>
      <c r="AB173" s="241"/>
      <c r="AC173" s="240"/>
      <c r="AD173" s="240"/>
      <c r="AE173" s="233"/>
      <c r="AF173" s="233"/>
      <c r="AG173" s="240">
        <v>0</v>
      </c>
      <c r="AH173" s="240">
        <f t="shared" si="18"/>
        <v>0</v>
      </c>
      <c r="AI173" s="236">
        <f t="shared" si="19"/>
        <v>21.6666666666667</v>
      </c>
      <c r="AJ173" s="252"/>
      <c r="AK173" s="233"/>
      <c r="AL173" s="216"/>
      <c r="AM173" s="236">
        <v>260</v>
      </c>
      <c r="AN173" s="231"/>
      <c r="AO173" s="231"/>
      <c r="AP173" s="231"/>
      <c r="AQ173" s="231"/>
      <c r="AR173" s="231"/>
      <c r="AS173" s="231"/>
      <c r="AT173" s="231"/>
      <c r="AU173" s="231"/>
      <c r="AV173" s="231"/>
      <c r="AW173" s="236"/>
      <c r="AX173" s="242"/>
      <c r="AY173" s="242"/>
      <c r="AZ173" s="242"/>
      <c r="BA173" s="242"/>
      <c r="BB173" s="242"/>
      <c r="BC173" s="242"/>
      <c r="BD173" s="242"/>
      <c r="BE173" s="231"/>
      <c r="BF173" s="242"/>
      <c r="BG173" s="242"/>
      <c r="BH173" s="242"/>
      <c r="BI173" s="242"/>
      <c r="BJ173" s="242"/>
      <c r="BK173" s="242"/>
      <c r="BL173" s="242"/>
      <c r="BM173" s="242"/>
      <c r="BN173" s="242"/>
      <c r="BO173" s="231">
        <v>0</v>
      </c>
      <c r="BP173" s="231"/>
      <c r="BQ173" s="231"/>
      <c r="BR173" s="231"/>
      <c r="BS173" s="231"/>
      <c r="BT173" s="231"/>
      <c r="BU173" s="231"/>
      <c r="BV173" s="231"/>
      <c r="BW173" s="231"/>
      <c r="BX173" s="231"/>
      <c r="BY173" s="231"/>
      <c r="BZ173" s="231"/>
      <c r="CA173" s="231"/>
      <c r="CB173" s="231"/>
      <c r="CC173" s="231"/>
      <c r="CD173" s="231"/>
      <c r="CE173" s="231"/>
      <c r="CF173" s="231"/>
      <c r="CG173" s="231"/>
      <c r="CH173" s="231"/>
      <c r="CI173" s="231"/>
    </row>
    <row r="174" spans="1:94" ht="25.2" customHeight="1" outlineLevel="1">
      <c r="A174" s="204">
        <v>162</v>
      </c>
      <c r="B174" s="207">
        <v>4079</v>
      </c>
      <c r="C174" s="208" t="s">
        <v>351</v>
      </c>
      <c r="D174" s="194" t="s">
        <v>181</v>
      </c>
      <c r="E174" s="209">
        <f t="shared" si="16"/>
        <v>38</v>
      </c>
      <c r="F174" s="216">
        <v>88.2</v>
      </c>
      <c r="G174" s="217">
        <v>3.2</v>
      </c>
      <c r="H174" s="218"/>
      <c r="I174" s="230">
        <f t="shared" si="17"/>
        <v>6.3</v>
      </c>
      <c r="J174" s="216">
        <v>4.5</v>
      </c>
      <c r="K174" s="216">
        <v>2.2999999999999998</v>
      </c>
      <c r="L174" s="233"/>
      <c r="M174" s="216">
        <v>229</v>
      </c>
      <c r="N174" s="216">
        <v>2.4</v>
      </c>
      <c r="O174" s="216">
        <v>3.1</v>
      </c>
      <c r="P174" s="216">
        <v>37</v>
      </c>
      <c r="Q174" s="216">
        <v>0.15</v>
      </c>
      <c r="R174" s="216">
        <v>0.14000000000000001</v>
      </c>
      <c r="S174" s="216">
        <v>1.2</v>
      </c>
      <c r="T174" s="231"/>
      <c r="U174" s="231"/>
      <c r="V174" s="231"/>
      <c r="W174" s="242"/>
      <c r="X174" s="232"/>
      <c r="Y174" s="231"/>
      <c r="Z174" s="231"/>
      <c r="AA174" s="241"/>
      <c r="AB174" s="241"/>
      <c r="AC174" s="240"/>
      <c r="AD174" s="240"/>
      <c r="AE174" s="233"/>
      <c r="AF174" s="233"/>
      <c r="AG174" s="240">
        <v>0</v>
      </c>
      <c r="AH174" s="240">
        <f t="shared" si="18"/>
        <v>0</v>
      </c>
      <c r="AI174" s="236">
        <f t="shared" si="19"/>
        <v>108.333333333333</v>
      </c>
      <c r="AJ174" s="252"/>
      <c r="AK174" s="233"/>
      <c r="AL174" s="216"/>
      <c r="AM174" s="236">
        <v>1300</v>
      </c>
      <c r="AN174" s="231"/>
      <c r="AO174" s="231"/>
      <c r="AP174" s="231"/>
      <c r="AQ174" s="231"/>
      <c r="AR174" s="231"/>
      <c r="AS174" s="231"/>
      <c r="AT174" s="231"/>
      <c r="AU174" s="231"/>
      <c r="AV174" s="231"/>
      <c r="AW174" s="236"/>
      <c r="AX174" s="242"/>
      <c r="AY174" s="242"/>
      <c r="AZ174" s="242"/>
      <c r="BA174" s="242"/>
      <c r="BB174" s="242"/>
      <c r="BC174" s="242"/>
      <c r="BD174" s="242"/>
      <c r="BE174" s="231"/>
      <c r="BF174" s="242"/>
      <c r="BG174" s="242"/>
      <c r="BH174" s="242"/>
      <c r="BI174" s="242"/>
      <c r="BJ174" s="242"/>
      <c r="BK174" s="242"/>
      <c r="BL174" s="242"/>
      <c r="BM174" s="242"/>
      <c r="BN174" s="242"/>
      <c r="BO174" s="231">
        <v>0</v>
      </c>
      <c r="BP174" s="231"/>
      <c r="BQ174" s="231"/>
      <c r="BR174" s="231"/>
      <c r="BS174" s="231"/>
      <c r="BT174" s="231"/>
      <c r="BU174" s="231"/>
      <c r="BV174" s="231"/>
      <c r="BW174" s="231"/>
      <c r="BX174" s="231"/>
      <c r="BY174" s="231"/>
      <c r="BZ174" s="231"/>
      <c r="CA174" s="231"/>
      <c r="CB174" s="231"/>
      <c r="CC174" s="231"/>
      <c r="CD174" s="231"/>
      <c r="CE174" s="231"/>
      <c r="CF174" s="231"/>
      <c r="CG174" s="231"/>
      <c r="CH174" s="231"/>
      <c r="CI174" s="231"/>
    </row>
    <row r="175" spans="1:94" ht="25.2" customHeight="1" outlineLevel="1">
      <c r="A175" s="204">
        <v>163</v>
      </c>
      <c r="B175" s="207">
        <v>4080</v>
      </c>
      <c r="C175" s="208" t="s">
        <v>352</v>
      </c>
      <c r="D175" s="194" t="s">
        <v>181</v>
      </c>
      <c r="E175" s="209">
        <f t="shared" si="16"/>
        <v>23.6</v>
      </c>
      <c r="F175" s="216">
        <v>93.2</v>
      </c>
      <c r="G175" s="217">
        <v>2</v>
      </c>
      <c r="H175" s="218"/>
      <c r="I175" s="230">
        <f t="shared" si="17"/>
        <v>3.8999999999999901</v>
      </c>
      <c r="J175" s="216">
        <v>2.5</v>
      </c>
      <c r="K175" s="216">
        <v>0.9</v>
      </c>
      <c r="L175" s="233"/>
      <c r="M175" s="216">
        <v>176</v>
      </c>
      <c r="N175" s="216">
        <v>33.700000000000003</v>
      </c>
      <c r="O175" s="216">
        <v>1.6</v>
      </c>
      <c r="P175" s="216">
        <v>72</v>
      </c>
      <c r="Q175" s="216">
        <v>0.06</v>
      </c>
      <c r="R175" s="216">
        <v>0.17</v>
      </c>
      <c r="S175" s="216">
        <v>0.6</v>
      </c>
      <c r="T175" s="240">
        <v>37.5</v>
      </c>
      <c r="U175" s="240">
        <v>390.8</v>
      </c>
      <c r="V175" s="240">
        <v>94.23</v>
      </c>
      <c r="W175" s="241">
        <v>0.45</v>
      </c>
      <c r="X175" s="233">
        <v>0.54</v>
      </c>
      <c r="Y175" s="240">
        <v>20</v>
      </c>
      <c r="Z175" s="216"/>
      <c r="AA175" s="241"/>
      <c r="AB175" s="241"/>
      <c r="AC175" s="240"/>
      <c r="AD175" s="240"/>
      <c r="AE175" s="233"/>
      <c r="AF175" s="233"/>
      <c r="AG175" s="240">
        <v>0</v>
      </c>
      <c r="AH175" s="240">
        <f t="shared" si="18"/>
        <v>0</v>
      </c>
      <c r="AI175" s="236">
        <f t="shared" si="19"/>
        <v>160</v>
      </c>
      <c r="AJ175" s="252"/>
      <c r="AK175" s="233"/>
      <c r="AL175" s="216"/>
      <c r="AM175" s="236">
        <v>1920</v>
      </c>
      <c r="AN175" s="231"/>
      <c r="AO175" s="231"/>
      <c r="AP175" s="231"/>
      <c r="AQ175" s="231"/>
      <c r="AR175" s="231"/>
      <c r="AS175" s="231"/>
      <c r="AT175" s="231"/>
      <c r="AU175" s="231"/>
      <c r="AV175" s="231"/>
      <c r="AW175" s="236"/>
      <c r="AX175" s="242"/>
      <c r="AY175" s="242"/>
      <c r="AZ175" s="242"/>
      <c r="BA175" s="242"/>
      <c r="BB175" s="242"/>
      <c r="BC175" s="242"/>
      <c r="BD175" s="242"/>
      <c r="BE175" s="231"/>
      <c r="BF175" s="242"/>
      <c r="BG175" s="242"/>
      <c r="BH175" s="242"/>
      <c r="BI175" s="242"/>
      <c r="BJ175" s="242"/>
      <c r="BK175" s="242"/>
      <c r="BL175" s="242"/>
      <c r="BM175" s="242"/>
      <c r="BN175" s="242"/>
      <c r="BO175" s="231">
        <v>0</v>
      </c>
      <c r="BP175" s="231"/>
      <c r="BQ175" s="231"/>
      <c r="BR175" s="231"/>
      <c r="BS175" s="231"/>
      <c r="BT175" s="231"/>
      <c r="BU175" s="231"/>
      <c r="BV175" s="231"/>
      <c r="BW175" s="231"/>
      <c r="BX175" s="231"/>
      <c r="BY175" s="231"/>
      <c r="BZ175" s="231"/>
      <c r="CA175" s="231"/>
      <c r="CB175" s="231"/>
      <c r="CC175" s="231"/>
      <c r="CD175" s="231"/>
      <c r="CE175" s="231"/>
      <c r="CF175" s="231"/>
      <c r="CG175" s="231"/>
      <c r="CH175" s="231"/>
      <c r="CI175" s="231"/>
    </row>
    <row r="176" spans="1:94" ht="25.2" customHeight="1" outlineLevel="1">
      <c r="A176" s="204">
        <v>164</v>
      </c>
      <c r="B176" s="207">
        <v>4081</v>
      </c>
      <c r="C176" s="208" t="s">
        <v>353</v>
      </c>
      <c r="D176" s="194" t="s">
        <v>181</v>
      </c>
      <c r="E176" s="209">
        <f t="shared" si="16"/>
        <v>20.400000000000102</v>
      </c>
      <c r="F176" s="216">
        <v>93.3</v>
      </c>
      <c r="G176" s="217">
        <v>2.6</v>
      </c>
      <c r="H176" s="218"/>
      <c r="I176" s="230">
        <f t="shared" si="17"/>
        <v>2.5000000000000102</v>
      </c>
      <c r="J176" s="216">
        <v>1.8</v>
      </c>
      <c r="K176" s="216">
        <v>1.6</v>
      </c>
      <c r="L176" s="233">
        <v>0.87</v>
      </c>
      <c r="M176" s="216">
        <v>133</v>
      </c>
      <c r="N176" s="216">
        <v>80</v>
      </c>
      <c r="O176" s="216">
        <v>4.5</v>
      </c>
      <c r="P176" s="216">
        <v>140</v>
      </c>
      <c r="Q176" s="216">
        <v>0.11</v>
      </c>
      <c r="R176" s="216">
        <v>0.15</v>
      </c>
      <c r="S176" s="216">
        <v>1.3</v>
      </c>
      <c r="T176" s="231">
        <v>46</v>
      </c>
      <c r="U176" s="231">
        <v>521</v>
      </c>
      <c r="V176" s="231">
        <v>26</v>
      </c>
      <c r="W176" s="242">
        <v>0.42599999999999999</v>
      </c>
      <c r="X176" s="232">
        <v>0.5</v>
      </c>
      <c r="Y176" s="231">
        <v>225</v>
      </c>
      <c r="Z176" s="231">
        <v>0.9</v>
      </c>
      <c r="AA176" s="241">
        <v>0.56999999999999995</v>
      </c>
      <c r="AB176" s="241">
        <v>0.14899999999999999</v>
      </c>
      <c r="AC176" s="240">
        <v>62</v>
      </c>
      <c r="AD176" s="240">
        <v>0</v>
      </c>
      <c r="AE176" s="233"/>
      <c r="AF176" s="233">
        <v>0</v>
      </c>
      <c r="AG176" s="240">
        <v>0</v>
      </c>
      <c r="AH176" s="240">
        <f t="shared" si="18"/>
        <v>0</v>
      </c>
      <c r="AI176" s="236">
        <f t="shared" si="19"/>
        <v>337.41666666666703</v>
      </c>
      <c r="AJ176" s="252"/>
      <c r="AK176" s="233">
        <v>2.5</v>
      </c>
      <c r="AL176" s="216">
        <v>310</v>
      </c>
      <c r="AM176" s="236">
        <v>3930</v>
      </c>
      <c r="AN176" s="231">
        <v>36</v>
      </c>
      <c r="AO176" s="231">
        <v>202</v>
      </c>
      <c r="AP176" s="231">
        <v>0</v>
      </c>
      <c r="AQ176" s="231">
        <v>865</v>
      </c>
      <c r="AR176" s="231"/>
      <c r="AS176" s="231"/>
      <c r="AT176" s="231"/>
      <c r="AU176" s="231"/>
      <c r="AV176" s="231"/>
      <c r="AW176" s="236">
        <v>1.4E-2</v>
      </c>
      <c r="AX176" s="242">
        <v>1.2E-2</v>
      </c>
      <c r="AY176" s="242">
        <v>0</v>
      </c>
      <c r="AZ176" s="242">
        <v>1E-3</v>
      </c>
      <c r="BA176" s="242">
        <v>0</v>
      </c>
      <c r="BB176" s="242">
        <v>0</v>
      </c>
      <c r="BC176" s="242">
        <v>0</v>
      </c>
      <c r="BD176" s="242">
        <v>0.27500000000000002</v>
      </c>
      <c r="BE176" s="231">
        <v>0</v>
      </c>
      <c r="BF176" s="242">
        <v>2E-3</v>
      </c>
      <c r="BG176" s="242">
        <v>0.27300000000000002</v>
      </c>
      <c r="BH176" s="242">
        <v>0.04</v>
      </c>
      <c r="BI176" s="242">
        <v>0.04</v>
      </c>
      <c r="BJ176" s="242">
        <v>0</v>
      </c>
      <c r="BK176" s="242">
        <v>0</v>
      </c>
      <c r="BL176" s="242">
        <v>0</v>
      </c>
      <c r="BM176" s="242">
        <v>0</v>
      </c>
      <c r="BN176" s="242"/>
      <c r="BO176" s="231">
        <v>0</v>
      </c>
      <c r="BP176" s="231">
        <v>5</v>
      </c>
      <c r="BQ176" s="231"/>
      <c r="BR176" s="231"/>
      <c r="BS176" s="231"/>
      <c r="BT176" s="231"/>
      <c r="BU176" s="231"/>
      <c r="BV176" s="231"/>
      <c r="BW176" s="231"/>
      <c r="BX176" s="231"/>
      <c r="BY176" s="231"/>
      <c r="BZ176" s="231"/>
      <c r="CA176" s="231"/>
      <c r="CB176" s="231"/>
      <c r="CC176" s="231"/>
      <c r="CD176" s="231"/>
      <c r="CE176" s="231"/>
      <c r="CF176" s="231"/>
      <c r="CG176" s="231"/>
      <c r="CH176" s="231"/>
      <c r="CI176" s="231"/>
    </row>
    <row r="177" spans="1:93" ht="25.2" customHeight="1" outlineLevel="1">
      <c r="A177" s="204">
        <v>165</v>
      </c>
      <c r="B177" s="207">
        <v>4082</v>
      </c>
      <c r="C177" s="208" t="s">
        <v>354</v>
      </c>
      <c r="D177" s="194" t="s">
        <v>181</v>
      </c>
      <c r="E177" s="209">
        <f t="shared" si="16"/>
        <v>27.6</v>
      </c>
      <c r="F177" s="216">
        <v>92</v>
      </c>
      <c r="G177" s="217">
        <v>2.1</v>
      </c>
      <c r="H177" s="218"/>
      <c r="I177" s="230">
        <f t="shared" si="17"/>
        <v>4.8000000000000096</v>
      </c>
      <c r="J177" s="216">
        <v>1.6</v>
      </c>
      <c r="K177" s="216">
        <v>1.1000000000000001</v>
      </c>
      <c r="L177" s="233">
        <v>0.85</v>
      </c>
      <c r="M177" s="216">
        <v>20</v>
      </c>
      <c r="N177" s="216">
        <v>30</v>
      </c>
      <c r="O177" s="216">
        <v>2.9</v>
      </c>
      <c r="P177" s="216">
        <v>177</v>
      </c>
      <c r="Q177" s="216">
        <v>0.11</v>
      </c>
      <c r="R177" s="216">
        <v>0.28000000000000003</v>
      </c>
      <c r="S177" s="216">
        <v>1.4</v>
      </c>
      <c r="T177" s="240">
        <v>38.6</v>
      </c>
      <c r="U177" s="240">
        <v>236.7</v>
      </c>
      <c r="V177" s="240">
        <v>34.770000000000003</v>
      </c>
      <c r="W177" s="241">
        <v>0.36</v>
      </c>
      <c r="X177" s="233">
        <v>0.41</v>
      </c>
      <c r="Y177" s="240">
        <v>210</v>
      </c>
      <c r="Z177" s="216">
        <v>0.1</v>
      </c>
      <c r="AA177" s="241">
        <v>0.4</v>
      </c>
      <c r="AB177" s="241">
        <v>0.09</v>
      </c>
      <c r="AC177" s="240">
        <v>152</v>
      </c>
      <c r="AD177" s="240">
        <v>0</v>
      </c>
      <c r="AE177" s="233"/>
      <c r="AF177" s="233">
        <v>0</v>
      </c>
      <c r="AG177" s="240">
        <v>0</v>
      </c>
      <c r="AH177" s="240">
        <f t="shared" si="18"/>
        <v>0</v>
      </c>
      <c r="AI177" s="236">
        <f t="shared" si="19"/>
        <v>420</v>
      </c>
      <c r="AJ177" s="252"/>
      <c r="AK177" s="233">
        <v>0.75</v>
      </c>
      <c r="AL177" s="216">
        <v>1640</v>
      </c>
      <c r="AM177" s="236">
        <v>5040</v>
      </c>
      <c r="AN177" s="231">
        <v>0</v>
      </c>
      <c r="AO177" s="231">
        <v>0</v>
      </c>
      <c r="AP177" s="231">
        <v>0</v>
      </c>
      <c r="AQ177" s="231">
        <v>5561</v>
      </c>
      <c r="AR177" s="231"/>
      <c r="AS177" s="231"/>
      <c r="AT177" s="231"/>
      <c r="AU177" s="231"/>
      <c r="AV177" s="231"/>
      <c r="AW177" s="236">
        <v>0.13200000000000001</v>
      </c>
      <c r="AX177" s="242">
        <v>8.4000000000000005E-2</v>
      </c>
      <c r="AY177" s="242">
        <v>0</v>
      </c>
      <c r="AZ177" s="242">
        <v>3.9E-2</v>
      </c>
      <c r="BA177" s="242">
        <v>0</v>
      </c>
      <c r="BB177" s="242">
        <v>0</v>
      </c>
      <c r="BC177" s="242">
        <v>0</v>
      </c>
      <c r="BD177" s="242">
        <v>0.29499999999999998</v>
      </c>
      <c r="BE177" s="231">
        <v>0</v>
      </c>
      <c r="BF177" s="242">
        <v>8.0000000000000002E-3</v>
      </c>
      <c r="BG177" s="242">
        <v>0.28699999999999998</v>
      </c>
      <c r="BH177" s="242">
        <v>0.124</v>
      </c>
      <c r="BI177" s="242">
        <v>0.115</v>
      </c>
      <c r="BJ177" s="242">
        <v>8.0000000000000002E-3</v>
      </c>
      <c r="BK177" s="242">
        <v>0</v>
      </c>
      <c r="BL177" s="242">
        <v>0</v>
      </c>
      <c r="BM177" s="242">
        <v>0</v>
      </c>
      <c r="BN177" s="242"/>
      <c r="BO177" s="231">
        <v>0</v>
      </c>
      <c r="BP177" s="231">
        <v>5</v>
      </c>
      <c r="BQ177" s="204">
        <v>181</v>
      </c>
      <c r="BR177" s="204">
        <v>42</v>
      </c>
      <c r="BS177" s="204">
        <v>45</v>
      </c>
      <c r="BT177" s="204">
        <v>145</v>
      </c>
      <c r="BU177" s="204">
        <v>122</v>
      </c>
      <c r="BV177" s="204">
        <v>172</v>
      </c>
      <c r="BW177" s="204">
        <v>204</v>
      </c>
      <c r="BX177" s="204">
        <v>118</v>
      </c>
      <c r="BY177" s="204">
        <v>122</v>
      </c>
      <c r="BZ177" s="204">
        <v>61</v>
      </c>
      <c r="CA177" s="204">
        <v>14</v>
      </c>
      <c r="CB177" s="204">
        <v>82</v>
      </c>
      <c r="CC177" s="204">
        <v>195</v>
      </c>
      <c r="CD177" s="204">
        <v>194</v>
      </c>
      <c r="CE177" s="204">
        <v>249</v>
      </c>
      <c r="CF177" s="204">
        <v>145</v>
      </c>
      <c r="CG177" s="204">
        <v>213</v>
      </c>
      <c r="CH177" s="204">
        <v>136</v>
      </c>
      <c r="CI177" s="231"/>
    </row>
    <row r="178" spans="1:93" ht="25.2" customHeight="1" outlineLevel="1">
      <c r="A178" s="204">
        <v>166</v>
      </c>
      <c r="B178" s="207">
        <v>4083</v>
      </c>
      <c r="C178" s="208" t="s">
        <v>355</v>
      </c>
      <c r="D178" s="194" t="s">
        <v>181</v>
      </c>
      <c r="E178" s="209">
        <f t="shared" si="16"/>
        <v>26.8</v>
      </c>
      <c r="F178" s="216">
        <v>92</v>
      </c>
      <c r="G178" s="217">
        <v>3.2</v>
      </c>
      <c r="H178" s="218"/>
      <c r="I178" s="230">
        <f t="shared" si="17"/>
        <v>3.5</v>
      </c>
      <c r="J178" s="216">
        <v>1</v>
      </c>
      <c r="K178" s="216">
        <v>1.3</v>
      </c>
      <c r="L178" s="233"/>
      <c r="M178" s="216">
        <v>100</v>
      </c>
      <c r="N178" s="216">
        <v>37</v>
      </c>
      <c r="O178" s="216">
        <v>1.4</v>
      </c>
      <c r="P178" s="216">
        <v>20</v>
      </c>
      <c r="Q178" s="216">
        <v>0.1</v>
      </c>
      <c r="R178" s="216">
        <v>0.09</v>
      </c>
      <c r="S178" s="216">
        <v>0.7</v>
      </c>
      <c r="T178" s="240">
        <v>37.4</v>
      </c>
      <c r="U178" s="240">
        <v>330.5</v>
      </c>
      <c r="V178" s="240">
        <v>14.83</v>
      </c>
      <c r="W178" s="241">
        <v>0.6</v>
      </c>
      <c r="X178" s="233">
        <v>0.35</v>
      </c>
      <c r="Y178" s="240">
        <v>100</v>
      </c>
      <c r="Z178" s="216">
        <v>1</v>
      </c>
      <c r="AA178" s="241">
        <v>6.5000000000000002E-2</v>
      </c>
      <c r="AB178" s="241">
        <v>0.19500000000000001</v>
      </c>
      <c r="AC178" s="240">
        <v>194</v>
      </c>
      <c r="AD178" s="240">
        <v>0</v>
      </c>
      <c r="AE178" s="233">
        <v>1.6</v>
      </c>
      <c r="AF178" s="233">
        <v>0</v>
      </c>
      <c r="AG178" s="240">
        <v>0</v>
      </c>
      <c r="AH178" s="240">
        <f t="shared" si="18"/>
        <v>0</v>
      </c>
      <c r="AI178" s="236">
        <f t="shared" si="19"/>
        <v>141.75</v>
      </c>
      <c r="AJ178" s="252"/>
      <c r="AK178" s="233">
        <v>2.0299999999999998</v>
      </c>
      <c r="AL178" s="216">
        <v>482.9</v>
      </c>
      <c r="AM178" s="236">
        <v>1701</v>
      </c>
      <c r="AN178" s="231">
        <v>0</v>
      </c>
      <c r="AO178" s="231">
        <v>0</v>
      </c>
      <c r="AP178" s="231">
        <v>0</v>
      </c>
      <c r="AQ178" s="231">
        <v>868</v>
      </c>
      <c r="AR178" s="231"/>
      <c r="AS178" s="231"/>
      <c r="AT178" s="231"/>
      <c r="AU178" s="231"/>
      <c r="AV178" s="231">
        <v>57</v>
      </c>
      <c r="AW178" s="236">
        <v>6.3E-2</v>
      </c>
      <c r="AX178" s="242">
        <v>4.9000000000000002E-2</v>
      </c>
      <c r="AY178" s="242">
        <v>0</v>
      </c>
      <c r="AZ178" s="242">
        <v>4.0000000000000001E-3</v>
      </c>
      <c r="BA178" s="242">
        <v>0</v>
      </c>
      <c r="BB178" s="242">
        <v>0</v>
      </c>
      <c r="BC178" s="242">
        <v>0</v>
      </c>
      <c r="BD178" s="242">
        <v>0.01</v>
      </c>
      <c r="BE178" s="231">
        <v>0</v>
      </c>
      <c r="BF178" s="242">
        <v>5.0000000000000001E-3</v>
      </c>
      <c r="BG178" s="242">
        <v>5.0000000000000001E-3</v>
      </c>
      <c r="BH178" s="242">
        <v>0.16500000000000001</v>
      </c>
      <c r="BI178" s="242">
        <v>2.5999999999999999E-2</v>
      </c>
      <c r="BJ178" s="242">
        <v>0.13800000000000001</v>
      </c>
      <c r="BK178" s="242">
        <v>0</v>
      </c>
      <c r="BL178" s="242">
        <v>0</v>
      </c>
      <c r="BM178" s="242">
        <v>0</v>
      </c>
      <c r="BN178" s="242"/>
      <c r="BO178" s="231">
        <v>0</v>
      </c>
      <c r="BP178" s="231">
        <v>9</v>
      </c>
      <c r="BQ178" s="204">
        <v>174</v>
      </c>
      <c r="BR178" s="204">
        <v>53</v>
      </c>
      <c r="BS178" s="204">
        <v>39</v>
      </c>
      <c r="BT178" s="204">
        <v>129</v>
      </c>
      <c r="BU178" s="204">
        <v>122</v>
      </c>
      <c r="BV178" s="204">
        <v>161</v>
      </c>
      <c r="BW178" s="204">
        <v>223</v>
      </c>
      <c r="BX178" s="204">
        <v>147</v>
      </c>
      <c r="BY178" s="204">
        <v>162</v>
      </c>
      <c r="BZ178" s="204">
        <v>64</v>
      </c>
      <c r="CA178" s="204">
        <v>35</v>
      </c>
      <c r="CB178" s="204">
        <v>108</v>
      </c>
      <c r="CC178" s="204">
        <v>142</v>
      </c>
      <c r="CD178" s="204">
        <v>240</v>
      </c>
      <c r="CE178" s="204">
        <v>343</v>
      </c>
      <c r="CF178" s="204">
        <v>134</v>
      </c>
      <c r="CG178" s="204">
        <v>112</v>
      </c>
      <c r="CH178" s="204">
        <v>104</v>
      </c>
      <c r="CI178" s="231" t="s">
        <v>356</v>
      </c>
      <c r="CO178" s="172"/>
    </row>
    <row r="179" spans="1:93" ht="25.2" customHeight="1" outlineLevel="1">
      <c r="A179" s="204">
        <v>167</v>
      </c>
      <c r="B179" s="207">
        <v>4084</v>
      </c>
      <c r="C179" s="208" t="s">
        <v>357</v>
      </c>
      <c r="D179" s="194" t="s">
        <v>181</v>
      </c>
      <c r="E179" s="209">
        <f t="shared" si="16"/>
        <v>293</v>
      </c>
      <c r="F179" s="216">
        <v>14</v>
      </c>
      <c r="G179" s="217">
        <v>34.200000000000003</v>
      </c>
      <c r="H179" s="218">
        <v>1.8</v>
      </c>
      <c r="I179" s="230">
        <f t="shared" si="17"/>
        <v>35</v>
      </c>
      <c r="J179" s="216">
        <v>12</v>
      </c>
      <c r="K179" s="216">
        <v>15</v>
      </c>
      <c r="L179" s="233"/>
      <c r="M179" s="233">
        <v>880</v>
      </c>
      <c r="N179" s="233">
        <v>300</v>
      </c>
      <c r="O179" s="233">
        <v>15.2</v>
      </c>
      <c r="P179" s="233">
        <v>10</v>
      </c>
      <c r="Q179" s="233"/>
      <c r="R179" s="233"/>
      <c r="S179" s="233"/>
      <c r="T179" s="231"/>
      <c r="U179" s="231"/>
      <c r="V179" s="231"/>
      <c r="W179" s="242"/>
      <c r="X179" s="232"/>
      <c r="Y179" s="231"/>
      <c r="Z179" s="231"/>
      <c r="AA179" s="241"/>
      <c r="AB179" s="241"/>
      <c r="AC179" s="240"/>
      <c r="AD179" s="240"/>
      <c r="AE179" s="233"/>
      <c r="AF179" s="233"/>
      <c r="AG179" s="240">
        <v>0</v>
      </c>
      <c r="AH179" s="240">
        <f t="shared" si="18"/>
        <v>0</v>
      </c>
      <c r="AI179" s="236">
        <f t="shared" si="19"/>
        <v>1083</v>
      </c>
      <c r="AJ179" s="252"/>
      <c r="AK179" s="233"/>
      <c r="AL179" s="216"/>
      <c r="AM179" s="236">
        <v>12996</v>
      </c>
      <c r="AN179" s="231"/>
      <c r="AO179" s="231"/>
      <c r="AP179" s="231"/>
      <c r="AQ179" s="231"/>
      <c r="AR179" s="231"/>
      <c r="AS179" s="231"/>
      <c r="AT179" s="231"/>
      <c r="AU179" s="231"/>
      <c r="AV179" s="231"/>
      <c r="AW179" s="236"/>
      <c r="AX179" s="242"/>
      <c r="AY179" s="242"/>
      <c r="AZ179" s="242"/>
      <c r="BA179" s="242"/>
      <c r="BB179" s="242"/>
      <c r="BC179" s="242"/>
      <c r="BD179" s="242"/>
      <c r="BE179" s="231"/>
      <c r="BF179" s="242"/>
      <c r="BG179" s="242"/>
      <c r="BH179" s="242"/>
      <c r="BI179" s="242"/>
      <c r="BJ179" s="242"/>
      <c r="BK179" s="242"/>
      <c r="BL179" s="242"/>
      <c r="BM179" s="242"/>
      <c r="BN179" s="242"/>
      <c r="BO179" s="231">
        <v>0</v>
      </c>
      <c r="BP179" s="231"/>
      <c r="BQ179" s="231"/>
      <c r="BR179" s="231"/>
      <c r="BS179" s="231"/>
      <c r="BT179" s="231"/>
      <c r="BU179" s="231"/>
      <c r="BV179" s="231"/>
      <c r="BW179" s="231"/>
      <c r="BX179" s="231"/>
      <c r="BY179" s="231"/>
      <c r="BZ179" s="231"/>
      <c r="CA179" s="231"/>
      <c r="CB179" s="231"/>
      <c r="CC179" s="231"/>
      <c r="CD179" s="231"/>
      <c r="CE179" s="231"/>
      <c r="CF179" s="231"/>
      <c r="CG179" s="231"/>
      <c r="CH179" s="231"/>
      <c r="CI179" s="231"/>
    </row>
    <row r="180" spans="1:93" ht="25.2" customHeight="1" outlineLevel="1">
      <c r="A180" s="204">
        <v>168</v>
      </c>
      <c r="B180" s="207">
        <v>4085</v>
      </c>
      <c r="C180" s="208" t="s">
        <v>358</v>
      </c>
      <c r="D180" s="194" t="s">
        <v>181</v>
      </c>
      <c r="E180" s="209">
        <f t="shared" si="16"/>
        <v>23.6</v>
      </c>
      <c r="F180" s="216">
        <v>93.3</v>
      </c>
      <c r="G180" s="217">
        <v>1.5</v>
      </c>
      <c r="H180" s="218"/>
      <c r="I180" s="230">
        <f t="shared" si="17"/>
        <v>4.4000000000000101</v>
      </c>
      <c r="J180" s="216">
        <v>2.1</v>
      </c>
      <c r="K180" s="216">
        <v>0.8</v>
      </c>
      <c r="L180" s="233"/>
      <c r="M180" s="216">
        <v>84</v>
      </c>
      <c r="N180" s="216">
        <v>18</v>
      </c>
      <c r="O180" s="216">
        <v>2.2000000000000002</v>
      </c>
      <c r="P180" s="216">
        <v>78</v>
      </c>
      <c r="Q180" s="216">
        <v>0.11</v>
      </c>
      <c r="R180" s="216">
        <v>0.15</v>
      </c>
      <c r="S180" s="216">
        <v>1.3</v>
      </c>
      <c r="T180" s="240">
        <v>5.0999999999999996</v>
      </c>
      <c r="U180" s="240">
        <v>222.4</v>
      </c>
      <c r="V180" s="240"/>
      <c r="W180" s="241">
        <v>1.49</v>
      </c>
      <c r="X180" s="233">
        <v>1.48</v>
      </c>
      <c r="Y180" s="240">
        <v>480</v>
      </c>
      <c r="Z180" s="216"/>
      <c r="AA180" s="241"/>
      <c r="AB180" s="241"/>
      <c r="AC180" s="240"/>
      <c r="AD180" s="240"/>
      <c r="AE180" s="233"/>
      <c r="AF180" s="233"/>
      <c r="AG180" s="240">
        <v>0</v>
      </c>
      <c r="AH180" s="240">
        <f t="shared" si="18"/>
        <v>0</v>
      </c>
      <c r="AI180" s="236">
        <f t="shared" si="19"/>
        <v>193.75</v>
      </c>
      <c r="AJ180" s="252"/>
      <c r="AK180" s="233"/>
      <c r="AL180" s="216"/>
      <c r="AM180" s="236">
        <v>2325</v>
      </c>
      <c r="AN180" s="231"/>
      <c r="AO180" s="231"/>
      <c r="AP180" s="231"/>
      <c r="AQ180" s="231"/>
      <c r="AR180" s="231"/>
      <c r="AS180" s="231"/>
      <c r="AT180" s="231"/>
      <c r="AU180" s="231"/>
      <c r="AV180" s="231"/>
      <c r="AW180" s="236"/>
      <c r="AX180" s="242"/>
      <c r="AY180" s="242"/>
      <c r="AZ180" s="242"/>
      <c r="BA180" s="242"/>
      <c r="BB180" s="242"/>
      <c r="BC180" s="242"/>
      <c r="BD180" s="242"/>
      <c r="BE180" s="231"/>
      <c r="BF180" s="242"/>
      <c r="BG180" s="242"/>
      <c r="BH180" s="242"/>
      <c r="BI180" s="242"/>
      <c r="BJ180" s="242"/>
      <c r="BK180" s="242"/>
      <c r="BL180" s="242"/>
      <c r="BM180" s="242"/>
      <c r="BN180" s="242"/>
      <c r="BO180" s="231">
        <v>0</v>
      </c>
      <c r="BP180" s="231"/>
      <c r="BQ180" s="231"/>
      <c r="BR180" s="231"/>
      <c r="BS180" s="231"/>
      <c r="BT180" s="231"/>
      <c r="BU180" s="231"/>
      <c r="BV180" s="231"/>
      <c r="BW180" s="231"/>
      <c r="BX180" s="231"/>
      <c r="BY180" s="231"/>
      <c r="BZ180" s="231"/>
      <c r="CA180" s="231"/>
      <c r="CB180" s="231"/>
      <c r="CC180" s="231"/>
      <c r="CD180" s="231"/>
      <c r="CE180" s="231"/>
      <c r="CF180" s="231"/>
      <c r="CG180" s="231"/>
      <c r="CH180" s="231"/>
      <c r="CI180" s="231"/>
    </row>
    <row r="181" spans="1:93" ht="25.2" customHeight="1" outlineLevel="1">
      <c r="A181" s="204">
        <v>169</v>
      </c>
      <c r="B181" s="207">
        <v>4086</v>
      </c>
      <c r="C181" s="208" t="s">
        <v>359</v>
      </c>
      <c r="D181" s="194" t="s">
        <v>181</v>
      </c>
      <c r="E181" s="209">
        <f t="shared" si="16"/>
        <v>44.8</v>
      </c>
      <c r="F181" s="216">
        <v>86.4</v>
      </c>
      <c r="G181" s="217">
        <v>5.3</v>
      </c>
      <c r="H181" s="218"/>
      <c r="I181" s="230">
        <f t="shared" si="17"/>
        <v>5.8999999999999897</v>
      </c>
      <c r="J181" s="216">
        <v>2.5</v>
      </c>
      <c r="K181" s="216">
        <v>2.4</v>
      </c>
      <c r="L181" s="233"/>
      <c r="M181" s="216">
        <v>169</v>
      </c>
      <c r="N181" s="216">
        <v>64.5</v>
      </c>
      <c r="O181" s="216">
        <v>2.7</v>
      </c>
      <c r="P181" s="216">
        <v>53</v>
      </c>
      <c r="Q181" s="216">
        <v>7.0000000000000007E-2</v>
      </c>
      <c r="R181" s="216">
        <v>0.39</v>
      </c>
      <c r="S181" s="216">
        <v>2.2000000000000002</v>
      </c>
      <c r="T181" s="240">
        <v>24.5</v>
      </c>
      <c r="U181" s="240">
        <v>457.3</v>
      </c>
      <c r="V181" s="240">
        <v>122.82</v>
      </c>
      <c r="W181" s="241">
        <v>2.4</v>
      </c>
      <c r="X181" s="233">
        <v>0.94</v>
      </c>
      <c r="Y181" s="240">
        <v>190</v>
      </c>
      <c r="Z181" s="216"/>
      <c r="AA181" s="241"/>
      <c r="AB181" s="241"/>
      <c r="AC181" s="240"/>
      <c r="AD181" s="240"/>
      <c r="AE181" s="233"/>
      <c r="AF181" s="233"/>
      <c r="AG181" s="240">
        <v>0</v>
      </c>
      <c r="AH181" s="240">
        <f t="shared" si="18"/>
        <v>0</v>
      </c>
      <c r="AI181" s="236">
        <f t="shared" si="19"/>
        <v>591.375</v>
      </c>
      <c r="AJ181" s="252"/>
      <c r="AK181" s="233"/>
      <c r="AL181" s="216"/>
      <c r="AM181" s="236">
        <v>6810</v>
      </c>
      <c r="AN181" s="231">
        <v>573</v>
      </c>
      <c r="AO181" s="231"/>
      <c r="AP181" s="231"/>
      <c r="AQ181" s="231">
        <v>5419</v>
      </c>
      <c r="AR181" s="231"/>
      <c r="AS181" s="231"/>
      <c r="AT181" s="231"/>
      <c r="AU181" s="231"/>
      <c r="AV181" s="231"/>
      <c r="AW181" s="236"/>
      <c r="AX181" s="242"/>
      <c r="AY181" s="242"/>
      <c r="AZ181" s="242"/>
      <c r="BA181" s="242"/>
      <c r="BB181" s="242"/>
      <c r="BC181" s="242"/>
      <c r="BD181" s="242"/>
      <c r="BE181" s="231"/>
      <c r="BF181" s="242"/>
      <c r="BG181" s="242"/>
      <c r="BH181" s="242"/>
      <c r="BI181" s="242"/>
      <c r="BJ181" s="242"/>
      <c r="BK181" s="242"/>
      <c r="BL181" s="242"/>
      <c r="BM181" s="242"/>
      <c r="BN181" s="242"/>
      <c r="BO181" s="231">
        <v>0</v>
      </c>
      <c r="BP181" s="231"/>
      <c r="BQ181" s="231"/>
      <c r="BR181" s="231"/>
      <c r="BS181" s="231"/>
      <c r="BT181" s="231"/>
      <c r="BU181" s="231"/>
      <c r="BV181" s="231"/>
      <c r="BW181" s="231"/>
      <c r="BX181" s="231"/>
      <c r="BY181" s="231"/>
      <c r="BZ181" s="231"/>
      <c r="CA181" s="231"/>
      <c r="CB181" s="231"/>
      <c r="CC181" s="231"/>
      <c r="CD181" s="231"/>
      <c r="CE181" s="231"/>
      <c r="CF181" s="231"/>
      <c r="CG181" s="231"/>
      <c r="CH181" s="231"/>
      <c r="CI181" s="231"/>
    </row>
    <row r="182" spans="1:93" ht="25.2" customHeight="1" outlineLevel="1">
      <c r="A182" s="204">
        <v>170</v>
      </c>
      <c r="B182" s="207">
        <v>4087</v>
      </c>
      <c r="C182" s="208" t="s">
        <v>360</v>
      </c>
      <c r="D182" s="194" t="s">
        <v>181</v>
      </c>
      <c r="E182" s="209">
        <f t="shared" si="16"/>
        <v>299.39999999999998</v>
      </c>
      <c r="F182" s="216">
        <v>14</v>
      </c>
      <c r="G182" s="217">
        <v>32.200000000000003</v>
      </c>
      <c r="H182" s="218">
        <v>2.6</v>
      </c>
      <c r="I182" s="230">
        <f t="shared" si="17"/>
        <v>36.799999999999997</v>
      </c>
      <c r="J182" s="216">
        <v>15</v>
      </c>
      <c r="K182" s="216">
        <v>14.4</v>
      </c>
      <c r="L182" s="233"/>
      <c r="M182" s="233"/>
      <c r="N182" s="233"/>
      <c r="O182" s="233"/>
      <c r="P182" s="233"/>
      <c r="Q182" s="233"/>
      <c r="R182" s="233"/>
      <c r="S182" s="233"/>
      <c r="T182" s="231"/>
      <c r="U182" s="231"/>
      <c r="V182" s="231"/>
      <c r="W182" s="242"/>
      <c r="X182" s="232"/>
      <c r="Y182" s="231"/>
      <c r="Z182" s="231"/>
      <c r="AA182" s="241"/>
      <c r="AB182" s="241"/>
      <c r="AC182" s="240"/>
      <c r="AD182" s="240"/>
      <c r="AE182" s="233"/>
      <c r="AF182" s="233"/>
      <c r="AG182" s="240">
        <v>0</v>
      </c>
      <c r="AH182" s="240">
        <f t="shared" si="18"/>
        <v>0</v>
      </c>
      <c r="AI182" s="236">
        <f t="shared" si="19"/>
        <v>130</v>
      </c>
      <c r="AJ182" s="252"/>
      <c r="AK182" s="233"/>
      <c r="AL182" s="216"/>
      <c r="AM182" s="236">
        <v>1560</v>
      </c>
      <c r="AN182" s="231"/>
      <c r="AO182" s="231"/>
      <c r="AP182" s="231"/>
      <c r="AQ182" s="231"/>
      <c r="AR182" s="231"/>
      <c r="AS182" s="231"/>
      <c r="AT182" s="231"/>
      <c r="AU182" s="231"/>
      <c r="AV182" s="231"/>
      <c r="AW182" s="236"/>
      <c r="AX182" s="242"/>
      <c r="AY182" s="242"/>
      <c r="AZ182" s="242"/>
      <c r="BA182" s="242"/>
      <c r="BB182" s="242"/>
      <c r="BC182" s="242"/>
      <c r="BD182" s="242"/>
      <c r="BE182" s="231"/>
      <c r="BF182" s="242"/>
      <c r="BG182" s="242"/>
      <c r="BH182" s="242"/>
      <c r="BI182" s="242"/>
      <c r="BJ182" s="242"/>
      <c r="BK182" s="242"/>
      <c r="BL182" s="242"/>
      <c r="BM182" s="242"/>
      <c r="BN182" s="242"/>
      <c r="BO182" s="231">
        <v>0</v>
      </c>
      <c r="BP182" s="231"/>
      <c r="BQ182" s="231"/>
      <c r="BR182" s="231"/>
      <c r="BS182" s="231"/>
      <c r="BT182" s="231"/>
      <c r="BU182" s="231"/>
      <c r="BV182" s="231"/>
      <c r="BW182" s="231"/>
      <c r="BX182" s="231"/>
      <c r="BY182" s="231"/>
      <c r="BZ182" s="231"/>
      <c r="CA182" s="231"/>
      <c r="CB182" s="231"/>
      <c r="CC182" s="231"/>
      <c r="CD182" s="231"/>
      <c r="CE182" s="231"/>
      <c r="CF182" s="231"/>
      <c r="CG182" s="231"/>
      <c r="CH182" s="231"/>
      <c r="CI182" s="231"/>
      <c r="CN182" s="172"/>
    </row>
    <row r="183" spans="1:93" ht="25.2" customHeight="1" outlineLevel="1">
      <c r="A183" s="204">
        <v>171</v>
      </c>
      <c r="B183" s="207">
        <v>4088</v>
      </c>
      <c r="C183" s="208" t="s">
        <v>361</v>
      </c>
      <c r="D183" s="194" t="s">
        <v>181</v>
      </c>
      <c r="E183" s="209">
        <f t="shared" si="16"/>
        <v>45.2</v>
      </c>
      <c r="F183" s="216">
        <v>86.7</v>
      </c>
      <c r="G183" s="217">
        <v>4.7</v>
      </c>
      <c r="H183" s="218"/>
      <c r="I183" s="230">
        <f t="shared" si="17"/>
        <v>6.5999999999999899</v>
      </c>
      <c r="J183" s="216">
        <v>3.8</v>
      </c>
      <c r="K183" s="216">
        <v>2</v>
      </c>
      <c r="L183" s="233"/>
      <c r="M183" s="236">
        <v>316</v>
      </c>
      <c r="N183" s="236">
        <v>55</v>
      </c>
      <c r="O183" s="236">
        <v>2.2000000000000002</v>
      </c>
      <c r="P183" s="236">
        <v>57</v>
      </c>
      <c r="Q183" s="236"/>
      <c r="R183" s="236"/>
      <c r="S183" s="236"/>
      <c r="T183" s="240">
        <v>5</v>
      </c>
      <c r="U183" s="240">
        <v>216</v>
      </c>
      <c r="V183" s="240">
        <v>27.7</v>
      </c>
      <c r="W183" s="241">
        <v>3.63</v>
      </c>
      <c r="X183" s="233">
        <v>1.05</v>
      </c>
      <c r="Y183" s="240">
        <v>390</v>
      </c>
      <c r="Z183" s="216"/>
      <c r="AA183" s="241"/>
      <c r="AB183" s="241"/>
      <c r="AC183" s="240"/>
      <c r="AD183" s="240"/>
      <c r="AE183" s="236"/>
      <c r="AF183" s="236"/>
      <c r="AG183" s="240">
        <v>0</v>
      </c>
      <c r="AH183" s="240">
        <f t="shared" si="18"/>
        <v>0</v>
      </c>
      <c r="AI183" s="236">
        <f t="shared" si="19"/>
        <v>0</v>
      </c>
      <c r="AJ183" s="252"/>
      <c r="AK183" s="233"/>
      <c r="AL183" s="216"/>
      <c r="AM183" s="236"/>
      <c r="AN183" s="231"/>
      <c r="AO183" s="231"/>
      <c r="AP183" s="231"/>
      <c r="AQ183" s="231"/>
      <c r="AR183" s="231"/>
      <c r="AS183" s="231"/>
      <c r="AT183" s="231"/>
      <c r="AU183" s="231"/>
      <c r="AV183" s="231"/>
      <c r="AW183" s="236"/>
      <c r="AX183" s="242"/>
      <c r="AY183" s="242"/>
      <c r="AZ183" s="242"/>
      <c r="BA183" s="242"/>
      <c r="BB183" s="242"/>
      <c r="BC183" s="242"/>
      <c r="BD183" s="242"/>
      <c r="BE183" s="231"/>
      <c r="BF183" s="242"/>
      <c r="BG183" s="242"/>
      <c r="BH183" s="242"/>
      <c r="BI183" s="242"/>
      <c r="BJ183" s="242"/>
      <c r="BK183" s="242"/>
      <c r="BL183" s="242"/>
      <c r="BM183" s="242"/>
      <c r="BN183" s="242"/>
      <c r="BO183" s="231">
        <v>0</v>
      </c>
      <c r="BP183" s="231"/>
      <c r="BQ183" s="231"/>
      <c r="BR183" s="231"/>
      <c r="BS183" s="231"/>
      <c r="BT183" s="231"/>
      <c r="BU183" s="231"/>
      <c r="BV183" s="231"/>
      <c r="BW183" s="231"/>
      <c r="BX183" s="231"/>
      <c r="BY183" s="231"/>
      <c r="BZ183" s="231"/>
      <c r="CA183" s="231"/>
      <c r="CB183" s="231"/>
      <c r="CC183" s="231"/>
      <c r="CD183" s="231"/>
      <c r="CE183" s="231"/>
      <c r="CF183" s="231"/>
      <c r="CG183" s="231"/>
      <c r="CH183" s="231"/>
      <c r="CI183" s="231"/>
    </row>
    <row r="184" spans="1:93" ht="25.2" customHeight="1" outlineLevel="1">
      <c r="A184" s="204">
        <v>172</v>
      </c>
      <c r="B184" s="207">
        <v>4089</v>
      </c>
      <c r="C184" s="208" t="s">
        <v>362</v>
      </c>
      <c r="D184" s="194" t="s">
        <v>181</v>
      </c>
      <c r="E184" s="209">
        <f t="shared" si="16"/>
        <v>35.200000000000003</v>
      </c>
      <c r="F184" s="216">
        <v>90.4</v>
      </c>
      <c r="G184" s="217">
        <v>5.0999999999999996</v>
      </c>
      <c r="H184" s="218"/>
      <c r="I184" s="230">
        <f t="shared" si="17"/>
        <v>3.7</v>
      </c>
      <c r="J184" s="216">
        <v>1.9</v>
      </c>
      <c r="K184" s="216">
        <v>0.8</v>
      </c>
      <c r="L184" s="231"/>
      <c r="M184" s="236">
        <v>180</v>
      </c>
      <c r="N184" s="236">
        <v>59</v>
      </c>
      <c r="O184" s="236"/>
      <c r="P184" s="236"/>
      <c r="Q184" s="236"/>
      <c r="R184" s="236"/>
      <c r="S184" s="236"/>
      <c r="T184" s="231"/>
      <c r="U184" s="231"/>
      <c r="V184" s="231"/>
      <c r="W184" s="242"/>
      <c r="X184" s="232"/>
      <c r="Y184" s="231"/>
      <c r="Z184" s="231"/>
      <c r="AA184" s="241"/>
      <c r="AB184" s="241"/>
      <c r="AC184" s="240"/>
      <c r="AD184" s="240"/>
      <c r="AE184" s="236"/>
      <c r="AF184" s="236"/>
      <c r="AG184" s="240">
        <v>0</v>
      </c>
      <c r="AH184" s="240">
        <f t="shared" si="18"/>
        <v>0</v>
      </c>
      <c r="AI184" s="236">
        <f t="shared" si="19"/>
        <v>0</v>
      </c>
      <c r="AJ184" s="252"/>
      <c r="AK184" s="233"/>
      <c r="AL184" s="216"/>
      <c r="AM184" s="236"/>
      <c r="AN184" s="231"/>
      <c r="AO184" s="231"/>
      <c r="AP184" s="231"/>
      <c r="AQ184" s="231"/>
      <c r="AR184" s="231"/>
      <c r="AS184" s="231"/>
      <c r="AT184" s="231"/>
      <c r="AU184" s="231"/>
      <c r="AV184" s="231"/>
      <c r="AW184" s="236"/>
      <c r="AX184" s="242"/>
      <c r="AY184" s="242"/>
      <c r="AZ184" s="242"/>
      <c r="BA184" s="242"/>
      <c r="BB184" s="242"/>
      <c r="BC184" s="242"/>
      <c r="BD184" s="242"/>
      <c r="BE184" s="231"/>
      <c r="BF184" s="242"/>
      <c r="BG184" s="242"/>
      <c r="BH184" s="242"/>
      <c r="BI184" s="242"/>
      <c r="BJ184" s="242"/>
      <c r="BK184" s="242"/>
      <c r="BL184" s="242"/>
      <c r="BM184" s="242"/>
      <c r="BN184" s="242"/>
      <c r="BO184" s="231">
        <v>0</v>
      </c>
      <c r="BP184" s="231"/>
      <c r="BQ184" s="231"/>
      <c r="BR184" s="231"/>
      <c r="BS184" s="231"/>
      <c r="BT184" s="231"/>
      <c r="BU184" s="231"/>
      <c r="BV184" s="231"/>
      <c r="BW184" s="231"/>
      <c r="BX184" s="231"/>
      <c r="BY184" s="231"/>
      <c r="BZ184" s="231"/>
      <c r="CA184" s="231"/>
      <c r="CB184" s="231"/>
      <c r="CC184" s="231"/>
      <c r="CD184" s="231"/>
      <c r="CE184" s="231"/>
      <c r="CF184" s="231"/>
      <c r="CG184" s="231"/>
      <c r="CH184" s="231"/>
      <c r="CI184" s="231"/>
    </row>
    <row r="185" spans="1:93" ht="25.2" customHeight="1" outlineLevel="1">
      <c r="A185" s="204">
        <v>173</v>
      </c>
      <c r="B185" s="207">
        <v>4090</v>
      </c>
      <c r="C185" s="208" t="s">
        <v>363</v>
      </c>
      <c r="D185" s="194" t="s">
        <v>181</v>
      </c>
      <c r="E185" s="209">
        <f t="shared" si="16"/>
        <v>16.8</v>
      </c>
      <c r="F185" s="216">
        <v>95</v>
      </c>
      <c r="G185" s="217">
        <v>1.5</v>
      </c>
      <c r="H185" s="218"/>
      <c r="I185" s="230">
        <f t="shared" si="17"/>
        <v>2.7</v>
      </c>
      <c r="J185" s="216">
        <v>0.5</v>
      </c>
      <c r="K185" s="216">
        <v>0.8</v>
      </c>
      <c r="L185" s="233"/>
      <c r="M185" s="216">
        <v>77</v>
      </c>
      <c r="N185" s="216">
        <v>34</v>
      </c>
      <c r="O185" s="216">
        <v>0.9</v>
      </c>
      <c r="P185" s="216">
        <v>15</v>
      </c>
      <c r="Q185" s="216">
        <v>0.14000000000000001</v>
      </c>
      <c r="R185" s="216">
        <v>0.12</v>
      </c>
      <c r="S185" s="216">
        <v>0.7</v>
      </c>
      <c r="T185" s="240">
        <v>58.5</v>
      </c>
      <c r="U185" s="240">
        <v>332.8</v>
      </c>
      <c r="V185" s="240">
        <v>18</v>
      </c>
      <c r="W185" s="241">
        <v>0.75</v>
      </c>
      <c r="X185" s="233">
        <v>0.4</v>
      </c>
      <c r="Y185" s="240">
        <v>220</v>
      </c>
      <c r="Z185" s="216">
        <v>0.8</v>
      </c>
      <c r="AA185" s="241"/>
      <c r="AB185" s="241"/>
      <c r="AC185" s="240"/>
      <c r="AD185" s="240"/>
      <c r="AE185" s="233">
        <v>0.7</v>
      </c>
      <c r="AF185" s="233"/>
      <c r="AG185" s="240">
        <v>0</v>
      </c>
      <c r="AH185" s="240">
        <f t="shared" si="18"/>
        <v>0</v>
      </c>
      <c r="AI185" s="236">
        <f t="shared" si="19"/>
        <v>87.5</v>
      </c>
      <c r="AJ185" s="252"/>
      <c r="AK185" s="233"/>
      <c r="AL185" s="216"/>
      <c r="AM185" s="236">
        <v>1050</v>
      </c>
      <c r="AN185" s="231"/>
      <c r="AO185" s="231"/>
      <c r="AP185" s="231"/>
      <c r="AQ185" s="231"/>
      <c r="AR185" s="231"/>
      <c r="AS185" s="231"/>
      <c r="AT185" s="231"/>
      <c r="AU185" s="231"/>
      <c r="AV185" s="231">
        <v>13</v>
      </c>
      <c r="AW185" s="236">
        <v>5.8999999999999997E-2</v>
      </c>
      <c r="AX185" s="242">
        <v>5.2999999999999999E-2</v>
      </c>
      <c r="AY185" s="242">
        <v>0</v>
      </c>
      <c r="AZ185" s="242">
        <v>6.0000000000000001E-3</v>
      </c>
      <c r="BA185" s="242">
        <v>0</v>
      </c>
      <c r="BB185" s="242">
        <v>0</v>
      </c>
      <c r="BC185" s="242">
        <v>0</v>
      </c>
      <c r="BD185" s="242">
        <v>0.01</v>
      </c>
      <c r="BE185" s="231">
        <v>0</v>
      </c>
      <c r="BF185" s="242">
        <v>2E-3</v>
      </c>
      <c r="BG185" s="242">
        <v>8.0000000000000002E-3</v>
      </c>
      <c r="BH185" s="242">
        <v>0.2</v>
      </c>
      <c r="BI185" s="242">
        <v>8.2000000000000003E-2</v>
      </c>
      <c r="BJ185" s="242">
        <v>0.11</v>
      </c>
      <c r="BK185" s="242">
        <v>0</v>
      </c>
      <c r="BL185" s="242">
        <v>0</v>
      </c>
      <c r="BM185" s="242">
        <v>0</v>
      </c>
      <c r="BN185" s="242"/>
      <c r="BO185" s="231">
        <v>0</v>
      </c>
      <c r="BP185" s="231"/>
      <c r="BQ185" s="204">
        <v>88</v>
      </c>
      <c r="BR185" s="204">
        <v>41</v>
      </c>
      <c r="BS185" s="204">
        <v>18</v>
      </c>
      <c r="BT185" s="204">
        <v>117</v>
      </c>
      <c r="BU185" s="204">
        <v>94</v>
      </c>
      <c r="BV185" s="204">
        <v>124</v>
      </c>
      <c r="BW185" s="204">
        <v>145</v>
      </c>
      <c r="BX185" s="204">
        <v>88</v>
      </c>
      <c r="BY185" s="204">
        <v>103</v>
      </c>
      <c r="BZ185" s="204">
        <v>37</v>
      </c>
      <c r="CA185" s="204">
        <v>2</v>
      </c>
      <c r="CB185" s="204">
        <v>20</v>
      </c>
      <c r="CC185" s="204">
        <v>61</v>
      </c>
      <c r="CD185" s="204">
        <v>120</v>
      </c>
      <c r="CE185" s="204">
        <v>210</v>
      </c>
      <c r="CF185" s="204">
        <v>43</v>
      </c>
      <c r="CG185" s="204">
        <v>41</v>
      </c>
      <c r="CH185" s="204">
        <v>41</v>
      </c>
      <c r="CI185" s="231"/>
      <c r="CM185" s="172"/>
    </row>
    <row r="186" spans="1:93" ht="25.2" customHeight="1" outlineLevel="1">
      <c r="A186" s="204">
        <v>174</v>
      </c>
      <c r="B186" s="207">
        <v>4091</v>
      </c>
      <c r="C186" s="208" t="s">
        <v>364</v>
      </c>
      <c r="D186" s="194" t="s">
        <v>181</v>
      </c>
      <c r="E186" s="209">
        <f t="shared" si="16"/>
        <v>20.399999999999999</v>
      </c>
      <c r="F186" s="216">
        <v>93.6</v>
      </c>
      <c r="G186" s="217">
        <v>1.4</v>
      </c>
      <c r="H186" s="218"/>
      <c r="I186" s="230">
        <f t="shared" si="17"/>
        <v>3.7</v>
      </c>
      <c r="J186" s="216">
        <v>0.7</v>
      </c>
      <c r="K186" s="216">
        <v>1.3</v>
      </c>
      <c r="L186" s="233"/>
      <c r="M186" s="216">
        <v>85</v>
      </c>
      <c r="N186" s="216">
        <v>56</v>
      </c>
      <c r="O186" s="216">
        <v>1.5</v>
      </c>
      <c r="P186" s="216">
        <v>26</v>
      </c>
      <c r="Q186" s="216">
        <v>0.03</v>
      </c>
      <c r="R186" s="216">
        <v>0.11</v>
      </c>
      <c r="S186" s="216">
        <v>0.7</v>
      </c>
      <c r="T186" s="231"/>
      <c r="U186" s="231"/>
      <c r="V186" s="231"/>
      <c r="W186" s="242"/>
      <c r="X186" s="232"/>
      <c r="Y186" s="231"/>
      <c r="Z186" s="231"/>
      <c r="AA186" s="241"/>
      <c r="AB186" s="241"/>
      <c r="AC186" s="240"/>
      <c r="AD186" s="240"/>
      <c r="AE186" s="233"/>
      <c r="AF186" s="233"/>
      <c r="AG186" s="240">
        <v>0</v>
      </c>
      <c r="AH186" s="240">
        <f t="shared" si="18"/>
        <v>0</v>
      </c>
      <c r="AI186" s="236">
        <f t="shared" si="19"/>
        <v>13.3333333333333</v>
      </c>
      <c r="AJ186" s="252"/>
      <c r="AK186" s="233"/>
      <c r="AL186" s="216"/>
      <c r="AM186" s="236">
        <v>160</v>
      </c>
      <c r="AN186" s="231"/>
      <c r="AO186" s="231"/>
      <c r="AP186" s="231"/>
      <c r="AQ186" s="231"/>
      <c r="AR186" s="231"/>
      <c r="AS186" s="231"/>
      <c r="AT186" s="231"/>
      <c r="AU186" s="231"/>
      <c r="AV186" s="231"/>
      <c r="AW186" s="236"/>
      <c r="AX186" s="242"/>
      <c r="AY186" s="242"/>
      <c r="AZ186" s="242"/>
      <c r="BA186" s="242"/>
      <c r="BB186" s="242"/>
      <c r="BC186" s="242"/>
      <c r="BD186" s="242"/>
      <c r="BE186" s="231"/>
      <c r="BF186" s="242"/>
      <c r="BG186" s="242"/>
      <c r="BH186" s="242"/>
      <c r="BI186" s="242"/>
      <c r="BJ186" s="242"/>
      <c r="BK186" s="242"/>
      <c r="BL186" s="242"/>
      <c r="BM186" s="242"/>
      <c r="BN186" s="242"/>
      <c r="BO186" s="231">
        <v>0</v>
      </c>
      <c r="BP186" s="231"/>
      <c r="BQ186" s="231"/>
      <c r="BR186" s="231"/>
      <c r="BS186" s="231"/>
      <c r="BT186" s="231"/>
      <c r="BU186" s="231"/>
      <c r="BV186" s="231"/>
      <c r="BW186" s="231"/>
      <c r="BX186" s="231"/>
      <c r="BY186" s="231"/>
      <c r="BZ186" s="231"/>
      <c r="CA186" s="231"/>
      <c r="CB186" s="231"/>
      <c r="CC186" s="231"/>
      <c r="CD186" s="231"/>
      <c r="CE186" s="231"/>
      <c r="CF186" s="231"/>
      <c r="CG186" s="231"/>
      <c r="CH186" s="231"/>
      <c r="CI186" s="231"/>
    </row>
    <row r="187" spans="1:93" ht="25.2" customHeight="1" outlineLevel="1">
      <c r="A187" s="204">
        <v>175</v>
      </c>
      <c r="B187" s="207">
        <v>4092</v>
      </c>
      <c r="C187" s="208" t="s">
        <v>365</v>
      </c>
      <c r="D187" s="194" t="s">
        <v>181</v>
      </c>
      <c r="E187" s="209">
        <f t="shared" si="16"/>
        <v>61.6</v>
      </c>
      <c r="F187" s="216">
        <v>82.4</v>
      </c>
      <c r="G187" s="217">
        <v>6.5</v>
      </c>
      <c r="H187" s="218"/>
      <c r="I187" s="230">
        <f t="shared" si="17"/>
        <v>8.8999999999999897</v>
      </c>
      <c r="J187" s="216">
        <v>3.4</v>
      </c>
      <c r="K187" s="216">
        <v>2.2000000000000002</v>
      </c>
      <c r="L187" s="233"/>
      <c r="M187" s="236">
        <v>110</v>
      </c>
      <c r="N187" s="236">
        <v>80</v>
      </c>
      <c r="O187" s="236"/>
      <c r="P187" s="236">
        <v>114</v>
      </c>
      <c r="Q187" s="236"/>
      <c r="R187" s="236"/>
      <c r="S187" s="236"/>
      <c r="T187" s="231"/>
      <c r="U187" s="231"/>
      <c r="V187" s="231"/>
      <c r="W187" s="242"/>
      <c r="X187" s="232"/>
      <c r="Y187" s="231"/>
      <c r="Z187" s="231"/>
      <c r="AA187" s="241"/>
      <c r="AB187" s="241"/>
      <c r="AC187" s="240"/>
      <c r="AD187" s="240"/>
      <c r="AE187" s="236"/>
      <c r="AF187" s="236"/>
      <c r="AG187" s="240">
        <v>0</v>
      </c>
      <c r="AH187" s="240">
        <f t="shared" si="18"/>
        <v>0</v>
      </c>
      <c r="AI187" s="236">
        <f t="shared" si="19"/>
        <v>0</v>
      </c>
      <c r="AJ187" s="252"/>
      <c r="AK187" s="233"/>
      <c r="AL187" s="216"/>
      <c r="AM187" s="236"/>
      <c r="AN187" s="231"/>
      <c r="AO187" s="231"/>
      <c r="AP187" s="231"/>
      <c r="AQ187" s="231"/>
      <c r="AR187" s="231"/>
      <c r="AS187" s="231"/>
      <c r="AT187" s="231"/>
      <c r="AU187" s="231"/>
      <c r="AV187" s="231"/>
      <c r="AW187" s="236"/>
      <c r="AX187" s="242"/>
      <c r="AY187" s="242"/>
      <c r="AZ187" s="242"/>
      <c r="BA187" s="242"/>
      <c r="BB187" s="242"/>
      <c r="BC187" s="242"/>
      <c r="BD187" s="242"/>
      <c r="BE187" s="231"/>
      <c r="BF187" s="242"/>
      <c r="BG187" s="242"/>
      <c r="BH187" s="242"/>
      <c r="BI187" s="242"/>
      <c r="BJ187" s="242"/>
      <c r="BK187" s="242"/>
      <c r="BL187" s="242"/>
      <c r="BM187" s="242"/>
      <c r="BN187" s="242"/>
      <c r="BO187" s="231">
        <v>0</v>
      </c>
      <c r="BP187" s="231"/>
      <c r="BQ187" s="231"/>
      <c r="BR187" s="231"/>
      <c r="BS187" s="231"/>
      <c r="BT187" s="231"/>
      <c r="BU187" s="231"/>
      <c r="BV187" s="231"/>
      <c r="BW187" s="231"/>
      <c r="BX187" s="231"/>
      <c r="BY187" s="231"/>
      <c r="BZ187" s="231"/>
      <c r="CA187" s="231"/>
      <c r="CB187" s="231"/>
      <c r="CC187" s="231"/>
      <c r="CD187" s="231"/>
      <c r="CE187" s="231"/>
      <c r="CF187" s="231"/>
      <c r="CG187" s="231"/>
      <c r="CH187" s="231"/>
      <c r="CI187" s="231"/>
    </row>
    <row r="188" spans="1:93" ht="25.2" customHeight="1" outlineLevel="1">
      <c r="A188" s="204">
        <v>176</v>
      </c>
      <c r="B188" s="207">
        <v>4093</v>
      </c>
      <c r="C188" s="208" t="s">
        <v>366</v>
      </c>
      <c r="D188" s="194" t="s">
        <v>181</v>
      </c>
      <c r="E188" s="209">
        <f t="shared" si="16"/>
        <v>24</v>
      </c>
      <c r="F188" s="216">
        <v>93.1</v>
      </c>
      <c r="G188" s="217">
        <v>2.5</v>
      </c>
      <c r="H188" s="218"/>
      <c r="I188" s="230">
        <f t="shared" si="17"/>
        <v>3.5</v>
      </c>
      <c r="J188" s="216">
        <v>1.6</v>
      </c>
      <c r="K188" s="216">
        <v>0.9</v>
      </c>
      <c r="L188" s="233"/>
      <c r="M188" s="236">
        <v>81</v>
      </c>
      <c r="N188" s="236">
        <v>25</v>
      </c>
      <c r="O188" s="236"/>
      <c r="P188" s="236">
        <v>10</v>
      </c>
      <c r="Q188" s="236"/>
      <c r="R188" s="236"/>
      <c r="S188" s="236"/>
      <c r="T188" s="231"/>
      <c r="U188" s="231"/>
      <c r="V188" s="231"/>
      <c r="W188" s="242"/>
      <c r="X188" s="232"/>
      <c r="Y188" s="231"/>
      <c r="Z188" s="231"/>
      <c r="AA188" s="241"/>
      <c r="AB188" s="241"/>
      <c r="AC188" s="240"/>
      <c r="AD188" s="240"/>
      <c r="AE188" s="236"/>
      <c r="AF188" s="236"/>
      <c r="AG188" s="240">
        <v>0</v>
      </c>
      <c r="AH188" s="240">
        <f t="shared" si="18"/>
        <v>0</v>
      </c>
      <c r="AI188" s="236">
        <f t="shared" si="19"/>
        <v>141.666666666667</v>
      </c>
      <c r="AJ188" s="252"/>
      <c r="AK188" s="233"/>
      <c r="AL188" s="216"/>
      <c r="AM188" s="236">
        <v>1700</v>
      </c>
      <c r="AN188" s="231"/>
      <c r="AO188" s="231"/>
      <c r="AP188" s="231"/>
      <c r="AQ188" s="231"/>
      <c r="AR188" s="231"/>
      <c r="AS188" s="231"/>
      <c r="AT188" s="231"/>
      <c r="AU188" s="231"/>
      <c r="AV188" s="231"/>
      <c r="AW188" s="236"/>
      <c r="AX188" s="242"/>
      <c r="AY188" s="242"/>
      <c r="AZ188" s="242"/>
      <c r="BA188" s="242"/>
      <c r="BB188" s="242"/>
      <c r="BC188" s="242"/>
      <c r="BD188" s="242"/>
      <c r="BE188" s="231"/>
      <c r="BF188" s="242"/>
      <c r="BG188" s="242"/>
      <c r="BH188" s="242"/>
      <c r="BI188" s="242"/>
      <c r="BJ188" s="242"/>
      <c r="BK188" s="242"/>
      <c r="BL188" s="242"/>
      <c r="BM188" s="242"/>
      <c r="BN188" s="242"/>
      <c r="BO188" s="231">
        <v>0</v>
      </c>
      <c r="BP188" s="231"/>
      <c r="BQ188" s="231"/>
      <c r="BR188" s="231"/>
      <c r="BS188" s="231"/>
      <c r="BT188" s="231"/>
      <c r="BU188" s="231"/>
      <c r="BV188" s="231"/>
      <c r="BW188" s="231"/>
      <c r="BX188" s="231"/>
      <c r="BY188" s="231"/>
      <c r="BZ188" s="231"/>
      <c r="CA188" s="231"/>
      <c r="CB188" s="231"/>
      <c r="CC188" s="231"/>
      <c r="CD188" s="231"/>
      <c r="CE188" s="231"/>
      <c r="CF188" s="231"/>
      <c r="CG188" s="231"/>
      <c r="CH188" s="231"/>
      <c r="CI188" s="231"/>
    </row>
    <row r="189" spans="1:93" ht="25.2" customHeight="1" outlineLevel="1">
      <c r="A189" s="204">
        <v>177</v>
      </c>
      <c r="B189" s="207">
        <v>4094</v>
      </c>
      <c r="C189" s="208" t="s">
        <v>367</v>
      </c>
      <c r="D189" s="194" t="s">
        <v>181</v>
      </c>
      <c r="E189" s="209">
        <f t="shared" si="16"/>
        <v>29.6</v>
      </c>
      <c r="F189" s="216">
        <v>91.7</v>
      </c>
      <c r="G189" s="217">
        <v>2</v>
      </c>
      <c r="H189" s="218"/>
      <c r="I189" s="230">
        <f t="shared" si="17"/>
        <v>5.3999999999999897</v>
      </c>
      <c r="J189" s="216">
        <v>3</v>
      </c>
      <c r="K189" s="216">
        <v>0.9</v>
      </c>
      <c r="L189" s="233"/>
      <c r="M189" s="216">
        <v>170</v>
      </c>
      <c r="N189" s="216">
        <v>49</v>
      </c>
      <c r="O189" s="216">
        <v>3.8</v>
      </c>
      <c r="P189" s="216">
        <v>41</v>
      </c>
      <c r="Q189" s="216">
        <v>0.14000000000000001</v>
      </c>
      <c r="R189" s="216">
        <v>0.15</v>
      </c>
      <c r="S189" s="216">
        <v>1</v>
      </c>
      <c r="T189" s="240">
        <v>6.3</v>
      </c>
      <c r="U189" s="240">
        <v>216.7</v>
      </c>
      <c r="V189" s="240"/>
      <c r="W189" s="241">
        <v>0.88</v>
      </c>
      <c r="X189" s="233">
        <v>0.56000000000000005</v>
      </c>
      <c r="Y189" s="240">
        <v>740</v>
      </c>
      <c r="Z189" s="216"/>
      <c r="AA189" s="241"/>
      <c r="AB189" s="241"/>
      <c r="AC189" s="240"/>
      <c r="AD189" s="240"/>
      <c r="AE189" s="233"/>
      <c r="AF189" s="233"/>
      <c r="AG189" s="240">
        <v>0</v>
      </c>
      <c r="AH189" s="240">
        <f t="shared" si="18"/>
        <v>0</v>
      </c>
      <c r="AI189" s="236">
        <f t="shared" si="19"/>
        <v>296.66666666666703</v>
      </c>
      <c r="AJ189" s="252"/>
      <c r="AK189" s="233"/>
      <c r="AL189" s="216"/>
      <c r="AM189" s="236">
        <v>3560</v>
      </c>
      <c r="AN189" s="231"/>
      <c r="AO189" s="231"/>
      <c r="AP189" s="231"/>
      <c r="AQ189" s="231"/>
      <c r="AR189" s="231"/>
      <c r="AS189" s="231"/>
      <c r="AT189" s="231"/>
      <c r="AU189" s="231"/>
      <c r="AV189" s="231"/>
      <c r="AW189" s="236"/>
      <c r="AX189" s="242"/>
      <c r="AY189" s="242"/>
      <c r="AZ189" s="242"/>
      <c r="BA189" s="242"/>
      <c r="BB189" s="242"/>
      <c r="BC189" s="242"/>
      <c r="BD189" s="242"/>
      <c r="BE189" s="231"/>
      <c r="BF189" s="242"/>
      <c r="BG189" s="242"/>
      <c r="BH189" s="242"/>
      <c r="BI189" s="242"/>
      <c r="BJ189" s="242"/>
      <c r="BK189" s="242"/>
      <c r="BL189" s="242"/>
      <c r="BM189" s="242"/>
      <c r="BN189" s="242"/>
      <c r="BO189" s="231">
        <v>0</v>
      </c>
      <c r="BP189" s="231"/>
      <c r="BQ189" s="231"/>
      <c r="BR189" s="231"/>
      <c r="BS189" s="231"/>
      <c r="BT189" s="231"/>
      <c r="BU189" s="231"/>
      <c r="BV189" s="231"/>
      <c r="BW189" s="231"/>
      <c r="BX189" s="231"/>
      <c r="BY189" s="231"/>
      <c r="BZ189" s="231"/>
      <c r="CA189" s="231"/>
      <c r="CB189" s="231"/>
      <c r="CC189" s="231"/>
      <c r="CD189" s="231"/>
      <c r="CE189" s="231"/>
      <c r="CF189" s="231"/>
      <c r="CG189" s="231"/>
      <c r="CH189" s="231"/>
      <c r="CI189" s="231"/>
    </row>
    <row r="190" spans="1:93" ht="25.2" customHeight="1" outlineLevel="1">
      <c r="A190" s="204">
        <v>178</v>
      </c>
      <c r="B190" s="207">
        <v>4095</v>
      </c>
      <c r="C190" s="208" t="s">
        <v>368</v>
      </c>
      <c r="D190" s="194" t="s">
        <v>181</v>
      </c>
      <c r="E190" s="209">
        <f t="shared" si="16"/>
        <v>19.2</v>
      </c>
      <c r="F190" s="216">
        <v>94.7</v>
      </c>
      <c r="G190" s="217">
        <v>1.8</v>
      </c>
      <c r="H190" s="218"/>
      <c r="I190" s="230">
        <f t="shared" si="17"/>
        <v>3</v>
      </c>
      <c r="J190" s="216" t="s">
        <v>247</v>
      </c>
      <c r="K190" s="216">
        <v>0.5</v>
      </c>
      <c r="L190" s="233"/>
      <c r="M190" s="236">
        <v>134.5</v>
      </c>
      <c r="N190" s="236">
        <v>5.7</v>
      </c>
      <c r="O190" s="236"/>
      <c r="P190" s="236"/>
      <c r="Q190" s="236"/>
      <c r="R190" s="236"/>
      <c r="S190" s="236"/>
      <c r="T190" s="231"/>
      <c r="U190" s="231"/>
      <c r="V190" s="231"/>
      <c r="W190" s="242"/>
      <c r="X190" s="232"/>
      <c r="Y190" s="231"/>
      <c r="Z190" s="231"/>
      <c r="AA190" s="241"/>
      <c r="AB190" s="241"/>
      <c r="AC190" s="240"/>
      <c r="AD190" s="240"/>
      <c r="AE190" s="236"/>
      <c r="AF190" s="236"/>
      <c r="AG190" s="240">
        <v>0</v>
      </c>
      <c r="AH190" s="240">
        <f t="shared" si="18"/>
        <v>0</v>
      </c>
      <c r="AI190" s="236">
        <f t="shared" si="19"/>
        <v>0</v>
      </c>
      <c r="AJ190" s="252"/>
      <c r="AK190" s="233"/>
      <c r="AL190" s="216"/>
      <c r="AM190" s="236"/>
      <c r="AN190" s="231"/>
      <c r="AO190" s="231"/>
      <c r="AP190" s="231"/>
      <c r="AQ190" s="231"/>
      <c r="AR190" s="231"/>
      <c r="AS190" s="231"/>
      <c r="AT190" s="231"/>
      <c r="AU190" s="231"/>
      <c r="AV190" s="231"/>
      <c r="AW190" s="236"/>
      <c r="AX190" s="242"/>
      <c r="AY190" s="242"/>
      <c r="AZ190" s="242"/>
      <c r="BA190" s="242"/>
      <c r="BB190" s="242"/>
      <c r="BC190" s="242"/>
      <c r="BD190" s="242"/>
      <c r="BE190" s="231"/>
      <c r="BF190" s="242"/>
      <c r="BG190" s="242"/>
      <c r="BH190" s="242"/>
      <c r="BI190" s="242"/>
      <c r="BJ190" s="242"/>
      <c r="BK190" s="242"/>
      <c r="BL190" s="242"/>
      <c r="BM190" s="242"/>
      <c r="BN190" s="242"/>
      <c r="BO190" s="231">
        <v>0</v>
      </c>
      <c r="BP190" s="231"/>
      <c r="BQ190" s="231"/>
      <c r="BR190" s="231"/>
      <c r="BS190" s="231"/>
      <c r="BT190" s="231"/>
      <c r="BU190" s="231"/>
      <c r="BV190" s="231"/>
      <c r="BW190" s="231"/>
      <c r="BX190" s="231"/>
      <c r="BY190" s="231"/>
      <c r="BZ190" s="231"/>
      <c r="CA190" s="231"/>
      <c r="CB190" s="231"/>
      <c r="CC190" s="231"/>
      <c r="CD190" s="231"/>
      <c r="CE190" s="231"/>
      <c r="CF190" s="231"/>
      <c r="CG190" s="231"/>
      <c r="CH190" s="231"/>
      <c r="CI190" s="231"/>
    </row>
    <row r="191" spans="1:93" ht="25.2" customHeight="1" outlineLevel="1">
      <c r="A191" s="204">
        <v>179</v>
      </c>
      <c r="B191" s="207">
        <v>4096</v>
      </c>
      <c r="C191" s="208" t="s">
        <v>369</v>
      </c>
      <c r="D191" s="194" t="s">
        <v>181</v>
      </c>
      <c r="E191" s="209">
        <f t="shared" si="16"/>
        <v>43.2</v>
      </c>
      <c r="F191" s="216">
        <v>88</v>
      </c>
      <c r="G191" s="217">
        <v>2.8</v>
      </c>
      <c r="H191" s="218"/>
      <c r="I191" s="230">
        <f t="shared" si="17"/>
        <v>8</v>
      </c>
      <c r="J191" s="216">
        <v>1.7</v>
      </c>
      <c r="K191" s="216">
        <v>1.2</v>
      </c>
      <c r="L191" s="233">
        <v>2.6</v>
      </c>
      <c r="M191" s="216">
        <v>46</v>
      </c>
      <c r="N191" s="216">
        <v>50</v>
      </c>
      <c r="O191" s="216">
        <v>0.6</v>
      </c>
      <c r="P191" s="216">
        <v>33</v>
      </c>
      <c r="Q191" s="216">
        <v>0.06</v>
      </c>
      <c r="R191" s="216">
        <v>0.05</v>
      </c>
      <c r="S191" s="216">
        <v>0.2</v>
      </c>
      <c r="T191" s="240">
        <v>52.8</v>
      </c>
      <c r="U191" s="240">
        <v>320.5</v>
      </c>
      <c r="V191" s="240">
        <v>19</v>
      </c>
      <c r="W191" s="241">
        <v>0.62</v>
      </c>
      <c r="X191" s="233">
        <v>0.45</v>
      </c>
      <c r="Y191" s="240">
        <v>310</v>
      </c>
      <c r="Z191" s="216">
        <v>0.7</v>
      </c>
      <c r="AA191" s="241">
        <v>0.16500000000000001</v>
      </c>
      <c r="AB191" s="241">
        <v>0.15</v>
      </c>
      <c r="AC191" s="240">
        <v>16</v>
      </c>
      <c r="AD191" s="240">
        <v>0</v>
      </c>
      <c r="AE191" s="233"/>
      <c r="AF191" s="233">
        <v>0</v>
      </c>
      <c r="AG191" s="240">
        <v>0</v>
      </c>
      <c r="AH191" s="240">
        <f t="shared" si="18"/>
        <v>0</v>
      </c>
      <c r="AI191" s="236">
        <f t="shared" si="19"/>
        <v>1.8333333333333299</v>
      </c>
      <c r="AJ191" s="252"/>
      <c r="AK191" s="233">
        <v>0.48</v>
      </c>
      <c r="AL191" s="216">
        <v>0.1</v>
      </c>
      <c r="AM191" s="236">
        <v>22</v>
      </c>
      <c r="AN191" s="231"/>
      <c r="AO191" s="231"/>
      <c r="AP191" s="231"/>
      <c r="AQ191" s="231"/>
      <c r="AR191" s="231"/>
      <c r="AS191" s="231"/>
      <c r="AT191" s="231"/>
      <c r="AU191" s="231"/>
      <c r="AV191" s="231">
        <v>25</v>
      </c>
      <c r="AW191" s="236">
        <v>1.2999999999999999E-2</v>
      </c>
      <c r="AX191" s="242">
        <v>1.0999999999999999E-2</v>
      </c>
      <c r="AY191" s="242">
        <v>0</v>
      </c>
      <c r="AZ191" s="242">
        <v>1E-3</v>
      </c>
      <c r="BA191" s="242">
        <v>0</v>
      </c>
      <c r="BB191" s="242">
        <v>0</v>
      </c>
      <c r="BC191" s="242">
        <v>0</v>
      </c>
      <c r="BD191" s="242">
        <v>7.0000000000000001E-3</v>
      </c>
      <c r="BE191" s="231">
        <v>0</v>
      </c>
      <c r="BF191" s="242">
        <v>0</v>
      </c>
      <c r="BG191" s="242">
        <v>7.0000000000000001E-3</v>
      </c>
      <c r="BH191" s="242">
        <v>4.8000000000000001E-2</v>
      </c>
      <c r="BI191" s="242">
        <v>0.02</v>
      </c>
      <c r="BJ191" s="242">
        <v>2.5999999999999999E-2</v>
      </c>
      <c r="BK191" s="242">
        <v>0</v>
      </c>
      <c r="BL191" s="242">
        <v>0</v>
      </c>
      <c r="BM191" s="242">
        <v>0</v>
      </c>
      <c r="BN191" s="242"/>
      <c r="BO191" s="231">
        <v>0</v>
      </c>
      <c r="BP191" s="231"/>
      <c r="BQ191" s="204">
        <v>74</v>
      </c>
      <c r="BR191" s="204">
        <v>18</v>
      </c>
      <c r="BS191" s="204">
        <v>27</v>
      </c>
      <c r="BT191" s="204">
        <v>46</v>
      </c>
      <c r="BU191" s="204">
        <v>64</v>
      </c>
      <c r="BV191" s="204">
        <v>55</v>
      </c>
      <c r="BW191" s="204">
        <v>90</v>
      </c>
      <c r="BX191" s="204">
        <v>120</v>
      </c>
      <c r="BY191" s="204">
        <v>134</v>
      </c>
      <c r="BZ191" s="204">
        <v>18</v>
      </c>
      <c r="CA191" s="204">
        <v>9</v>
      </c>
      <c r="CB191" s="204">
        <v>32</v>
      </c>
      <c r="CC191" s="204">
        <v>103</v>
      </c>
      <c r="CD191" s="204">
        <v>126</v>
      </c>
      <c r="CE191" s="204">
        <v>205</v>
      </c>
      <c r="CF191" s="204">
        <v>57</v>
      </c>
      <c r="CG191" s="204">
        <v>77</v>
      </c>
      <c r="CH191" s="204">
        <v>85</v>
      </c>
      <c r="CI191" s="231"/>
    </row>
    <row r="192" spans="1:93" ht="25.2" customHeight="1" outlineLevel="1">
      <c r="A192" s="204">
        <v>180</v>
      </c>
      <c r="B192" s="207">
        <v>4097</v>
      </c>
      <c r="C192" s="208" t="s">
        <v>370</v>
      </c>
      <c r="D192" s="194" t="s">
        <v>181</v>
      </c>
      <c r="E192" s="209">
        <f t="shared" si="16"/>
        <v>311</v>
      </c>
      <c r="F192" s="216">
        <v>15</v>
      </c>
      <c r="G192" s="217">
        <v>20</v>
      </c>
      <c r="H192" s="218">
        <v>1.4</v>
      </c>
      <c r="I192" s="230">
        <f t="shared" si="17"/>
        <v>54.6</v>
      </c>
      <c r="J192" s="216">
        <v>12.5</v>
      </c>
      <c r="K192" s="216">
        <v>9</v>
      </c>
      <c r="L192" s="233"/>
      <c r="M192" s="236"/>
      <c r="N192" s="236"/>
      <c r="O192" s="236"/>
      <c r="P192" s="236">
        <v>3</v>
      </c>
      <c r="Q192" s="236"/>
      <c r="R192" s="236"/>
      <c r="S192" s="236"/>
      <c r="T192" s="231"/>
      <c r="U192" s="231"/>
      <c r="V192" s="231"/>
      <c r="W192" s="242"/>
      <c r="X192" s="232"/>
      <c r="Y192" s="231"/>
      <c r="Z192" s="231"/>
      <c r="AA192" s="241"/>
      <c r="AB192" s="241"/>
      <c r="AC192" s="240"/>
      <c r="AD192" s="240"/>
      <c r="AE192" s="236"/>
      <c r="AF192" s="236"/>
      <c r="AG192" s="240">
        <v>0</v>
      </c>
      <c r="AH192" s="240">
        <f t="shared" si="18"/>
        <v>0</v>
      </c>
      <c r="AI192" s="236">
        <f t="shared" si="19"/>
        <v>0</v>
      </c>
      <c r="AJ192" s="252"/>
      <c r="AK192" s="233"/>
      <c r="AL192" s="216"/>
      <c r="AM192" s="236"/>
      <c r="AN192" s="231"/>
      <c r="AO192" s="231"/>
      <c r="AP192" s="231"/>
      <c r="AQ192" s="231"/>
      <c r="AR192" s="231"/>
      <c r="AS192" s="231"/>
      <c r="AT192" s="231"/>
      <c r="AU192" s="231"/>
      <c r="AV192" s="231"/>
      <c r="AW192" s="236"/>
      <c r="AX192" s="242"/>
      <c r="AY192" s="242"/>
      <c r="AZ192" s="242"/>
      <c r="BA192" s="242"/>
      <c r="BB192" s="242"/>
      <c r="BC192" s="242"/>
      <c r="BD192" s="242"/>
      <c r="BE192" s="231"/>
      <c r="BF192" s="242"/>
      <c r="BG192" s="242"/>
      <c r="BH192" s="242"/>
      <c r="BI192" s="242"/>
      <c r="BJ192" s="242"/>
      <c r="BK192" s="242"/>
      <c r="BL192" s="242"/>
      <c r="BM192" s="242"/>
      <c r="BN192" s="242"/>
      <c r="BO192" s="231">
        <v>0</v>
      </c>
      <c r="BP192" s="231"/>
      <c r="BQ192" s="231"/>
      <c r="BR192" s="231"/>
      <c r="BS192" s="231"/>
      <c r="BT192" s="231"/>
      <c r="BU192" s="231"/>
      <c r="BV192" s="231"/>
      <c r="BW192" s="231"/>
      <c r="BX192" s="231"/>
      <c r="BY192" s="231"/>
      <c r="BZ192" s="231"/>
      <c r="CA192" s="231"/>
      <c r="CB192" s="231"/>
      <c r="CC192" s="231"/>
      <c r="CD192" s="231"/>
      <c r="CE192" s="231"/>
      <c r="CF192" s="231"/>
      <c r="CG192" s="231"/>
      <c r="CH192" s="231"/>
      <c r="CI192" s="231"/>
    </row>
    <row r="193" spans="1:87" ht="25.2" customHeight="1" outlineLevel="1">
      <c r="A193" s="204">
        <v>181</v>
      </c>
      <c r="B193" s="207">
        <v>4098</v>
      </c>
      <c r="C193" s="208" t="s">
        <v>371</v>
      </c>
      <c r="D193" s="194" t="s">
        <v>181</v>
      </c>
      <c r="E193" s="209">
        <f t="shared" si="16"/>
        <v>22</v>
      </c>
      <c r="F193" s="216">
        <v>94</v>
      </c>
      <c r="G193" s="217">
        <v>0.8</v>
      </c>
      <c r="H193" s="218"/>
      <c r="I193" s="230">
        <f t="shared" si="17"/>
        <v>4.7</v>
      </c>
      <c r="J193" s="216">
        <v>1</v>
      </c>
      <c r="K193" s="216">
        <v>0.5</v>
      </c>
      <c r="L193" s="233">
        <v>1.85</v>
      </c>
      <c r="M193" s="216">
        <v>17</v>
      </c>
      <c r="N193" s="216">
        <v>14</v>
      </c>
      <c r="O193" s="216">
        <v>0.4</v>
      </c>
      <c r="P193" s="216">
        <v>4</v>
      </c>
      <c r="Q193" s="216">
        <v>0.01</v>
      </c>
      <c r="R193" s="216">
        <v>0.02</v>
      </c>
      <c r="S193" s="216">
        <v>0.4</v>
      </c>
      <c r="T193" s="231">
        <v>2</v>
      </c>
      <c r="U193" s="231">
        <v>125</v>
      </c>
      <c r="V193" s="231">
        <v>12</v>
      </c>
      <c r="W193" s="242">
        <v>0.189</v>
      </c>
      <c r="X193" s="232">
        <v>0.74</v>
      </c>
      <c r="Y193" s="231">
        <v>123</v>
      </c>
      <c r="Z193" s="231">
        <v>0.2</v>
      </c>
      <c r="AA193" s="241">
        <v>0.249</v>
      </c>
      <c r="AB193" s="241">
        <v>7.5999999999999998E-2</v>
      </c>
      <c r="AC193" s="240">
        <v>93</v>
      </c>
      <c r="AD193" s="240">
        <v>0</v>
      </c>
      <c r="AE193" s="233"/>
      <c r="AF193" s="233">
        <v>0</v>
      </c>
      <c r="AG193" s="240">
        <v>0</v>
      </c>
      <c r="AH193" s="240">
        <f t="shared" si="18"/>
        <v>0</v>
      </c>
      <c r="AI193" s="236">
        <f t="shared" si="19"/>
        <v>0</v>
      </c>
      <c r="AJ193" s="252"/>
      <c r="AK193" s="233">
        <v>0.12</v>
      </c>
      <c r="AL193" s="216">
        <v>4.5999999999999996</v>
      </c>
      <c r="AM193" s="236">
        <v>0</v>
      </c>
      <c r="AN193" s="231"/>
      <c r="AO193" s="231"/>
      <c r="AP193" s="231"/>
      <c r="AQ193" s="231"/>
      <c r="AR193" s="231"/>
      <c r="AS193" s="231"/>
      <c r="AT193" s="231"/>
      <c r="AU193" s="231"/>
      <c r="AV193" s="231"/>
      <c r="AW193" s="236">
        <v>2.8000000000000001E-2</v>
      </c>
      <c r="AX193" s="242">
        <v>2.4E-2</v>
      </c>
      <c r="AY193" s="242">
        <v>0</v>
      </c>
      <c r="AZ193" s="242">
        <v>3.0000000000000001E-3</v>
      </c>
      <c r="BA193" s="242">
        <v>0</v>
      </c>
      <c r="BB193" s="242">
        <v>0</v>
      </c>
      <c r="BC193" s="242">
        <v>0</v>
      </c>
      <c r="BD193" s="242">
        <v>0.01</v>
      </c>
      <c r="BE193" s="231">
        <v>0</v>
      </c>
      <c r="BF193" s="242">
        <v>0</v>
      </c>
      <c r="BG193" s="242">
        <v>8.9999999999999993E-3</v>
      </c>
      <c r="BH193" s="242">
        <v>5.7000000000000002E-2</v>
      </c>
      <c r="BI193" s="242">
        <v>2.1000000000000001E-2</v>
      </c>
      <c r="BJ193" s="242">
        <v>3.5999999999999997E-2</v>
      </c>
      <c r="BK193" s="242">
        <v>0</v>
      </c>
      <c r="BL193" s="242">
        <v>0</v>
      </c>
      <c r="BM193" s="242">
        <v>0</v>
      </c>
      <c r="BN193" s="242"/>
      <c r="BO193" s="231">
        <v>0</v>
      </c>
      <c r="BP193" s="231"/>
      <c r="BQ193" s="231">
        <v>39</v>
      </c>
      <c r="BR193" s="231">
        <v>1</v>
      </c>
      <c r="BS193" s="231">
        <v>11</v>
      </c>
      <c r="BT193" s="231">
        <v>47</v>
      </c>
      <c r="BU193" s="231">
        <v>40</v>
      </c>
      <c r="BV193" s="231">
        <v>63</v>
      </c>
      <c r="BW193" s="231">
        <v>77</v>
      </c>
      <c r="BX193" s="231">
        <v>44</v>
      </c>
      <c r="BY193" s="231">
        <v>35</v>
      </c>
      <c r="BZ193" s="231">
        <v>15</v>
      </c>
      <c r="CA193" s="231"/>
      <c r="CB193" s="231">
        <v>32</v>
      </c>
      <c r="CC193" s="231">
        <v>51</v>
      </c>
      <c r="CD193" s="231">
        <v>92</v>
      </c>
      <c r="CE193" s="231">
        <v>125</v>
      </c>
      <c r="CF193" s="231">
        <v>41</v>
      </c>
      <c r="CG193" s="231">
        <v>44</v>
      </c>
      <c r="CH193" s="231">
        <v>47</v>
      </c>
      <c r="CI193" s="231"/>
    </row>
    <row r="194" spans="1:87" ht="25.2" customHeight="1" outlineLevel="1">
      <c r="A194" s="204">
        <v>182</v>
      </c>
      <c r="B194" s="207">
        <v>4099</v>
      </c>
      <c r="C194" s="208" t="s">
        <v>372</v>
      </c>
      <c r="D194" s="194" t="s">
        <v>181</v>
      </c>
      <c r="E194" s="209">
        <f t="shared" si="16"/>
        <v>33.200000000000003</v>
      </c>
      <c r="F194" s="216">
        <v>90.9</v>
      </c>
      <c r="G194" s="217">
        <v>2.5</v>
      </c>
      <c r="H194" s="218"/>
      <c r="I194" s="230">
        <f t="shared" si="17"/>
        <v>5.8</v>
      </c>
      <c r="J194" s="216">
        <v>0.9</v>
      </c>
      <c r="K194" s="216">
        <v>0.8</v>
      </c>
      <c r="L194" s="233">
        <v>2.4</v>
      </c>
      <c r="M194" s="216">
        <v>26</v>
      </c>
      <c r="N194" s="216">
        <v>51</v>
      </c>
      <c r="O194" s="216">
        <v>1.4</v>
      </c>
      <c r="P194" s="216">
        <v>34</v>
      </c>
      <c r="Q194" s="216">
        <v>0.11</v>
      </c>
      <c r="R194" s="216">
        <v>0.1</v>
      </c>
      <c r="S194" s="216">
        <v>0.6</v>
      </c>
      <c r="T194" s="240">
        <v>20</v>
      </c>
      <c r="U194" s="240">
        <v>349</v>
      </c>
      <c r="V194" s="240">
        <v>22</v>
      </c>
      <c r="W194" s="241">
        <v>0.2</v>
      </c>
      <c r="X194" s="233">
        <v>0.2</v>
      </c>
      <c r="Y194" s="240">
        <v>140</v>
      </c>
      <c r="Z194" s="216">
        <v>0.6</v>
      </c>
      <c r="AA194" s="241">
        <v>0.65200000000000002</v>
      </c>
      <c r="AB194" s="241">
        <v>0.222</v>
      </c>
      <c r="AC194" s="240">
        <v>57</v>
      </c>
      <c r="AD194" s="240">
        <v>0</v>
      </c>
      <c r="AE194" s="233">
        <v>1.5</v>
      </c>
      <c r="AF194" s="233">
        <v>0</v>
      </c>
      <c r="AG194" s="240">
        <v>0</v>
      </c>
      <c r="AH194" s="240">
        <f t="shared" si="18"/>
        <v>0</v>
      </c>
      <c r="AI194" s="236">
        <f t="shared" si="19"/>
        <v>0.66666666666666696</v>
      </c>
      <c r="AJ194" s="252"/>
      <c r="AK194" s="233">
        <v>0.08</v>
      </c>
      <c r="AL194" s="216">
        <v>16</v>
      </c>
      <c r="AM194" s="236">
        <v>8</v>
      </c>
      <c r="AN194" s="231">
        <v>0</v>
      </c>
      <c r="AO194" s="231">
        <v>0</v>
      </c>
      <c r="AP194" s="231">
        <v>0</v>
      </c>
      <c r="AQ194" s="231">
        <v>33</v>
      </c>
      <c r="AR194" s="231"/>
      <c r="AS194" s="231"/>
      <c r="AT194" s="231"/>
      <c r="AU194" s="231"/>
      <c r="AV194" s="231">
        <v>51</v>
      </c>
      <c r="AW194" s="236">
        <v>3.2000000000000001E-2</v>
      </c>
      <c r="AX194" s="242">
        <v>2.8000000000000001E-2</v>
      </c>
      <c r="AY194" s="242">
        <v>0</v>
      </c>
      <c r="AZ194" s="242">
        <v>4.0000000000000001E-3</v>
      </c>
      <c r="BA194" s="242">
        <v>0</v>
      </c>
      <c r="BB194" s="242">
        <v>0</v>
      </c>
      <c r="BC194" s="242">
        <v>0</v>
      </c>
      <c r="BD194" s="242">
        <v>1.4E-2</v>
      </c>
      <c r="BE194" s="231">
        <v>0</v>
      </c>
      <c r="BF194" s="242">
        <v>0</v>
      </c>
      <c r="BG194" s="242">
        <v>1.4E-2</v>
      </c>
      <c r="BH194" s="242">
        <v>9.9000000000000005E-2</v>
      </c>
      <c r="BI194" s="242">
        <v>2.3E-2</v>
      </c>
      <c r="BJ194" s="242">
        <v>7.5999999999999998E-2</v>
      </c>
      <c r="BK194" s="242">
        <v>0</v>
      </c>
      <c r="BL194" s="242">
        <v>0</v>
      </c>
      <c r="BM194" s="242">
        <v>0</v>
      </c>
      <c r="BN194" s="242"/>
      <c r="BO194" s="231">
        <v>0</v>
      </c>
      <c r="BP194" s="231">
        <v>18</v>
      </c>
      <c r="BQ194" s="204">
        <v>134</v>
      </c>
      <c r="BR194" s="204">
        <v>46</v>
      </c>
      <c r="BS194" s="204">
        <v>35</v>
      </c>
      <c r="BT194" s="204">
        <v>81</v>
      </c>
      <c r="BU194" s="204">
        <v>100</v>
      </c>
      <c r="BV194" s="204">
        <v>138</v>
      </c>
      <c r="BW194" s="204">
        <v>161</v>
      </c>
      <c r="BX194" s="204">
        <v>104</v>
      </c>
      <c r="BY194" s="204">
        <v>108</v>
      </c>
      <c r="BZ194" s="204">
        <v>46</v>
      </c>
      <c r="CA194" s="204">
        <v>36</v>
      </c>
      <c r="CB194" s="204">
        <v>35</v>
      </c>
      <c r="CC194" s="204">
        <v>192</v>
      </c>
      <c r="CD194" s="204">
        <v>200</v>
      </c>
      <c r="CE194" s="204">
        <v>184</v>
      </c>
      <c r="CF194" s="204">
        <v>165</v>
      </c>
      <c r="CG194" s="204">
        <v>124</v>
      </c>
      <c r="CH194" s="204">
        <v>109</v>
      </c>
      <c r="CI194" s="231"/>
    </row>
    <row r="195" spans="1:87" ht="25.2" customHeight="1" outlineLevel="1">
      <c r="A195" s="204">
        <v>183</v>
      </c>
      <c r="B195" s="207">
        <v>4100</v>
      </c>
      <c r="C195" s="208" t="s">
        <v>373</v>
      </c>
      <c r="D195" s="194" t="s">
        <v>181</v>
      </c>
      <c r="E195" s="209">
        <f t="shared" si="16"/>
        <v>38.82</v>
      </c>
      <c r="F195" s="216">
        <v>89.79</v>
      </c>
      <c r="G195" s="217">
        <v>2.95</v>
      </c>
      <c r="H195" s="218">
        <v>0.3</v>
      </c>
      <c r="I195" s="230">
        <f t="shared" si="17"/>
        <v>6.08</v>
      </c>
      <c r="J195" s="216">
        <v>3.2</v>
      </c>
      <c r="K195" s="233">
        <v>0.88</v>
      </c>
      <c r="L195" s="233">
        <v>3.03</v>
      </c>
      <c r="M195" s="216">
        <v>33</v>
      </c>
      <c r="N195" s="216">
        <v>62</v>
      </c>
      <c r="O195" s="216">
        <v>0.73</v>
      </c>
      <c r="P195" s="216">
        <v>88.1</v>
      </c>
      <c r="Q195" s="216">
        <v>0.08</v>
      </c>
      <c r="R195" s="216">
        <v>0.10199999999999999</v>
      </c>
      <c r="S195" s="216">
        <v>0.73399999999999999</v>
      </c>
      <c r="T195" s="240">
        <v>23</v>
      </c>
      <c r="U195" s="240">
        <v>300</v>
      </c>
      <c r="V195" s="240">
        <v>20</v>
      </c>
      <c r="W195" s="241">
        <v>0.247</v>
      </c>
      <c r="X195" s="233">
        <v>0.64</v>
      </c>
      <c r="Y195" s="240">
        <v>41</v>
      </c>
      <c r="Z195" s="216">
        <v>0.6</v>
      </c>
      <c r="AA195" s="241">
        <v>0.69599999999999995</v>
      </c>
      <c r="AB195" s="241">
        <v>0.222</v>
      </c>
      <c r="AC195" s="240">
        <v>57</v>
      </c>
      <c r="AD195" s="240">
        <v>0</v>
      </c>
      <c r="AE195" s="233"/>
      <c r="AF195" s="233">
        <v>0</v>
      </c>
      <c r="AG195" s="240">
        <v>0</v>
      </c>
      <c r="AH195" s="240">
        <f t="shared" si="18"/>
        <v>0</v>
      </c>
      <c r="AI195" s="236">
        <f t="shared" si="19"/>
        <v>7.75</v>
      </c>
      <c r="AJ195" s="252"/>
      <c r="AK195" s="233">
        <v>0.04</v>
      </c>
      <c r="AL195" s="216">
        <v>20.2</v>
      </c>
      <c r="AM195" s="236">
        <v>93</v>
      </c>
      <c r="AN195" s="231">
        <v>0</v>
      </c>
      <c r="AO195" s="231">
        <v>0</v>
      </c>
      <c r="AP195" s="231">
        <v>0</v>
      </c>
      <c r="AQ195" s="231">
        <v>42</v>
      </c>
      <c r="AR195" s="231"/>
      <c r="AS195" s="231"/>
      <c r="AT195" s="231"/>
      <c r="AU195" s="231"/>
      <c r="AV195" s="231"/>
      <c r="AW195" s="236">
        <v>4.7E-2</v>
      </c>
      <c r="AX195" s="242">
        <v>3.7999999999999999E-2</v>
      </c>
      <c r="AY195" s="242">
        <v>0</v>
      </c>
      <c r="AZ195" s="242">
        <v>4.0000000000000001E-3</v>
      </c>
      <c r="BA195" s="242">
        <v>0</v>
      </c>
      <c r="BB195" s="242">
        <v>0</v>
      </c>
      <c r="BC195" s="242">
        <v>0</v>
      </c>
      <c r="BD195" s="242">
        <v>2.8000000000000001E-2</v>
      </c>
      <c r="BE195" s="231">
        <v>0</v>
      </c>
      <c r="BF195" s="242">
        <v>4.0000000000000001E-3</v>
      </c>
      <c r="BG195" s="242">
        <v>2.3E-2</v>
      </c>
      <c r="BH195" s="242">
        <v>0.13300000000000001</v>
      </c>
      <c r="BI195" s="242">
        <v>2.9000000000000001E-2</v>
      </c>
      <c r="BJ195" s="242">
        <v>0.104</v>
      </c>
      <c r="BK195" s="242">
        <v>0</v>
      </c>
      <c r="BL195" s="242">
        <v>0</v>
      </c>
      <c r="BM195" s="242">
        <v>0</v>
      </c>
      <c r="BN195" s="242"/>
      <c r="BO195" s="231">
        <v>0</v>
      </c>
      <c r="BP195" s="231"/>
      <c r="BQ195" s="204">
        <v>158</v>
      </c>
      <c r="BR195" s="204">
        <v>42</v>
      </c>
      <c r="BS195" s="204">
        <v>39</v>
      </c>
      <c r="BT195" s="204">
        <v>105</v>
      </c>
      <c r="BU195" s="204">
        <v>107</v>
      </c>
      <c r="BV195" s="204">
        <v>148</v>
      </c>
      <c r="BW195" s="204">
        <v>172</v>
      </c>
      <c r="BX195" s="204">
        <v>112</v>
      </c>
      <c r="BY195" s="204">
        <v>142</v>
      </c>
      <c r="BZ195" s="204">
        <v>59</v>
      </c>
      <c r="CA195" s="204">
        <v>34</v>
      </c>
      <c r="CB195" s="204">
        <v>64</v>
      </c>
      <c r="CC195" s="204">
        <v>156</v>
      </c>
      <c r="CD195" s="204">
        <v>345</v>
      </c>
      <c r="CE195" s="204">
        <v>393</v>
      </c>
      <c r="CF195" s="204">
        <v>95</v>
      </c>
      <c r="CG195" s="204">
        <v>127</v>
      </c>
      <c r="CH195" s="204">
        <v>154</v>
      </c>
      <c r="CI195" s="231"/>
    </row>
    <row r="196" spans="1:87" ht="25.2" customHeight="1" outlineLevel="1">
      <c r="A196" s="204">
        <v>184</v>
      </c>
      <c r="B196" s="207">
        <v>4101</v>
      </c>
      <c r="C196" s="208" t="s">
        <v>374</v>
      </c>
      <c r="D196" s="194" t="s">
        <v>181</v>
      </c>
      <c r="E196" s="209">
        <f t="shared" si="16"/>
        <v>42</v>
      </c>
      <c r="F196" s="216">
        <v>88.4</v>
      </c>
      <c r="G196" s="217">
        <v>2.6</v>
      </c>
      <c r="H196" s="218"/>
      <c r="I196" s="230">
        <f t="shared" si="17"/>
        <v>7.9000000000000101</v>
      </c>
      <c r="J196" s="216">
        <v>5</v>
      </c>
      <c r="K196" s="216">
        <v>1.1000000000000001</v>
      </c>
      <c r="L196" s="233"/>
      <c r="M196" s="216">
        <v>200</v>
      </c>
      <c r="N196" s="216">
        <v>12.2</v>
      </c>
      <c r="O196" s="216">
        <v>1.2</v>
      </c>
      <c r="P196" s="216">
        <v>63</v>
      </c>
      <c r="Q196" s="216">
        <v>0.05</v>
      </c>
      <c r="R196" s="216">
        <v>0.12</v>
      </c>
      <c r="S196" s="216">
        <v>0.7</v>
      </c>
      <c r="T196" s="240">
        <v>48</v>
      </c>
      <c r="U196" s="240">
        <v>360.6</v>
      </c>
      <c r="V196" s="240">
        <v>55</v>
      </c>
      <c r="W196" s="241">
        <v>0.55000000000000004</v>
      </c>
      <c r="X196" s="233">
        <v>0.5</v>
      </c>
      <c r="Y196" s="240">
        <v>220</v>
      </c>
      <c r="Z196" s="216"/>
      <c r="AA196" s="241">
        <v>0.39700000000000002</v>
      </c>
      <c r="AB196" s="241">
        <v>0.185</v>
      </c>
      <c r="AC196" s="240">
        <v>150</v>
      </c>
      <c r="AD196" s="240">
        <v>0</v>
      </c>
      <c r="AE196" s="233"/>
      <c r="AF196" s="233">
        <v>0</v>
      </c>
      <c r="AG196" s="240">
        <v>0</v>
      </c>
      <c r="AH196" s="240">
        <f t="shared" si="18"/>
        <v>0</v>
      </c>
      <c r="AI196" s="236">
        <f t="shared" si="19"/>
        <v>237.5</v>
      </c>
      <c r="AJ196" s="252"/>
      <c r="AK196" s="233"/>
      <c r="AL196" s="216"/>
      <c r="AM196" s="236">
        <v>2850</v>
      </c>
      <c r="AN196" s="231"/>
      <c r="AO196" s="231"/>
      <c r="AP196" s="231"/>
      <c r="AQ196" s="231"/>
      <c r="AR196" s="231"/>
      <c r="AS196" s="231"/>
      <c r="AT196" s="231"/>
      <c r="AU196" s="231"/>
      <c r="AV196" s="231"/>
      <c r="AW196" s="236">
        <v>0.06</v>
      </c>
      <c r="AX196" s="242">
        <v>4.9000000000000002E-2</v>
      </c>
      <c r="AY196" s="242">
        <v>0</v>
      </c>
      <c r="AZ196" s="242">
        <v>8.9999999999999993E-3</v>
      </c>
      <c r="BA196" s="242">
        <v>0</v>
      </c>
      <c r="BB196" s="242">
        <v>0</v>
      </c>
      <c r="BC196" s="242">
        <v>0</v>
      </c>
      <c r="BD196" s="242">
        <v>0.80200000000000005</v>
      </c>
      <c r="BE196" s="231">
        <v>0</v>
      </c>
      <c r="BF196" s="242">
        <v>4.0000000000000001E-3</v>
      </c>
      <c r="BG196" s="242">
        <v>0.79800000000000004</v>
      </c>
      <c r="BH196" s="242">
        <v>9.5000000000000001E-2</v>
      </c>
      <c r="BI196" s="242">
        <v>8.2000000000000003E-2</v>
      </c>
      <c r="BJ196" s="242">
        <v>1.2999999999999999E-2</v>
      </c>
      <c r="BK196" s="242">
        <v>0</v>
      </c>
      <c r="BL196" s="242">
        <v>0</v>
      </c>
      <c r="BM196" s="242">
        <v>0</v>
      </c>
      <c r="BN196" s="242"/>
      <c r="BO196" s="231">
        <v>0</v>
      </c>
      <c r="BP196" s="231"/>
      <c r="BQ196" s="231">
        <v>246</v>
      </c>
      <c r="BR196" s="231">
        <v>11</v>
      </c>
      <c r="BS196" s="231">
        <v>14</v>
      </c>
      <c r="BT196" s="231">
        <v>65</v>
      </c>
      <c r="BU196" s="231">
        <v>68</v>
      </c>
      <c r="BV196" s="231">
        <v>154</v>
      </c>
      <c r="BW196" s="231">
        <v>159</v>
      </c>
      <c r="BX196" s="231">
        <v>195</v>
      </c>
      <c r="BY196" s="231">
        <v>142</v>
      </c>
      <c r="BZ196" s="231">
        <v>71</v>
      </c>
      <c r="CA196" s="231">
        <v>17</v>
      </c>
      <c r="CB196" s="231">
        <v>96</v>
      </c>
      <c r="CC196" s="231">
        <v>227</v>
      </c>
      <c r="CD196" s="231">
        <v>343</v>
      </c>
      <c r="CE196" s="231">
        <v>290</v>
      </c>
      <c r="CF196" s="231">
        <v>169</v>
      </c>
      <c r="CG196" s="231">
        <v>248</v>
      </c>
      <c r="CH196" s="231">
        <v>158</v>
      </c>
      <c r="CI196" s="231"/>
    </row>
    <row r="197" spans="1:87" ht="25.2" customHeight="1" outlineLevel="1">
      <c r="A197" s="204">
        <v>185</v>
      </c>
      <c r="B197" s="207">
        <v>4102</v>
      </c>
      <c r="C197" s="208" t="s">
        <v>375</v>
      </c>
      <c r="D197" s="194" t="s">
        <v>181</v>
      </c>
      <c r="E197" s="209">
        <f t="shared" si="16"/>
        <v>39.6</v>
      </c>
      <c r="F197" s="216">
        <v>89.1</v>
      </c>
      <c r="G197" s="217">
        <v>2.9</v>
      </c>
      <c r="H197" s="218"/>
      <c r="I197" s="230">
        <f t="shared" si="17"/>
        <v>7</v>
      </c>
      <c r="J197" s="216">
        <v>3.6</v>
      </c>
      <c r="K197" s="216">
        <v>1</v>
      </c>
      <c r="L197" s="233"/>
      <c r="M197" s="233">
        <v>190</v>
      </c>
      <c r="N197" s="233">
        <v>18.3</v>
      </c>
      <c r="O197" s="233">
        <v>3.2</v>
      </c>
      <c r="P197" s="233">
        <v>13</v>
      </c>
      <c r="Q197" s="233"/>
      <c r="R197" s="233"/>
      <c r="S197" s="233"/>
      <c r="T197" s="240">
        <v>2.8</v>
      </c>
      <c r="U197" s="262">
        <v>284.10000000000002</v>
      </c>
      <c r="V197" s="240">
        <v>111.88</v>
      </c>
      <c r="W197" s="263">
        <v>0.73</v>
      </c>
      <c r="X197" s="264">
        <v>0.86</v>
      </c>
      <c r="Y197" s="262">
        <v>460</v>
      </c>
      <c r="Z197" s="216"/>
      <c r="AA197" s="241"/>
      <c r="AB197" s="241"/>
      <c r="AC197" s="240"/>
      <c r="AD197" s="240"/>
      <c r="AE197" s="233"/>
      <c r="AF197" s="233"/>
      <c r="AG197" s="240">
        <v>0</v>
      </c>
      <c r="AH197" s="240">
        <f t="shared" si="18"/>
        <v>0</v>
      </c>
      <c r="AI197" s="236">
        <f t="shared" si="19"/>
        <v>460</v>
      </c>
      <c r="AJ197" s="252"/>
      <c r="AK197" s="233"/>
      <c r="AL197" s="216"/>
      <c r="AM197" s="236">
        <v>5520</v>
      </c>
      <c r="AN197" s="231"/>
      <c r="AO197" s="231"/>
      <c r="AP197" s="231"/>
      <c r="AQ197" s="231"/>
      <c r="AR197" s="231"/>
      <c r="AS197" s="231"/>
      <c r="AT197" s="231"/>
      <c r="AU197" s="231"/>
      <c r="AV197" s="231"/>
      <c r="AW197" s="236"/>
      <c r="AX197" s="242"/>
      <c r="AY197" s="242"/>
      <c r="AZ197" s="242"/>
      <c r="BA197" s="242"/>
      <c r="BB197" s="242"/>
      <c r="BC197" s="242"/>
      <c r="BD197" s="242"/>
      <c r="BE197" s="231"/>
      <c r="BF197" s="242"/>
      <c r="BG197" s="242"/>
      <c r="BH197" s="242"/>
      <c r="BI197" s="242"/>
      <c r="BJ197" s="242"/>
      <c r="BK197" s="242"/>
      <c r="BL197" s="242"/>
      <c r="BM197" s="242"/>
      <c r="BN197" s="242"/>
      <c r="BO197" s="231">
        <v>0</v>
      </c>
      <c r="BP197" s="231"/>
      <c r="BQ197" s="231"/>
      <c r="BR197" s="231"/>
      <c r="BS197" s="231"/>
      <c r="BT197" s="231"/>
      <c r="BU197" s="231"/>
      <c r="BV197" s="231"/>
      <c r="BW197" s="231"/>
      <c r="BX197" s="231"/>
      <c r="BY197" s="231"/>
      <c r="BZ197" s="231"/>
      <c r="CA197" s="231"/>
      <c r="CB197" s="231"/>
      <c r="CC197" s="231"/>
      <c r="CD197" s="231"/>
      <c r="CE197" s="231"/>
      <c r="CF197" s="231"/>
      <c r="CG197" s="231"/>
      <c r="CH197" s="231"/>
      <c r="CI197" s="231"/>
    </row>
    <row r="198" spans="1:87" ht="25.2" customHeight="1" outlineLevel="1">
      <c r="A198" s="204">
        <v>186</v>
      </c>
      <c r="B198" s="207">
        <v>4103</v>
      </c>
      <c r="C198" s="208" t="s">
        <v>376</v>
      </c>
      <c r="D198" s="194" t="s">
        <v>181</v>
      </c>
      <c r="E198" s="209">
        <f t="shared" si="16"/>
        <v>124</v>
      </c>
      <c r="F198" s="216">
        <v>67.7</v>
      </c>
      <c r="G198" s="217">
        <v>6</v>
      </c>
      <c r="H198" s="218"/>
      <c r="I198" s="230">
        <f t="shared" si="17"/>
        <v>25</v>
      </c>
      <c r="J198" s="216">
        <v>1.5</v>
      </c>
      <c r="K198" s="216">
        <v>1.3</v>
      </c>
      <c r="L198" s="233">
        <v>1</v>
      </c>
      <c r="M198" s="216">
        <v>24</v>
      </c>
      <c r="N198" s="216">
        <v>181</v>
      </c>
      <c r="O198" s="216">
        <v>1.5</v>
      </c>
      <c r="P198" s="216">
        <v>10</v>
      </c>
      <c r="Q198" s="216">
        <v>0.24</v>
      </c>
      <c r="R198" s="216">
        <v>0.03</v>
      </c>
      <c r="S198" s="216">
        <v>0.9</v>
      </c>
      <c r="T198" s="240">
        <v>18</v>
      </c>
      <c r="U198" s="240">
        <v>373</v>
      </c>
      <c r="V198" s="240">
        <v>8</v>
      </c>
      <c r="W198" s="241">
        <v>1.3</v>
      </c>
      <c r="X198" s="233">
        <v>0.9</v>
      </c>
      <c r="Y198" s="262">
        <v>299</v>
      </c>
      <c r="Z198" s="216">
        <v>77.099999999999994</v>
      </c>
      <c r="AA198" s="241">
        <v>0.59599999999999997</v>
      </c>
      <c r="AB198" s="241">
        <v>1.2350000000000001</v>
      </c>
      <c r="AC198" s="240">
        <v>3</v>
      </c>
      <c r="AD198" s="240">
        <v>0</v>
      </c>
      <c r="AE198" s="233"/>
      <c r="AF198" s="233">
        <v>0</v>
      </c>
      <c r="AG198" s="240">
        <v>0</v>
      </c>
      <c r="AH198" s="240">
        <f t="shared" si="18"/>
        <v>0</v>
      </c>
      <c r="AI198" s="236">
        <f t="shared" si="19"/>
        <v>0</v>
      </c>
      <c r="AJ198" s="252"/>
      <c r="AK198" s="233">
        <v>0.01</v>
      </c>
      <c r="AL198" s="216">
        <v>1.4</v>
      </c>
      <c r="AM198" s="236">
        <v>0</v>
      </c>
      <c r="AN198" s="231">
        <v>0</v>
      </c>
      <c r="AO198" s="231">
        <v>0</v>
      </c>
      <c r="AP198" s="231">
        <v>0</v>
      </c>
      <c r="AQ198" s="231">
        <v>26</v>
      </c>
      <c r="AR198" s="231"/>
      <c r="AS198" s="231"/>
      <c r="AT198" s="231"/>
      <c r="AU198" s="231"/>
      <c r="AV198" s="231"/>
      <c r="AW198" s="236">
        <v>8.8999999999999996E-2</v>
      </c>
      <c r="AX198" s="242">
        <v>8.6999999999999994E-2</v>
      </c>
      <c r="AY198" s="242">
        <v>0</v>
      </c>
      <c r="AZ198" s="242">
        <v>0</v>
      </c>
      <c r="BA198" s="242">
        <v>0</v>
      </c>
      <c r="BB198" s="242">
        <v>0</v>
      </c>
      <c r="BC198" s="242">
        <v>0</v>
      </c>
      <c r="BD198" s="242">
        <v>1.0999999999999999E-2</v>
      </c>
      <c r="BE198" s="231">
        <v>0</v>
      </c>
      <c r="BF198" s="242">
        <v>0</v>
      </c>
      <c r="BG198" s="242">
        <v>1.0999999999999999E-2</v>
      </c>
      <c r="BH198" s="242">
        <v>0.249</v>
      </c>
      <c r="BI198" s="242">
        <v>0.22900000000000001</v>
      </c>
      <c r="BJ198" s="242">
        <v>0.02</v>
      </c>
      <c r="BK198" s="242">
        <v>0</v>
      </c>
      <c r="BL198" s="242">
        <v>0</v>
      </c>
      <c r="BM198" s="242">
        <v>0</v>
      </c>
      <c r="BN198" s="242"/>
      <c r="BO198" s="231">
        <v>0</v>
      </c>
      <c r="BP198" s="231"/>
      <c r="BQ198" s="231">
        <v>273</v>
      </c>
      <c r="BR198" s="231">
        <v>76</v>
      </c>
      <c r="BS198" s="231">
        <v>66</v>
      </c>
      <c r="BT198" s="231">
        <v>183</v>
      </c>
      <c r="BU198" s="231">
        <v>157</v>
      </c>
      <c r="BV198" s="231">
        <v>291</v>
      </c>
      <c r="BW198" s="231">
        <v>308</v>
      </c>
      <c r="BX198" s="231">
        <v>217</v>
      </c>
      <c r="BY198" s="231">
        <v>634</v>
      </c>
      <c r="BZ198" s="231">
        <v>113</v>
      </c>
      <c r="CA198" s="231">
        <v>65</v>
      </c>
      <c r="CB198" s="231">
        <v>81</v>
      </c>
      <c r="CC198" s="231">
        <v>132</v>
      </c>
      <c r="CD198" s="231">
        <v>489</v>
      </c>
      <c r="CE198" s="231">
        <v>805</v>
      </c>
      <c r="CF198" s="231">
        <v>200</v>
      </c>
      <c r="CG198" s="231">
        <v>100</v>
      </c>
      <c r="CH198" s="231">
        <v>190</v>
      </c>
      <c r="CI198" s="231"/>
    </row>
    <row r="199" spans="1:87" ht="25.2" customHeight="1" outlineLevel="1">
      <c r="A199" s="204">
        <v>187</v>
      </c>
      <c r="B199" s="207">
        <v>4104</v>
      </c>
      <c r="C199" s="208" t="s">
        <v>377</v>
      </c>
      <c r="D199" s="194" t="s">
        <v>181</v>
      </c>
      <c r="E199" s="209">
        <f t="shared" si="16"/>
        <v>35.200000000000003</v>
      </c>
      <c r="F199" s="216">
        <v>90</v>
      </c>
      <c r="G199" s="217">
        <v>1.4</v>
      </c>
      <c r="H199" s="218"/>
      <c r="I199" s="230">
        <f t="shared" si="17"/>
        <v>7.3999999999999897</v>
      </c>
      <c r="J199" s="216">
        <v>1.5</v>
      </c>
      <c r="K199" s="216">
        <v>1.2</v>
      </c>
      <c r="L199" s="233"/>
      <c r="M199" s="216">
        <v>80</v>
      </c>
      <c r="N199" s="216">
        <v>58</v>
      </c>
      <c r="O199" s="216">
        <v>2</v>
      </c>
      <c r="P199" s="216">
        <v>20</v>
      </c>
      <c r="Q199" s="216">
        <v>0.06</v>
      </c>
      <c r="R199" s="216">
        <v>0.04</v>
      </c>
      <c r="S199" s="216">
        <v>0.5</v>
      </c>
      <c r="T199" s="231"/>
      <c r="U199" s="231"/>
      <c r="V199" s="231"/>
      <c r="W199" s="242"/>
      <c r="X199" s="232"/>
      <c r="Y199" s="231"/>
      <c r="Z199" s="231"/>
      <c r="AA199" s="241"/>
      <c r="AB199" s="241"/>
      <c r="AC199" s="240"/>
      <c r="AD199" s="240"/>
      <c r="AE199" s="233"/>
      <c r="AF199" s="233"/>
      <c r="AG199" s="240">
        <v>0</v>
      </c>
      <c r="AH199" s="240">
        <f t="shared" si="18"/>
        <v>0</v>
      </c>
      <c r="AI199" s="236">
        <f t="shared" si="19"/>
        <v>0.83333333333333304</v>
      </c>
      <c r="AJ199" s="252"/>
      <c r="AK199" s="233"/>
      <c r="AL199" s="216"/>
      <c r="AM199" s="236">
        <v>10</v>
      </c>
      <c r="AN199" s="231"/>
      <c r="AO199" s="231"/>
      <c r="AP199" s="231"/>
      <c r="AQ199" s="231"/>
      <c r="AR199" s="231"/>
      <c r="AS199" s="231"/>
      <c r="AT199" s="231"/>
      <c r="AU199" s="231"/>
      <c r="AV199" s="231"/>
      <c r="AW199" s="236"/>
      <c r="AX199" s="242"/>
      <c r="AY199" s="242"/>
      <c r="AZ199" s="242"/>
      <c r="BA199" s="242"/>
      <c r="BB199" s="242"/>
      <c r="BC199" s="242"/>
      <c r="BD199" s="242"/>
      <c r="BE199" s="231"/>
      <c r="BF199" s="242"/>
      <c r="BG199" s="242"/>
      <c r="BH199" s="242"/>
      <c r="BI199" s="242"/>
      <c r="BJ199" s="242"/>
      <c r="BK199" s="242"/>
      <c r="BL199" s="242"/>
      <c r="BM199" s="242"/>
      <c r="BN199" s="242"/>
      <c r="BO199" s="231">
        <v>0</v>
      </c>
      <c r="BP199" s="231"/>
      <c r="BQ199" s="204">
        <v>100</v>
      </c>
      <c r="BR199" s="204">
        <v>35</v>
      </c>
      <c r="BS199" s="204">
        <v>23</v>
      </c>
      <c r="BT199" s="204">
        <v>97</v>
      </c>
      <c r="BU199" s="204">
        <v>82</v>
      </c>
      <c r="BV199" s="204">
        <v>98</v>
      </c>
      <c r="BW199" s="204">
        <v>140</v>
      </c>
      <c r="BX199" s="204">
        <v>74</v>
      </c>
      <c r="BY199" s="204">
        <v>99</v>
      </c>
      <c r="BZ199" s="204">
        <v>38</v>
      </c>
      <c r="CA199" s="204"/>
      <c r="CB199" s="204"/>
      <c r="CC199" s="204"/>
      <c r="CD199" s="204"/>
      <c r="CE199" s="204"/>
      <c r="CF199" s="204"/>
      <c r="CG199" s="204"/>
      <c r="CH199" s="204"/>
      <c r="CI199" s="231"/>
    </row>
    <row r="200" spans="1:87" ht="25.2" customHeight="1" outlineLevel="1">
      <c r="A200" s="204">
        <v>188</v>
      </c>
      <c r="B200" s="207">
        <v>4105</v>
      </c>
      <c r="C200" s="208" t="s">
        <v>378</v>
      </c>
      <c r="D200" s="194" t="s">
        <v>181</v>
      </c>
      <c r="E200" s="209">
        <f t="shared" si="16"/>
        <v>134</v>
      </c>
      <c r="F200" s="216">
        <v>77</v>
      </c>
      <c r="G200" s="217">
        <v>2.5</v>
      </c>
      <c r="H200" s="218">
        <v>10</v>
      </c>
      <c r="I200" s="230">
        <f t="shared" si="17"/>
        <v>8.5</v>
      </c>
      <c r="J200" s="216">
        <v>4.9000000000000004</v>
      </c>
      <c r="K200" s="216">
        <v>2</v>
      </c>
      <c r="L200" s="233"/>
      <c r="M200" s="236">
        <v>140</v>
      </c>
      <c r="N200" s="236">
        <v>30</v>
      </c>
      <c r="O200" s="236"/>
      <c r="P200" s="236">
        <v>14</v>
      </c>
      <c r="Q200" s="236"/>
      <c r="R200" s="236"/>
      <c r="S200" s="236"/>
      <c r="T200" s="231"/>
      <c r="U200" s="231"/>
      <c r="V200" s="231"/>
      <c r="W200" s="242"/>
      <c r="X200" s="232"/>
      <c r="Y200" s="231"/>
      <c r="Z200" s="231"/>
      <c r="AA200" s="241"/>
      <c r="AB200" s="241"/>
      <c r="AC200" s="240"/>
      <c r="AD200" s="240"/>
      <c r="AE200" s="236"/>
      <c r="AF200" s="236"/>
      <c r="AG200" s="240">
        <v>0</v>
      </c>
      <c r="AH200" s="240">
        <f t="shared" si="18"/>
        <v>0</v>
      </c>
      <c r="AI200" s="236">
        <f t="shared" si="19"/>
        <v>0</v>
      </c>
      <c r="AJ200" s="252"/>
      <c r="AK200" s="233"/>
      <c r="AL200" s="216"/>
      <c r="AM200" s="236"/>
      <c r="AN200" s="231"/>
      <c r="AO200" s="231"/>
      <c r="AP200" s="231"/>
      <c r="AQ200" s="231"/>
      <c r="AR200" s="231"/>
      <c r="AS200" s="231"/>
      <c r="AT200" s="231"/>
      <c r="AU200" s="231"/>
      <c r="AV200" s="231"/>
      <c r="AW200" s="236"/>
      <c r="AX200" s="242"/>
      <c r="AY200" s="242"/>
      <c r="AZ200" s="242"/>
      <c r="BA200" s="242"/>
      <c r="BB200" s="242"/>
      <c r="BC200" s="242"/>
      <c r="BD200" s="242"/>
      <c r="BE200" s="231"/>
      <c r="BF200" s="242"/>
      <c r="BG200" s="242"/>
      <c r="BH200" s="242"/>
      <c r="BI200" s="242"/>
      <c r="BJ200" s="242"/>
      <c r="BK200" s="242"/>
      <c r="BL200" s="242"/>
      <c r="BM200" s="242"/>
      <c r="BN200" s="242"/>
      <c r="BO200" s="231">
        <v>0</v>
      </c>
      <c r="BP200" s="231"/>
      <c r="BQ200" s="231"/>
      <c r="BR200" s="231"/>
      <c r="BS200" s="231"/>
      <c r="BT200" s="231"/>
      <c r="BU200" s="231"/>
      <c r="BV200" s="231"/>
      <c r="BW200" s="231"/>
      <c r="BX200" s="231"/>
      <c r="BY200" s="231"/>
      <c r="BZ200" s="231"/>
      <c r="CA200" s="231"/>
      <c r="CB200" s="231"/>
      <c r="CC200" s="231"/>
      <c r="CD200" s="231"/>
      <c r="CE200" s="231"/>
      <c r="CF200" s="231"/>
      <c r="CG200" s="231"/>
      <c r="CH200" s="231"/>
      <c r="CI200" s="231"/>
    </row>
    <row r="201" spans="1:87" ht="25.2" customHeight="1" outlineLevel="1">
      <c r="A201" s="204">
        <v>189</v>
      </c>
      <c r="B201" s="207">
        <v>4106</v>
      </c>
      <c r="C201" s="208" t="s">
        <v>379</v>
      </c>
      <c r="D201" s="194" t="s">
        <v>181</v>
      </c>
      <c r="E201" s="209">
        <f t="shared" si="16"/>
        <v>56.4</v>
      </c>
      <c r="F201" s="216">
        <v>86.7</v>
      </c>
      <c r="G201" s="217">
        <v>1.2</v>
      </c>
      <c r="H201" s="218">
        <v>1.6</v>
      </c>
      <c r="I201" s="230">
        <f t="shared" si="17"/>
        <v>9.3000000000000007</v>
      </c>
      <c r="J201" s="216">
        <v>4.9000000000000004</v>
      </c>
      <c r="K201" s="216">
        <v>1.2</v>
      </c>
      <c r="L201" s="233"/>
      <c r="M201" s="216">
        <v>136</v>
      </c>
      <c r="N201" s="216">
        <v>9</v>
      </c>
      <c r="O201" s="216"/>
      <c r="P201" s="216">
        <v>20</v>
      </c>
      <c r="Q201" s="216">
        <v>0.02</v>
      </c>
      <c r="R201" s="216">
        <v>0.11</v>
      </c>
      <c r="S201" s="216">
        <v>0.4</v>
      </c>
      <c r="T201" s="265"/>
      <c r="U201" s="265"/>
      <c r="V201" s="265"/>
      <c r="W201" s="266"/>
      <c r="X201" s="267"/>
      <c r="Y201" s="265"/>
      <c r="Z201" s="268"/>
      <c r="AA201" s="241"/>
      <c r="AB201" s="241"/>
      <c r="AC201" s="240"/>
      <c r="AD201" s="240"/>
      <c r="AE201" s="233"/>
      <c r="AF201" s="233"/>
      <c r="AG201" s="240">
        <v>0</v>
      </c>
      <c r="AH201" s="240">
        <f t="shared" si="18"/>
        <v>0</v>
      </c>
      <c r="AI201" s="236">
        <f t="shared" si="19"/>
        <v>27.5</v>
      </c>
      <c r="AJ201" s="252"/>
      <c r="AK201" s="233"/>
      <c r="AL201" s="216"/>
      <c r="AM201" s="236">
        <v>330</v>
      </c>
      <c r="AN201" s="231"/>
      <c r="AO201" s="231"/>
      <c r="AP201" s="231"/>
      <c r="AQ201" s="231"/>
      <c r="AR201" s="231"/>
      <c r="AS201" s="231"/>
      <c r="AT201" s="231"/>
      <c r="AU201" s="231"/>
      <c r="AV201" s="231"/>
      <c r="AW201" s="236"/>
      <c r="AX201" s="242"/>
      <c r="AY201" s="242"/>
      <c r="AZ201" s="242"/>
      <c r="BA201" s="242"/>
      <c r="BB201" s="242"/>
      <c r="BC201" s="242"/>
      <c r="BD201" s="242"/>
      <c r="BE201" s="231"/>
      <c r="BF201" s="242"/>
      <c r="BG201" s="242"/>
      <c r="BH201" s="242"/>
      <c r="BI201" s="242"/>
      <c r="BJ201" s="242"/>
      <c r="BK201" s="242"/>
      <c r="BL201" s="242"/>
      <c r="BM201" s="242"/>
      <c r="BN201" s="242"/>
      <c r="BO201" s="231">
        <v>0</v>
      </c>
      <c r="BP201" s="231"/>
      <c r="BQ201" s="231"/>
      <c r="BR201" s="231"/>
      <c r="BS201" s="231"/>
      <c r="BT201" s="231"/>
      <c r="BU201" s="231"/>
      <c r="BV201" s="231"/>
      <c r="BW201" s="231"/>
      <c r="BX201" s="231"/>
      <c r="BY201" s="231"/>
      <c r="BZ201" s="231"/>
      <c r="CA201" s="231"/>
      <c r="CB201" s="231"/>
      <c r="CC201" s="231"/>
      <c r="CD201" s="231"/>
      <c r="CE201" s="231"/>
      <c r="CF201" s="231"/>
      <c r="CG201" s="231"/>
      <c r="CH201" s="231"/>
      <c r="CI201" s="231"/>
    </row>
    <row r="202" spans="1:87" ht="25.2" customHeight="1" outlineLevel="1">
      <c r="A202" s="204">
        <v>190</v>
      </c>
      <c r="B202" s="207">
        <v>4107</v>
      </c>
      <c r="C202" s="208" t="s">
        <v>380</v>
      </c>
      <c r="D202" s="194" t="s">
        <v>181</v>
      </c>
      <c r="E202" s="209">
        <f t="shared" si="16"/>
        <v>27.6</v>
      </c>
      <c r="F202" s="216">
        <v>91.7</v>
      </c>
      <c r="G202" s="217">
        <v>2.2000000000000002</v>
      </c>
      <c r="H202" s="218"/>
      <c r="I202" s="230">
        <f t="shared" si="17"/>
        <v>4.6999999999999904</v>
      </c>
      <c r="J202" s="216">
        <v>3.2</v>
      </c>
      <c r="K202" s="216">
        <v>1.4</v>
      </c>
      <c r="L202" s="233"/>
      <c r="M202" s="236">
        <v>112</v>
      </c>
      <c r="N202" s="236">
        <v>17</v>
      </c>
      <c r="O202" s="236">
        <v>4</v>
      </c>
      <c r="P202" s="236">
        <v>4</v>
      </c>
      <c r="Q202" s="236"/>
      <c r="R202" s="236"/>
      <c r="S202" s="236"/>
      <c r="T202" s="240">
        <v>11.95</v>
      </c>
      <c r="U202" s="240">
        <v>423.98</v>
      </c>
      <c r="V202" s="240">
        <v>49.56</v>
      </c>
      <c r="W202" s="263"/>
      <c r="X202" s="264"/>
      <c r="Y202" s="262"/>
      <c r="Z202" s="264"/>
      <c r="AA202" s="241"/>
      <c r="AB202" s="241"/>
      <c r="AC202" s="240"/>
      <c r="AD202" s="240"/>
      <c r="AE202" s="236"/>
      <c r="AF202" s="236"/>
      <c r="AG202" s="240">
        <v>0</v>
      </c>
      <c r="AH202" s="240">
        <f t="shared" si="18"/>
        <v>0</v>
      </c>
      <c r="AI202" s="236">
        <f t="shared" si="19"/>
        <v>0</v>
      </c>
      <c r="AJ202" s="252"/>
      <c r="AK202" s="233"/>
      <c r="AL202" s="216"/>
      <c r="AM202" s="236"/>
      <c r="AN202" s="231"/>
      <c r="AO202" s="231"/>
      <c r="AP202" s="231"/>
      <c r="AQ202" s="231"/>
      <c r="AR202" s="231"/>
      <c r="AS202" s="231"/>
      <c r="AT202" s="231"/>
      <c r="AU202" s="231"/>
      <c r="AV202" s="231"/>
      <c r="AW202" s="236"/>
      <c r="AX202" s="242"/>
      <c r="AY202" s="242"/>
      <c r="AZ202" s="242"/>
      <c r="BA202" s="242"/>
      <c r="BB202" s="242"/>
      <c r="BC202" s="242"/>
      <c r="BD202" s="242"/>
      <c r="BE202" s="231"/>
      <c r="BF202" s="242"/>
      <c r="BG202" s="242"/>
      <c r="BH202" s="242"/>
      <c r="BI202" s="242"/>
      <c r="BJ202" s="242"/>
      <c r="BK202" s="242"/>
      <c r="BL202" s="242"/>
      <c r="BM202" s="242"/>
      <c r="BN202" s="242"/>
      <c r="BO202" s="231">
        <v>0</v>
      </c>
      <c r="BP202" s="231"/>
      <c r="BQ202" s="231"/>
      <c r="BR202" s="231"/>
      <c r="BS202" s="231"/>
      <c r="BT202" s="231"/>
      <c r="BU202" s="231"/>
      <c r="BV202" s="231"/>
      <c r="BW202" s="231"/>
      <c r="BX202" s="231"/>
      <c r="BY202" s="231"/>
      <c r="BZ202" s="231"/>
      <c r="CA202" s="231"/>
      <c r="CB202" s="231"/>
      <c r="CC202" s="231"/>
      <c r="CD202" s="231"/>
      <c r="CE202" s="231"/>
      <c r="CF202" s="231"/>
      <c r="CG202" s="231"/>
      <c r="CH202" s="231"/>
      <c r="CI202" s="231"/>
    </row>
    <row r="203" spans="1:87" ht="25.2" customHeight="1" outlineLevel="1">
      <c r="A203" s="204">
        <v>191</v>
      </c>
      <c r="B203" s="207">
        <v>4108</v>
      </c>
      <c r="C203" s="208" t="s">
        <v>381</v>
      </c>
      <c r="D203" s="194" t="s">
        <v>181</v>
      </c>
      <c r="E203" s="209">
        <f t="shared" si="16"/>
        <v>6.5</v>
      </c>
      <c r="F203" s="216">
        <v>95.2</v>
      </c>
      <c r="G203" s="217">
        <v>1.4</v>
      </c>
      <c r="H203" s="218">
        <v>0.1</v>
      </c>
      <c r="I203" s="230"/>
      <c r="J203" s="216"/>
      <c r="K203" s="216">
        <v>0.68</v>
      </c>
      <c r="L203" s="233"/>
      <c r="M203" s="236">
        <v>127.6</v>
      </c>
      <c r="N203" s="236">
        <v>176.6</v>
      </c>
      <c r="O203" s="236">
        <v>0.77</v>
      </c>
      <c r="P203" s="236">
        <v>78.400000000000006</v>
      </c>
      <c r="Q203" s="236">
        <v>0.05</v>
      </c>
      <c r="R203" s="236">
        <v>1.6E-2</v>
      </c>
      <c r="S203" s="236"/>
      <c r="T203" s="240"/>
      <c r="U203" s="240"/>
      <c r="V203" s="240"/>
      <c r="W203" s="263"/>
      <c r="X203" s="264">
        <v>0.56999999999999995</v>
      </c>
      <c r="Y203" s="262"/>
      <c r="Z203" s="264"/>
      <c r="AA203" s="241"/>
      <c r="AB203" s="241"/>
      <c r="AC203" s="240"/>
      <c r="AD203" s="240"/>
      <c r="AE203" s="236"/>
      <c r="AF203" s="236"/>
      <c r="AG203" s="240"/>
      <c r="AH203" s="240"/>
      <c r="AI203" s="236">
        <f t="shared" si="19"/>
        <v>100.5</v>
      </c>
      <c r="AJ203" s="252"/>
      <c r="AK203" s="233"/>
      <c r="AL203" s="216"/>
      <c r="AM203" s="236">
        <v>1206</v>
      </c>
      <c r="AN203" s="231"/>
      <c r="AO203" s="231"/>
      <c r="AP203" s="231"/>
      <c r="AQ203" s="231"/>
      <c r="AR203" s="231"/>
      <c r="AS203" s="231"/>
      <c r="AT203" s="231"/>
      <c r="AU203" s="231"/>
      <c r="AV203" s="231"/>
      <c r="AW203" s="236"/>
      <c r="AX203" s="242"/>
      <c r="AY203" s="242"/>
      <c r="AZ203" s="242"/>
      <c r="BA203" s="242"/>
      <c r="BB203" s="242"/>
      <c r="BC203" s="242"/>
      <c r="BD203" s="242"/>
      <c r="BE203" s="231"/>
      <c r="BF203" s="242"/>
      <c r="BG203" s="242"/>
      <c r="BH203" s="242"/>
      <c r="BI203" s="242"/>
      <c r="BJ203" s="242"/>
      <c r="BK203" s="242"/>
      <c r="BL203" s="242"/>
      <c r="BM203" s="242"/>
      <c r="BN203" s="242"/>
      <c r="BO203" s="231"/>
      <c r="BP203" s="231"/>
      <c r="BQ203" s="269">
        <v>59.888879645140598</v>
      </c>
      <c r="BR203" s="269">
        <v>0.41482075701552801</v>
      </c>
      <c r="BS203" s="269"/>
      <c r="BT203" s="269">
        <v>44.753030000506797</v>
      </c>
      <c r="BU203" s="269">
        <v>81.964638457009499</v>
      </c>
      <c r="BV203" s="269">
        <v>47.216544452495803</v>
      </c>
      <c r="BW203" s="269">
        <v>71.289225841756704</v>
      </c>
      <c r="BX203" s="269">
        <v>33.5204656700339</v>
      </c>
      <c r="BY203" s="269">
        <v>60.3705458264008</v>
      </c>
      <c r="BZ203" s="269">
        <v>110.696288838144</v>
      </c>
      <c r="CA203" s="269">
        <v>14.7521805973771</v>
      </c>
      <c r="CB203" s="269">
        <v>30.235975482713901</v>
      </c>
      <c r="CC203" s="269">
        <v>39.809494091309098</v>
      </c>
      <c r="CD203" s="269">
        <v>97.420927684795501</v>
      </c>
      <c r="CE203" s="269">
        <v>58.120519166717997</v>
      </c>
      <c r="CF203" s="269">
        <v>8.2463272721360408</v>
      </c>
      <c r="CG203" s="269"/>
      <c r="CH203" s="269">
        <v>93.291155280745897</v>
      </c>
      <c r="CI203" s="231"/>
    </row>
    <row r="204" spans="1:87" ht="25.2" customHeight="1" outlineLevel="1">
      <c r="A204" s="204">
        <v>192</v>
      </c>
      <c r="B204" s="207">
        <v>4109</v>
      </c>
      <c r="C204" s="208" t="s">
        <v>382</v>
      </c>
      <c r="D204" s="194" t="s">
        <v>181</v>
      </c>
      <c r="E204" s="209">
        <f t="shared" si="16"/>
        <v>3.6</v>
      </c>
      <c r="F204" s="216">
        <v>95.8</v>
      </c>
      <c r="G204" s="217">
        <v>0.9</v>
      </c>
      <c r="H204" s="218">
        <v>0</v>
      </c>
      <c r="I204" s="230"/>
      <c r="J204" s="216"/>
      <c r="K204" s="216">
        <v>0.73</v>
      </c>
      <c r="L204" s="233"/>
      <c r="M204" s="236">
        <v>64.099999999999994</v>
      </c>
      <c r="N204" s="236">
        <v>183.3</v>
      </c>
      <c r="O204" s="236">
        <v>0.94</v>
      </c>
      <c r="P204" s="236">
        <v>21.5</v>
      </c>
      <c r="Q204" s="236">
        <v>0.05</v>
      </c>
      <c r="R204" s="236">
        <v>8.9999999999999993E-3</v>
      </c>
      <c r="S204" s="236"/>
      <c r="T204" s="240"/>
      <c r="U204" s="240"/>
      <c r="V204" s="240"/>
      <c r="W204" s="263"/>
      <c r="X204" s="264">
        <v>0.91</v>
      </c>
      <c r="Y204" s="262"/>
      <c r="Z204" s="264"/>
      <c r="AA204" s="241"/>
      <c r="AB204" s="241"/>
      <c r="AC204" s="240"/>
      <c r="AD204" s="240"/>
      <c r="AE204" s="236"/>
      <c r="AF204" s="236"/>
      <c r="AG204" s="240"/>
      <c r="AH204" s="240"/>
      <c r="AI204" s="236">
        <f t="shared" si="19"/>
        <v>20.25</v>
      </c>
      <c r="AJ204" s="252"/>
      <c r="AK204" s="233"/>
      <c r="AL204" s="216"/>
      <c r="AM204" s="236">
        <v>243</v>
      </c>
      <c r="AN204" s="231"/>
      <c r="AO204" s="231"/>
      <c r="AP204" s="231"/>
      <c r="AQ204" s="231"/>
      <c r="AR204" s="231"/>
      <c r="AS204" s="231"/>
      <c r="AT204" s="231"/>
      <c r="AU204" s="231"/>
      <c r="AV204" s="231"/>
      <c r="AW204" s="236"/>
      <c r="AX204" s="242"/>
      <c r="AY204" s="242"/>
      <c r="AZ204" s="242"/>
      <c r="BA204" s="242"/>
      <c r="BB204" s="242"/>
      <c r="BC204" s="242"/>
      <c r="BD204" s="242"/>
      <c r="BE204" s="231"/>
      <c r="BF204" s="242"/>
      <c r="BG204" s="242"/>
      <c r="BH204" s="242"/>
      <c r="BI204" s="242"/>
      <c r="BJ204" s="242"/>
      <c r="BK204" s="242"/>
      <c r="BL204" s="242"/>
      <c r="BM204" s="242"/>
      <c r="BN204" s="242"/>
      <c r="BO204" s="231"/>
      <c r="BP204" s="231"/>
      <c r="BQ204" s="269">
        <v>46.469970204044202</v>
      </c>
      <c r="BR204" s="269">
        <v>0.20070188718067</v>
      </c>
      <c r="BS204" s="269"/>
      <c r="BT204" s="269">
        <v>27.758992909863299</v>
      </c>
      <c r="BU204" s="269">
        <v>78.771861907437497</v>
      </c>
      <c r="BV204" s="269">
        <v>35.898167824197103</v>
      </c>
      <c r="BW204" s="269">
        <v>46.142561744881398</v>
      </c>
      <c r="BX204" s="269">
        <v>25.121271870643</v>
      </c>
      <c r="BY204" s="269">
        <v>53.759384938215099</v>
      </c>
      <c r="BZ204" s="269">
        <v>84.207713946691896</v>
      </c>
      <c r="CA204" s="269">
        <v>11.6691786307487</v>
      </c>
      <c r="CB204" s="269">
        <v>20.643976703412601</v>
      </c>
      <c r="CC204" s="269">
        <v>25.099455182417501</v>
      </c>
      <c r="CD204" s="269">
        <v>84.436476344431497</v>
      </c>
      <c r="CE204" s="269">
        <v>51.381790444706603</v>
      </c>
      <c r="CF204" s="269">
        <v>6.6039528539467298</v>
      </c>
      <c r="CG204" s="269"/>
      <c r="CH204" s="269">
        <v>112.923721858531</v>
      </c>
      <c r="CI204" s="231"/>
    </row>
    <row r="205" spans="1:87" ht="25.2" customHeight="1" outlineLevel="1">
      <c r="A205" s="204">
        <v>193</v>
      </c>
      <c r="B205" s="207">
        <v>4110</v>
      </c>
      <c r="C205" s="208" t="s">
        <v>383</v>
      </c>
      <c r="D205" s="194" t="s">
        <v>181</v>
      </c>
      <c r="E205" s="209">
        <f t="shared" si="16"/>
        <v>14.1</v>
      </c>
      <c r="F205" s="216">
        <v>93</v>
      </c>
      <c r="G205" s="217">
        <v>3.3</v>
      </c>
      <c r="H205" s="218">
        <v>0.1</v>
      </c>
      <c r="I205" s="230"/>
      <c r="J205" s="216"/>
      <c r="K205" s="216">
        <v>1.1000000000000001</v>
      </c>
      <c r="L205" s="233"/>
      <c r="M205" s="236">
        <v>93.4</v>
      </c>
      <c r="N205" s="236">
        <v>388.1</v>
      </c>
      <c r="O205" s="236">
        <v>1.95</v>
      </c>
      <c r="P205" s="236">
        <v>14.3</v>
      </c>
      <c r="Q205" s="236">
        <v>0.05</v>
      </c>
      <c r="R205" s="236">
        <v>0.115</v>
      </c>
      <c r="S205" s="236"/>
      <c r="T205" s="240"/>
      <c r="U205" s="240"/>
      <c r="V205" s="240"/>
      <c r="W205" s="263"/>
      <c r="X205" s="264">
        <v>0.91</v>
      </c>
      <c r="Y205" s="262"/>
      <c r="Z205" s="264"/>
      <c r="AA205" s="241"/>
      <c r="AB205" s="241"/>
      <c r="AC205" s="240"/>
      <c r="AD205" s="240"/>
      <c r="AE205" s="236"/>
      <c r="AF205" s="236"/>
      <c r="AG205" s="240"/>
      <c r="AH205" s="240"/>
      <c r="AI205" s="236">
        <f t="shared" si="19"/>
        <v>0.33333333333333298</v>
      </c>
      <c r="AJ205" s="252"/>
      <c r="AK205" s="233"/>
      <c r="AL205" s="216"/>
      <c r="AM205" s="236">
        <v>4</v>
      </c>
      <c r="AN205" s="231"/>
      <c r="AO205" s="231"/>
      <c r="AP205" s="231"/>
      <c r="AQ205" s="231"/>
      <c r="AR205" s="231"/>
      <c r="AS205" s="231"/>
      <c r="AT205" s="231"/>
      <c r="AU205" s="231"/>
      <c r="AV205" s="231"/>
      <c r="AW205" s="236"/>
      <c r="AX205" s="242"/>
      <c r="AY205" s="242"/>
      <c r="AZ205" s="242"/>
      <c r="BA205" s="242"/>
      <c r="BB205" s="242"/>
      <c r="BC205" s="242"/>
      <c r="BD205" s="242"/>
      <c r="BE205" s="231"/>
      <c r="BF205" s="242"/>
      <c r="BG205" s="242"/>
      <c r="BH205" s="242"/>
      <c r="BI205" s="242"/>
      <c r="BJ205" s="242"/>
      <c r="BK205" s="242"/>
      <c r="BL205" s="242"/>
      <c r="BM205" s="242"/>
      <c r="BN205" s="242"/>
      <c r="BO205" s="231"/>
      <c r="BP205" s="231"/>
      <c r="BQ205" s="269">
        <v>180.866241782929</v>
      </c>
      <c r="BR205" s="269">
        <v>45.282952657025398</v>
      </c>
      <c r="BS205" s="269"/>
      <c r="BT205" s="269">
        <v>149.375011376537</v>
      </c>
      <c r="BU205" s="269">
        <v>182.86830022751701</v>
      </c>
      <c r="BV205" s="269">
        <v>141.13080162119201</v>
      </c>
      <c r="BW205" s="269">
        <v>192.41227330222301</v>
      </c>
      <c r="BX205" s="269">
        <v>131.24522101673301</v>
      </c>
      <c r="BY205" s="269">
        <v>139.63660524926601</v>
      </c>
      <c r="BZ205" s="269">
        <v>286.02202726185101</v>
      </c>
      <c r="CA205" s="269">
        <v>136.77579290515899</v>
      </c>
      <c r="CB205" s="269">
        <v>82.755976919717696</v>
      </c>
      <c r="CC205" s="269">
        <v>236.687282886888</v>
      </c>
      <c r="CD205" s="269">
        <v>275.334636358561</v>
      </c>
      <c r="CE205" s="269">
        <v>173.39683787621399</v>
      </c>
      <c r="CF205" s="269">
        <v>35.662238101659398</v>
      </c>
      <c r="CG205" s="269"/>
      <c r="CH205" s="269">
        <v>195.71988032209001</v>
      </c>
      <c r="CI205" s="231"/>
    </row>
    <row r="206" spans="1:87" ht="25.2" customHeight="1" outlineLevel="1">
      <c r="A206" s="204">
        <v>194</v>
      </c>
      <c r="B206" s="207">
        <v>4111</v>
      </c>
      <c r="C206" s="208" t="s">
        <v>384</v>
      </c>
      <c r="D206" s="194" t="s">
        <v>181</v>
      </c>
      <c r="E206" s="209">
        <f t="shared" si="16"/>
        <v>11.2</v>
      </c>
      <c r="F206" s="216">
        <v>89.6</v>
      </c>
      <c r="G206" s="217">
        <v>2.8</v>
      </c>
      <c r="H206" s="218">
        <v>0</v>
      </c>
      <c r="I206" s="230"/>
      <c r="J206" s="216"/>
      <c r="K206" s="216">
        <v>0.6</v>
      </c>
      <c r="L206" s="233"/>
      <c r="M206" s="236">
        <v>72.8</v>
      </c>
      <c r="N206" s="236">
        <v>336.1</v>
      </c>
      <c r="O206" s="236">
        <v>1.1499999999999999</v>
      </c>
      <c r="P206" s="236">
        <v>23.3</v>
      </c>
      <c r="Q206" s="236">
        <v>0.08</v>
      </c>
      <c r="R206" s="236">
        <v>2.8000000000000001E-2</v>
      </c>
      <c r="S206" s="236"/>
      <c r="T206" s="240"/>
      <c r="U206" s="240"/>
      <c r="V206" s="240"/>
      <c r="W206" s="263"/>
      <c r="X206" s="264">
        <v>0.76</v>
      </c>
      <c r="Y206" s="262"/>
      <c r="Z206" s="264"/>
      <c r="AA206" s="241"/>
      <c r="AB206" s="241"/>
      <c r="AC206" s="240"/>
      <c r="AD206" s="240"/>
      <c r="AE206" s="236"/>
      <c r="AF206" s="236"/>
      <c r="AG206" s="240"/>
      <c r="AH206" s="240"/>
      <c r="AI206" s="236">
        <f t="shared" si="19"/>
        <v>100</v>
      </c>
      <c r="AJ206" s="252"/>
      <c r="AK206" s="233"/>
      <c r="AL206" s="216"/>
      <c r="AM206" s="236">
        <v>1200</v>
      </c>
      <c r="AN206" s="231"/>
      <c r="AO206" s="231"/>
      <c r="AP206" s="231"/>
      <c r="AQ206" s="231"/>
      <c r="AR206" s="231"/>
      <c r="AS206" s="231"/>
      <c r="AT206" s="231"/>
      <c r="AU206" s="231"/>
      <c r="AV206" s="231"/>
      <c r="AW206" s="236"/>
      <c r="AX206" s="242"/>
      <c r="AY206" s="242"/>
      <c r="AZ206" s="242"/>
      <c r="BA206" s="242"/>
      <c r="BB206" s="242"/>
      <c r="BC206" s="242"/>
      <c r="BD206" s="242"/>
      <c r="BE206" s="231"/>
      <c r="BF206" s="242"/>
      <c r="BG206" s="242"/>
      <c r="BH206" s="242"/>
      <c r="BI206" s="242"/>
      <c r="BJ206" s="242"/>
      <c r="BK206" s="242"/>
      <c r="BL206" s="242"/>
      <c r="BM206" s="242"/>
      <c r="BN206" s="242"/>
      <c r="BO206" s="231"/>
      <c r="BP206" s="231"/>
      <c r="BQ206" s="269">
        <v>99.227383218277197</v>
      </c>
      <c r="BR206" s="269">
        <v>17.014185383090599</v>
      </c>
      <c r="BS206" s="269"/>
      <c r="BT206" s="269">
        <v>56.425962296588402</v>
      </c>
      <c r="BU206" s="269">
        <v>122.718119822755</v>
      </c>
      <c r="BV206" s="269">
        <v>76.412240575953206</v>
      </c>
      <c r="BW206" s="269">
        <v>81.146394484900497</v>
      </c>
      <c r="BX206" s="269">
        <v>60.718772768006097</v>
      </c>
      <c r="BY206" s="269">
        <v>99.894280656081307</v>
      </c>
      <c r="BZ206" s="269">
        <v>417.16673311681598</v>
      </c>
      <c r="CA206" s="269">
        <v>110.44178943318801</v>
      </c>
      <c r="CB206" s="269">
        <v>42.985411606235999</v>
      </c>
      <c r="CC206" s="269">
        <v>165.700518931902</v>
      </c>
      <c r="CD206" s="269">
        <v>265.182004631795</v>
      </c>
      <c r="CE206" s="269">
        <v>187.268710280466</v>
      </c>
      <c r="CF206" s="269">
        <v>17.6583500316707</v>
      </c>
      <c r="CG206" s="269"/>
      <c r="CH206" s="269">
        <v>111.067650462533</v>
      </c>
      <c r="CI206" s="231"/>
    </row>
    <row r="207" spans="1:87" s="169" customFormat="1" ht="7.05" customHeight="1">
      <c r="A207" s="196"/>
      <c r="B207" s="196"/>
      <c r="C207" s="197"/>
      <c r="D207" s="198"/>
      <c r="E207" s="199"/>
      <c r="F207" s="199"/>
      <c r="G207" s="200"/>
      <c r="H207" s="201"/>
      <c r="I207" s="228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250"/>
      <c r="AK207" s="199"/>
      <c r="AL207" s="199"/>
      <c r="AM207" s="199"/>
      <c r="AN207" s="199"/>
      <c r="AO207" s="199"/>
      <c r="AP207" s="199"/>
      <c r="AQ207" s="199"/>
      <c r="AR207" s="199"/>
      <c r="AS207" s="199"/>
      <c r="AT207" s="199"/>
      <c r="AU207" s="199"/>
      <c r="AV207" s="199"/>
      <c r="AW207" s="199"/>
      <c r="AX207" s="199"/>
      <c r="AY207" s="199"/>
      <c r="AZ207" s="199"/>
      <c r="BA207" s="199"/>
      <c r="BB207" s="199"/>
      <c r="BC207" s="199"/>
      <c r="BD207" s="199"/>
      <c r="BE207" s="199"/>
      <c r="BF207" s="199"/>
      <c r="BG207" s="199"/>
      <c r="BH207" s="199"/>
      <c r="BI207" s="199"/>
      <c r="BJ207" s="199"/>
      <c r="BK207" s="199"/>
      <c r="BL207" s="199"/>
      <c r="BM207" s="199"/>
      <c r="BN207" s="199"/>
      <c r="BO207" s="199"/>
      <c r="BP207" s="199"/>
      <c r="BQ207" s="199"/>
      <c r="BR207" s="199"/>
      <c r="BS207" s="199"/>
      <c r="BT207" s="199"/>
      <c r="BU207" s="199"/>
      <c r="BV207" s="199"/>
      <c r="BW207" s="199"/>
      <c r="BX207" s="199"/>
      <c r="BY207" s="199"/>
      <c r="BZ207" s="199"/>
      <c r="CA207" s="199"/>
      <c r="CB207" s="199"/>
      <c r="CC207" s="199"/>
      <c r="CD207" s="199"/>
      <c r="CE207" s="199"/>
      <c r="CF207" s="199"/>
      <c r="CG207" s="199"/>
      <c r="CH207" s="199"/>
      <c r="CI207" s="199"/>
    </row>
    <row r="208" spans="1:87" ht="25.2" customHeight="1">
      <c r="A208" s="202"/>
      <c r="B208" s="202"/>
      <c r="C208" s="203" t="s">
        <v>385</v>
      </c>
      <c r="D208" s="194"/>
      <c r="E208" s="240"/>
      <c r="F208" s="216"/>
      <c r="G208" s="217"/>
      <c r="H208" s="218"/>
      <c r="I208" s="230"/>
      <c r="J208" s="216"/>
      <c r="K208" s="216"/>
      <c r="L208" s="233"/>
      <c r="M208" s="216"/>
      <c r="N208" s="216"/>
      <c r="O208" s="216"/>
      <c r="P208" s="216"/>
      <c r="Q208" s="216"/>
      <c r="R208" s="216"/>
      <c r="S208" s="216"/>
      <c r="T208" s="231"/>
      <c r="U208" s="231"/>
      <c r="V208" s="231"/>
      <c r="W208" s="242"/>
      <c r="X208" s="232"/>
      <c r="Y208" s="231"/>
      <c r="Z208" s="231"/>
      <c r="AA208" s="241"/>
      <c r="AB208" s="241"/>
      <c r="AC208" s="240"/>
      <c r="AD208" s="240"/>
      <c r="AE208" s="233"/>
      <c r="AF208" s="233"/>
      <c r="AG208" s="240"/>
      <c r="AH208" s="240"/>
      <c r="AI208" s="236"/>
      <c r="AJ208" s="252"/>
      <c r="AK208" s="233"/>
      <c r="AL208" s="216"/>
      <c r="AM208" s="236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6"/>
      <c r="AX208" s="242"/>
      <c r="AY208" s="242"/>
      <c r="AZ208" s="242"/>
      <c r="BA208" s="242"/>
      <c r="BB208" s="242"/>
      <c r="BC208" s="242"/>
      <c r="BD208" s="242"/>
      <c r="BE208" s="231"/>
      <c r="BF208" s="242"/>
      <c r="BG208" s="242"/>
      <c r="BH208" s="242"/>
      <c r="BI208" s="242"/>
      <c r="BJ208" s="242"/>
      <c r="BK208" s="242"/>
      <c r="BL208" s="242"/>
      <c r="BM208" s="242"/>
      <c r="BN208" s="242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</row>
    <row r="209" spans="1:87" ht="25.2" customHeight="1" outlineLevel="1">
      <c r="A209" s="204">
        <v>195</v>
      </c>
      <c r="B209" s="207">
        <v>4112</v>
      </c>
      <c r="C209" s="208" t="s">
        <v>386</v>
      </c>
      <c r="D209" s="194" t="s">
        <v>181</v>
      </c>
      <c r="E209" s="209">
        <f t="shared" ref="E209:E219" si="20">G209*4+H209*9+I209*4</f>
        <v>9.6000000000000494</v>
      </c>
      <c r="F209" s="216">
        <v>94</v>
      </c>
      <c r="G209" s="217">
        <v>0.6</v>
      </c>
      <c r="H209" s="218"/>
      <c r="I209" s="230">
        <f t="shared" ref="I209:I219" si="21">100-SUM(F209,G209,H209,K209)</f>
        <v>1.80000000000001</v>
      </c>
      <c r="J209" s="216">
        <v>0.8</v>
      </c>
      <c r="K209" s="216">
        <v>3.6</v>
      </c>
      <c r="L209" s="233"/>
      <c r="M209" s="236"/>
      <c r="N209" s="236"/>
      <c r="O209" s="236"/>
      <c r="P209" s="236"/>
      <c r="Q209" s="236"/>
      <c r="R209" s="236"/>
      <c r="S209" s="236"/>
      <c r="T209" s="231"/>
      <c r="U209" s="231"/>
      <c r="V209" s="231"/>
      <c r="W209" s="242"/>
      <c r="X209" s="232"/>
      <c r="Y209" s="231"/>
      <c r="Z209" s="231"/>
      <c r="AA209" s="241"/>
      <c r="AB209" s="241"/>
      <c r="AC209" s="240"/>
      <c r="AD209" s="240"/>
      <c r="AE209" s="236"/>
      <c r="AF209" s="236"/>
      <c r="AG209" s="240">
        <v>0</v>
      </c>
      <c r="AH209" s="240">
        <f t="shared" ref="AH209:AH219" si="22">AG209*3.33</f>
        <v>0</v>
      </c>
      <c r="AI209" s="236">
        <f t="shared" ref="AI209:AI219" si="23">AG209+AM209/12+AN209/24+AO209/24</f>
        <v>0</v>
      </c>
      <c r="AJ209" s="252"/>
      <c r="AK209" s="233"/>
      <c r="AL209" s="216"/>
      <c r="AM209" s="236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6"/>
      <c r="AX209" s="242"/>
      <c r="AY209" s="242"/>
      <c r="AZ209" s="242"/>
      <c r="BA209" s="242"/>
      <c r="BB209" s="242"/>
      <c r="BC209" s="242"/>
      <c r="BD209" s="242"/>
      <c r="BE209" s="231"/>
      <c r="BF209" s="242"/>
      <c r="BG209" s="242"/>
      <c r="BH209" s="242"/>
      <c r="BI209" s="242"/>
      <c r="BJ209" s="242"/>
      <c r="BK209" s="242"/>
      <c r="BL209" s="242"/>
      <c r="BM209" s="242"/>
      <c r="BN209" s="242"/>
      <c r="BO209" s="231">
        <v>0</v>
      </c>
      <c r="BP209" s="231"/>
      <c r="BQ209" s="231"/>
      <c r="BR209" s="231"/>
      <c r="BS209" s="231"/>
      <c r="BT209" s="231"/>
      <c r="BU209" s="231"/>
      <c r="BV209" s="231"/>
      <c r="BW209" s="231"/>
      <c r="BX209" s="231"/>
      <c r="BY209" s="231"/>
      <c r="BZ209" s="231"/>
      <c r="CA209" s="231"/>
      <c r="CB209" s="231"/>
      <c r="CC209" s="231"/>
      <c r="CD209" s="231"/>
      <c r="CE209" s="231"/>
      <c r="CF209" s="231"/>
      <c r="CG209" s="231"/>
      <c r="CH209" s="231"/>
      <c r="CI209" s="231"/>
    </row>
    <row r="210" spans="1:87" ht="25.2" customHeight="1" outlineLevel="1">
      <c r="A210" s="204">
        <v>196</v>
      </c>
      <c r="B210" s="207">
        <v>4113</v>
      </c>
      <c r="C210" s="208" t="s">
        <v>387</v>
      </c>
      <c r="D210" s="194" t="s">
        <v>181</v>
      </c>
      <c r="E210" s="209">
        <f t="shared" si="20"/>
        <v>20</v>
      </c>
      <c r="F210" s="216">
        <v>81</v>
      </c>
      <c r="G210" s="217">
        <v>1.3</v>
      </c>
      <c r="H210" s="218"/>
      <c r="I210" s="230">
        <f t="shared" si="21"/>
        <v>3.7</v>
      </c>
      <c r="J210" s="216">
        <v>1.7</v>
      </c>
      <c r="K210" s="216">
        <v>14</v>
      </c>
      <c r="L210" s="233"/>
      <c r="M210" s="216">
        <v>15</v>
      </c>
      <c r="N210" s="216">
        <v>18</v>
      </c>
      <c r="O210" s="216">
        <v>0.8</v>
      </c>
      <c r="P210" s="216"/>
      <c r="Q210" s="216">
        <v>0.05</v>
      </c>
      <c r="R210" s="216">
        <v>0.06</v>
      </c>
      <c r="S210" s="216">
        <v>0.7</v>
      </c>
      <c r="T210" s="231"/>
      <c r="U210" s="231"/>
      <c r="V210" s="231"/>
      <c r="W210" s="242"/>
      <c r="X210" s="232"/>
      <c r="Y210" s="231"/>
      <c r="Z210" s="231"/>
      <c r="AA210" s="241"/>
      <c r="AB210" s="241"/>
      <c r="AC210" s="240"/>
      <c r="AD210" s="240"/>
      <c r="AE210" s="233"/>
      <c r="AF210" s="233"/>
      <c r="AG210" s="240">
        <v>0</v>
      </c>
      <c r="AH210" s="240">
        <f t="shared" si="22"/>
        <v>0</v>
      </c>
      <c r="AI210" s="236">
        <f t="shared" si="23"/>
        <v>3.3333333333333299</v>
      </c>
      <c r="AJ210" s="252"/>
      <c r="AK210" s="233"/>
      <c r="AL210" s="216"/>
      <c r="AM210" s="236">
        <v>40</v>
      </c>
      <c r="AN210" s="231"/>
      <c r="AO210" s="231"/>
      <c r="AP210" s="231"/>
      <c r="AQ210" s="231"/>
      <c r="AR210" s="231"/>
      <c r="AS210" s="231"/>
      <c r="AT210" s="231"/>
      <c r="AU210" s="231"/>
      <c r="AV210" s="231"/>
      <c r="AW210" s="236"/>
      <c r="AX210" s="242"/>
      <c r="AY210" s="242"/>
      <c r="AZ210" s="242"/>
      <c r="BA210" s="242"/>
      <c r="BB210" s="242"/>
      <c r="BC210" s="242"/>
      <c r="BD210" s="242"/>
      <c r="BE210" s="231"/>
      <c r="BF210" s="242"/>
      <c r="BG210" s="242"/>
      <c r="BH210" s="242"/>
      <c r="BI210" s="242"/>
      <c r="BJ210" s="242"/>
      <c r="BK210" s="242"/>
      <c r="BL210" s="242"/>
      <c r="BM210" s="242"/>
      <c r="BN210" s="242"/>
      <c r="BO210" s="231">
        <v>0</v>
      </c>
      <c r="BP210" s="231"/>
      <c r="BQ210" s="231"/>
      <c r="BR210" s="231"/>
      <c r="BS210" s="231"/>
      <c r="BT210" s="231"/>
      <c r="BU210" s="231"/>
      <c r="BV210" s="231"/>
      <c r="BW210" s="231"/>
      <c r="BX210" s="231"/>
      <c r="BY210" s="231"/>
      <c r="BZ210" s="231"/>
      <c r="CA210" s="231"/>
      <c r="CB210" s="231"/>
      <c r="CC210" s="231"/>
      <c r="CD210" s="231"/>
      <c r="CE210" s="231"/>
      <c r="CF210" s="231"/>
      <c r="CG210" s="231"/>
      <c r="CH210" s="231"/>
      <c r="CI210" s="231"/>
    </row>
    <row r="211" spans="1:87" ht="25.2" customHeight="1" outlineLevel="1">
      <c r="A211" s="204">
        <v>197</v>
      </c>
      <c r="B211" s="207">
        <v>4114</v>
      </c>
      <c r="C211" s="208" t="s">
        <v>388</v>
      </c>
      <c r="D211" s="194" t="s">
        <v>181</v>
      </c>
      <c r="E211" s="209">
        <f t="shared" si="20"/>
        <v>22.8</v>
      </c>
      <c r="F211" s="216">
        <v>84.3</v>
      </c>
      <c r="G211" s="217">
        <v>1.5</v>
      </c>
      <c r="H211" s="218"/>
      <c r="I211" s="230">
        <f t="shared" si="21"/>
        <v>4.2</v>
      </c>
      <c r="J211" s="216">
        <v>1.7</v>
      </c>
      <c r="K211" s="216">
        <v>10</v>
      </c>
      <c r="L211" s="233"/>
      <c r="M211" s="216"/>
      <c r="N211" s="216"/>
      <c r="O211" s="216"/>
      <c r="P211" s="216"/>
      <c r="Q211" s="216"/>
      <c r="R211" s="216"/>
      <c r="S211" s="216"/>
      <c r="T211" s="231"/>
      <c r="U211" s="231"/>
      <c r="V211" s="231"/>
      <c r="W211" s="242"/>
      <c r="X211" s="232"/>
      <c r="Y211" s="231"/>
      <c r="Z211" s="231"/>
      <c r="AA211" s="241"/>
      <c r="AB211" s="241"/>
      <c r="AC211" s="240"/>
      <c r="AD211" s="240"/>
      <c r="AE211" s="233"/>
      <c r="AF211" s="233"/>
      <c r="AG211" s="240">
        <v>0</v>
      </c>
      <c r="AH211" s="240">
        <f t="shared" si="22"/>
        <v>0</v>
      </c>
      <c r="AI211" s="236">
        <f t="shared" si="23"/>
        <v>0</v>
      </c>
      <c r="AJ211" s="252"/>
      <c r="AK211" s="233"/>
      <c r="AL211" s="216"/>
      <c r="AM211" s="236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6"/>
      <c r="AX211" s="242"/>
      <c r="AY211" s="242"/>
      <c r="AZ211" s="242"/>
      <c r="BA211" s="242"/>
      <c r="BB211" s="242"/>
      <c r="BC211" s="242"/>
      <c r="BD211" s="242"/>
      <c r="BE211" s="231"/>
      <c r="BF211" s="242"/>
      <c r="BG211" s="242"/>
      <c r="BH211" s="242"/>
      <c r="BI211" s="242"/>
      <c r="BJ211" s="242"/>
      <c r="BK211" s="242"/>
      <c r="BL211" s="242"/>
      <c r="BM211" s="242"/>
      <c r="BN211" s="242"/>
      <c r="BO211" s="231">
        <v>0</v>
      </c>
      <c r="BP211" s="231"/>
      <c r="BQ211" s="231"/>
      <c r="BR211" s="231"/>
      <c r="BS211" s="231"/>
      <c r="BT211" s="231"/>
      <c r="BU211" s="231"/>
      <c r="BV211" s="231"/>
      <c r="BW211" s="231"/>
      <c r="BX211" s="231"/>
      <c r="BY211" s="231"/>
      <c r="BZ211" s="231"/>
      <c r="CA211" s="231"/>
      <c r="CB211" s="231"/>
      <c r="CC211" s="231"/>
      <c r="CD211" s="231"/>
      <c r="CE211" s="231"/>
      <c r="CF211" s="231"/>
      <c r="CG211" s="231"/>
      <c r="CH211" s="231"/>
      <c r="CI211" s="231"/>
    </row>
    <row r="212" spans="1:87" ht="25.2" customHeight="1" outlineLevel="1">
      <c r="A212" s="204">
        <v>198</v>
      </c>
      <c r="B212" s="207">
        <v>4115</v>
      </c>
      <c r="C212" s="208" t="s">
        <v>389</v>
      </c>
      <c r="D212" s="194" t="s">
        <v>181</v>
      </c>
      <c r="E212" s="209">
        <f t="shared" si="20"/>
        <v>24.4</v>
      </c>
      <c r="F212" s="216">
        <v>90.9</v>
      </c>
      <c r="G212" s="217">
        <v>1.2</v>
      </c>
      <c r="H212" s="218"/>
      <c r="I212" s="230">
        <f t="shared" si="21"/>
        <v>4.8999999999999897</v>
      </c>
      <c r="J212" s="216">
        <v>1.6</v>
      </c>
      <c r="K212" s="216">
        <v>3</v>
      </c>
      <c r="L212" s="233"/>
      <c r="M212" s="216">
        <v>51</v>
      </c>
      <c r="N212" s="216">
        <v>34</v>
      </c>
      <c r="O212" s="216">
        <v>0.3</v>
      </c>
      <c r="P212" s="216">
        <v>20</v>
      </c>
      <c r="Q212" s="216">
        <v>0.01</v>
      </c>
      <c r="R212" s="216">
        <v>0.06</v>
      </c>
      <c r="S212" s="216">
        <v>0.3</v>
      </c>
      <c r="T212" s="231"/>
      <c r="U212" s="231"/>
      <c r="V212" s="231"/>
      <c r="W212" s="242"/>
      <c r="X212" s="232"/>
      <c r="Y212" s="231"/>
      <c r="Z212" s="231"/>
      <c r="AA212" s="241"/>
      <c r="AB212" s="241"/>
      <c r="AC212" s="240"/>
      <c r="AD212" s="240"/>
      <c r="AE212" s="233"/>
      <c r="AF212" s="233"/>
      <c r="AG212" s="240">
        <v>0</v>
      </c>
      <c r="AH212" s="240">
        <f t="shared" si="22"/>
        <v>0</v>
      </c>
      <c r="AI212" s="236">
        <f t="shared" si="23"/>
        <v>1.6666666666666701</v>
      </c>
      <c r="AJ212" s="252"/>
      <c r="AK212" s="233"/>
      <c r="AL212" s="216"/>
      <c r="AM212" s="236">
        <v>20</v>
      </c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6"/>
      <c r="AX212" s="242"/>
      <c r="AY212" s="242"/>
      <c r="AZ212" s="242"/>
      <c r="BA212" s="242"/>
      <c r="BB212" s="242"/>
      <c r="BC212" s="242"/>
      <c r="BD212" s="242"/>
      <c r="BE212" s="231"/>
      <c r="BF212" s="242"/>
      <c r="BG212" s="242"/>
      <c r="BH212" s="242"/>
      <c r="BI212" s="242"/>
      <c r="BJ212" s="242"/>
      <c r="BK212" s="242"/>
      <c r="BL212" s="242"/>
      <c r="BM212" s="242"/>
      <c r="BN212" s="242"/>
      <c r="BO212" s="231">
        <v>0</v>
      </c>
      <c r="BP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</row>
    <row r="213" spans="1:87" ht="25.2" customHeight="1" outlineLevel="1">
      <c r="A213" s="204">
        <v>199</v>
      </c>
      <c r="B213" s="207">
        <v>4116</v>
      </c>
      <c r="C213" s="208" t="s">
        <v>390</v>
      </c>
      <c r="D213" s="194" t="s">
        <v>181</v>
      </c>
      <c r="E213" s="209">
        <f t="shared" si="20"/>
        <v>25.200000000000099</v>
      </c>
      <c r="F213" s="216">
        <v>90.1</v>
      </c>
      <c r="G213" s="217">
        <v>1.8</v>
      </c>
      <c r="H213" s="218"/>
      <c r="I213" s="230">
        <f t="shared" si="21"/>
        <v>4.5000000000000098</v>
      </c>
      <c r="J213" s="216">
        <v>2.1</v>
      </c>
      <c r="K213" s="216">
        <v>3.6</v>
      </c>
      <c r="L213" s="233"/>
      <c r="M213" s="216">
        <v>100</v>
      </c>
      <c r="N213" s="216">
        <v>21</v>
      </c>
      <c r="O213" s="216">
        <v>3</v>
      </c>
      <c r="P213" s="216">
        <v>3</v>
      </c>
      <c r="Q213" s="216">
        <v>0.03</v>
      </c>
      <c r="R213" s="216">
        <v>0.12</v>
      </c>
      <c r="S213" s="216">
        <v>0.5</v>
      </c>
      <c r="T213" s="231"/>
      <c r="U213" s="231"/>
      <c r="V213" s="231"/>
      <c r="W213" s="242"/>
      <c r="X213" s="232"/>
      <c r="Y213" s="231"/>
      <c r="Z213" s="231"/>
      <c r="AA213" s="241"/>
      <c r="AB213" s="241"/>
      <c r="AC213" s="240"/>
      <c r="AD213" s="240"/>
      <c r="AE213" s="233"/>
      <c r="AF213" s="233"/>
      <c r="AG213" s="240">
        <v>0</v>
      </c>
      <c r="AH213" s="240">
        <f t="shared" si="22"/>
        <v>0</v>
      </c>
      <c r="AI213" s="236">
        <f t="shared" si="23"/>
        <v>62.0833333333333</v>
      </c>
      <c r="AJ213" s="252"/>
      <c r="AK213" s="233"/>
      <c r="AL213" s="216"/>
      <c r="AM213" s="236">
        <v>745</v>
      </c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6"/>
      <c r="AX213" s="242"/>
      <c r="AY213" s="242"/>
      <c r="AZ213" s="242"/>
      <c r="BA213" s="242"/>
      <c r="BB213" s="242"/>
      <c r="BC213" s="242"/>
      <c r="BD213" s="242"/>
      <c r="BE213" s="231"/>
      <c r="BF213" s="242"/>
      <c r="BG213" s="242"/>
      <c r="BH213" s="242"/>
      <c r="BI213" s="242"/>
      <c r="BJ213" s="242"/>
      <c r="BK213" s="242"/>
      <c r="BL213" s="242"/>
      <c r="BM213" s="242"/>
      <c r="BN213" s="242"/>
      <c r="BO213" s="231">
        <v>0</v>
      </c>
      <c r="BP213" s="231"/>
      <c r="BQ213" s="231"/>
      <c r="BR213" s="231"/>
      <c r="BS213" s="231"/>
      <c r="BT213" s="231"/>
      <c r="BU213" s="231"/>
      <c r="BV213" s="231"/>
      <c r="BW213" s="231"/>
      <c r="BX213" s="231"/>
      <c r="BY213" s="231"/>
      <c r="BZ213" s="231"/>
      <c r="CA213" s="231"/>
      <c r="CB213" s="231"/>
      <c r="CC213" s="231"/>
      <c r="CD213" s="231"/>
      <c r="CE213" s="231"/>
      <c r="CF213" s="231"/>
      <c r="CG213" s="231"/>
      <c r="CH213" s="231"/>
      <c r="CI213" s="231"/>
    </row>
    <row r="214" spans="1:87" ht="25.2" customHeight="1" outlineLevel="1">
      <c r="A214" s="204">
        <v>200</v>
      </c>
      <c r="B214" s="207">
        <v>4117</v>
      </c>
      <c r="C214" s="208" t="s">
        <v>391</v>
      </c>
      <c r="D214" s="194" t="s">
        <v>181</v>
      </c>
      <c r="E214" s="209">
        <f t="shared" si="20"/>
        <v>16.8</v>
      </c>
      <c r="F214" s="216">
        <v>93.8</v>
      </c>
      <c r="G214" s="217">
        <v>1.1000000000000001</v>
      </c>
      <c r="H214" s="218"/>
      <c r="I214" s="230">
        <f t="shared" si="21"/>
        <v>3.1000000000000099</v>
      </c>
      <c r="J214" s="216">
        <v>1.8</v>
      </c>
      <c r="K214" s="216">
        <v>2</v>
      </c>
      <c r="L214" s="233"/>
      <c r="M214" s="236">
        <v>63</v>
      </c>
      <c r="N214" s="236">
        <v>41</v>
      </c>
      <c r="O214" s="236"/>
      <c r="P214" s="236"/>
      <c r="Q214" s="236"/>
      <c r="R214" s="236"/>
      <c r="S214" s="236"/>
      <c r="T214" s="231"/>
      <c r="U214" s="231"/>
      <c r="V214" s="231"/>
      <c r="W214" s="242"/>
      <c r="X214" s="232"/>
      <c r="Y214" s="231"/>
      <c r="Z214" s="231"/>
      <c r="AA214" s="241"/>
      <c r="AB214" s="241"/>
      <c r="AC214" s="240"/>
      <c r="AD214" s="240"/>
      <c r="AE214" s="236"/>
      <c r="AF214" s="236"/>
      <c r="AG214" s="240">
        <v>0</v>
      </c>
      <c r="AH214" s="240">
        <f t="shared" si="22"/>
        <v>0</v>
      </c>
      <c r="AI214" s="236">
        <f t="shared" si="23"/>
        <v>0</v>
      </c>
      <c r="AJ214" s="252"/>
      <c r="AK214" s="233"/>
      <c r="AL214" s="216"/>
      <c r="AM214" s="236"/>
      <c r="AN214" s="231"/>
      <c r="AO214" s="231"/>
      <c r="AP214" s="231"/>
      <c r="AQ214" s="231"/>
      <c r="AR214" s="231"/>
      <c r="AS214" s="231"/>
      <c r="AT214" s="231"/>
      <c r="AU214" s="231"/>
      <c r="AV214" s="231"/>
      <c r="AW214" s="236"/>
      <c r="AX214" s="242"/>
      <c r="AY214" s="242"/>
      <c r="AZ214" s="242"/>
      <c r="BA214" s="242"/>
      <c r="BB214" s="242"/>
      <c r="BC214" s="242"/>
      <c r="BD214" s="242"/>
      <c r="BE214" s="231"/>
      <c r="BF214" s="242"/>
      <c r="BG214" s="242"/>
      <c r="BH214" s="242"/>
      <c r="BI214" s="242"/>
      <c r="BJ214" s="242"/>
      <c r="BK214" s="242"/>
      <c r="BL214" s="242"/>
      <c r="BM214" s="242"/>
      <c r="BN214" s="242"/>
      <c r="BO214" s="231">
        <v>0</v>
      </c>
      <c r="BP214" s="231"/>
      <c r="BQ214" s="231"/>
      <c r="BR214" s="231"/>
      <c r="BS214" s="231"/>
      <c r="BT214" s="231"/>
      <c r="BU214" s="231"/>
      <c r="BV214" s="231"/>
      <c r="BW214" s="231"/>
      <c r="BX214" s="231"/>
      <c r="BY214" s="231"/>
      <c r="BZ214" s="231"/>
      <c r="CA214" s="231"/>
      <c r="CB214" s="231"/>
      <c r="CC214" s="231"/>
      <c r="CD214" s="231"/>
      <c r="CE214" s="231"/>
      <c r="CF214" s="231"/>
      <c r="CG214" s="231"/>
      <c r="CH214" s="231"/>
      <c r="CI214" s="231"/>
    </row>
    <row r="215" spans="1:87" ht="25.2" customHeight="1" outlineLevel="1">
      <c r="A215" s="204">
        <v>201</v>
      </c>
      <c r="B215" s="207">
        <v>4118</v>
      </c>
      <c r="C215" s="208" t="s">
        <v>392</v>
      </c>
      <c r="D215" s="194" t="s">
        <v>181</v>
      </c>
      <c r="E215" s="209">
        <f t="shared" si="20"/>
        <v>16</v>
      </c>
      <c r="F215" s="216">
        <v>92.1</v>
      </c>
      <c r="G215" s="217">
        <v>0.8</v>
      </c>
      <c r="H215" s="218"/>
      <c r="I215" s="230">
        <f t="shared" si="21"/>
        <v>3.2</v>
      </c>
      <c r="J215" s="216">
        <v>0.7</v>
      </c>
      <c r="K215" s="216">
        <v>3.9</v>
      </c>
      <c r="L215" s="233"/>
      <c r="M215" s="216">
        <v>25</v>
      </c>
      <c r="N215" s="216">
        <v>20</v>
      </c>
      <c r="O215" s="216">
        <v>1.2</v>
      </c>
      <c r="P215" s="216">
        <v>4</v>
      </c>
      <c r="Q215" s="216">
        <v>0.01</v>
      </c>
      <c r="R215" s="216">
        <v>0.02</v>
      </c>
      <c r="S215" s="216">
        <v>0.2</v>
      </c>
      <c r="T215" s="231">
        <v>1208</v>
      </c>
      <c r="U215" s="231">
        <v>23</v>
      </c>
      <c r="V215" s="231">
        <v>4</v>
      </c>
      <c r="W215" s="242">
        <v>1.0999999999999999E-2</v>
      </c>
      <c r="X215" s="232">
        <v>0.02</v>
      </c>
      <c r="Y215" s="231">
        <v>85</v>
      </c>
      <c r="Z215" s="231">
        <v>0</v>
      </c>
      <c r="AA215" s="241">
        <v>3.7999999999999999E-2</v>
      </c>
      <c r="AB215" s="241">
        <v>8.9999999999999993E-3</v>
      </c>
      <c r="AC215" s="240">
        <v>1</v>
      </c>
      <c r="AD215" s="240">
        <v>0</v>
      </c>
      <c r="AE215" s="233"/>
      <c r="AF215" s="233">
        <v>0</v>
      </c>
      <c r="AG215" s="240">
        <v>0</v>
      </c>
      <c r="AH215" s="240">
        <f t="shared" si="22"/>
        <v>0</v>
      </c>
      <c r="AI215" s="236">
        <f t="shared" si="23"/>
        <v>8.3333333333333304</v>
      </c>
      <c r="AJ215" s="252"/>
      <c r="AK215" s="233">
        <v>0.06</v>
      </c>
      <c r="AL215" s="216">
        <v>13</v>
      </c>
      <c r="AM215" s="236">
        <v>100</v>
      </c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6">
        <v>5.1999999999999998E-2</v>
      </c>
      <c r="AX215" s="242">
        <v>4.3999999999999997E-2</v>
      </c>
      <c r="AY215" s="242">
        <v>0</v>
      </c>
      <c r="AZ215" s="242">
        <v>5.0000000000000001E-3</v>
      </c>
      <c r="BA215" s="242">
        <v>0</v>
      </c>
      <c r="BB215" s="242">
        <v>0</v>
      </c>
      <c r="BC215" s="242">
        <v>0</v>
      </c>
      <c r="BD215" s="242">
        <v>3.0000000000000001E-3</v>
      </c>
      <c r="BE215" s="231">
        <v>0</v>
      </c>
      <c r="BF215" s="242">
        <v>0</v>
      </c>
      <c r="BG215" s="242">
        <v>3.0000000000000001E-3</v>
      </c>
      <c r="BH215" s="242">
        <v>8.2000000000000003E-2</v>
      </c>
      <c r="BI215" s="242">
        <v>3.5000000000000003E-2</v>
      </c>
      <c r="BJ215" s="242">
        <v>4.7E-2</v>
      </c>
      <c r="BK215" s="242">
        <v>0</v>
      </c>
      <c r="BL215" s="242">
        <v>0</v>
      </c>
      <c r="BM215" s="242">
        <v>0</v>
      </c>
      <c r="BN215" s="242"/>
      <c r="BO215" s="231">
        <v>0</v>
      </c>
      <c r="BP215" s="231">
        <v>14</v>
      </c>
      <c r="BQ215" s="204">
        <v>23</v>
      </c>
      <c r="BR215" s="204">
        <v>5</v>
      </c>
      <c r="BS215" s="204">
        <v>4</v>
      </c>
      <c r="BT215" s="204">
        <v>15</v>
      </c>
      <c r="BU215" s="204">
        <v>18</v>
      </c>
      <c r="BV215" s="204">
        <v>24</v>
      </c>
      <c r="BW215" s="204">
        <v>26</v>
      </c>
      <c r="BX215" s="204">
        <v>18</v>
      </c>
      <c r="BY215" s="204">
        <v>39</v>
      </c>
      <c r="BZ215" s="204">
        <v>9</v>
      </c>
      <c r="CA215" s="204">
        <v>6</v>
      </c>
      <c r="CB215" s="204">
        <v>18</v>
      </c>
      <c r="CC215" s="204">
        <v>23</v>
      </c>
      <c r="CD215" s="204">
        <v>46</v>
      </c>
      <c r="CE215" s="204">
        <v>123</v>
      </c>
      <c r="CF215" s="204">
        <v>25</v>
      </c>
      <c r="CG215" s="204">
        <v>15</v>
      </c>
      <c r="CH215" s="204">
        <v>24</v>
      </c>
      <c r="CI215" s="231"/>
    </row>
    <row r="216" spans="1:87" ht="25.2" customHeight="1" outlineLevel="1">
      <c r="A216" s="204">
        <v>202</v>
      </c>
      <c r="B216" s="207">
        <v>4119</v>
      </c>
      <c r="C216" s="208" t="s">
        <v>393</v>
      </c>
      <c r="D216" s="194" t="s">
        <v>181</v>
      </c>
      <c r="E216" s="209">
        <f t="shared" si="20"/>
        <v>47.2</v>
      </c>
      <c r="F216" s="216">
        <v>86.2</v>
      </c>
      <c r="G216" s="217">
        <v>5</v>
      </c>
      <c r="H216" s="218"/>
      <c r="I216" s="230">
        <f t="shared" si="21"/>
        <v>6.8</v>
      </c>
      <c r="J216" s="216">
        <v>2</v>
      </c>
      <c r="K216" s="216">
        <v>2</v>
      </c>
      <c r="L216" s="233"/>
      <c r="M216" s="236">
        <v>22</v>
      </c>
      <c r="N216" s="236">
        <v>33</v>
      </c>
      <c r="O216" s="236">
        <v>1.1000000000000001</v>
      </c>
      <c r="P216" s="236"/>
      <c r="Q216" s="236"/>
      <c r="R216" s="236"/>
      <c r="S216" s="236"/>
      <c r="T216" s="231"/>
      <c r="U216" s="231"/>
      <c r="V216" s="231"/>
      <c r="W216" s="242"/>
      <c r="X216" s="232"/>
      <c r="Y216" s="231"/>
      <c r="Z216" s="231"/>
      <c r="AA216" s="241"/>
      <c r="AB216" s="241"/>
      <c r="AC216" s="240"/>
      <c r="AD216" s="240"/>
      <c r="AE216" s="236"/>
      <c r="AF216" s="236"/>
      <c r="AG216" s="240">
        <v>0</v>
      </c>
      <c r="AH216" s="240">
        <f t="shared" si="22"/>
        <v>0</v>
      </c>
      <c r="AI216" s="236">
        <f t="shared" si="23"/>
        <v>0</v>
      </c>
      <c r="AJ216" s="252"/>
      <c r="AK216" s="233"/>
      <c r="AL216" s="216"/>
      <c r="AM216" s="236"/>
      <c r="AN216" s="231"/>
      <c r="AO216" s="231"/>
      <c r="AP216" s="231"/>
      <c r="AQ216" s="231"/>
      <c r="AR216" s="231"/>
      <c r="AS216" s="231"/>
      <c r="AT216" s="231"/>
      <c r="AU216" s="231"/>
      <c r="AV216" s="231"/>
      <c r="AW216" s="236"/>
      <c r="AX216" s="242"/>
      <c r="AY216" s="242"/>
      <c r="AZ216" s="242"/>
      <c r="BA216" s="242"/>
      <c r="BB216" s="242"/>
      <c r="BC216" s="242"/>
      <c r="BD216" s="242"/>
      <c r="BE216" s="231"/>
      <c r="BF216" s="242"/>
      <c r="BG216" s="242"/>
      <c r="BH216" s="242"/>
      <c r="BI216" s="242"/>
      <c r="BJ216" s="242"/>
      <c r="BK216" s="242"/>
      <c r="BL216" s="242"/>
      <c r="BM216" s="242"/>
      <c r="BN216" s="242"/>
      <c r="BO216" s="231">
        <v>0</v>
      </c>
      <c r="BP216" s="231"/>
      <c r="BQ216" s="231"/>
      <c r="BR216" s="231"/>
      <c r="BS216" s="231"/>
      <c r="BT216" s="231"/>
      <c r="BU216" s="231"/>
      <c r="BV216" s="231"/>
      <c r="BW216" s="231"/>
      <c r="BX216" s="231"/>
      <c r="BY216" s="231"/>
      <c r="BZ216" s="231"/>
      <c r="CA216" s="231"/>
      <c r="CB216" s="231"/>
      <c r="CC216" s="231"/>
      <c r="CD216" s="231"/>
      <c r="CE216" s="231"/>
      <c r="CF216" s="231"/>
      <c r="CG216" s="231"/>
      <c r="CH216" s="231"/>
      <c r="CI216" s="231"/>
    </row>
    <row r="217" spans="1:87" ht="25.2" customHeight="1" outlineLevel="1">
      <c r="A217" s="204">
        <v>203</v>
      </c>
      <c r="B217" s="207">
        <v>4120</v>
      </c>
      <c r="C217" s="208" t="s">
        <v>394</v>
      </c>
      <c r="D217" s="194" t="s">
        <v>181</v>
      </c>
      <c r="E217" s="209">
        <f t="shared" si="20"/>
        <v>24.4</v>
      </c>
      <c r="F217" s="216">
        <v>88.5</v>
      </c>
      <c r="G217" s="217">
        <v>1.4</v>
      </c>
      <c r="H217" s="218"/>
      <c r="I217" s="230">
        <f t="shared" si="21"/>
        <v>4.6999999999999904</v>
      </c>
      <c r="J217" s="216">
        <v>0.7</v>
      </c>
      <c r="K217" s="216">
        <v>5.4</v>
      </c>
      <c r="L217" s="233"/>
      <c r="M217" s="216">
        <v>12</v>
      </c>
      <c r="N217" s="216">
        <v>5</v>
      </c>
      <c r="O217" s="216">
        <v>1.3</v>
      </c>
      <c r="P217" s="216"/>
      <c r="Q217" s="216">
        <v>0.02</v>
      </c>
      <c r="R217" s="216">
        <v>0.03</v>
      </c>
      <c r="S217" s="216">
        <v>0.1</v>
      </c>
      <c r="T217" s="231"/>
      <c r="U217" s="231"/>
      <c r="V217" s="231"/>
      <c r="W217" s="242"/>
      <c r="X217" s="232"/>
      <c r="Y217" s="231"/>
      <c r="Z217" s="231"/>
      <c r="AA217" s="241"/>
      <c r="AB217" s="241"/>
      <c r="AC217" s="240"/>
      <c r="AD217" s="240"/>
      <c r="AE217" s="233"/>
      <c r="AF217" s="233"/>
      <c r="AG217" s="240">
        <v>0</v>
      </c>
      <c r="AH217" s="240">
        <f t="shared" si="22"/>
        <v>0</v>
      </c>
      <c r="AI217" s="236">
        <f t="shared" si="23"/>
        <v>1.5</v>
      </c>
      <c r="AJ217" s="252"/>
      <c r="AK217" s="233"/>
      <c r="AL217" s="216"/>
      <c r="AM217" s="236">
        <v>18</v>
      </c>
      <c r="AN217" s="231"/>
      <c r="AO217" s="231"/>
      <c r="AP217" s="231"/>
      <c r="AQ217" s="231"/>
      <c r="AR217" s="231"/>
      <c r="AS217" s="231"/>
      <c r="AT217" s="231"/>
      <c r="AU217" s="231"/>
      <c r="AV217" s="231"/>
      <c r="AW217" s="236"/>
      <c r="AX217" s="242"/>
      <c r="AY217" s="242"/>
      <c r="AZ217" s="242"/>
      <c r="BA217" s="242"/>
      <c r="BB217" s="242"/>
      <c r="BC217" s="242"/>
      <c r="BD217" s="242"/>
      <c r="BE217" s="231"/>
      <c r="BF217" s="242"/>
      <c r="BG217" s="242"/>
      <c r="BH217" s="242"/>
      <c r="BI217" s="242"/>
      <c r="BJ217" s="242"/>
      <c r="BK217" s="242"/>
      <c r="BL217" s="242"/>
      <c r="BM217" s="242"/>
      <c r="BN217" s="242"/>
      <c r="BO217" s="231">
        <v>0</v>
      </c>
      <c r="BP217" s="231"/>
      <c r="BQ217" s="231"/>
      <c r="BR217" s="231"/>
      <c r="BS217" s="231"/>
      <c r="BT217" s="231"/>
      <c r="BU217" s="231"/>
      <c r="BV217" s="231"/>
      <c r="BW217" s="231"/>
      <c r="BX217" s="231"/>
      <c r="BY217" s="231"/>
      <c r="BZ217" s="231"/>
      <c r="CA217" s="231"/>
      <c r="CB217" s="231"/>
      <c r="CC217" s="231"/>
      <c r="CD217" s="231"/>
      <c r="CE217" s="231"/>
      <c r="CF217" s="231"/>
      <c r="CG217" s="231"/>
      <c r="CH217" s="231"/>
      <c r="CI217" s="231"/>
    </row>
    <row r="218" spans="1:87" ht="25.2" customHeight="1" outlineLevel="1">
      <c r="A218" s="204">
        <v>204</v>
      </c>
      <c r="B218" s="207">
        <v>4121</v>
      </c>
      <c r="C218" s="208" t="s">
        <v>395</v>
      </c>
      <c r="D218" s="194" t="s">
        <v>181</v>
      </c>
      <c r="E218" s="209">
        <f t="shared" si="20"/>
        <v>28.8</v>
      </c>
      <c r="F218" s="216">
        <v>89.5</v>
      </c>
      <c r="G218" s="217">
        <v>1.3</v>
      </c>
      <c r="H218" s="218"/>
      <c r="I218" s="230">
        <f t="shared" si="21"/>
        <v>5.9000000000000101</v>
      </c>
      <c r="J218" s="216">
        <v>1.2</v>
      </c>
      <c r="K218" s="216">
        <v>3.3</v>
      </c>
      <c r="L218" s="233"/>
      <c r="M218" s="216">
        <v>50</v>
      </c>
      <c r="N218" s="216">
        <v>35</v>
      </c>
      <c r="O218" s="216">
        <v>1.2</v>
      </c>
      <c r="P218" s="216">
        <v>12.4</v>
      </c>
      <c r="Q218" s="216">
        <v>0.05</v>
      </c>
      <c r="R218" s="216">
        <v>0.1</v>
      </c>
      <c r="S218" s="216"/>
      <c r="T218" s="231">
        <v>812</v>
      </c>
      <c r="U218" s="231">
        <v>120</v>
      </c>
      <c r="V218" s="231">
        <v>102</v>
      </c>
      <c r="W218" s="242"/>
      <c r="X218" s="232"/>
      <c r="Y218" s="231"/>
      <c r="Z218" s="231"/>
      <c r="AA218" s="241"/>
      <c r="AB218" s="241"/>
      <c r="AC218" s="240"/>
      <c r="AD218" s="240"/>
      <c r="AE218" s="233"/>
      <c r="AF218" s="233"/>
      <c r="AG218" s="240">
        <v>0</v>
      </c>
      <c r="AH218" s="240">
        <f t="shared" si="22"/>
        <v>0</v>
      </c>
      <c r="AI218" s="236">
        <f t="shared" si="23"/>
        <v>0</v>
      </c>
      <c r="AJ218" s="252"/>
      <c r="AK218" s="233"/>
      <c r="AL218" s="216"/>
      <c r="AM218" s="236"/>
      <c r="AN218" s="231"/>
      <c r="AO218" s="231"/>
      <c r="AP218" s="231"/>
      <c r="AQ218" s="231"/>
      <c r="AR218" s="231"/>
      <c r="AS218" s="231"/>
      <c r="AT218" s="231"/>
      <c r="AU218" s="231"/>
      <c r="AV218" s="231"/>
      <c r="AW218" s="236"/>
      <c r="AX218" s="242"/>
      <c r="AY218" s="242"/>
      <c r="AZ218" s="242"/>
      <c r="BA218" s="242"/>
      <c r="BB218" s="242"/>
      <c r="BC218" s="242"/>
      <c r="BD218" s="242"/>
      <c r="BE218" s="231"/>
      <c r="BF218" s="242"/>
      <c r="BG218" s="242"/>
      <c r="BH218" s="242"/>
      <c r="BI218" s="242"/>
      <c r="BJ218" s="242"/>
      <c r="BK218" s="242"/>
      <c r="BL218" s="242"/>
      <c r="BM218" s="242"/>
      <c r="BN218" s="242"/>
      <c r="BO218" s="231">
        <v>0</v>
      </c>
      <c r="BP218" s="231"/>
      <c r="BQ218" s="231"/>
      <c r="BR218" s="231"/>
      <c r="BS218" s="231"/>
      <c r="BT218" s="231"/>
      <c r="BU218" s="231"/>
      <c r="BV218" s="231"/>
      <c r="BW218" s="231"/>
      <c r="BX218" s="231"/>
      <c r="BY218" s="231"/>
      <c r="BZ218" s="231"/>
      <c r="CA218" s="231"/>
      <c r="CB218" s="231"/>
      <c r="CC218" s="231"/>
      <c r="CD218" s="231"/>
      <c r="CE218" s="231"/>
      <c r="CF218" s="231"/>
      <c r="CG218" s="231"/>
      <c r="CH218" s="231"/>
      <c r="CI218" s="231"/>
    </row>
    <row r="219" spans="1:87" ht="25.2" customHeight="1" outlineLevel="1">
      <c r="A219" s="204">
        <v>205</v>
      </c>
      <c r="B219" s="207">
        <v>4122</v>
      </c>
      <c r="C219" s="208" t="s">
        <v>396</v>
      </c>
      <c r="D219" s="194" t="s">
        <v>181</v>
      </c>
      <c r="E219" s="209">
        <f t="shared" si="20"/>
        <v>25.2</v>
      </c>
      <c r="F219" s="216">
        <v>84.9</v>
      </c>
      <c r="G219" s="217">
        <v>2.5</v>
      </c>
      <c r="H219" s="218"/>
      <c r="I219" s="230">
        <f t="shared" si="21"/>
        <v>3.8</v>
      </c>
      <c r="J219" s="216">
        <v>2.2999999999999998</v>
      </c>
      <c r="K219" s="216">
        <v>8.8000000000000007</v>
      </c>
      <c r="L219" s="233"/>
      <c r="M219" s="236">
        <v>204</v>
      </c>
      <c r="N219" s="236">
        <v>33</v>
      </c>
      <c r="O219" s="236">
        <v>9</v>
      </c>
      <c r="P219" s="236"/>
      <c r="Q219" s="236"/>
      <c r="R219" s="236"/>
      <c r="S219" s="236"/>
      <c r="T219" s="231"/>
      <c r="U219" s="231"/>
      <c r="V219" s="231"/>
      <c r="W219" s="242"/>
      <c r="X219" s="232"/>
      <c r="Y219" s="231"/>
      <c r="Z219" s="231"/>
      <c r="AA219" s="241"/>
      <c r="AB219" s="241"/>
      <c r="AC219" s="240"/>
      <c r="AD219" s="240"/>
      <c r="AE219" s="236"/>
      <c r="AF219" s="236"/>
      <c r="AG219" s="240">
        <v>0</v>
      </c>
      <c r="AH219" s="240">
        <f t="shared" si="22"/>
        <v>0</v>
      </c>
      <c r="AI219" s="236">
        <f t="shared" si="23"/>
        <v>0</v>
      </c>
      <c r="AJ219" s="252"/>
      <c r="AK219" s="233"/>
      <c r="AL219" s="216"/>
      <c r="AM219" s="236"/>
      <c r="AN219" s="231"/>
      <c r="AO219" s="231"/>
      <c r="AP219" s="231"/>
      <c r="AQ219" s="231"/>
      <c r="AR219" s="231"/>
      <c r="AS219" s="231"/>
      <c r="AT219" s="231"/>
      <c r="AU219" s="231"/>
      <c r="AV219" s="231"/>
      <c r="AW219" s="236"/>
      <c r="AX219" s="242"/>
      <c r="AY219" s="242"/>
      <c r="AZ219" s="242"/>
      <c r="BA219" s="242"/>
      <c r="BB219" s="242"/>
      <c r="BC219" s="242"/>
      <c r="BD219" s="242"/>
      <c r="BE219" s="231"/>
      <c r="BF219" s="242"/>
      <c r="BG219" s="242"/>
      <c r="BH219" s="242"/>
      <c r="BI219" s="242"/>
      <c r="BJ219" s="242"/>
      <c r="BK219" s="242"/>
      <c r="BL219" s="242"/>
      <c r="BM219" s="242"/>
      <c r="BN219" s="242"/>
      <c r="BO219" s="231">
        <v>0</v>
      </c>
      <c r="BP219" s="231"/>
      <c r="BQ219" s="231"/>
      <c r="BR219" s="231"/>
      <c r="BS219" s="231"/>
      <c r="BT219" s="231"/>
      <c r="BU219" s="231"/>
      <c r="BV219" s="231"/>
      <c r="BW219" s="231"/>
      <c r="BX219" s="231"/>
      <c r="BY219" s="231"/>
      <c r="BZ219" s="231"/>
      <c r="CA219" s="231"/>
      <c r="CB219" s="231"/>
      <c r="CC219" s="231"/>
      <c r="CD219" s="231"/>
      <c r="CE219" s="231"/>
      <c r="CF219" s="231"/>
      <c r="CG219" s="231"/>
      <c r="CH219" s="231"/>
      <c r="CI219" s="231"/>
    </row>
    <row r="220" spans="1:87" s="169" customFormat="1" ht="7.05" customHeight="1">
      <c r="A220" s="196"/>
      <c r="B220" s="196"/>
      <c r="C220" s="197"/>
      <c r="D220" s="198"/>
      <c r="E220" s="199"/>
      <c r="F220" s="199"/>
      <c r="G220" s="200"/>
      <c r="H220" s="201"/>
      <c r="I220" s="228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  <c r="AD220" s="199"/>
      <c r="AE220" s="199"/>
      <c r="AF220" s="199"/>
      <c r="AG220" s="199"/>
      <c r="AH220" s="199"/>
      <c r="AI220" s="199"/>
      <c r="AJ220" s="250"/>
      <c r="AK220" s="199"/>
      <c r="AL220" s="199"/>
      <c r="AM220" s="199"/>
      <c r="AN220" s="199"/>
      <c r="AO220" s="199"/>
      <c r="AP220" s="199"/>
      <c r="AQ220" s="199"/>
      <c r="AR220" s="199"/>
      <c r="AS220" s="199"/>
      <c r="AT220" s="199"/>
      <c r="AU220" s="199"/>
      <c r="AV220" s="199"/>
      <c r="AW220" s="199"/>
      <c r="AX220" s="199"/>
      <c r="AY220" s="199"/>
      <c r="AZ220" s="199"/>
      <c r="BA220" s="199"/>
      <c r="BB220" s="199"/>
      <c r="BC220" s="199"/>
      <c r="BD220" s="199"/>
      <c r="BE220" s="199"/>
      <c r="BF220" s="199"/>
      <c r="BG220" s="199"/>
      <c r="BH220" s="199"/>
      <c r="BI220" s="199"/>
      <c r="BJ220" s="199"/>
      <c r="BK220" s="199"/>
      <c r="BL220" s="199"/>
      <c r="BM220" s="199"/>
      <c r="BN220" s="199"/>
      <c r="BO220" s="199"/>
      <c r="BP220" s="199"/>
      <c r="BQ220" s="199"/>
      <c r="BR220" s="199"/>
      <c r="BS220" s="199"/>
      <c r="BT220" s="199"/>
      <c r="BU220" s="199"/>
      <c r="BV220" s="199"/>
      <c r="BW220" s="199"/>
      <c r="BX220" s="199"/>
      <c r="BY220" s="199"/>
      <c r="BZ220" s="199"/>
      <c r="CA220" s="199"/>
      <c r="CB220" s="199"/>
      <c r="CC220" s="199"/>
      <c r="CD220" s="199"/>
      <c r="CE220" s="199"/>
      <c r="CF220" s="199"/>
      <c r="CG220" s="199"/>
      <c r="CH220" s="199"/>
      <c r="CI220" s="199"/>
    </row>
    <row r="221" spans="1:87" ht="25.2" customHeight="1">
      <c r="A221" s="202"/>
      <c r="B221" s="202"/>
      <c r="C221" s="203" t="s">
        <v>397</v>
      </c>
      <c r="D221" s="194"/>
      <c r="E221" s="240"/>
      <c r="F221" s="216"/>
      <c r="G221" s="217"/>
      <c r="H221" s="218"/>
      <c r="I221" s="230"/>
      <c r="J221" s="216"/>
      <c r="K221" s="216"/>
      <c r="L221" s="233"/>
      <c r="M221" s="216"/>
      <c r="N221" s="216"/>
      <c r="O221" s="216"/>
      <c r="P221" s="216"/>
      <c r="Q221" s="216"/>
      <c r="R221" s="216"/>
      <c r="S221" s="216"/>
      <c r="T221" s="231"/>
      <c r="U221" s="231"/>
      <c r="V221" s="231"/>
      <c r="W221" s="242"/>
      <c r="X221" s="232"/>
      <c r="Y221" s="231"/>
      <c r="Z221" s="231"/>
      <c r="AA221" s="241"/>
      <c r="AB221" s="241"/>
      <c r="AC221" s="240"/>
      <c r="AD221" s="240"/>
      <c r="AE221" s="233"/>
      <c r="AF221" s="233"/>
      <c r="AG221" s="240"/>
      <c r="AH221" s="240"/>
      <c r="AI221" s="236"/>
      <c r="AJ221" s="252"/>
      <c r="AK221" s="233"/>
      <c r="AL221" s="216"/>
      <c r="AM221" s="236"/>
      <c r="AN221" s="231"/>
      <c r="AO221" s="231"/>
      <c r="AP221" s="231"/>
      <c r="AQ221" s="231"/>
      <c r="AR221" s="231"/>
      <c r="AS221" s="231"/>
      <c r="AT221" s="231"/>
      <c r="AU221" s="231"/>
      <c r="AV221" s="231"/>
      <c r="AW221" s="236"/>
      <c r="AX221" s="242"/>
      <c r="AY221" s="242"/>
      <c r="AZ221" s="242"/>
      <c r="BA221" s="242"/>
      <c r="BB221" s="242"/>
      <c r="BC221" s="242"/>
      <c r="BD221" s="242"/>
      <c r="BE221" s="231"/>
      <c r="BF221" s="242"/>
      <c r="BG221" s="242"/>
      <c r="BH221" s="242"/>
      <c r="BI221" s="242"/>
      <c r="BJ221" s="242"/>
      <c r="BK221" s="242"/>
      <c r="BL221" s="242"/>
      <c r="BM221" s="242"/>
      <c r="BN221" s="242"/>
      <c r="BO221" s="231"/>
      <c r="BP221" s="231"/>
      <c r="BQ221" s="231"/>
      <c r="BR221" s="231"/>
      <c r="BS221" s="231"/>
      <c r="BT221" s="231"/>
      <c r="BU221" s="231"/>
      <c r="BV221" s="231"/>
      <c r="BW221" s="231"/>
      <c r="BX221" s="231"/>
      <c r="BY221" s="231"/>
      <c r="BZ221" s="231"/>
      <c r="CA221" s="231"/>
      <c r="CB221" s="231"/>
      <c r="CC221" s="231"/>
      <c r="CD221" s="231"/>
      <c r="CE221" s="231"/>
      <c r="CF221" s="231"/>
      <c r="CG221" s="231"/>
      <c r="CH221" s="231"/>
      <c r="CI221" s="231"/>
    </row>
    <row r="222" spans="1:87" ht="25.2" customHeight="1" outlineLevel="1">
      <c r="A222" s="204">
        <v>206</v>
      </c>
      <c r="B222" s="207">
        <v>4123</v>
      </c>
      <c r="C222" s="208" t="s">
        <v>398</v>
      </c>
      <c r="D222" s="194" t="s">
        <v>181</v>
      </c>
      <c r="E222" s="209">
        <f t="shared" ref="E222:E229" si="24">G222*4+H222*9+I222*4</f>
        <v>366.8</v>
      </c>
      <c r="F222" s="216">
        <v>7.5</v>
      </c>
      <c r="G222" s="217">
        <v>52.5</v>
      </c>
      <c r="H222" s="218">
        <v>3.2</v>
      </c>
      <c r="I222" s="230">
        <f t="shared" ref="I222:I229" si="25">100-SUM(F222,G222,H222,K222)</f>
        <v>32</v>
      </c>
      <c r="J222" s="216">
        <v>6.6</v>
      </c>
      <c r="K222" s="216">
        <v>4.8</v>
      </c>
      <c r="L222" s="233"/>
      <c r="M222" s="216">
        <v>44</v>
      </c>
      <c r="N222" s="216">
        <v>1291</v>
      </c>
      <c r="O222" s="216">
        <v>16.100000000000001</v>
      </c>
      <c r="P222" s="216"/>
      <c r="Q222" s="216">
        <v>2.33</v>
      </c>
      <c r="R222" s="216">
        <v>5.44</v>
      </c>
      <c r="S222" s="216">
        <v>36.700000000000003</v>
      </c>
      <c r="T222" s="231"/>
      <c r="U222" s="231"/>
      <c r="V222" s="231"/>
      <c r="W222" s="242"/>
      <c r="X222" s="232"/>
      <c r="Y222" s="231"/>
      <c r="Z222" s="231"/>
      <c r="AA222" s="241"/>
      <c r="AB222" s="241"/>
      <c r="AC222" s="240"/>
      <c r="AD222" s="240"/>
      <c r="AE222" s="233">
        <v>200</v>
      </c>
      <c r="AF222" s="233"/>
      <c r="AG222" s="240">
        <v>0</v>
      </c>
      <c r="AH222" s="240">
        <f t="shared" ref="AH222:AH229" si="26">AG222*3.33</f>
        <v>0</v>
      </c>
      <c r="AI222" s="236">
        <f t="shared" ref="AI222:AI229" si="27">AG222+AM222/12+AN222/24+AO222/24</f>
        <v>0</v>
      </c>
      <c r="AJ222" s="252"/>
      <c r="AK222" s="233"/>
      <c r="AL222" s="216"/>
      <c r="AM222" s="236"/>
      <c r="AN222" s="231"/>
      <c r="AO222" s="231"/>
      <c r="AP222" s="231"/>
      <c r="AQ222" s="231"/>
      <c r="AR222" s="231"/>
      <c r="AS222" s="231"/>
      <c r="AT222" s="231"/>
      <c r="AU222" s="231"/>
      <c r="AV222" s="231"/>
      <c r="AW222" s="236"/>
      <c r="AX222" s="242"/>
      <c r="AY222" s="242"/>
      <c r="AZ222" s="242"/>
      <c r="BA222" s="242"/>
      <c r="BB222" s="242"/>
      <c r="BC222" s="242"/>
      <c r="BD222" s="242"/>
      <c r="BE222" s="231"/>
      <c r="BF222" s="242"/>
      <c r="BG222" s="242"/>
      <c r="BH222" s="242"/>
      <c r="BI222" s="242"/>
      <c r="BJ222" s="242"/>
      <c r="BK222" s="242"/>
      <c r="BL222" s="242"/>
      <c r="BM222" s="242"/>
      <c r="BN222" s="242"/>
      <c r="BO222" s="231">
        <v>0</v>
      </c>
      <c r="BP222" s="231"/>
      <c r="BQ222" s="231"/>
      <c r="BR222" s="231"/>
      <c r="BS222" s="231"/>
      <c r="BT222" s="231"/>
      <c r="BU222" s="231"/>
      <c r="BV222" s="231"/>
      <c r="BW222" s="231"/>
      <c r="BX222" s="231"/>
      <c r="BY222" s="231"/>
      <c r="BZ222" s="231"/>
      <c r="CA222" s="231"/>
      <c r="CB222" s="231"/>
      <c r="CC222" s="231"/>
      <c r="CD222" s="231"/>
      <c r="CE222" s="231"/>
      <c r="CF222" s="231"/>
      <c r="CG222" s="231"/>
      <c r="CH222" s="231"/>
      <c r="CI222" s="231"/>
    </row>
    <row r="223" spans="1:87" ht="25.2" customHeight="1" outlineLevel="1">
      <c r="A223" s="204">
        <v>207</v>
      </c>
      <c r="B223" s="207">
        <v>4124</v>
      </c>
      <c r="C223" s="208" t="s">
        <v>399</v>
      </c>
      <c r="D223" s="194" t="s">
        <v>181</v>
      </c>
      <c r="E223" s="209">
        <f t="shared" si="24"/>
        <v>102.5</v>
      </c>
      <c r="F223" s="216">
        <v>74.599999999999994</v>
      </c>
      <c r="G223" s="217">
        <v>16.2</v>
      </c>
      <c r="H223" s="218">
        <v>1.3</v>
      </c>
      <c r="I223" s="230">
        <f t="shared" si="25"/>
        <v>6.5</v>
      </c>
      <c r="J223" s="216">
        <v>2</v>
      </c>
      <c r="K223" s="216">
        <v>1.4</v>
      </c>
      <c r="L223" s="233"/>
      <c r="M223" s="216">
        <v>30</v>
      </c>
      <c r="N223" s="216">
        <v>272</v>
      </c>
      <c r="O223" s="216">
        <v>5</v>
      </c>
      <c r="P223" s="216"/>
      <c r="Q223" s="216">
        <v>0.76500000000000001</v>
      </c>
      <c r="R223" s="216">
        <v>1.06</v>
      </c>
      <c r="S223" s="216">
        <v>8.27</v>
      </c>
      <c r="T223" s="231"/>
      <c r="U223" s="231"/>
      <c r="V223" s="231"/>
      <c r="W223" s="242"/>
      <c r="X223" s="232"/>
      <c r="Y223" s="231"/>
      <c r="Z223" s="231"/>
      <c r="AA223" s="241"/>
      <c r="AB223" s="241"/>
      <c r="AC223" s="240"/>
      <c r="AD223" s="240"/>
      <c r="AE223" s="233">
        <v>60</v>
      </c>
      <c r="AF223" s="233"/>
      <c r="AG223" s="240">
        <v>0</v>
      </c>
      <c r="AH223" s="240">
        <f t="shared" si="26"/>
        <v>0</v>
      </c>
      <c r="AI223" s="236">
        <f t="shared" si="27"/>
        <v>0</v>
      </c>
      <c r="AJ223" s="252"/>
      <c r="AK223" s="233"/>
      <c r="AL223" s="216"/>
      <c r="AM223" s="236"/>
      <c r="AN223" s="231"/>
      <c r="AO223" s="231"/>
      <c r="AP223" s="231"/>
      <c r="AQ223" s="231"/>
      <c r="AR223" s="231"/>
      <c r="AS223" s="231"/>
      <c r="AT223" s="231"/>
      <c r="AU223" s="231"/>
      <c r="AV223" s="231"/>
      <c r="AW223" s="236"/>
      <c r="AX223" s="242"/>
      <c r="AY223" s="242"/>
      <c r="AZ223" s="242"/>
      <c r="BA223" s="242"/>
      <c r="BB223" s="242"/>
      <c r="BC223" s="242"/>
      <c r="BD223" s="242"/>
      <c r="BE223" s="231"/>
      <c r="BF223" s="242"/>
      <c r="BG223" s="242"/>
      <c r="BH223" s="242"/>
      <c r="BI223" s="242"/>
      <c r="BJ223" s="242"/>
      <c r="BK223" s="242"/>
      <c r="BL223" s="242"/>
      <c r="BM223" s="242"/>
      <c r="BN223" s="242"/>
      <c r="BO223" s="231">
        <v>0</v>
      </c>
      <c r="BP223" s="231"/>
      <c r="BQ223" s="204">
        <v>949</v>
      </c>
      <c r="BR223" s="204">
        <v>203</v>
      </c>
      <c r="BS223" s="204">
        <v>226</v>
      </c>
      <c r="BT223" s="204">
        <v>633</v>
      </c>
      <c r="BU223" s="204">
        <v>678</v>
      </c>
      <c r="BV223" s="204">
        <v>881</v>
      </c>
      <c r="BW223" s="204">
        <v>1017</v>
      </c>
      <c r="BX223" s="204">
        <v>678</v>
      </c>
      <c r="BY223" s="204">
        <v>588</v>
      </c>
      <c r="BZ223" s="204">
        <v>362</v>
      </c>
      <c r="CA223" s="204">
        <v>158</v>
      </c>
      <c r="CB223" s="204">
        <v>678</v>
      </c>
      <c r="CC223" s="204">
        <v>994</v>
      </c>
      <c r="CD223" s="204">
        <v>1424</v>
      </c>
      <c r="CE223" s="204">
        <v>1876</v>
      </c>
      <c r="CF223" s="204">
        <v>655</v>
      </c>
      <c r="CG223" s="204">
        <v>633</v>
      </c>
      <c r="CH223" s="204">
        <v>746</v>
      </c>
      <c r="CI223" s="231"/>
    </row>
    <row r="224" spans="1:87" ht="25.2" customHeight="1" outlineLevel="1">
      <c r="A224" s="204">
        <v>208</v>
      </c>
      <c r="B224" s="207">
        <v>4125</v>
      </c>
      <c r="C224" s="208" t="s">
        <v>400</v>
      </c>
      <c r="D224" s="194" t="s">
        <v>181</v>
      </c>
      <c r="E224" s="209">
        <f t="shared" si="24"/>
        <v>332.2</v>
      </c>
      <c r="F224" s="216">
        <v>11.4</v>
      </c>
      <c r="G224" s="217">
        <v>10.6</v>
      </c>
      <c r="H224" s="218">
        <v>0.2</v>
      </c>
      <c r="I224" s="230">
        <f t="shared" si="25"/>
        <v>72</v>
      </c>
      <c r="J224" s="216">
        <v>7</v>
      </c>
      <c r="K224" s="216">
        <v>5.8</v>
      </c>
      <c r="L224" s="233"/>
      <c r="M224" s="216">
        <v>357</v>
      </c>
      <c r="N224" s="216">
        <v>201</v>
      </c>
      <c r="O224" s="216">
        <v>56.1</v>
      </c>
      <c r="P224" s="216">
        <v>1.4</v>
      </c>
      <c r="Q224" s="216">
        <v>0.15</v>
      </c>
      <c r="R224" s="216">
        <v>0.55000000000000004</v>
      </c>
      <c r="S224" s="216">
        <v>2.7</v>
      </c>
      <c r="T224" s="231">
        <v>70</v>
      </c>
      <c r="U224" s="231">
        <v>708</v>
      </c>
      <c r="V224" s="231">
        <v>146</v>
      </c>
      <c r="W224" s="242">
        <v>1.151</v>
      </c>
      <c r="X224" s="232">
        <v>7.52</v>
      </c>
      <c r="Y224" s="231">
        <v>5070</v>
      </c>
      <c r="Z224" s="231">
        <v>133.1</v>
      </c>
      <c r="AA224" s="241">
        <v>21.477</v>
      </c>
      <c r="AB224" s="241">
        <v>0.95</v>
      </c>
      <c r="AC224" s="240">
        <v>160</v>
      </c>
      <c r="AD224" s="240">
        <v>0</v>
      </c>
      <c r="AE224" s="233"/>
      <c r="AF224" s="233">
        <v>0</v>
      </c>
      <c r="AG224" s="240">
        <v>0</v>
      </c>
      <c r="AH224" s="240">
        <f t="shared" si="26"/>
        <v>0</v>
      </c>
      <c r="AI224" s="236">
        <f t="shared" si="27"/>
        <v>1.6666666666666701</v>
      </c>
      <c r="AJ224" s="252"/>
      <c r="AK224" s="233"/>
      <c r="AL224" s="216"/>
      <c r="AM224" s="236">
        <v>20</v>
      </c>
      <c r="AN224" s="231"/>
      <c r="AO224" s="231"/>
      <c r="AP224" s="231"/>
      <c r="AQ224" s="231"/>
      <c r="AR224" s="231"/>
      <c r="AS224" s="231"/>
      <c r="AT224" s="231"/>
      <c r="AU224" s="231"/>
      <c r="AV224" s="231"/>
      <c r="AW224" s="236"/>
      <c r="AX224" s="242"/>
      <c r="AY224" s="242"/>
      <c r="AZ224" s="242"/>
      <c r="BA224" s="242"/>
      <c r="BB224" s="242"/>
      <c r="BC224" s="242"/>
      <c r="BD224" s="242"/>
      <c r="BE224" s="231"/>
      <c r="BF224" s="242"/>
      <c r="BG224" s="242"/>
      <c r="BH224" s="242"/>
      <c r="BI224" s="242"/>
      <c r="BJ224" s="242"/>
      <c r="BK224" s="242"/>
      <c r="BL224" s="242"/>
      <c r="BM224" s="242"/>
      <c r="BN224" s="242"/>
      <c r="BO224" s="231">
        <v>0</v>
      </c>
      <c r="BP224" s="231"/>
      <c r="BQ224" s="231"/>
      <c r="BR224" s="231"/>
      <c r="BS224" s="231"/>
      <c r="BT224" s="231"/>
      <c r="BU224" s="231"/>
      <c r="BV224" s="231"/>
      <c r="BW224" s="231"/>
      <c r="BX224" s="231"/>
      <c r="BY224" s="231"/>
      <c r="BZ224" s="231"/>
      <c r="CA224" s="231"/>
      <c r="CB224" s="231"/>
      <c r="CC224" s="231"/>
      <c r="CD224" s="231"/>
      <c r="CE224" s="231"/>
      <c r="CF224" s="231"/>
      <c r="CG224" s="231"/>
      <c r="CH224" s="231"/>
      <c r="CI224" s="231"/>
    </row>
    <row r="225" spans="1:87" ht="25.2" customHeight="1" outlineLevel="1">
      <c r="A225" s="204">
        <v>209</v>
      </c>
      <c r="B225" s="207">
        <v>4126</v>
      </c>
      <c r="C225" s="208" t="s">
        <v>401</v>
      </c>
      <c r="D225" s="194" t="s">
        <v>181</v>
      </c>
      <c r="E225" s="209">
        <f t="shared" si="24"/>
        <v>342</v>
      </c>
      <c r="F225" s="216">
        <v>13</v>
      </c>
      <c r="G225" s="217">
        <v>36</v>
      </c>
      <c r="H225" s="218">
        <v>4</v>
      </c>
      <c r="I225" s="230">
        <f t="shared" si="25"/>
        <v>40.5</v>
      </c>
      <c r="J225" s="216">
        <v>17</v>
      </c>
      <c r="K225" s="216">
        <v>6.5</v>
      </c>
      <c r="L225" s="233"/>
      <c r="M225" s="216">
        <v>184</v>
      </c>
      <c r="N225" s="216">
        <v>606</v>
      </c>
      <c r="O225" s="216">
        <v>35</v>
      </c>
      <c r="P225" s="216"/>
      <c r="Q225" s="216">
        <v>0.16</v>
      </c>
      <c r="R225" s="216">
        <v>1.59</v>
      </c>
      <c r="S225" s="216">
        <v>23.4</v>
      </c>
      <c r="T225" s="231"/>
      <c r="U225" s="231"/>
      <c r="V225" s="231"/>
      <c r="W225" s="242"/>
      <c r="X225" s="232"/>
      <c r="Y225" s="231"/>
      <c r="Z225" s="231"/>
      <c r="AA225" s="241"/>
      <c r="AB225" s="241"/>
      <c r="AC225" s="240"/>
      <c r="AD225" s="240"/>
      <c r="AE225" s="233"/>
      <c r="AF225" s="233"/>
      <c r="AG225" s="240">
        <v>0</v>
      </c>
      <c r="AH225" s="240">
        <f t="shared" si="26"/>
        <v>0</v>
      </c>
      <c r="AI225" s="236">
        <f t="shared" si="27"/>
        <v>0</v>
      </c>
      <c r="AJ225" s="252"/>
      <c r="AK225" s="233"/>
      <c r="AL225" s="216"/>
      <c r="AM225" s="236"/>
      <c r="AN225" s="231"/>
      <c r="AO225" s="231"/>
      <c r="AP225" s="231"/>
      <c r="AQ225" s="231"/>
      <c r="AR225" s="231"/>
      <c r="AS225" s="231"/>
      <c r="AT225" s="231"/>
      <c r="AU225" s="231"/>
      <c r="AV225" s="231"/>
      <c r="AW225" s="236"/>
      <c r="AX225" s="242"/>
      <c r="AY225" s="242"/>
      <c r="AZ225" s="242"/>
      <c r="BA225" s="242"/>
      <c r="BB225" s="242"/>
      <c r="BC225" s="242"/>
      <c r="BD225" s="242"/>
      <c r="BE225" s="231"/>
      <c r="BF225" s="242"/>
      <c r="BG225" s="242"/>
      <c r="BH225" s="242"/>
      <c r="BI225" s="242"/>
      <c r="BJ225" s="242"/>
      <c r="BK225" s="242"/>
      <c r="BL225" s="242"/>
      <c r="BM225" s="242"/>
      <c r="BN225" s="242"/>
      <c r="BO225" s="231">
        <v>0</v>
      </c>
      <c r="BP225" s="231"/>
      <c r="BQ225" s="231"/>
      <c r="BR225" s="231"/>
      <c r="BS225" s="231"/>
      <c r="BT225" s="231"/>
      <c r="BU225" s="231"/>
      <c r="BV225" s="231"/>
      <c r="BW225" s="231"/>
      <c r="BX225" s="231"/>
      <c r="BY225" s="231"/>
      <c r="BZ225" s="231"/>
      <c r="CA225" s="231"/>
      <c r="CB225" s="231"/>
      <c r="CC225" s="231"/>
      <c r="CD225" s="231"/>
      <c r="CE225" s="231"/>
      <c r="CF225" s="231"/>
      <c r="CG225" s="231"/>
      <c r="CH225" s="231"/>
      <c r="CI225" s="231"/>
    </row>
    <row r="226" spans="1:87" ht="25.2" customHeight="1" outlineLevel="1">
      <c r="A226" s="204">
        <v>210</v>
      </c>
      <c r="B226" s="207">
        <v>4127</v>
      </c>
      <c r="C226" s="208" t="s">
        <v>402</v>
      </c>
      <c r="D226" s="194" t="s">
        <v>181</v>
      </c>
      <c r="E226" s="209">
        <f t="shared" si="24"/>
        <v>50.9</v>
      </c>
      <c r="F226" s="216">
        <v>87</v>
      </c>
      <c r="G226" s="217">
        <v>5.5</v>
      </c>
      <c r="H226" s="218">
        <v>0.5</v>
      </c>
      <c r="I226" s="230">
        <f t="shared" si="25"/>
        <v>6.0999999999999899</v>
      </c>
      <c r="J226" s="216">
        <v>3</v>
      </c>
      <c r="K226" s="216">
        <v>0.9</v>
      </c>
      <c r="L226" s="233"/>
      <c r="M226" s="236">
        <v>27</v>
      </c>
      <c r="N226" s="236">
        <v>89</v>
      </c>
      <c r="O226" s="236">
        <v>5.2</v>
      </c>
      <c r="P226" s="236"/>
      <c r="Q226" s="236"/>
      <c r="R226" s="236"/>
      <c r="S226" s="236"/>
      <c r="T226" s="231"/>
      <c r="U226" s="231"/>
      <c r="V226" s="231"/>
      <c r="W226" s="242"/>
      <c r="X226" s="232"/>
      <c r="Y226" s="231"/>
      <c r="Z226" s="231"/>
      <c r="AA226" s="241"/>
      <c r="AB226" s="241"/>
      <c r="AC226" s="240"/>
      <c r="AD226" s="240"/>
      <c r="AE226" s="236"/>
      <c r="AF226" s="236"/>
      <c r="AG226" s="240">
        <v>0</v>
      </c>
      <c r="AH226" s="240">
        <f t="shared" si="26"/>
        <v>0</v>
      </c>
      <c r="AI226" s="236">
        <f t="shared" si="27"/>
        <v>0</v>
      </c>
      <c r="AJ226" s="252"/>
      <c r="AK226" s="233"/>
      <c r="AL226" s="216"/>
      <c r="AM226" s="236"/>
      <c r="AN226" s="231"/>
      <c r="AO226" s="231"/>
      <c r="AP226" s="231"/>
      <c r="AQ226" s="231"/>
      <c r="AR226" s="231"/>
      <c r="AS226" s="231"/>
      <c r="AT226" s="231"/>
      <c r="AU226" s="231"/>
      <c r="AV226" s="231"/>
      <c r="AW226" s="236"/>
      <c r="AX226" s="242"/>
      <c r="AY226" s="242"/>
      <c r="AZ226" s="242"/>
      <c r="BA226" s="242"/>
      <c r="BB226" s="242"/>
      <c r="BC226" s="242"/>
      <c r="BD226" s="242"/>
      <c r="BE226" s="231"/>
      <c r="BF226" s="242"/>
      <c r="BG226" s="242"/>
      <c r="BH226" s="242"/>
      <c r="BI226" s="242"/>
      <c r="BJ226" s="242"/>
      <c r="BK226" s="242"/>
      <c r="BL226" s="242"/>
      <c r="BM226" s="242"/>
      <c r="BN226" s="242"/>
      <c r="BO226" s="231">
        <v>0</v>
      </c>
      <c r="BP226" s="231"/>
      <c r="BQ226" s="231"/>
      <c r="BR226" s="231"/>
      <c r="BS226" s="231"/>
      <c r="BT226" s="231"/>
      <c r="BU226" s="231"/>
      <c r="BV226" s="231"/>
      <c r="BW226" s="231"/>
      <c r="BX226" s="231"/>
      <c r="BY226" s="231"/>
      <c r="BZ226" s="231"/>
      <c r="CA226" s="231"/>
      <c r="CB226" s="231"/>
      <c r="CC226" s="231"/>
      <c r="CD226" s="231"/>
      <c r="CE226" s="231"/>
      <c r="CF226" s="231"/>
      <c r="CG226" s="231"/>
      <c r="CH226" s="231"/>
      <c r="CI226" s="231"/>
    </row>
    <row r="227" spans="1:87" ht="25.2" customHeight="1" outlineLevel="1">
      <c r="A227" s="204">
        <v>211</v>
      </c>
      <c r="B227" s="207">
        <v>4128</v>
      </c>
      <c r="C227" s="208" t="s">
        <v>403</v>
      </c>
      <c r="D227" s="194" t="s">
        <v>181</v>
      </c>
      <c r="E227" s="209">
        <f t="shared" si="24"/>
        <v>36.700000000000003</v>
      </c>
      <c r="F227" s="216">
        <v>90.4</v>
      </c>
      <c r="G227" s="217">
        <v>4</v>
      </c>
      <c r="H227" s="218">
        <v>0.3</v>
      </c>
      <c r="I227" s="230">
        <f t="shared" si="25"/>
        <v>4.5</v>
      </c>
      <c r="J227" s="216">
        <v>1.1000000000000001</v>
      </c>
      <c r="K227" s="216">
        <v>0.8</v>
      </c>
      <c r="L227" s="233"/>
      <c r="M227" s="216">
        <v>28</v>
      </c>
      <c r="N227" s="216">
        <v>80</v>
      </c>
      <c r="O227" s="216">
        <v>1.3</v>
      </c>
      <c r="P227" s="216">
        <v>4</v>
      </c>
      <c r="Q227" s="216">
        <v>0.11</v>
      </c>
      <c r="R227" s="216">
        <v>0.16</v>
      </c>
      <c r="S227" s="216">
        <v>3.3</v>
      </c>
      <c r="T227" s="240">
        <v>12</v>
      </c>
      <c r="U227" s="240">
        <v>322</v>
      </c>
      <c r="V227" s="240">
        <v>14</v>
      </c>
      <c r="W227" s="241">
        <v>0.1</v>
      </c>
      <c r="X227" s="233">
        <v>0.3</v>
      </c>
      <c r="Y227" s="240">
        <v>1790</v>
      </c>
      <c r="Z227" s="216">
        <v>13</v>
      </c>
      <c r="AA227" s="241"/>
      <c r="AB227" s="241"/>
      <c r="AC227" s="240"/>
      <c r="AD227" s="240"/>
      <c r="AE227" s="233">
        <v>16</v>
      </c>
      <c r="AF227" s="233"/>
      <c r="AG227" s="240">
        <v>0</v>
      </c>
      <c r="AH227" s="240">
        <f t="shared" si="26"/>
        <v>0</v>
      </c>
      <c r="AI227" s="236">
        <f t="shared" si="27"/>
        <v>0.83333333333333304</v>
      </c>
      <c r="AJ227" s="252"/>
      <c r="AK227" s="233"/>
      <c r="AL227" s="216"/>
      <c r="AM227" s="236">
        <v>10</v>
      </c>
      <c r="AN227" s="231"/>
      <c r="AO227" s="231"/>
      <c r="AP227" s="231"/>
      <c r="AQ227" s="231"/>
      <c r="AR227" s="231"/>
      <c r="AS227" s="231"/>
      <c r="AT227" s="231"/>
      <c r="AU227" s="231"/>
      <c r="AV227" s="231">
        <v>58</v>
      </c>
      <c r="AW227" s="236"/>
      <c r="AX227" s="242"/>
      <c r="AY227" s="242"/>
      <c r="AZ227" s="242"/>
      <c r="BA227" s="242"/>
      <c r="BB227" s="242"/>
      <c r="BC227" s="242"/>
      <c r="BD227" s="242"/>
      <c r="BE227" s="231"/>
      <c r="BF227" s="242"/>
      <c r="BG227" s="242"/>
      <c r="BH227" s="242"/>
      <c r="BI227" s="242"/>
      <c r="BJ227" s="242"/>
      <c r="BK227" s="242"/>
      <c r="BL227" s="242"/>
      <c r="BM227" s="242"/>
      <c r="BN227" s="242"/>
      <c r="BO227" s="231">
        <v>0</v>
      </c>
      <c r="BP227" s="231"/>
      <c r="BQ227" s="204">
        <v>259</v>
      </c>
      <c r="BR227" s="204">
        <v>62</v>
      </c>
      <c r="BS227" s="204">
        <v>25</v>
      </c>
      <c r="BT227" s="204">
        <v>92</v>
      </c>
      <c r="BU227" s="204">
        <v>90</v>
      </c>
      <c r="BV227" s="204">
        <v>71</v>
      </c>
      <c r="BW227" s="204">
        <v>206</v>
      </c>
      <c r="BX227" s="204">
        <v>95</v>
      </c>
      <c r="BY227" s="204">
        <v>112</v>
      </c>
      <c r="BZ227" s="204">
        <v>121</v>
      </c>
      <c r="CA227" s="204">
        <v>105</v>
      </c>
      <c r="CB227" s="204">
        <v>90</v>
      </c>
      <c r="CC227" s="204">
        <v>121</v>
      </c>
      <c r="CD227" s="204">
        <v>228</v>
      </c>
      <c r="CE227" s="204">
        <v>342</v>
      </c>
      <c r="CF227" s="204">
        <v>91</v>
      </c>
      <c r="CG227" s="204">
        <v>115</v>
      </c>
      <c r="CH227" s="204">
        <v>100</v>
      </c>
      <c r="CI227" s="231"/>
    </row>
    <row r="228" spans="1:87" ht="25.2" customHeight="1" outlineLevel="1">
      <c r="A228" s="204">
        <v>212</v>
      </c>
      <c r="B228" s="207">
        <v>4129</v>
      </c>
      <c r="C228" s="208" t="s">
        <v>404</v>
      </c>
      <c r="D228" s="194" t="s">
        <v>181</v>
      </c>
      <c r="E228" s="209">
        <f t="shared" si="24"/>
        <v>61.2</v>
      </c>
      <c r="F228" s="216">
        <v>87.9</v>
      </c>
      <c r="G228" s="217">
        <v>3.6</v>
      </c>
      <c r="H228" s="218">
        <v>3.2</v>
      </c>
      <c r="I228" s="230">
        <f t="shared" si="25"/>
        <v>4.5</v>
      </c>
      <c r="J228" s="216">
        <v>1.1000000000000001</v>
      </c>
      <c r="K228" s="216">
        <v>0.8</v>
      </c>
      <c r="L228" s="233"/>
      <c r="M228" s="216">
        <v>28</v>
      </c>
      <c r="N228" s="216">
        <v>80</v>
      </c>
      <c r="O228" s="216">
        <v>1.2</v>
      </c>
      <c r="P228" s="216">
        <v>2</v>
      </c>
      <c r="Q228" s="216">
        <v>0.12</v>
      </c>
      <c r="R228" s="216">
        <v>0.33</v>
      </c>
      <c r="S228" s="216">
        <v>9.1</v>
      </c>
      <c r="T228" s="231"/>
      <c r="U228" s="231"/>
      <c r="V228" s="231"/>
      <c r="W228" s="242"/>
      <c r="X228" s="232"/>
      <c r="Y228" s="231"/>
      <c r="Z228" s="231"/>
      <c r="AA228" s="241"/>
      <c r="AB228" s="241"/>
      <c r="AC228" s="240"/>
      <c r="AD228" s="240"/>
      <c r="AE228" s="233"/>
      <c r="AF228" s="233"/>
      <c r="AG228" s="240">
        <v>0</v>
      </c>
      <c r="AH228" s="240">
        <f t="shared" si="26"/>
        <v>0</v>
      </c>
      <c r="AI228" s="236">
        <f t="shared" si="27"/>
        <v>0</v>
      </c>
      <c r="AJ228" s="252"/>
      <c r="AK228" s="233"/>
      <c r="AL228" s="216"/>
      <c r="AM228" s="236">
        <v>0</v>
      </c>
      <c r="AN228" s="231"/>
      <c r="AO228" s="231"/>
      <c r="AP228" s="231"/>
      <c r="AQ228" s="231"/>
      <c r="AR228" s="231"/>
      <c r="AS228" s="231"/>
      <c r="AT228" s="231"/>
      <c r="AU228" s="231"/>
      <c r="AV228" s="231"/>
      <c r="AW228" s="236"/>
      <c r="AX228" s="242"/>
      <c r="AY228" s="242"/>
      <c r="AZ228" s="242"/>
      <c r="BA228" s="242"/>
      <c r="BB228" s="242"/>
      <c r="BC228" s="242"/>
      <c r="BD228" s="242"/>
      <c r="BE228" s="231"/>
      <c r="BF228" s="242"/>
      <c r="BG228" s="242"/>
      <c r="BH228" s="242"/>
      <c r="BI228" s="242"/>
      <c r="BJ228" s="242"/>
      <c r="BK228" s="242"/>
      <c r="BL228" s="242"/>
      <c r="BM228" s="242"/>
      <c r="BN228" s="242"/>
      <c r="BO228" s="231">
        <v>0</v>
      </c>
      <c r="BP228" s="231"/>
      <c r="BQ228" s="204"/>
      <c r="BR228" s="204"/>
      <c r="BS228" s="204"/>
      <c r="BT228" s="204"/>
      <c r="BU228" s="204"/>
      <c r="BV228" s="204"/>
      <c r="BW228" s="204"/>
      <c r="BX228" s="204"/>
      <c r="BY228" s="204"/>
      <c r="BZ228" s="204"/>
      <c r="CA228" s="204"/>
      <c r="CB228" s="204"/>
      <c r="CC228" s="204"/>
      <c r="CD228" s="204"/>
      <c r="CE228" s="204"/>
      <c r="CF228" s="204"/>
      <c r="CG228" s="204"/>
      <c r="CH228" s="204"/>
      <c r="CI228" s="231"/>
    </row>
    <row r="229" spans="1:87" ht="25.2" customHeight="1" outlineLevel="1">
      <c r="A229" s="204">
        <v>213</v>
      </c>
      <c r="B229" s="207">
        <v>4130</v>
      </c>
      <c r="C229" s="208" t="s">
        <v>405</v>
      </c>
      <c r="D229" s="194" t="s">
        <v>181</v>
      </c>
      <c r="E229" s="209">
        <f t="shared" si="24"/>
        <v>48.4</v>
      </c>
      <c r="F229" s="216">
        <v>88</v>
      </c>
      <c r="G229" s="217">
        <v>4.5999999999999996</v>
      </c>
      <c r="H229" s="218">
        <v>0.8</v>
      </c>
      <c r="I229" s="230">
        <f t="shared" si="25"/>
        <v>5.7</v>
      </c>
      <c r="J229" s="216">
        <v>3.5</v>
      </c>
      <c r="K229" s="216">
        <v>0.9</v>
      </c>
      <c r="L229" s="233">
        <v>1.65</v>
      </c>
      <c r="M229" s="216">
        <v>2.2999999999999998</v>
      </c>
      <c r="N229" s="216">
        <v>59</v>
      </c>
      <c r="O229" s="216">
        <v>0.7</v>
      </c>
      <c r="P229" s="216">
        <v>6</v>
      </c>
      <c r="Q229" s="216">
        <v>0.25</v>
      </c>
      <c r="R229" s="216">
        <v>0.3</v>
      </c>
      <c r="S229" s="216">
        <v>5.2</v>
      </c>
      <c r="T229" s="231">
        <v>5</v>
      </c>
      <c r="U229" s="231">
        <v>318</v>
      </c>
      <c r="V229" s="231">
        <v>9</v>
      </c>
      <c r="W229" s="242">
        <v>4.7E-2</v>
      </c>
      <c r="X229" s="232">
        <v>0.52</v>
      </c>
      <c r="Y229" s="231">
        <v>318</v>
      </c>
      <c r="Z229" s="231">
        <v>9.3000000000000007</v>
      </c>
      <c r="AA229" s="241">
        <v>1.4970000000000001</v>
      </c>
      <c r="AB229" s="241">
        <v>0.104</v>
      </c>
      <c r="AC229" s="240">
        <v>16</v>
      </c>
      <c r="AD229" s="240">
        <v>0</v>
      </c>
      <c r="AE229" s="233"/>
      <c r="AF229" s="233">
        <v>0</v>
      </c>
      <c r="AG229" s="240">
        <v>0</v>
      </c>
      <c r="AH229" s="240">
        <f t="shared" si="26"/>
        <v>0</v>
      </c>
      <c r="AI229" s="236">
        <f t="shared" si="27"/>
        <v>0.83333333333333304</v>
      </c>
      <c r="AJ229" s="252">
        <v>1.9</v>
      </c>
      <c r="AK229" s="233">
        <v>0.01</v>
      </c>
      <c r="AL229" s="216">
        <v>0</v>
      </c>
      <c r="AM229" s="236">
        <v>10</v>
      </c>
      <c r="AN229" s="231"/>
      <c r="AO229" s="231"/>
      <c r="AP229" s="231"/>
      <c r="AQ229" s="231"/>
      <c r="AR229" s="231"/>
      <c r="AS229" s="231"/>
      <c r="AT229" s="231"/>
      <c r="AU229" s="231"/>
      <c r="AV229" s="231"/>
      <c r="AW229" s="236">
        <v>0.05</v>
      </c>
      <c r="AX229" s="242">
        <v>0.04</v>
      </c>
      <c r="AY229" s="242">
        <v>0</v>
      </c>
      <c r="AZ229" s="242">
        <v>0.01</v>
      </c>
      <c r="BA229" s="242">
        <v>0</v>
      </c>
      <c r="BB229" s="242">
        <v>0</v>
      </c>
      <c r="BC229" s="242">
        <v>0</v>
      </c>
      <c r="BD229" s="242">
        <v>0</v>
      </c>
      <c r="BE229" s="231">
        <v>0</v>
      </c>
      <c r="BF229" s="231">
        <v>0</v>
      </c>
      <c r="BG229" s="231">
        <v>0</v>
      </c>
      <c r="BH229" s="242">
        <v>0.16</v>
      </c>
      <c r="BI229" s="242">
        <v>0.16</v>
      </c>
      <c r="BJ229" s="242">
        <v>0</v>
      </c>
      <c r="BK229" s="242">
        <v>0</v>
      </c>
      <c r="BL229" s="242">
        <v>0</v>
      </c>
      <c r="BM229" s="242">
        <v>0</v>
      </c>
      <c r="BN229" s="242"/>
      <c r="BO229" s="231">
        <v>0</v>
      </c>
      <c r="BP229" s="231"/>
      <c r="BQ229" s="231">
        <v>107</v>
      </c>
      <c r="BR229" s="231">
        <v>31</v>
      </c>
      <c r="BS229" s="231">
        <v>35</v>
      </c>
      <c r="BT229" s="231">
        <v>85</v>
      </c>
      <c r="BU229" s="231">
        <v>107</v>
      </c>
      <c r="BV229" s="231">
        <v>232</v>
      </c>
      <c r="BW229" s="231">
        <v>120</v>
      </c>
      <c r="BX229" s="231">
        <v>76</v>
      </c>
      <c r="BY229" s="231">
        <v>78</v>
      </c>
      <c r="BZ229" s="231">
        <v>57</v>
      </c>
      <c r="CA229" s="231">
        <v>12</v>
      </c>
      <c r="CB229" s="231">
        <v>44</v>
      </c>
      <c r="CC229" s="231">
        <v>199</v>
      </c>
      <c r="CD229" s="231">
        <v>195</v>
      </c>
      <c r="CE229" s="231">
        <v>343</v>
      </c>
      <c r="CF229" s="231">
        <v>92</v>
      </c>
      <c r="CG229" s="231">
        <v>76</v>
      </c>
      <c r="CH229" s="231">
        <v>94</v>
      </c>
      <c r="CI229" s="231"/>
    </row>
    <row r="230" spans="1:87" s="169" customFormat="1" ht="7.05" customHeight="1">
      <c r="A230" s="196"/>
      <c r="B230" s="196"/>
      <c r="C230" s="197"/>
      <c r="D230" s="198"/>
      <c r="E230" s="199"/>
      <c r="F230" s="199"/>
      <c r="G230" s="200"/>
      <c r="H230" s="201"/>
      <c r="I230" s="228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  <c r="AD230" s="199"/>
      <c r="AE230" s="199"/>
      <c r="AF230" s="199"/>
      <c r="AG230" s="199"/>
      <c r="AH230" s="199"/>
      <c r="AI230" s="199"/>
      <c r="AJ230" s="250"/>
      <c r="AK230" s="199"/>
      <c r="AL230" s="199"/>
      <c r="AM230" s="199"/>
      <c r="AN230" s="199"/>
      <c r="AO230" s="199"/>
      <c r="AP230" s="199"/>
      <c r="AQ230" s="199"/>
      <c r="AR230" s="199"/>
      <c r="AS230" s="199"/>
      <c r="AT230" s="199"/>
      <c r="AU230" s="199"/>
      <c r="AV230" s="199"/>
      <c r="AW230" s="199"/>
      <c r="AX230" s="199"/>
      <c r="AY230" s="199"/>
      <c r="AZ230" s="199"/>
      <c r="BA230" s="199"/>
      <c r="BB230" s="199"/>
      <c r="BC230" s="199"/>
      <c r="BD230" s="199"/>
      <c r="BE230" s="199"/>
      <c r="BF230" s="199"/>
      <c r="BG230" s="199"/>
      <c r="BH230" s="199"/>
      <c r="BI230" s="199"/>
      <c r="BJ230" s="199"/>
      <c r="BK230" s="199"/>
      <c r="BL230" s="199"/>
      <c r="BM230" s="199"/>
      <c r="BN230" s="199"/>
      <c r="BO230" s="199"/>
      <c r="BP230" s="199"/>
      <c r="BQ230" s="199"/>
      <c r="BR230" s="199"/>
      <c r="BS230" s="199"/>
      <c r="BT230" s="199"/>
      <c r="BU230" s="199"/>
      <c r="BV230" s="199"/>
      <c r="BW230" s="199"/>
      <c r="BX230" s="199"/>
      <c r="BY230" s="199"/>
      <c r="BZ230" s="199"/>
      <c r="CA230" s="199"/>
      <c r="CB230" s="199"/>
      <c r="CC230" s="199"/>
      <c r="CD230" s="199"/>
      <c r="CE230" s="199"/>
      <c r="CF230" s="199"/>
      <c r="CG230" s="199"/>
      <c r="CH230" s="199"/>
      <c r="CI230" s="199"/>
    </row>
    <row r="231" spans="1:87" ht="25.2" customHeight="1">
      <c r="A231" s="202" t="s">
        <v>406</v>
      </c>
      <c r="B231" s="202"/>
      <c r="C231" s="203" t="s">
        <v>407</v>
      </c>
      <c r="D231" s="194"/>
      <c r="E231" s="209"/>
      <c r="F231" s="204"/>
      <c r="G231" s="205"/>
      <c r="H231" s="206"/>
      <c r="I231" s="230"/>
      <c r="J231" s="204"/>
      <c r="K231" s="204"/>
      <c r="L231" s="213"/>
      <c r="M231" s="237"/>
      <c r="N231" s="237"/>
      <c r="O231" s="237"/>
      <c r="P231" s="237"/>
      <c r="Q231" s="237"/>
      <c r="R231" s="237"/>
      <c r="S231" s="237"/>
      <c r="T231" s="231"/>
      <c r="U231" s="231"/>
      <c r="V231" s="231"/>
      <c r="W231" s="242"/>
      <c r="X231" s="232"/>
      <c r="Y231" s="231"/>
      <c r="Z231" s="231"/>
      <c r="AA231" s="244"/>
      <c r="AB231" s="244"/>
      <c r="AC231" s="243"/>
      <c r="AD231" s="243"/>
      <c r="AE231" s="204"/>
      <c r="AF231" s="204"/>
      <c r="AG231" s="243"/>
      <c r="AH231" s="243"/>
      <c r="AI231" s="204"/>
      <c r="AJ231" s="253"/>
      <c r="AK231" s="213"/>
      <c r="AL231" s="237"/>
      <c r="AM231" s="204"/>
      <c r="AN231" s="231"/>
      <c r="AO231" s="231"/>
      <c r="AP231" s="231"/>
      <c r="AQ231" s="231"/>
      <c r="AR231" s="231"/>
      <c r="AS231" s="231"/>
      <c r="AT231" s="231"/>
      <c r="AU231" s="231"/>
      <c r="AV231" s="231"/>
      <c r="AW231" s="204"/>
      <c r="AX231" s="242"/>
      <c r="AY231" s="242"/>
      <c r="AZ231" s="242"/>
      <c r="BA231" s="242"/>
      <c r="BB231" s="242"/>
      <c r="BC231" s="242"/>
      <c r="BD231" s="242"/>
      <c r="BE231" s="231"/>
      <c r="BF231" s="242"/>
      <c r="BG231" s="242"/>
      <c r="BH231" s="242"/>
      <c r="BI231" s="242"/>
      <c r="BJ231" s="242"/>
      <c r="BK231" s="242"/>
      <c r="BL231" s="242"/>
      <c r="BM231" s="242"/>
      <c r="BN231" s="242"/>
      <c r="BO231" s="231"/>
      <c r="BP231" s="231"/>
      <c r="BQ231" s="231"/>
      <c r="BR231" s="231"/>
      <c r="BS231" s="231"/>
      <c r="BT231" s="231"/>
      <c r="BU231" s="231"/>
      <c r="BV231" s="231"/>
      <c r="BW231" s="231"/>
      <c r="BX231" s="231"/>
      <c r="BY231" s="231"/>
      <c r="BZ231" s="231"/>
      <c r="CA231" s="231"/>
      <c r="CB231" s="231"/>
      <c r="CC231" s="231"/>
      <c r="CD231" s="231"/>
      <c r="CE231" s="231"/>
      <c r="CF231" s="231"/>
      <c r="CG231" s="231"/>
      <c r="CH231" s="231"/>
      <c r="CI231" s="231"/>
    </row>
    <row r="232" spans="1:87" ht="25.2" customHeight="1" outlineLevel="1">
      <c r="A232" s="204">
        <v>214</v>
      </c>
      <c r="B232" s="207">
        <v>5001</v>
      </c>
      <c r="C232" s="208" t="s">
        <v>408</v>
      </c>
      <c r="D232" s="194" t="s">
        <v>181</v>
      </c>
      <c r="E232" s="209">
        <f t="shared" ref="E232:E287" si="28">G232*4+H232*9+I232*4</f>
        <v>32.799999999999898</v>
      </c>
      <c r="F232" s="216">
        <v>91.4</v>
      </c>
      <c r="G232" s="217">
        <v>0.2</v>
      </c>
      <c r="H232" s="218"/>
      <c r="I232" s="230">
        <f t="shared" ref="I232:I287" si="29">100-SUM(F232,G232,H232,K232)</f>
        <v>7.9999999999999902</v>
      </c>
      <c r="J232" s="216">
        <v>0.7</v>
      </c>
      <c r="K232" s="216">
        <v>0.4</v>
      </c>
      <c r="L232" s="233"/>
      <c r="M232" s="216">
        <v>23</v>
      </c>
      <c r="N232" s="216">
        <v>18</v>
      </c>
      <c r="O232" s="216">
        <v>0.5</v>
      </c>
      <c r="P232" s="216">
        <v>95</v>
      </c>
      <c r="Q232" s="216">
        <v>0.04</v>
      </c>
      <c r="R232" s="216">
        <v>0.02</v>
      </c>
      <c r="S232" s="216">
        <v>0.3</v>
      </c>
      <c r="T232" s="240">
        <v>2.6</v>
      </c>
      <c r="U232" s="240">
        <v>158.69999999999999</v>
      </c>
      <c r="V232" s="240">
        <v>6</v>
      </c>
      <c r="W232" s="241">
        <v>0.02</v>
      </c>
      <c r="X232" s="233">
        <v>0.16</v>
      </c>
      <c r="Y232" s="240">
        <v>120</v>
      </c>
      <c r="Z232" s="216"/>
      <c r="AA232" s="241"/>
      <c r="AB232" s="241">
        <v>3.5999999999999997E-2</v>
      </c>
      <c r="AC232" s="240"/>
      <c r="AD232" s="240"/>
      <c r="AE232" s="233"/>
      <c r="AF232" s="233"/>
      <c r="AG232" s="240">
        <v>0</v>
      </c>
      <c r="AH232" s="240">
        <f t="shared" ref="AH232:AH287" si="30">AG232*3.33</f>
        <v>0</v>
      </c>
      <c r="AI232" s="236">
        <f t="shared" ref="AI232:AI287" si="31">AG232+AM232/12+AN232/24+AO232/24</f>
        <v>0.41666666666666702</v>
      </c>
      <c r="AJ232" s="252"/>
      <c r="AK232" s="233"/>
      <c r="AL232" s="216"/>
      <c r="AM232" s="236">
        <v>0</v>
      </c>
      <c r="AN232" s="231">
        <v>0</v>
      </c>
      <c r="AO232" s="231">
        <v>10</v>
      </c>
      <c r="AP232" s="231">
        <v>0</v>
      </c>
      <c r="AQ232" s="231">
        <v>0</v>
      </c>
      <c r="AR232" s="231"/>
      <c r="AS232" s="231"/>
      <c r="AT232" s="231"/>
      <c r="AU232" s="231"/>
      <c r="AV232" s="231"/>
      <c r="AW232" s="236"/>
      <c r="AX232" s="242"/>
      <c r="AY232" s="242"/>
      <c r="AZ232" s="242"/>
      <c r="BA232" s="242"/>
      <c r="BB232" s="242"/>
      <c r="BC232" s="242"/>
      <c r="BD232" s="242"/>
      <c r="BE232" s="231"/>
      <c r="BF232" s="242"/>
      <c r="BG232" s="242"/>
      <c r="BH232" s="242"/>
      <c r="BI232" s="242"/>
      <c r="BJ232" s="242"/>
      <c r="BK232" s="242"/>
      <c r="BL232" s="242"/>
      <c r="BM232" s="242"/>
      <c r="BN232" s="242"/>
      <c r="BO232" s="231">
        <v>0</v>
      </c>
      <c r="BP232" s="231"/>
      <c r="BQ232" s="193"/>
      <c r="BR232" s="204"/>
      <c r="BS232" s="204"/>
      <c r="BT232" s="204"/>
      <c r="BU232" s="204"/>
      <c r="BV232" s="204"/>
      <c r="BW232" s="204"/>
      <c r="BX232" s="204"/>
      <c r="BY232" s="204"/>
      <c r="BZ232" s="204"/>
      <c r="CA232" s="204"/>
      <c r="CB232" s="204"/>
      <c r="CC232" s="204"/>
      <c r="CD232" s="204"/>
      <c r="CE232" s="204"/>
      <c r="CF232" s="204"/>
      <c r="CG232" s="204"/>
      <c r="CH232" s="204"/>
      <c r="CI232" s="231"/>
    </row>
    <row r="233" spans="1:87" ht="25.2" customHeight="1" outlineLevel="1">
      <c r="A233" s="204">
        <v>215</v>
      </c>
      <c r="B233" s="207">
        <v>5002</v>
      </c>
      <c r="C233" s="208" t="s">
        <v>409</v>
      </c>
      <c r="D233" s="194" t="s">
        <v>181</v>
      </c>
      <c r="E233" s="209">
        <f t="shared" si="28"/>
        <v>42.8</v>
      </c>
      <c r="F233" s="216">
        <v>88.8</v>
      </c>
      <c r="G233" s="217">
        <v>0.9</v>
      </c>
      <c r="H233" s="218"/>
      <c r="I233" s="230">
        <f t="shared" si="29"/>
        <v>9.8000000000000007</v>
      </c>
      <c r="J233" s="216">
        <v>1.4</v>
      </c>
      <c r="K233" s="216">
        <v>0.5</v>
      </c>
      <c r="L233" s="233">
        <v>9.35</v>
      </c>
      <c r="M233" s="216">
        <v>34</v>
      </c>
      <c r="N233" s="216">
        <v>23</v>
      </c>
      <c r="O233" s="216">
        <v>0.4</v>
      </c>
      <c r="P233" s="216">
        <v>40</v>
      </c>
      <c r="Q233" s="216">
        <v>0.08</v>
      </c>
      <c r="R233" s="216">
        <v>0.03</v>
      </c>
      <c r="S233" s="216">
        <v>0.2</v>
      </c>
      <c r="T233" s="240">
        <v>3.5</v>
      </c>
      <c r="U233" s="240">
        <v>108.1</v>
      </c>
      <c r="V233" s="240">
        <v>10</v>
      </c>
      <c r="W233" s="241">
        <v>0.52</v>
      </c>
      <c r="X233" s="233">
        <v>0.22</v>
      </c>
      <c r="Y233" s="240">
        <v>140</v>
      </c>
      <c r="Z233" s="216">
        <v>0.4</v>
      </c>
      <c r="AA233" s="241">
        <v>0.25</v>
      </c>
      <c r="AB233" s="241">
        <v>0.06</v>
      </c>
      <c r="AC233" s="240">
        <v>30</v>
      </c>
      <c r="AD233" s="240">
        <v>0</v>
      </c>
      <c r="AE233" s="233">
        <v>0.89</v>
      </c>
      <c r="AF233" s="233">
        <v>0</v>
      </c>
      <c r="AG233" s="240">
        <v>0</v>
      </c>
      <c r="AH233" s="240">
        <f t="shared" si="30"/>
        <v>0</v>
      </c>
      <c r="AI233" s="236">
        <f t="shared" si="31"/>
        <v>7.75</v>
      </c>
      <c r="AJ233" s="252"/>
      <c r="AK233" s="233">
        <v>0.18</v>
      </c>
      <c r="AL233" s="216">
        <v>0</v>
      </c>
      <c r="AM233" s="236">
        <v>29</v>
      </c>
      <c r="AN233" s="231">
        <v>12</v>
      </c>
      <c r="AO233" s="231">
        <v>116</v>
      </c>
      <c r="AP233" s="231">
        <v>0</v>
      </c>
      <c r="AQ233" s="231">
        <v>129</v>
      </c>
      <c r="AR233" s="231"/>
      <c r="AS233" s="231"/>
      <c r="AT233" s="231"/>
      <c r="AU233" s="231"/>
      <c r="AV233" s="231">
        <v>19</v>
      </c>
      <c r="AW233" s="236">
        <v>1.4999999999999999E-2</v>
      </c>
      <c r="AX233" s="242">
        <v>1.2999999999999999E-2</v>
      </c>
      <c r="AY233" s="242">
        <v>0</v>
      </c>
      <c r="AZ233" s="242">
        <v>0</v>
      </c>
      <c r="BA233" s="242">
        <v>0</v>
      </c>
      <c r="BB233" s="242">
        <v>0</v>
      </c>
      <c r="BC233" s="242">
        <v>0</v>
      </c>
      <c r="BD233" s="242">
        <v>2.3E-2</v>
      </c>
      <c r="BE233" s="231">
        <v>0</v>
      </c>
      <c r="BF233" s="242">
        <v>3.0000000000000001E-3</v>
      </c>
      <c r="BG233" s="242">
        <v>0.02</v>
      </c>
      <c r="BH233" s="242">
        <v>2.5000000000000001E-2</v>
      </c>
      <c r="BI233" s="242">
        <v>1.7999999999999999E-2</v>
      </c>
      <c r="BJ233" s="242">
        <v>7.0000000000000001E-3</v>
      </c>
      <c r="BK233" s="242">
        <v>0</v>
      </c>
      <c r="BL233" s="242">
        <v>0</v>
      </c>
      <c r="BM233" s="242">
        <v>0</v>
      </c>
      <c r="BN233" s="242"/>
      <c r="BO233" s="231">
        <v>0</v>
      </c>
      <c r="BP233" s="231"/>
      <c r="BQ233" s="204">
        <v>43</v>
      </c>
      <c r="BR233" s="204">
        <v>12</v>
      </c>
      <c r="BS233" s="204">
        <v>6</v>
      </c>
      <c r="BT233" s="204">
        <v>30</v>
      </c>
      <c r="BU233" s="204">
        <v>12</v>
      </c>
      <c r="BV233" s="204">
        <v>31</v>
      </c>
      <c r="BW233" s="204">
        <v>22</v>
      </c>
      <c r="BX233" s="204">
        <v>23</v>
      </c>
      <c r="BY233" s="204">
        <v>52</v>
      </c>
      <c r="BZ233" s="204">
        <v>12</v>
      </c>
      <c r="CA233" s="204">
        <v>10</v>
      </c>
      <c r="CB233" s="204">
        <v>17</v>
      </c>
      <c r="CC233" s="204">
        <v>51</v>
      </c>
      <c r="CD233" s="204">
        <v>114</v>
      </c>
      <c r="CE233" s="204">
        <v>99</v>
      </c>
      <c r="CF233" s="204">
        <v>83</v>
      </c>
      <c r="CG233" s="204">
        <v>46</v>
      </c>
      <c r="CH233" s="204">
        <v>23</v>
      </c>
      <c r="CI233" s="231"/>
    </row>
    <row r="234" spans="1:87" ht="25.2" customHeight="1" outlineLevel="1">
      <c r="A234" s="204">
        <v>216</v>
      </c>
      <c r="B234" s="207">
        <v>5003</v>
      </c>
      <c r="C234" s="208" t="s">
        <v>410</v>
      </c>
      <c r="D234" s="194" t="s">
        <v>181</v>
      </c>
      <c r="E234" s="209">
        <f t="shared" si="28"/>
        <v>28</v>
      </c>
      <c r="F234" s="216">
        <v>92.5</v>
      </c>
      <c r="G234" s="217">
        <v>0.9</v>
      </c>
      <c r="H234" s="218"/>
      <c r="I234" s="230">
        <f t="shared" si="29"/>
        <v>6.0999999999999899</v>
      </c>
      <c r="J234" s="216">
        <v>1.3</v>
      </c>
      <c r="K234" s="216">
        <v>0.5</v>
      </c>
      <c r="L234" s="233"/>
      <c r="M234" s="216">
        <v>40</v>
      </c>
      <c r="N234" s="216">
        <v>22</v>
      </c>
      <c r="O234" s="216">
        <v>0.6</v>
      </c>
      <c r="P234" s="216">
        <v>77</v>
      </c>
      <c r="Q234" s="216">
        <v>0.04</v>
      </c>
      <c r="R234" s="216">
        <v>0.01</v>
      </c>
      <c r="S234" s="216">
        <v>0.1</v>
      </c>
      <c r="T234" s="231">
        <v>3</v>
      </c>
      <c r="U234" s="231">
        <v>145</v>
      </c>
      <c r="V234" s="231">
        <v>12</v>
      </c>
      <c r="W234" s="242"/>
      <c r="X234" s="232">
        <v>0.1</v>
      </c>
      <c r="Y234" s="231">
        <v>260</v>
      </c>
      <c r="Z234" s="231"/>
      <c r="AA234" s="241">
        <v>0.23200000000000001</v>
      </c>
      <c r="AB234" s="241">
        <v>0.109</v>
      </c>
      <c r="AC234" s="240"/>
      <c r="AD234" s="240"/>
      <c r="AE234" s="233">
        <v>0.5</v>
      </c>
      <c r="AF234" s="233"/>
      <c r="AG234" s="240">
        <v>0</v>
      </c>
      <c r="AH234" s="240">
        <f t="shared" si="30"/>
        <v>0</v>
      </c>
      <c r="AI234" s="236">
        <f t="shared" si="31"/>
        <v>0</v>
      </c>
      <c r="AJ234" s="252"/>
      <c r="AK234" s="233"/>
      <c r="AL234" s="216"/>
      <c r="AM234" s="236"/>
      <c r="AN234" s="231"/>
      <c r="AO234" s="231"/>
      <c r="AP234" s="231"/>
      <c r="AQ234" s="231"/>
      <c r="AR234" s="231"/>
      <c r="AS234" s="231"/>
      <c r="AT234" s="231"/>
      <c r="AU234" s="231"/>
      <c r="AV234" s="231"/>
      <c r="AW234" s="236">
        <v>3.9E-2</v>
      </c>
      <c r="AX234" s="242">
        <v>3.5000000000000003E-2</v>
      </c>
      <c r="AY234" s="242">
        <v>0</v>
      </c>
      <c r="AZ234" s="242">
        <v>2E-3</v>
      </c>
      <c r="BA234" s="242">
        <v>0</v>
      </c>
      <c r="BB234" s="242">
        <v>0</v>
      </c>
      <c r="BC234" s="242">
        <v>0</v>
      </c>
      <c r="BD234" s="242">
        <v>1.0999999999999999E-2</v>
      </c>
      <c r="BE234" s="231">
        <v>0</v>
      </c>
      <c r="BF234" s="242">
        <v>1E-3</v>
      </c>
      <c r="BG234" s="242">
        <v>0.01</v>
      </c>
      <c r="BH234" s="242">
        <v>8.8999999999999996E-2</v>
      </c>
      <c r="BI234" s="242">
        <v>6.3E-2</v>
      </c>
      <c r="BJ234" s="242">
        <v>2.5999999999999999E-2</v>
      </c>
      <c r="BK234" s="242">
        <v>0</v>
      </c>
      <c r="BL234" s="242">
        <v>0</v>
      </c>
      <c r="BM234" s="242">
        <v>0</v>
      </c>
      <c r="BN234" s="242"/>
      <c r="BO234" s="231">
        <v>0</v>
      </c>
      <c r="BP234" s="231">
        <v>12</v>
      </c>
      <c r="BQ234" s="204">
        <v>28</v>
      </c>
      <c r="BR234" s="204">
        <v>11</v>
      </c>
      <c r="BS234" s="204">
        <v>5</v>
      </c>
      <c r="BT234" s="204">
        <v>27</v>
      </c>
      <c r="BU234" s="204">
        <v>11</v>
      </c>
      <c r="BV234" s="204">
        <v>28</v>
      </c>
      <c r="BW234" s="204">
        <v>19</v>
      </c>
      <c r="BX234" s="204">
        <v>22</v>
      </c>
      <c r="BY234" s="204">
        <v>47</v>
      </c>
      <c r="BZ234" s="204">
        <v>11</v>
      </c>
      <c r="CA234" s="204">
        <v>10</v>
      </c>
      <c r="CB234" s="204">
        <v>15</v>
      </c>
      <c r="CC234" s="204">
        <v>46</v>
      </c>
      <c r="CD234" s="204">
        <v>106</v>
      </c>
      <c r="CE234" s="204">
        <v>88</v>
      </c>
      <c r="CF234" s="204">
        <v>74</v>
      </c>
      <c r="CG234" s="204">
        <v>41</v>
      </c>
      <c r="CH234" s="204">
        <v>22</v>
      </c>
      <c r="CI234" s="231"/>
    </row>
    <row r="235" spans="1:87" ht="25.2" customHeight="1" outlineLevel="1">
      <c r="A235" s="204">
        <v>217</v>
      </c>
      <c r="B235" s="207">
        <v>5004</v>
      </c>
      <c r="C235" s="208" t="s">
        <v>411</v>
      </c>
      <c r="D235" s="194" t="s">
        <v>181</v>
      </c>
      <c r="E235" s="209">
        <f t="shared" si="28"/>
        <v>76.8</v>
      </c>
      <c r="F235" s="216">
        <v>80.3</v>
      </c>
      <c r="G235" s="217">
        <v>1.5</v>
      </c>
      <c r="H235" s="218">
        <v>0</v>
      </c>
      <c r="I235" s="230">
        <f t="shared" si="29"/>
        <v>17.7</v>
      </c>
      <c r="J235" s="216">
        <v>1.3</v>
      </c>
      <c r="K235" s="216">
        <v>0.5</v>
      </c>
      <c r="L235" s="233"/>
      <c r="M235" s="236">
        <v>27.8</v>
      </c>
      <c r="N235" s="236">
        <v>15</v>
      </c>
      <c r="O235" s="236">
        <v>0.5</v>
      </c>
      <c r="P235" s="236"/>
      <c r="Q235" s="236"/>
      <c r="R235" s="236"/>
      <c r="S235" s="236"/>
      <c r="T235" s="231">
        <v>94</v>
      </c>
      <c r="U235" s="231">
        <v>69</v>
      </c>
      <c r="V235" s="231">
        <v>25</v>
      </c>
      <c r="W235" s="242"/>
      <c r="X235" s="232"/>
      <c r="Y235" s="231"/>
      <c r="Z235" s="231"/>
      <c r="AA235" s="241"/>
      <c r="AB235" s="241"/>
      <c r="AC235" s="240"/>
      <c r="AD235" s="240"/>
      <c r="AE235" s="236"/>
      <c r="AF235" s="236"/>
      <c r="AG235" s="240">
        <v>0</v>
      </c>
      <c r="AH235" s="240">
        <f t="shared" si="30"/>
        <v>0</v>
      </c>
      <c r="AI235" s="236">
        <f t="shared" si="31"/>
        <v>0</v>
      </c>
      <c r="AJ235" s="252"/>
      <c r="AK235" s="233"/>
      <c r="AL235" s="216"/>
      <c r="AM235" s="236"/>
      <c r="AN235" s="231"/>
      <c r="AO235" s="231"/>
      <c r="AP235" s="231"/>
      <c r="AQ235" s="231"/>
      <c r="AR235" s="231"/>
      <c r="AS235" s="231"/>
      <c r="AT235" s="231"/>
      <c r="AU235" s="231"/>
      <c r="AV235" s="231"/>
      <c r="AW235" s="236"/>
      <c r="AX235" s="242"/>
      <c r="AY235" s="242"/>
      <c r="AZ235" s="242"/>
      <c r="BA235" s="242"/>
      <c r="BB235" s="242"/>
      <c r="BC235" s="242"/>
      <c r="BD235" s="242"/>
      <c r="BE235" s="231"/>
      <c r="BF235" s="242"/>
      <c r="BG235" s="242"/>
      <c r="BH235" s="242"/>
      <c r="BI235" s="242"/>
      <c r="BJ235" s="242"/>
      <c r="BK235" s="242"/>
      <c r="BL235" s="242"/>
      <c r="BM235" s="242"/>
      <c r="BN235" s="242"/>
      <c r="BO235" s="231">
        <v>0</v>
      </c>
      <c r="BP235" s="231"/>
      <c r="BQ235" s="231"/>
      <c r="BR235" s="231"/>
      <c r="BS235" s="231"/>
      <c r="BT235" s="231"/>
      <c r="BU235" s="231"/>
      <c r="BV235" s="231"/>
      <c r="BW235" s="231"/>
      <c r="BX235" s="231"/>
      <c r="BY235" s="231"/>
      <c r="BZ235" s="231"/>
      <c r="CA235" s="231"/>
      <c r="CB235" s="231"/>
      <c r="CC235" s="231"/>
      <c r="CD235" s="231"/>
      <c r="CE235" s="231"/>
      <c r="CF235" s="231"/>
      <c r="CG235" s="231"/>
      <c r="CH235" s="231"/>
      <c r="CI235" s="231"/>
    </row>
    <row r="236" spans="1:87" ht="25.2" customHeight="1" outlineLevel="1">
      <c r="A236" s="204">
        <v>218</v>
      </c>
      <c r="B236" s="207">
        <v>5005</v>
      </c>
      <c r="C236" s="208" t="s">
        <v>412</v>
      </c>
      <c r="D236" s="194" t="s">
        <v>181</v>
      </c>
      <c r="E236" s="209">
        <f t="shared" si="28"/>
        <v>301.2</v>
      </c>
      <c r="F236" s="216">
        <v>22</v>
      </c>
      <c r="G236" s="217">
        <v>5</v>
      </c>
      <c r="H236" s="218">
        <v>0</v>
      </c>
      <c r="I236" s="230">
        <f t="shared" si="29"/>
        <v>70.3</v>
      </c>
      <c r="J236" s="216">
        <v>2.2999999999999998</v>
      </c>
      <c r="K236" s="216">
        <v>2.7</v>
      </c>
      <c r="L236" s="233"/>
      <c r="M236" s="236"/>
      <c r="N236" s="236"/>
      <c r="O236" s="236"/>
      <c r="P236" s="236"/>
      <c r="Q236" s="236"/>
      <c r="R236" s="236"/>
      <c r="S236" s="236"/>
      <c r="T236" s="231"/>
      <c r="U236" s="231"/>
      <c r="V236" s="231"/>
      <c r="W236" s="242"/>
      <c r="X236" s="232"/>
      <c r="Y236" s="231"/>
      <c r="Z236" s="231"/>
      <c r="AA236" s="241"/>
      <c r="AB236" s="241"/>
      <c r="AC236" s="240"/>
      <c r="AD236" s="240"/>
      <c r="AE236" s="236"/>
      <c r="AF236" s="236"/>
      <c r="AG236" s="240">
        <v>0</v>
      </c>
      <c r="AH236" s="240">
        <f t="shared" si="30"/>
        <v>0</v>
      </c>
      <c r="AI236" s="236">
        <f t="shared" si="31"/>
        <v>0</v>
      </c>
      <c r="AJ236" s="252"/>
      <c r="AK236" s="233"/>
      <c r="AL236" s="216"/>
      <c r="AM236" s="236"/>
      <c r="AN236" s="231"/>
      <c r="AO236" s="231"/>
      <c r="AP236" s="231"/>
      <c r="AQ236" s="231"/>
      <c r="AR236" s="231"/>
      <c r="AS236" s="231"/>
      <c r="AT236" s="231"/>
      <c r="AU236" s="231"/>
      <c r="AV236" s="231"/>
      <c r="AW236" s="236"/>
      <c r="AX236" s="242"/>
      <c r="AY236" s="242"/>
      <c r="AZ236" s="242"/>
      <c r="BA236" s="242"/>
      <c r="BB236" s="242"/>
      <c r="BC236" s="242"/>
      <c r="BD236" s="242"/>
      <c r="BE236" s="231"/>
      <c r="BF236" s="242"/>
      <c r="BG236" s="242"/>
      <c r="BH236" s="242"/>
      <c r="BI236" s="242"/>
      <c r="BJ236" s="242"/>
      <c r="BK236" s="242"/>
      <c r="BL236" s="242"/>
      <c r="BM236" s="242"/>
      <c r="BN236" s="242"/>
      <c r="BO236" s="231">
        <v>0</v>
      </c>
      <c r="BP236" s="231"/>
      <c r="BQ236" s="231"/>
      <c r="BR236" s="231"/>
      <c r="BS236" s="231"/>
      <c r="BT236" s="231"/>
      <c r="BU236" s="231"/>
      <c r="BV236" s="231"/>
      <c r="BW236" s="231"/>
      <c r="BX236" s="231"/>
      <c r="BY236" s="231"/>
      <c r="BZ236" s="231"/>
      <c r="CA236" s="231"/>
      <c r="CB236" s="231"/>
      <c r="CC236" s="231"/>
      <c r="CD236" s="231"/>
      <c r="CE236" s="231"/>
      <c r="CF236" s="231"/>
      <c r="CG236" s="231"/>
      <c r="CH236" s="231"/>
      <c r="CI236" s="231"/>
    </row>
    <row r="237" spans="1:87" ht="25.2" customHeight="1" outlineLevel="1">
      <c r="A237" s="204">
        <v>219</v>
      </c>
      <c r="B237" s="207">
        <v>5006</v>
      </c>
      <c r="C237" s="208" t="s">
        <v>413</v>
      </c>
      <c r="D237" s="194" t="s">
        <v>181</v>
      </c>
      <c r="E237" s="209">
        <f t="shared" si="28"/>
        <v>66.3</v>
      </c>
      <c r="F237" s="216">
        <v>83.2</v>
      </c>
      <c r="G237" s="217">
        <v>0.9</v>
      </c>
      <c r="H237" s="218">
        <v>0.3</v>
      </c>
      <c r="I237" s="230">
        <f t="shared" si="29"/>
        <v>15</v>
      </c>
      <c r="J237" s="216" t="s">
        <v>247</v>
      </c>
      <c r="K237" s="216">
        <v>0.6</v>
      </c>
      <c r="L237" s="233">
        <v>12.23</v>
      </c>
      <c r="M237" s="216">
        <v>12</v>
      </c>
      <c r="N237" s="216">
        <v>25</v>
      </c>
      <c r="O237" s="216">
        <v>0.5</v>
      </c>
      <c r="P237" s="216">
        <v>6</v>
      </c>
      <c r="Q237" s="216">
        <v>0.04</v>
      </c>
      <c r="R237" s="216">
        <v>7.0000000000000007E-2</v>
      </c>
      <c r="S237" s="216">
        <v>0.6</v>
      </c>
      <c r="T237" s="240">
        <v>17.100000000000001</v>
      </c>
      <c r="U237" s="240">
        <v>285.5</v>
      </c>
      <c r="V237" s="240">
        <v>27</v>
      </c>
      <c r="W237" s="241">
        <v>0.31</v>
      </c>
      <c r="X237" s="233">
        <v>0.32</v>
      </c>
      <c r="Y237" s="240">
        <v>150</v>
      </c>
      <c r="Z237" s="216">
        <v>1</v>
      </c>
      <c r="AA237" s="241">
        <v>0.33400000000000002</v>
      </c>
      <c r="AB237" s="241">
        <v>0.36699999999999999</v>
      </c>
      <c r="AC237" s="240">
        <v>20</v>
      </c>
      <c r="AD237" s="240">
        <v>0</v>
      </c>
      <c r="AE237" s="233">
        <v>5.5</v>
      </c>
      <c r="AF237" s="233">
        <v>0</v>
      </c>
      <c r="AG237" s="240">
        <v>0</v>
      </c>
      <c r="AH237" s="240">
        <f t="shared" si="30"/>
        <v>0</v>
      </c>
      <c r="AI237" s="236">
        <f t="shared" si="31"/>
        <v>3.2083333333333299</v>
      </c>
      <c r="AJ237" s="252"/>
      <c r="AK237" s="233">
        <v>0.1</v>
      </c>
      <c r="AL237" s="216">
        <v>0.5</v>
      </c>
      <c r="AM237" s="236">
        <v>26</v>
      </c>
      <c r="AN237" s="231">
        <v>25</v>
      </c>
      <c r="AO237" s="231">
        <v>0</v>
      </c>
      <c r="AP237" s="231">
        <v>0</v>
      </c>
      <c r="AQ237" s="231">
        <v>22</v>
      </c>
      <c r="AR237" s="231"/>
      <c r="AS237" s="231"/>
      <c r="AT237" s="231"/>
      <c r="AU237" s="231"/>
      <c r="AV237" s="231">
        <v>57</v>
      </c>
      <c r="AW237" s="236">
        <v>0.112</v>
      </c>
      <c r="AX237" s="242">
        <v>0.10199999999999999</v>
      </c>
      <c r="AY237" s="242">
        <v>0</v>
      </c>
      <c r="AZ237" s="242">
        <v>5.0000000000000001E-3</v>
      </c>
      <c r="BA237" s="242">
        <v>0</v>
      </c>
      <c r="BB237" s="242">
        <v>0</v>
      </c>
      <c r="BC237" s="242">
        <v>0</v>
      </c>
      <c r="BD237" s="242">
        <v>3.2000000000000001E-2</v>
      </c>
      <c r="BE237" s="231">
        <v>0</v>
      </c>
      <c r="BF237" s="242">
        <v>0.01</v>
      </c>
      <c r="BG237" s="242">
        <v>2.1999999999999999E-2</v>
      </c>
      <c r="BH237" s="242">
        <v>7.2999999999999995E-2</v>
      </c>
      <c r="BI237" s="242">
        <v>0.01</v>
      </c>
      <c r="BJ237" s="242">
        <v>2.1999999999999999E-2</v>
      </c>
      <c r="BK237" s="242">
        <v>0</v>
      </c>
      <c r="BL237" s="242">
        <v>0</v>
      </c>
      <c r="BM237" s="242">
        <v>0</v>
      </c>
      <c r="BN237" s="242"/>
      <c r="BO237" s="231">
        <v>0</v>
      </c>
      <c r="BP237" s="231">
        <v>16</v>
      </c>
      <c r="BQ237" s="204">
        <v>44</v>
      </c>
      <c r="BR237" s="204">
        <v>7</v>
      </c>
      <c r="BS237" s="204">
        <v>14</v>
      </c>
      <c r="BT237" s="204">
        <v>27</v>
      </c>
      <c r="BU237" s="204">
        <v>30</v>
      </c>
      <c r="BV237" s="204">
        <v>32</v>
      </c>
      <c r="BW237" s="204">
        <v>55</v>
      </c>
      <c r="BX237" s="204">
        <v>21</v>
      </c>
      <c r="BY237" s="204">
        <v>40</v>
      </c>
      <c r="BZ237" s="204">
        <v>80</v>
      </c>
      <c r="CA237" s="204">
        <v>8</v>
      </c>
      <c r="CB237" s="204">
        <v>14</v>
      </c>
      <c r="CC237" s="204">
        <v>42</v>
      </c>
      <c r="CD237" s="204">
        <v>152</v>
      </c>
      <c r="CE237" s="204">
        <v>190</v>
      </c>
      <c r="CF237" s="204">
        <v>38</v>
      </c>
      <c r="CG237" s="204">
        <v>36</v>
      </c>
      <c r="CH237" s="204">
        <v>38</v>
      </c>
      <c r="CI237" s="231"/>
    </row>
    <row r="238" spans="1:87" ht="25.2" customHeight="1" outlineLevel="1">
      <c r="A238" s="204">
        <v>220</v>
      </c>
      <c r="B238" s="207">
        <v>5007</v>
      </c>
      <c r="C238" s="208" t="s">
        <v>414</v>
      </c>
      <c r="D238" s="194" t="s">
        <v>181</v>
      </c>
      <c r="E238" s="209">
        <f t="shared" si="28"/>
        <v>99.799999999999898</v>
      </c>
      <c r="F238" s="216">
        <v>74.400000000000006</v>
      </c>
      <c r="G238" s="217">
        <v>1.5</v>
      </c>
      <c r="H238" s="218">
        <v>0.2</v>
      </c>
      <c r="I238" s="230">
        <f t="shared" si="29"/>
        <v>23</v>
      </c>
      <c r="J238" s="216">
        <v>0.8</v>
      </c>
      <c r="K238" s="216">
        <v>0.9</v>
      </c>
      <c r="L238" s="233"/>
      <c r="M238" s="216">
        <v>8</v>
      </c>
      <c r="N238" s="216">
        <v>28</v>
      </c>
      <c r="O238" s="216">
        <v>0.6</v>
      </c>
      <c r="P238" s="216">
        <v>6</v>
      </c>
      <c r="Q238" s="216">
        <v>0.04</v>
      </c>
      <c r="R238" s="216">
        <v>0.05</v>
      </c>
      <c r="S238" s="216">
        <v>0.7</v>
      </c>
      <c r="T238" s="240">
        <v>19.3</v>
      </c>
      <c r="U238" s="240">
        <v>329.4</v>
      </c>
      <c r="V238" s="240">
        <v>41</v>
      </c>
      <c r="W238" s="241">
        <v>0.12</v>
      </c>
      <c r="X238" s="233">
        <v>0.37</v>
      </c>
      <c r="Y238" s="240">
        <v>140</v>
      </c>
      <c r="Z238" s="216">
        <v>0.9</v>
      </c>
      <c r="AA238" s="241"/>
      <c r="AB238" s="241"/>
      <c r="AC238" s="240"/>
      <c r="AD238" s="240"/>
      <c r="AE238" s="233"/>
      <c r="AF238" s="233"/>
      <c r="AG238" s="240">
        <v>0</v>
      </c>
      <c r="AH238" s="240">
        <f t="shared" si="30"/>
        <v>0</v>
      </c>
      <c r="AI238" s="236">
        <f t="shared" si="31"/>
        <v>3.75</v>
      </c>
      <c r="AJ238" s="252"/>
      <c r="AK238" s="233"/>
      <c r="AL238" s="216"/>
      <c r="AM238" s="236">
        <v>45</v>
      </c>
      <c r="AN238" s="231"/>
      <c r="AO238" s="231"/>
      <c r="AP238" s="231"/>
      <c r="AQ238" s="231"/>
      <c r="AR238" s="231"/>
      <c r="AS238" s="231"/>
      <c r="AT238" s="231"/>
      <c r="AU238" s="231"/>
      <c r="AV238" s="231"/>
      <c r="AW238" s="236"/>
      <c r="AX238" s="242"/>
      <c r="AY238" s="242"/>
      <c r="AZ238" s="242"/>
      <c r="BA238" s="242"/>
      <c r="BB238" s="242"/>
      <c r="BC238" s="242"/>
      <c r="BD238" s="242"/>
      <c r="BE238" s="231"/>
      <c r="BF238" s="242"/>
      <c r="BG238" s="242"/>
      <c r="BH238" s="242"/>
      <c r="BI238" s="242"/>
      <c r="BJ238" s="242"/>
      <c r="BK238" s="242"/>
      <c r="BL238" s="242"/>
      <c r="BM238" s="242"/>
      <c r="BN238" s="242"/>
      <c r="BO238" s="231">
        <v>0</v>
      </c>
      <c r="BP238" s="231"/>
      <c r="BQ238" s="231"/>
      <c r="BR238" s="231"/>
      <c r="BS238" s="231"/>
      <c r="BT238" s="231"/>
      <c r="BU238" s="231"/>
      <c r="BV238" s="231"/>
      <c r="BW238" s="231"/>
      <c r="BX238" s="231"/>
      <c r="BY238" s="231"/>
      <c r="BZ238" s="231"/>
      <c r="CA238" s="231"/>
      <c r="CB238" s="231"/>
      <c r="CC238" s="231"/>
      <c r="CD238" s="231"/>
      <c r="CE238" s="231"/>
      <c r="CF238" s="231"/>
      <c r="CG238" s="231"/>
      <c r="CH238" s="231"/>
      <c r="CI238" s="231"/>
    </row>
    <row r="239" spans="1:87" ht="25.2" customHeight="1" outlineLevel="1">
      <c r="A239" s="204">
        <v>221</v>
      </c>
      <c r="B239" s="207">
        <v>5008</v>
      </c>
      <c r="C239" s="208" t="s">
        <v>415</v>
      </c>
      <c r="D239" s="194" t="s">
        <v>181</v>
      </c>
      <c r="E239" s="209">
        <f t="shared" si="28"/>
        <v>27.2</v>
      </c>
      <c r="F239" s="216">
        <v>92.8</v>
      </c>
      <c r="G239" s="217">
        <v>0.6</v>
      </c>
      <c r="H239" s="218"/>
      <c r="I239" s="230">
        <f t="shared" si="29"/>
        <v>6.2</v>
      </c>
      <c r="J239" s="216" t="s">
        <v>247</v>
      </c>
      <c r="K239" s="216">
        <v>0.4</v>
      </c>
      <c r="L239" s="233"/>
      <c r="M239" s="236">
        <v>20</v>
      </c>
      <c r="N239" s="236">
        <v>12</v>
      </c>
      <c r="O239" s="236">
        <v>0.5</v>
      </c>
      <c r="P239" s="236">
        <v>2</v>
      </c>
      <c r="Q239" s="236"/>
      <c r="R239" s="236"/>
      <c r="S239" s="236"/>
      <c r="T239" s="231"/>
      <c r="U239" s="231"/>
      <c r="V239" s="231"/>
      <c r="W239" s="242"/>
      <c r="X239" s="232"/>
      <c r="Y239" s="231"/>
      <c r="Z239" s="231"/>
      <c r="AA239" s="241"/>
      <c r="AB239" s="241"/>
      <c r="AC239" s="240"/>
      <c r="AD239" s="240"/>
      <c r="AE239" s="236"/>
      <c r="AF239" s="236"/>
      <c r="AG239" s="240">
        <v>0</v>
      </c>
      <c r="AH239" s="240">
        <f t="shared" si="30"/>
        <v>0</v>
      </c>
      <c r="AI239" s="236">
        <f t="shared" si="31"/>
        <v>0</v>
      </c>
      <c r="AJ239" s="252"/>
      <c r="AK239" s="233"/>
      <c r="AL239" s="216"/>
      <c r="AM239" s="236"/>
      <c r="AN239" s="231"/>
      <c r="AO239" s="231"/>
      <c r="AP239" s="231"/>
      <c r="AQ239" s="231"/>
      <c r="AR239" s="231"/>
      <c r="AS239" s="231"/>
      <c r="AT239" s="231"/>
      <c r="AU239" s="231"/>
      <c r="AV239" s="231"/>
      <c r="AW239" s="236"/>
      <c r="AX239" s="242"/>
      <c r="AY239" s="242"/>
      <c r="AZ239" s="242"/>
      <c r="BA239" s="242"/>
      <c r="BB239" s="242"/>
      <c r="BC239" s="242"/>
      <c r="BD239" s="242"/>
      <c r="BE239" s="231"/>
      <c r="BF239" s="242"/>
      <c r="BG239" s="242"/>
      <c r="BH239" s="242"/>
      <c r="BI239" s="242"/>
      <c r="BJ239" s="242"/>
      <c r="BK239" s="242"/>
      <c r="BL239" s="242"/>
      <c r="BM239" s="242"/>
      <c r="BN239" s="242"/>
      <c r="BO239" s="231">
        <v>0</v>
      </c>
      <c r="BP239" s="231"/>
      <c r="BQ239" s="231"/>
      <c r="BR239" s="231"/>
      <c r="BS239" s="231"/>
      <c r="BT239" s="231"/>
      <c r="BU239" s="231"/>
      <c r="BV239" s="231"/>
      <c r="BW239" s="231"/>
      <c r="BX239" s="231"/>
      <c r="BY239" s="231"/>
      <c r="BZ239" s="231"/>
      <c r="CA239" s="231"/>
      <c r="CB239" s="231"/>
      <c r="CC239" s="231"/>
      <c r="CD239" s="231"/>
      <c r="CE239" s="231"/>
      <c r="CF239" s="231"/>
      <c r="CG239" s="231"/>
      <c r="CH239" s="231"/>
      <c r="CI239" s="231"/>
    </row>
    <row r="240" spans="1:87" ht="25.2" customHeight="1" outlineLevel="1">
      <c r="A240" s="204">
        <v>222</v>
      </c>
      <c r="B240" s="207">
        <v>5009</v>
      </c>
      <c r="C240" s="208" t="s">
        <v>416</v>
      </c>
      <c r="D240" s="194" t="s">
        <v>181</v>
      </c>
      <c r="E240" s="209">
        <f t="shared" si="28"/>
        <v>59.2</v>
      </c>
      <c r="F240" s="216">
        <v>84.9</v>
      </c>
      <c r="G240" s="217">
        <v>1.8</v>
      </c>
      <c r="H240" s="218">
        <v>0.4</v>
      </c>
      <c r="I240" s="230">
        <f t="shared" si="29"/>
        <v>12.1</v>
      </c>
      <c r="J240" s="216">
        <v>4</v>
      </c>
      <c r="K240" s="216">
        <v>0.8</v>
      </c>
      <c r="L240" s="233"/>
      <c r="M240" s="216">
        <v>22</v>
      </c>
      <c r="N240" s="216">
        <v>23</v>
      </c>
      <c r="O240" s="216">
        <v>0.7</v>
      </c>
      <c r="P240" s="216">
        <v>60</v>
      </c>
      <c r="Q240" s="216">
        <v>0.03</v>
      </c>
      <c r="R240" s="216">
        <v>0.06</v>
      </c>
      <c r="S240" s="216">
        <v>0.3</v>
      </c>
      <c r="T240" s="204">
        <v>37</v>
      </c>
      <c r="U240" s="204">
        <v>292</v>
      </c>
      <c r="V240" s="204">
        <v>17</v>
      </c>
      <c r="W240" s="244"/>
      <c r="X240" s="213"/>
      <c r="Y240" s="204"/>
      <c r="Z240" s="204"/>
      <c r="AA240" s="241"/>
      <c r="AB240" s="241"/>
      <c r="AC240" s="240"/>
      <c r="AD240" s="240"/>
      <c r="AE240" s="233">
        <v>1.1000000000000001</v>
      </c>
      <c r="AF240" s="233"/>
      <c r="AG240" s="240">
        <v>0</v>
      </c>
      <c r="AH240" s="240">
        <f t="shared" si="30"/>
        <v>0</v>
      </c>
      <c r="AI240" s="236">
        <f t="shared" si="31"/>
        <v>2.5</v>
      </c>
      <c r="AJ240" s="252"/>
      <c r="AK240" s="233"/>
      <c r="AL240" s="216"/>
      <c r="AM240" s="236">
        <v>30</v>
      </c>
      <c r="AN240" s="204"/>
      <c r="AO240" s="204"/>
      <c r="AP240" s="204"/>
      <c r="AQ240" s="204"/>
      <c r="AR240" s="204"/>
      <c r="AS240" s="204"/>
      <c r="AT240" s="204"/>
      <c r="AU240" s="204"/>
      <c r="AV240" s="204">
        <v>21</v>
      </c>
      <c r="AW240" s="236"/>
      <c r="AX240" s="242"/>
      <c r="AY240" s="242"/>
      <c r="AZ240" s="242"/>
      <c r="BA240" s="242"/>
      <c r="BB240" s="242"/>
      <c r="BC240" s="242"/>
      <c r="BD240" s="242"/>
      <c r="BE240" s="231"/>
      <c r="BF240" s="242"/>
      <c r="BG240" s="242"/>
      <c r="BH240" s="242"/>
      <c r="BI240" s="242"/>
      <c r="BJ240" s="242"/>
      <c r="BK240" s="242"/>
      <c r="BL240" s="242"/>
      <c r="BM240" s="242"/>
      <c r="BN240" s="242"/>
      <c r="BO240" s="231">
        <v>0</v>
      </c>
      <c r="BP240" s="231"/>
      <c r="BQ240" s="204">
        <v>33</v>
      </c>
      <c r="BR240" s="204">
        <v>1</v>
      </c>
      <c r="BS240" s="204">
        <v>9</v>
      </c>
      <c r="BT240" s="204">
        <v>23</v>
      </c>
      <c r="BU240" s="204">
        <v>25</v>
      </c>
      <c r="BV240" s="204">
        <v>23</v>
      </c>
      <c r="BW240" s="204">
        <v>42</v>
      </c>
      <c r="BX240" s="204">
        <v>18</v>
      </c>
      <c r="BY240" s="204">
        <v>35</v>
      </c>
      <c r="BZ240" s="204">
        <v>16</v>
      </c>
      <c r="CA240" s="204">
        <v>7</v>
      </c>
      <c r="CB240" s="204">
        <v>27</v>
      </c>
      <c r="CC240" s="204">
        <v>42</v>
      </c>
      <c r="CD240" s="204">
        <v>182</v>
      </c>
      <c r="CE240" s="204">
        <v>120</v>
      </c>
      <c r="CF240" s="204">
        <v>33</v>
      </c>
      <c r="CG240" s="204">
        <v>26</v>
      </c>
      <c r="CH240" s="204">
        <v>31</v>
      </c>
      <c r="CI240" s="204"/>
    </row>
    <row r="241" spans="1:102" ht="25.2" customHeight="1" outlineLevel="1">
      <c r="A241" s="204">
        <v>223</v>
      </c>
      <c r="B241" s="207">
        <v>5010</v>
      </c>
      <c r="C241" s="208" t="s">
        <v>417</v>
      </c>
      <c r="D241" s="194" t="s">
        <v>181</v>
      </c>
      <c r="E241" s="209">
        <f t="shared" si="28"/>
        <v>21</v>
      </c>
      <c r="F241" s="216">
        <v>94.5</v>
      </c>
      <c r="G241" s="217">
        <v>0.5</v>
      </c>
      <c r="H241" s="218">
        <v>0.2</v>
      </c>
      <c r="I241" s="230">
        <f t="shared" si="29"/>
        <v>4.3</v>
      </c>
      <c r="J241" s="216">
        <v>0.7</v>
      </c>
      <c r="K241" s="216">
        <v>0.5</v>
      </c>
      <c r="L241" s="233">
        <v>7.89</v>
      </c>
      <c r="M241" s="216">
        <v>36</v>
      </c>
      <c r="N241" s="216">
        <v>36</v>
      </c>
      <c r="O241" s="216">
        <v>0.3</v>
      </c>
      <c r="P241" s="216">
        <v>9</v>
      </c>
      <c r="Q241" s="216">
        <v>0.04</v>
      </c>
      <c r="R241" s="216">
        <v>0.02</v>
      </c>
      <c r="S241" s="216">
        <v>0.4</v>
      </c>
      <c r="T241" s="231">
        <v>0</v>
      </c>
      <c r="U241" s="231">
        <v>201</v>
      </c>
      <c r="V241" s="231">
        <v>9</v>
      </c>
      <c r="W241" s="242">
        <v>5.3999999999999999E-2</v>
      </c>
      <c r="X241" s="232">
        <v>0.17</v>
      </c>
      <c r="Y241" s="231">
        <v>86</v>
      </c>
      <c r="Z241" s="231">
        <v>0</v>
      </c>
      <c r="AA241" s="241">
        <v>0.185</v>
      </c>
      <c r="AB241" s="241">
        <v>2.5000000000000001E-2</v>
      </c>
      <c r="AC241" s="240">
        <v>5</v>
      </c>
      <c r="AD241" s="240">
        <v>0</v>
      </c>
      <c r="AE241" s="233"/>
      <c r="AF241" s="233">
        <v>0</v>
      </c>
      <c r="AG241" s="240">
        <v>0</v>
      </c>
      <c r="AH241" s="240">
        <f t="shared" si="30"/>
        <v>0</v>
      </c>
      <c r="AI241" s="236">
        <f t="shared" si="31"/>
        <v>16.5833333333333</v>
      </c>
      <c r="AJ241" s="216"/>
      <c r="AK241" s="233">
        <v>0.77</v>
      </c>
      <c r="AL241" s="216">
        <v>2.2000000000000002</v>
      </c>
      <c r="AM241" s="236">
        <v>150</v>
      </c>
      <c r="AN241" s="231">
        <v>0</v>
      </c>
      <c r="AO241" s="231">
        <v>98</v>
      </c>
      <c r="AP241" s="231">
        <v>0</v>
      </c>
      <c r="AQ241" s="231">
        <v>130</v>
      </c>
      <c r="AR241" s="231"/>
      <c r="AS241" s="231"/>
      <c r="AT241" s="231"/>
      <c r="AU241" s="231"/>
      <c r="AV241" s="231">
        <v>33</v>
      </c>
      <c r="AW241" s="236">
        <v>2.5000000000000001E-2</v>
      </c>
      <c r="AX241" s="242">
        <v>2.3E-2</v>
      </c>
      <c r="AY241" s="242">
        <v>0</v>
      </c>
      <c r="AZ241" s="242">
        <v>2E-3</v>
      </c>
      <c r="BA241" s="242">
        <v>0</v>
      </c>
      <c r="BB241" s="242">
        <v>0</v>
      </c>
      <c r="BC241" s="242">
        <v>0</v>
      </c>
      <c r="BD241" s="242">
        <v>8.7999999999999995E-2</v>
      </c>
      <c r="BE241" s="231">
        <v>0</v>
      </c>
      <c r="BF241" s="231">
        <v>2E-3</v>
      </c>
      <c r="BG241" s="242">
        <v>8.5999999999999993E-2</v>
      </c>
      <c r="BH241" s="242">
        <v>0.113</v>
      </c>
      <c r="BI241" s="242">
        <v>0.111</v>
      </c>
      <c r="BJ241" s="242">
        <v>2E-3</v>
      </c>
      <c r="BK241" s="242">
        <v>0</v>
      </c>
      <c r="BL241" s="242">
        <v>0</v>
      </c>
      <c r="BM241" s="242">
        <v>0</v>
      </c>
      <c r="BN241" s="242"/>
      <c r="BO241" s="231">
        <v>0</v>
      </c>
      <c r="BP241" s="231"/>
      <c r="BQ241" s="231">
        <v>30</v>
      </c>
      <c r="BR241" s="231">
        <v>12</v>
      </c>
      <c r="BS241" s="231">
        <v>2</v>
      </c>
      <c r="BT241" s="231">
        <v>23</v>
      </c>
      <c r="BU241" s="231">
        <v>17</v>
      </c>
      <c r="BV241" s="231">
        <v>33</v>
      </c>
      <c r="BW241" s="231">
        <v>29</v>
      </c>
      <c r="BX241" s="231">
        <v>21</v>
      </c>
      <c r="BY241" s="231">
        <v>29</v>
      </c>
      <c r="BZ241" s="231">
        <v>15</v>
      </c>
      <c r="CA241" s="231">
        <v>2</v>
      </c>
      <c r="CB241" s="231">
        <v>14</v>
      </c>
      <c r="CC241" s="231">
        <v>95</v>
      </c>
      <c r="CD241" s="231">
        <v>136</v>
      </c>
      <c r="CE241" s="231">
        <v>209</v>
      </c>
      <c r="CF241" s="231">
        <v>26</v>
      </c>
      <c r="CG241" s="231">
        <v>19</v>
      </c>
      <c r="CH241" s="231">
        <v>42</v>
      </c>
      <c r="CI241" s="231"/>
    </row>
    <row r="242" spans="1:102" ht="25.2" customHeight="1" outlineLevel="1">
      <c r="A242" s="204">
        <v>224</v>
      </c>
      <c r="B242" s="207">
        <v>5011</v>
      </c>
      <c r="C242" s="208" t="s">
        <v>418</v>
      </c>
      <c r="D242" s="194" t="s">
        <v>181</v>
      </c>
      <c r="E242" s="209">
        <f t="shared" si="28"/>
        <v>17.8</v>
      </c>
      <c r="F242" s="216">
        <v>95.5</v>
      </c>
      <c r="G242" s="217">
        <v>1.2</v>
      </c>
      <c r="H242" s="218">
        <v>0.2</v>
      </c>
      <c r="I242" s="230">
        <f t="shared" si="29"/>
        <v>2.8</v>
      </c>
      <c r="J242" s="216">
        <v>0.5</v>
      </c>
      <c r="K242" s="216">
        <v>0.3</v>
      </c>
      <c r="L242" s="233">
        <v>6.2</v>
      </c>
      <c r="M242" s="216">
        <v>8</v>
      </c>
      <c r="N242" s="216">
        <v>13</v>
      </c>
      <c r="O242" s="216">
        <v>1</v>
      </c>
      <c r="P242" s="216">
        <v>7</v>
      </c>
      <c r="Q242" s="216">
        <v>0.04</v>
      </c>
      <c r="R242" s="216">
        <v>0.04</v>
      </c>
      <c r="S242" s="216">
        <v>0.2</v>
      </c>
      <c r="T242" s="240">
        <v>4.5</v>
      </c>
      <c r="U242" s="240">
        <v>187.2</v>
      </c>
      <c r="V242" s="240">
        <v>15</v>
      </c>
      <c r="W242" s="241">
        <v>0.03</v>
      </c>
      <c r="X242" s="233">
        <v>0.11</v>
      </c>
      <c r="Y242" s="240">
        <v>80</v>
      </c>
      <c r="Z242" s="216">
        <v>0.4</v>
      </c>
      <c r="AA242" s="241">
        <v>0.221</v>
      </c>
      <c r="AB242" s="241">
        <v>4.4999999999999998E-2</v>
      </c>
      <c r="AC242" s="240">
        <v>3</v>
      </c>
      <c r="AD242" s="240">
        <v>0</v>
      </c>
      <c r="AE242" s="233"/>
      <c r="AF242" s="233">
        <v>0</v>
      </c>
      <c r="AG242" s="240">
        <v>0</v>
      </c>
      <c r="AH242" s="240">
        <f t="shared" si="30"/>
        <v>0</v>
      </c>
      <c r="AI242" s="236">
        <f t="shared" si="31"/>
        <v>36.8333333333333</v>
      </c>
      <c r="AJ242" s="252"/>
      <c r="AK242" s="233">
        <v>0.05</v>
      </c>
      <c r="AL242" s="216">
        <v>0.1</v>
      </c>
      <c r="AM242" s="236">
        <v>403</v>
      </c>
      <c r="AN242" s="231">
        <v>0</v>
      </c>
      <c r="AO242" s="231">
        <v>78</v>
      </c>
      <c r="AP242" s="231">
        <v>2001</v>
      </c>
      <c r="AQ242" s="231">
        <v>28</v>
      </c>
      <c r="AR242" s="231"/>
      <c r="AS242" s="231"/>
      <c r="AT242" s="231"/>
      <c r="AU242" s="231"/>
      <c r="AV242" s="231"/>
      <c r="AW242" s="236">
        <v>1.6E-2</v>
      </c>
      <c r="AX242" s="242">
        <v>8.0000000000000002E-3</v>
      </c>
      <c r="AY242" s="242">
        <v>0</v>
      </c>
      <c r="AZ242" s="242">
        <v>6.0000000000000001E-3</v>
      </c>
      <c r="BA242" s="242">
        <v>0</v>
      </c>
      <c r="BB242" s="242">
        <v>0</v>
      </c>
      <c r="BC242" s="242">
        <v>0</v>
      </c>
      <c r="BD242" s="242">
        <v>3.6999999999999998E-2</v>
      </c>
      <c r="BE242" s="231">
        <v>0</v>
      </c>
      <c r="BF242" s="242">
        <v>0</v>
      </c>
      <c r="BG242" s="242">
        <v>3.6999999999999998E-2</v>
      </c>
      <c r="BH242" s="242">
        <v>0.05</v>
      </c>
      <c r="BI242" s="242">
        <v>0.05</v>
      </c>
      <c r="BJ242" s="242">
        <v>0</v>
      </c>
      <c r="BK242" s="242">
        <v>0</v>
      </c>
      <c r="BL242" s="242">
        <v>0</v>
      </c>
      <c r="BM242" s="242">
        <v>0</v>
      </c>
      <c r="BN242" s="242"/>
      <c r="BO242" s="231">
        <v>0</v>
      </c>
      <c r="BP242" s="231">
        <v>2</v>
      </c>
      <c r="BQ242" s="204">
        <v>64</v>
      </c>
      <c r="BR242" s="204">
        <v>6</v>
      </c>
      <c r="BS242" s="204">
        <v>7</v>
      </c>
      <c r="BT242" s="204">
        <v>16</v>
      </c>
      <c r="BU242" s="204">
        <v>28</v>
      </c>
      <c r="BV242" s="204">
        <v>16</v>
      </c>
      <c r="BW242" s="204">
        <v>18</v>
      </c>
      <c r="BX242" s="204">
        <v>20</v>
      </c>
      <c r="BY242" s="204">
        <v>60</v>
      </c>
      <c r="BZ242" s="204">
        <v>6</v>
      </c>
      <c r="CA242" s="204">
        <v>2</v>
      </c>
      <c r="CB242" s="204">
        <v>12</v>
      </c>
      <c r="CC242" s="204">
        <v>17</v>
      </c>
      <c r="CD242" s="204">
        <v>40</v>
      </c>
      <c r="CE242" s="204">
        <v>65</v>
      </c>
      <c r="CF242" s="204">
        <v>10</v>
      </c>
      <c r="CG242" s="204">
        <v>25</v>
      </c>
      <c r="CH242" s="204">
        <v>16</v>
      </c>
      <c r="CI242" s="231"/>
    </row>
    <row r="243" spans="1:102" ht="25.2" customHeight="1" outlineLevel="1">
      <c r="A243" s="204">
        <v>225</v>
      </c>
      <c r="B243" s="207">
        <v>5012</v>
      </c>
      <c r="C243" s="208" t="s">
        <v>419</v>
      </c>
      <c r="D243" s="194" t="s">
        <v>181</v>
      </c>
      <c r="E243" s="209">
        <f t="shared" si="28"/>
        <v>18</v>
      </c>
      <c r="F243" s="216">
        <v>95</v>
      </c>
      <c r="G243" s="217">
        <v>0.3</v>
      </c>
      <c r="H243" s="218"/>
      <c r="I243" s="230">
        <f t="shared" si="29"/>
        <v>4.2</v>
      </c>
      <c r="J243" s="216">
        <v>0.4</v>
      </c>
      <c r="K243" s="216">
        <v>0.5</v>
      </c>
      <c r="L243" s="233">
        <v>8.1199999999999992</v>
      </c>
      <c r="M243" s="216">
        <v>27</v>
      </c>
      <c r="N243" s="216">
        <v>12</v>
      </c>
      <c r="O243" s="216">
        <v>0.4</v>
      </c>
      <c r="P243" s="216">
        <v>7</v>
      </c>
      <c r="Q243" s="216">
        <v>0.02</v>
      </c>
      <c r="R243" s="216">
        <v>0.02</v>
      </c>
      <c r="S243" s="216">
        <v>0.5</v>
      </c>
      <c r="T243" s="231">
        <v>18</v>
      </c>
      <c r="U243" s="231">
        <v>228</v>
      </c>
      <c r="V243" s="231">
        <v>10</v>
      </c>
      <c r="W243" s="242">
        <v>2.7E-2</v>
      </c>
      <c r="X243" s="232">
        <v>0.09</v>
      </c>
      <c r="Y243" s="231">
        <v>24</v>
      </c>
      <c r="Z243" s="231">
        <v>0.7</v>
      </c>
      <c r="AA243" s="241">
        <v>0.155</v>
      </c>
      <c r="AB243" s="241">
        <v>8.7999999999999995E-2</v>
      </c>
      <c r="AC243" s="240">
        <v>19</v>
      </c>
      <c r="AD243" s="240">
        <v>0</v>
      </c>
      <c r="AE243" s="233"/>
      <c r="AF243" s="233">
        <v>0</v>
      </c>
      <c r="AG243" s="240">
        <v>0</v>
      </c>
      <c r="AH243" s="240">
        <f t="shared" si="30"/>
        <v>0</v>
      </c>
      <c r="AI243" s="236">
        <f t="shared" si="31"/>
        <v>2.5</v>
      </c>
      <c r="AJ243" s="252"/>
      <c r="AK243" s="233">
        <v>0.02</v>
      </c>
      <c r="AL243" s="216">
        <v>2.9</v>
      </c>
      <c r="AM243" s="236">
        <v>30</v>
      </c>
      <c r="AN243" s="231">
        <v>0</v>
      </c>
      <c r="AO243" s="231">
        <v>0</v>
      </c>
      <c r="AP243" s="231">
        <v>0</v>
      </c>
      <c r="AQ243" s="231">
        <v>27</v>
      </c>
      <c r="AR243" s="231"/>
      <c r="AS243" s="231"/>
      <c r="AT243" s="231"/>
      <c r="AU243" s="231"/>
      <c r="AV243" s="231"/>
      <c r="AW243" s="236">
        <v>3.7999999999999999E-2</v>
      </c>
      <c r="AX243" s="242">
        <v>3.2000000000000001E-2</v>
      </c>
      <c r="AY243" s="242">
        <v>0</v>
      </c>
      <c r="AZ243" s="242">
        <v>3.0000000000000001E-3</v>
      </c>
      <c r="BA243" s="242">
        <v>0</v>
      </c>
      <c r="BB243" s="242">
        <v>0</v>
      </c>
      <c r="BC243" s="242">
        <v>0</v>
      </c>
      <c r="BD243" s="242">
        <v>3.0000000000000001E-3</v>
      </c>
      <c r="BE243" s="231">
        <v>0</v>
      </c>
      <c r="BF243" s="242">
        <v>0</v>
      </c>
      <c r="BG243" s="242">
        <v>3.0000000000000001E-3</v>
      </c>
      <c r="BH243" s="242">
        <v>5.8999999999999997E-2</v>
      </c>
      <c r="BI243" s="242">
        <v>2.5999999999999999E-2</v>
      </c>
      <c r="BJ243" s="242">
        <v>3.3000000000000002E-2</v>
      </c>
      <c r="BK243" s="242">
        <v>0</v>
      </c>
      <c r="BL243" s="242">
        <v>0</v>
      </c>
      <c r="BM243" s="242">
        <v>0</v>
      </c>
      <c r="BN243" s="242"/>
      <c r="BO243" s="231">
        <v>0</v>
      </c>
      <c r="BP243" s="231"/>
      <c r="BQ243" s="231">
        <v>18</v>
      </c>
      <c r="BR243" s="231">
        <v>5</v>
      </c>
      <c r="BS243" s="231">
        <v>5</v>
      </c>
      <c r="BT243" s="231">
        <v>15</v>
      </c>
      <c r="BU243" s="231">
        <v>13</v>
      </c>
      <c r="BV243" s="231">
        <v>18</v>
      </c>
      <c r="BW243" s="231">
        <v>16</v>
      </c>
      <c r="BX243" s="231">
        <v>13</v>
      </c>
      <c r="BY243" s="231">
        <v>14</v>
      </c>
      <c r="BZ243" s="231">
        <v>5</v>
      </c>
      <c r="CA243" s="231">
        <v>5</v>
      </c>
      <c r="CB243" s="231">
        <v>10</v>
      </c>
      <c r="CC243" s="231">
        <v>44</v>
      </c>
      <c r="CD243" s="231">
        <v>88</v>
      </c>
      <c r="CE243" s="231">
        <v>153</v>
      </c>
      <c r="CF243" s="231">
        <v>16</v>
      </c>
      <c r="CG243" s="231">
        <v>12</v>
      </c>
      <c r="CH243" s="231">
        <v>23</v>
      </c>
      <c r="CI243" s="231"/>
    </row>
    <row r="244" spans="1:102" ht="25.2" customHeight="1" outlineLevel="1">
      <c r="A244" s="204">
        <v>226</v>
      </c>
      <c r="B244" s="207">
        <v>5013</v>
      </c>
      <c r="C244" s="208" t="s">
        <v>420</v>
      </c>
      <c r="D244" s="194" t="s">
        <v>181</v>
      </c>
      <c r="E244" s="209">
        <f t="shared" si="28"/>
        <v>20.399999999999999</v>
      </c>
      <c r="F244" s="216">
        <v>93.3</v>
      </c>
      <c r="G244" s="217">
        <v>0.4</v>
      </c>
      <c r="H244" s="218">
        <v>0</v>
      </c>
      <c r="I244" s="230">
        <f t="shared" si="29"/>
        <v>4.7</v>
      </c>
      <c r="J244" s="216">
        <v>0.5</v>
      </c>
      <c r="K244" s="216">
        <v>1.6</v>
      </c>
      <c r="L244" s="233"/>
      <c r="M244" s="236">
        <v>11</v>
      </c>
      <c r="N244" s="236">
        <v>21</v>
      </c>
      <c r="O244" s="236">
        <v>0.6</v>
      </c>
      <c r="P244" s="236"/>
      <c r="Q244" s="236"/>
      <c r="R244" s="236"/>
      <c r="S244" s="236"/>
      <c r="T244" s="231"/>
      <c r="U244" s="231"/>
      <c r="V244" s="231"/>
      <c r="W244" s="242"/>
      <c r="X244" s="232"/>
      <c r="Y244" s="231"/>
      <c r="Z244" s="231"/>
      <c r="AA244" s="241"/>
      <c r="AB244" s="241"/>
      <c r="AC244" s="240"/>
      <c r="AD244" s="240"/>
      <c r="AE244" s="236"/>
      <c r="AF244" s="236"/>
      <c r="AG244" s="240">
        <v>0</v>
      </c>
      <c r="AH244" s="240">
        <f t="shared" si="30"/>
        <v>0</v>
      </c>
      <c r="AI244" s="236">
        <f t="shared" si="31"/>
        <v>0</v>
      </c>
      <c r="AJ244" s="252"/>
      <c r="AK244" s="233"/>
      <c r="AL244" s="216"/>
      <c r="AM244" s="236"/>
      <c r="AN244" s="231"/>
      <c r="AO244" s="231"/>
      <c r="AP244" s="231"/>
      <c r="AQ244" s="231"/>
      <c r="AR244" s="231"/>
      <c r="AS244" s="231"/>
      <c r="AT244" s="231"/>
      <c r="AU244" s="231"/>
      <c r="AV244" s="231"/>
      <c r="AW244" s="236"/>
      <c r="AX244" s="242"/>
      <c r="AY244" s="242"/>
      <c r="AZ244" s="242"/>
      <c r="BA244" s="242"/>
      <c r="BB244" s="242"/>
      <c r="BC244" s="242"/>
      <c r="BD244" s="242"/>
      <c r="BE244" s="231"/>
      <c r="BF244" s="242"/>
      <c r="BG244" s="242"/>
      <c r="BH244" s="242"/>
      <c r="BI244" s="242"/>
      <c r="BJ244" s="242"/>
      <c r="BK244" s="242"/>
      <c r="BL244" s="242"/>
      <c r="BM244" s="242"/>
      <c r="BN244" s="242"/>
      <c r="BO244" s="231">
        <v>0</v>
      </c>
      <c r="BP244" s="231"/>
      <c r="BQ244" s="231"/>
      <c r="BR244" s="231"/>
      <c r="BS244" s="231"/>
      <c r="BT244" s="231"/>
      <c r="BU244" s="231"/>
      <c r="BV244" s="231"/>
      <c r="BW244" s="231"/>
      <c r="BX244" s="231"/>
      <c r="BY244" s="231"/>
      <c r="BZ244" s="231"/>
      <c r="CA244" s="231"/>
      <c r="CB244" s="231"/>
      <c r="CC244" s="231"/>
      <c r="CD244" s="231"/>
      <c r="CE244" s="231"/>
      <c r="CF244" s="231"/>
      <c r="CG244" s="231"/>
      <c r="CH244" s="231"/>
      <c r="CI244" s="231"/>
    </row>
    <row r="245" spans="1:102" ht="25.2" customHeight="1" outlineLevel="1">
      <c r="A245" s="204">
        <v>227</v>
      </c>
      <c r="B245" s="207">
        <v>5014</v>
      </c>
      <c r="C245" s="208" t="s">
        <v>421</v>
      </c>
      <c r="D245" s="194" t="s">
        <v>181</v>
      </c>
      <c r="E245" s="209">
        <f t="shared" si="28"/>
        <v>32.4</v>
      </c>
      <c r="F245" s="216">
        <v>91.5</v>
      </c>
      <c r="G245" s="217">
        <v>0.8</v>
      </c>
      <c r="H245" s="218"/>
      <c r="I245" s="230">
        <f t="shared" si="29"/>
        <v>7.3</v>
      </c>
      <c r="J245" s="216">
        <v>0.8</v>
      </c>
      <c r="K245" s="216">
        <v>0.4</v>
      </c>
      <c r="L245" s="233"/>
      <c r="M245" s="216">
        <v>15</v>
      </c>
      <c r="N245" s="216">
        <v>17</v>
      </c>
      <c r="O245" s="216">
        <v>0.5</v>
      </c>
      <c r="P245" s="216">
        <v>24</v>
      </c>
      <c r="Q245" s="216">
        <v>0.08</v>
      </c>
      <c r="R245" s="216">
        <v>0.02</v>
      </c>
      <c r="S245" s="216">
        <v>0.2</v>
      </c>
      <c r="T245" s="240">
        <v>24.2</v>
      </c>
      <c r="U245" s="240">
        <v>156.9</v>
      </c>
      <c r="V245" s="240">
        <v>22</v>
      </c>
      <c r="W245" s="241">
        <v>0.12</v>
      </c>
      <c r="X245" s="233">
        <v>0.25</v>
      </c>
      <c r="Y245" s="240">
        <v>320</v>
      </c>
      <c r="Z245" s="216">
        <v>0.5</v>
      </c>
      <c r="AA245" s="241"/>
      <c r="AB245" s="241"/>
      <c r="AC245" s="240"/>
      <c r="AD245" s="240"/>
      <c r="AE245" s="233"/>
      <c r="AF245" s="233"/>
      <c r="AG245" s="240">
        <v>0</v>
      </c>
      <c r="AH245" s="240">
        <f t="shared" si="30"/>
        <v>0</v>
      </c>
      <c r="AI245" s="236">
        <f t="shared" si="31"/>
        <v>3.3333333333333299</v>
      </c>
      <c r="AJ245" s="252"/>
      <c r="AK245" s="233"/>
      <c r="AL245" s="216"/>
      <c r="AM245" s="236">
        <v>40</v>
      </c>
      <c r="AN245" s="231"/>
      <c r="AO245" s="231"/>
      <c r="AP245" s="231"/>
      <c r="AQ245" s="231"/>
      <c r="AR245" s="231"/>
      <c r="AS245" s="231"/>
      <c r="AT245" s="231"/>
      <c r="AU245" s="231"/>
      <c r="AV245" s="231"/>
      <c r="AW245" s="236"/>
      <c r="AX245" s="242"/>
      <c r="AY245" s="242"/>
      <c r="AZ245" s="242"/>
      <c r="BA245" s="242"/>
      <c r="BB245" s="242"/>
      <c r="BC245" s="242"/>
      <c r="BD245" s="242"/>
      <c r="BE245" s="231"/>
      <c r="BF245" s="242"/>
      <c r="BG245" s="242"/>
      <c r="BH245" s="242"/>
      <c r="BI245" s="242"/>
      <c r="BJ245" s="242"/>
      <c r="BK245" s="242"/>
      <c r="BL245" s="242"/>
      <c r="BM245" s="242"/>
      <c r="BN245" s="242"/>
      <c r="BO245" s="231">
        <v>0</v>
      </c>
      <c r="BP245" s="231"/>
      <c r="BQ245" s="231"/>
      <c r="BR245" s="231"/>
      <c r="BS245" s="231"/>
      <c r="BT245" s="231"/>
      <c r="BU245" s="231"/>
      <c r="BV245" s="231"/>
      <c r="BW245" s="231"/>
      <c r="BX245" s="231"/>
      <c r="BY245" s="231"/>
      <c r="BZ245" s="231"/>
      <c r="CA245" s="231"/>
      <c r="CB245" s="231"/>
      <c r="CC245" s="231"/>
      <c r="CD245" s="231"/>
      <c r="CE245" s="231"/>
      <c r="CF245" s="231"/>
      <c r="CG245" s="231"/>
      <c r="CH245" s="231"/>
      <c r="CI245" s="231"/>
    </row>
    <row r="246" spans="1:102" ht="25.2" customHeight="1" outlineLevel="1">
      <c r="A246" s="204">
        <v>228</v>
      </c>
      <c r="B246" s="207">
        <v>5015</v>
      </c>
      <c r="C246" s="208" t="s">
        <v>422</v>
      </c>
      <c r="D246" s="194" t="s">
        <v>181</v>
      </c>
      <c r="E246" s="209">
        <f t="shared" si="28"/>
        <v>39.200000000000003</v>
      </c>
      <c r="F246" s="216">
        <v>89.7</v>
      </c>
      <c r="G246" s="217">
        <v>0.5</v>
      </c>
      <c r="H246" s="218"/>
      <c r="I246" s="230">
        <f t="shared" si="29"/>
        <v>9.3000000000000007</v>
      </c>
      <c r="J246" s="216">
        <v>0.4</v>
      </c>
      <c r="K246" s="216">
        <v>0.5</v>
      </c>
      <c r="L246" s="233">
        <v>9.26</v>
      </c>
      <c r="M246" s="216">
        <v>32</v>
      </c>
      <c r="N246" s="216">
        <v>11</v>
      </c>
      <c r="O246" s="216">
        <v>0.3</v>
      </c>
      <c r="P246" s="216">
        <v>26</v>
      </c>
      <c r="Q246" s="216">
        <v>0.08</v>
      </c>
      <c r="R246" s="216">
        <v>0.03</v>
      </c>
      <c r="S246" s="216">
        <v>0.2</v>
      </c>
      <c r="T246" s="231">
        <v>1</v>
      </c>
      <c r="U246" s="231">
        <v>115</v>
      </c>
      <c r="V246" s="231">
        <v>12</v>
      </c>
      <c r="W246" s="242">
        <v>1.177</v>
      </c>
      <c r="X246" s="232">
        <v>0.1</v>
      </c>
      <c r="Y246" s="231">
        <v>99</v>
      </c>
      <c r="Z246" s="231">
        <v>0.1</v>
      </c>
      <c r="AA246" s="241">
        <v>0.20499999999999999</v>
      </c>
      <c r="AB246" s="241">
        <v>0.11</v>
      </c>
      <c r="AC246" s="240">
        <v>15</v>
      </c>
      <c r="AD246" s="240">
        <v>0</v>
      </c>
      <c r="AE246" s="233"/>
      <c r="AF246" s="233">
        <v>0</v>
      </c>
      <c r="AG246" s="240">
        <v>0</v>
      </c>
      <c r="AH246" s="240">
        <f t="shared" si="30"/>
        <v>0</v>
      </c>
      <c r="AI246" s="236">
        <f t="shared" si="31"/>
        <v>2.8333333333333299</v>
      </c>
      <c r="AJ246" s="252"/>
      <c r="AK246" s="233">
        <v>0.02</v>
      </c>
      <c r="AL246" s="216">
        <v>0.7</v>
      </c>
      <c r="AM246" s="236">
        <v>34</v>
      </c>
      <c r="AN246" s="231">
        <v>0</v>
      </c>
      <c r="AO246" s="231">
        <v>0</v>
      </c>
      <c r="AP246" s="231">
        <v>0</v>
      </c>
      <c r="AQ246" s="231">
        <v>0</v>
      </c>
      <c r="AR246" s="231"/>
      <c r="AS246" s="231"/>
      <c r="AT246" s="231"/>
      <c r="AU246" s="231"/>
      <c r="AV246" s="231">
        <v>19</v>
      </c>
      <c r="AW246" s="236">
        <v>8.9999999999999993E-3</v>
      </c>
      <c r="AX246" s="242">
        <v>5.0000000000000001E-3</v>
      </c>
      <c r="AY246" s="242">
        <v>0</v>
      </c>
      <c r="AZ246" s="242">
        <v>3.0000000000000001E-3</v>
      </c>
      <c r="BA246" s="242">
        <v>0</v>
      </c>
      <c r="BB246" s="242">
        <v>0</v>
      </c>
      <c r="BC246" s="242">
        <v>0</v>
      </c>
      <c r="BD246" s="242">
        <v>1.4E-2</v>
      </c>
      <c r="BE246" s="231">
        <v>0</v>
      </c>
      <c r="BF246" s="242">
        <v>1E-3</v>
      </c>
      <c r="BG246" s="242">
        <v>1.2999999999999999E-2</v>
      </c>
      <c r="BH246" s="242">
        <v>4.2000000000000003E-2</v>
      </c>
      <c r="BI246" s="242">
        <v>2.4E-2</v>
      </c>
      <c r="BJ246" s="242">
        <v>1.7999999999999999E-2</v>
      </c>
      <c r="BK246" s="242">
        <v>0</v>
      </c>
      <c r="BL246" s="242">
        <v>0</v>
      </c>
      <c r="BM246" s="242">
        <v>0</v>
      </c>
      <c r="BN246" s="242"/>
      <c r="BO246" s="231">
        <v>0</v>
      </c>
      <c r="BP246" s="231">
        <v>6</v>
      </c>
      <c r="BQ246" s="231">
        <v>24</v>
      </c>
      <c r="BR246" s="231">
        <v>12</v>
      </c>
      <c r="BS246" s="231">
        <v>5</v>
      </c>
      <c r="BT246" s="231">
        <v>21</v>
      </c>
      <c r="BU246" s="231">
        <v>19</v>
      </c>
      <c r="BV246" s="231">
        <v>24</v>
      </c>
      <c r="BW246" s="231">
        <v>24</v>
      </c>
      <c r="BX246" s="231">
        <v>19</v>
      </c>
      <c r="BY246" s="231">
        <v>19</v>
      </c>
      <c r="BZ246" s="231">
        <v>10</v>
      </c>
      <c r="CA246" s="231">
        <v>14</v>
      </c>
      <c r="CB246" s="231">
        <v>19</v>
      </c>
      <c r="CC246" s="231">
        <v>33</v>
      </c>
      <c r="CD246" s="231">
        <v>121</v>
      </c>
      <c r="CE246" s="231">
        <v>79</v>
      </c>
      <c r="CF246" s="231">
        <v>24</v>
      </c>
      <c r="CG246" s="231">
        <v>17</v>
      </c>
      <c r="CH246" s="231">
        <v>35</v>
      </c>
      <c r="CI246" s="231"/>
    </row>
    <row r="247" spans="1:102" ht="25.2" customHeight="1" outlineLevel="1">
      <c r="A247" s="204">
        <v>229</v>
      </c>
      <c r="B247" s="207">
        <v>5016</v>
      </c>
      <c r="C247" s="208" t="s">
        <v>423</v>
      </c>
      <c r="D247" s="194" t="s">
        <v>181</v>
      </c>
      <c r="E247" s="209">
        <f t="shared" si="28"/>
        <v>36.6</v>
      </c>
      <c r="F247" s="216">
        <v>90.5</v>
      </c>
      <c r="G247" s="217">
        <v>0.9</v>
      </c>
      <c r="H247" s="218">
        <v>0.2</v>
      </c>
      <c r="I247" s="230">
        <f t="shared" si="29"/>
        <v>7.8</v>
      </c>
      <c r="J247" s="216">
        <v>1.5</v>
      </c>
      <c r="K247" s="216">
        <v>0.6</v>
      </c>
      <c r="L247" s="233">
        <v>8.39</v>
      </c>
      <c r="M247" s="216">
        <v>20</v>
      </c>
      <c r="N247" s="216">
        <v>34</v>
      </c>
      <c r="O247" s="216">
        <v>0.45</v>
      </c>
      <c r="P247" s="216">
        <v>10</v>
      </c>
      <c r="Q247" s="216">
        <v>0.02</v>
      </c>
      <c r="R247" s="216">
        <v>0.05</v>
      </c>
      <c r="S247" s="216">
        <v>0.9</v>
      </c>
      <c r="T247" s="231">
        <v>0</v>
      </c>
      <c r="U247" s="231">
        <v>190</v>
      </c>
      <c r="V247" s="231">
        <v>9</v>
      </c>
      <c r="W247" s="242">
        <v>6.0999999999999999E-2</v>
      </c>
      <c r="X247" s="232">
        <v>0.17</v>
      </c>
      <c r="Y247" s="231">
        <v>68</v>
      </c>
      <c r="Z247" s="231">
        <v>0.1</v>
      </c>
      <c r="AA247" s="241">
        <v>0.153</v>
      </c>
      <c r="AB247" s="241">
        <v>2.5000000000000001E-2</v>
      </c>
      <c r="AC247" s="240">
        <v>4</v>
      </c>
      <c r="AD247" s="240">
        <v>0</v>
      </c>
      <c r="AE247" s="233">
        <v>0.2</v>
      </c>
      <c r="AF247" s="233">
        <v>0</v>
      </c>
      <c r="AG247" s="240">
        <v>0</v>
      </c>
      <c r="AH247" s="240">
        <f t="shared" si="30"/>
        <v>0</v>
      </c>
      <c r="AI247" s="236">
        <f t="shared" si="31"/>
        <v>16.2916666666667</v>
      </c>
      <c r="AJ247" s="216"/>
      <c r="AK247" s="233">
        <v>0.73</v>
      </c>
      <c r="AL247" s="216">
        <v>2.6</v>
      </c>
      <c r="AM247" s="236">
        <v>162</v>
      </c>
      <c r="AN247" s="231">
        <v>0</v>
      </c>
      <c r="AO247" s="231">
        <v>67</v>
      </c>
      <c r="AP247" s="231">
        <v>0</v>
      </c>
      <c r="AQ247" s="231">
        <v>91</v>
      </c>
      <c r="AR247" s="231"/>
      <c r="AS247" s="231"/>
      <c r="AT247" s="231"/>
      <c r="AU247" s="231"/>
      <c r="AV247" s="231">
        <v>21</v>
      </c>
      <c r="AW247" s="236">
        <v>1.9E-2</v>
      </c>
      <c r="AX247" s="242">
        <v>1.7000000000000001E-2</v>
      </c>
      <c r="AY247" s="242">
        <v>0</v>
      </c>
      <c r="AZ247" s="242">
        <v>2E-3</v>
      </c>
      <c r="BA247" s="242">
        <v>0</v>
      </c>
      <c r="BB247" s="242">
        <v>0</v>
      </c>
      <c r="BC247" s="242">
        <v>0</v>
      </c>
      <c r="BD247" s="242">
        <v>6.7000000000000004E-2</v>
      </c>
      <c r="BE247" s="231">
        <v>0</v>
      </c>
      <c r="BF247" s="242">
        <v>2E-3</v>
      </c>
      <c r="BG247" s="242">
        <v>6.5000000000000002E-2</v>
      </c>
      <c r="BH247" s="242">
        <v>8.5999999999999993E-2</v>
      </c>
      <c r="BI247" s="242">
        <v>8.4000000000000005E-2</v>
      </c>
      <c r="BJ247" s="242">
        <v>2E-3</v>
      </c>
      <c r="BK247" s="242">
        <v>0</v>
      </c>
      <c r="BL247" s="242">
        <v>0</v>
      </c>
      <c r="BM247" s="242">
        <v>0</v>
      </c>
      <c r="BN247" s="242"/>
      <c r="BO247" s="231">
        <v>0</v>
      </c>
      <c r="BP247" s="231">
        <v>10</v>
      </c>
      <c r="BQ247" s="204">
        <v>48</v>
      </c>
      <c r="BR247" s="204">
        <v>50</v>
      </c>
      <c r="BS247" s="204">
        <v>6</v>
      </c>
      <c r="BT247" s="204">
        <v>29</v>
      </c>
      <c r="BU247" s="204">
        <v>44</v>
      </c>
      <c r="BV247" s="204">
        <v>64</v>
      </c>
      <c r="BW247" s="204">
        <v>46</v>
      </c>
      <c r="BX247" s="204">
        <v>21</v>
      </c>
      <c r="BY247" s="204">
        <v>27</v>
      </c>
      <c r="BZ247" s="204">
        <v>27</v>
      </c>
      <c r="CA247" s="204">
        <v>14</v>
      </c>
      <c r="CB247" s="204">
        <v>33</v>
      </c>
      <c r="CC247" s="204">
        <v>64</v>
      </c>
      <c r="CD247" s="204">
        <v>148</v>
      </c>
      <c r="CE247" s="204">
        <v>229</v>
      </c>
      <c r="CF247" s="204">
        <v>25</v>
      </c>
      <c r="CG247" s="204">
        <v>44</v>
      </c>
      <c r="CH247" s="204">
        <v>54</v>
      </c>
      <c r="CI247" s="231"/>
    </row>
    <row r="248" spans="1:102" ht="25.2" customHeight="1" outlineLevel="1">
      <c r="A248" s="204">
        <v>230</v>
      </c>
      <c r="B248" s="207">
        <v>5017</v>
      </c>
      <c r="C248" s="208" t="s">
        <v>424</v>
      </c>
      <c r="D248" s="194" t="s">
        <v>181</v>
      </c>
      <c r="E248" s="209">
        <f t="shared" si="28"/>
        <v>37.200000000000003</v>
      </c>
      <c r="F248" s="216">
        <v>90.1</v>
      </c>
      <c r="G248" s="217">
        <v>1</v>
      </c>
      <c r="H248" s="218"/>
      <c r="I248" s="230">
        <f t="shared" si="29"/>
        <v>8.3000000000000096</v>
      </c>
      <c r="J248" s="216">
        <v>0.6</v>
      </c>
      <c r="K248" s="216">
        <v>0.6</v>
      </c>
      <c r="L248" s="233">
        <v>5.9</v>
      </c>
      <c r="M248" s="216">
        <v>40</v>
      </c>
      <c r="N248" s="216">
        <v>32</v>
      </c>
      <c r="O248" s="216">
        <v>2.6</v>
      </c>
      <c r="P248" s="216">
        <v>54</v>
      </c>
      <c r="Q248" s="216">
        <v>0.02</v>
      </c>
      <c r="R248" s="216">
        <v>0.02</v>
      </c>
      <c r="S248" s="216">
        <v>0.4</v>
      </c>
      <c r="T248" s="240">
        <v>4.3</v>
      </c>
      <c r="U248" s="240">
        <v>220.5</v>
      </c>
      <c r="V248" s="240">
        <v>8</v>
      </c>
      <c r="W248" s="241">
        <v>0.84</v>
      </c>
      <c r="X248" s="233">
        <v>0.1</v>
      </c>
      <c r="Y248" s="240">
        <v>40</v>
      </c>
      <c r="Z248" s="216">
        <v>0.6</v>
      </c>
      <c r="AA248" s="241">
        <v>0.218</v>
      </c>
      <c r="AB248" s="241">
        <v>1.9E-2</v>
      </c>
      <c r="AC248" s="240">
        <v>38</v>
      </c>
      <c r="AD248" s="240">
        <v>0</v>
      </c>
      <c r="AE248" s="233"/>
      <c r="AF248" s="233">
        <v>0</v>
      </c>
      <c r="AG248" s="240">
        <v>0</v>
      </c>
      <c r="AH248" s="240">
        <f t="shared" si="30"/>
        <v>0</v>
      </c>
      <c r="AI248" s="236">
        <f t="shared" si="31"/>
        <v>55.7916666666667</v>
      </c>
      <c r="AJ248" s="252"/>
      <c r="AK248" s="233">
        <v>0.73</v>
      </c>
      <c r="AL248" s="216">
        <v>2.6</v>
      </c>
      <c r="AM248" s="236">
        <v>265</v>
      </c>
      <c r="AN248" s="231">
        <v>48</v>
      </c>
      <c r="AO248" s="231">
        <v>761</v>
      </c>
      <c r="AP248" s="209">
        <v>9.5</v>
      </c>
      <c r="AQ248" s="231">
        <v>4</v>
      </c>
      <c r="AR248" s="231"/>
      <c r="AS248" s="231"/>
      <c r="AT248" s="231"/>
      <c r="AU248" s="231"/>
      <c r="AV248" s="231"/>
      <c r="AW248" s="236">
        <v>4.2999999999999997E-2</v>
      </c>
      <c r="AX248" s="242">
        <v>3.2000000000000001E-2</v>
      </c>
      <c r="AY248" s="242">
        <v>0</v>
      </c>
      <c r="AZ248" s="242">
        <v>2E-3</v>
      </c>
      <c r="BA248" s="242">
        <v>0</v>
      </c>
      <c r="BB248" s="242">
        <v>0</v>
      </c>
      <c r="BC248" s="242">
        <v>0</v>
      </c>
      <c r="BD248" s="242">
        <v>3.7999999999999999E-2</v>
      </c>
      <c r="BE248" s="231">
        <v>0</v>
      </c>
      <c r="BF248" s="242">
        <v>0.02</v>
      </c>
      <c r="BG248" s="242">
        <v>1.7999999999999999E-2</v>
      </c>
      <c r="BH248" s="242">
        <v>3.1E-2</v>
      </c>
      <c r="BI248" s="242">
        <v>6.0000000000000001E-3</v>
      </c>
      <c r="BJ248" s="242">
        <v>2.5000000000000001E-2</v>
      </c>
      <c r="BK248" s="242">
        <v>0</v>
      </c>
      <c r="BL248" s="242">
        <v>0</v>
      </c>
      <c r="BM248" s="242">
        <v>0</v>
      </c>
      <c r="BN248" s="242"/>
      <c r="BO248" s="231">
        <v>0</v>
      </c>
      <c r="BP248" s="231"/>
      <c r="BQ248" s="231">
        <v>25</v>
      </c>
      <c r="BR248" s="231">
        <v>2</v>
      </c>
      <c r="BS248" s="231">
        <v>8</v>
      </c>
      <c r="BT248" s="231">
        <v>9</v>
      </c>
      <c r="BU248" s="231">
        <v>11</v>
      </c>
      <c r="BV248" s="231">
        <v>10</v>
      </c>
      <c r="BW248" s="231">
        <v>16</v>
      </c>
      <c r="BX248" s="231">
        <v>8</v>
      </c>
      <c r="BY248" s="231">
        <v>10</v>
      </c>
      <c r="BZ248" s="231">
        <v>5</v>
      </c>
      <c r="CA248" s="231"/>
      <c r="CB248" s="231">
        <v>5</v>
      </c>
      <c r="CC248" s="231">
        <v>14</v>
      </c>
      <c r="CD248" s="231">
        <v>49</v>
      </c>
      <c r="CE248" s="231">
        <v>33</v>
      </c>
      <c r="CF248" s="231">
        <v>18</v>
      </c>
      <c r="CG248" s="231">
        <v>10</v>
      </c>
      <c r="CH248" s="231">
        <v>15</v>
      </c>
      <c r="CI248" s="231"/>
    </row>
    <row r="249" spans="1:102" ht="25.2" customHeight="1" outlineLevel="1">
      <c r="A249" s="204">
        <v>231</v>
      </c>
      <c r="B249" s="207">
        <v>5018</v>
      </c>
      <c r="C249" s="208" t="s">
        <v>425</v>
      </c>
      <c r="D249" s="194" t="s">
        <v>181</v>
      </c>
      <c r="E249" s="209">
        <f t="shared" si="28"/>
        <v>27.2</v>
      </c>
      <c r="F249" s="216">
        <v>93</v>
      </c>
      <c r="G249" s="217">
        <v>0.4</v>
      </c>
      <c r="H249" s="218"/>
      <c r="I249" s="230">
        <f t="shared" si="29"/>
        <v>6.3999999999999897</v>
      </c>
      <c r="J249" s="216">
        <v>2.9</v>
      </c>
      <c r="K249" s="216">
        <v>0.2</v>
      </c>
      <c r="L249" s="233"/>
      <c r="M249" s="216">
        <v>12</v>
      </c>
      <c r="N249" s="216">
        <v>6</v>
      </c>
      <c r="O249" s="216">
        <v>0.5</v>
      </c>
      <c r="P249" s="216">
        <v>30</v>
      </c>
      <c r="Q249" s="216">
        <v>0.03</v>
      </c>
      <c r="R249" s="216">
        <v>0.02</v>
      </c>
      <c r="S249" s="216">
        <v>0.2</v>
      </c>
      <c r="T249" s="204">
        <v>0</v>
      </c>
      <c r="U249" s="204">
        <v>123</v>
      </c>
      <c r="V249" s="204">
        <v>5</v>
      </c>
      <c r="W249" s="244">
        <v>2.9000000000000001E-2</v>
      </c>
      <c r="X249" s="213">
        <v>0.06</v>
      </c>
      <c r="Y249" s="204">
        <v>16</v>
      </c>
      <c r="Z249" s="231"/>
      <c r="AA249" s="241"/>
      <c r="AB249" s="241"/>
      <c r="AC249" s="240"/>
      <c r="AD249" s="240"/>
      <c r="AE249" s="233"/>
      <c r="AF249" s="233"/>
      <c r="AG249" s="240">
        <v>0</v>
      </c>
      <c r="AH249" s="240">
        <f t="shared" si="30"/>
        <v>0</v>
      </c>
      <c r="AI249" s="236">
        <f t="shared" si="31"/>
        <v>0</v>
      </c>
      <c r="AJ249" s="252"/>
      <c r="AK249" s="233"/>
      <c r="AL249" s="216"/>
      <c r="AM249" s="236"/>
      <c r="AN249" s="231"/>
      <c r="AO249" s="231"/>
      <c r="AP249" s="231"/>
      <c r="AQ249" s="231"/>
      <c r="AR249" s="231"/>
      <c r="AS249" s="231"/>
      <c r="AT249" s="231"/>
      <c r="AU249" s="231"/>
      <c r="AV249" s="231"/>
      <c r="AW249" s="236"/>
      <c r="AX249" s="242"/>
      <c r="AY249" s="242"/>
      <c r="AZ249" s="242"/>
      <c r="BA249" s="242"/>
      <c r="BB249" s="242"/>
      <c r="BC249" s="242"/>
      <c r="BD249" s="242"/>
      <c r="BE249" s="231"/>
      <c r="BF249" s="242"/>
      <c r="BG249" s="242"/>
      <c r="BH249" s="242"/>
      <c r="BI249" s="242"/>
      <c r="BJ249" s="242"/>
      <c r="BK249" s="242"/>
      <c r="BL249" s="242"/>
      <c r="BM249" s="242"/>
      <c r="BN249" s="242"/>
      <c r="BO249" s="231">
        <v>0</v>
      </c>
      <c r="BP249" s="231"/>
      <c r="BQ249" s="231"/>
      <c r="BR249" s="231"/>
      <c r="BS249" s="231"/>
      <c r="BT249" s="231"/>
      <c r="BU249" s="231"/>
      <c r="BV249" s="231"/>
      <c r="BW249" s="231"/>
      <c r="BX249" s="231"/>
      <c r="BY249" s="231"/>
      <c r="BZ249" s="231"/>
      <c r="CA249" s="231"/>
      <c r="CB249" s="231"/>
      <c r="CC249" s="231"/>
      <c r="CD249" s="231"/>
      <c r="CE249" s="231"/>
      <c r="CF249" s="231"/>
      <c r="CG249" s="231"/>
      <c r="CH249" s="231"/>
      <c r="CI249" s="231"/>
    </row>
    <row r="250" spans="1:102" s="172" customFormat="1" ht="25.2" customHeight="1">
      <c r="A250" s="204">
        <v>232</v>
      </c>
      <c r="B250" s="207">
        <v>5019</v>
      </c>
      <c r="C250" s="208" t="s">
        <v>426</v>
      </c>
      <c r="D250" s="194" t="s">
        <v>181</v>
      </c>
      <c r="E250" s="209">
        <f t="shared" si="28"/>
        <v>44</v>
      </c>
      <c r="F250" s="216">
        <v>88.2</v>
      </c>
      <c r="G250" s="217">
        <v>1.4</v>
      </c>
      <c r="H250" s="218"/>
      <c r="I250" s="230">
        <f t="shared" si="29"/>
        <v>9.5999999999999908</v>
      </c>
      <c r="J250" s="216">
        <v>2.4</v>
      </c>
      <c r="K250" s="216">
        <v>0.8</v>
      </c>
      <c r="L250" s="233"/>
      <c r="M250" s="216">
        <v>48</v>
      </c>
      <c r="N250" s="216">
        <v>9</v>
      </c>
      <c r="O250" s="216">
        <v>0.4</v>
      </c>
      <c r="P250" s="216">
        <v>24</v>
      </c>
      <c r="Q250" s="216">
        <v>0.02</v>
      </c>
      <c r="R250" s="216">
        <v>0.11</v>
      </c>
      <c r="S250" s="216">
        <v>3.3</v>
      </c>
      <c r="T250" s="231"/>
      <c r="U250" s="231"/>
      <c r="V250" s="231"/>
      <c r="W250" s="242"/>
      <c r="X250" s="232"/>
      <c r="Y250" s="231"/>
      <c r="Z250" s="231"/>
      <c r="AA250" s="241"/>
      <c r="AB250" s="241"/>
      <c r="AC250" s="240"/>
      <c r="AD250" s="240"/>
      <c r="AE250" s="233"/>
      <c r="AF250" s="233"/>
      <c r="AG250" s="240">
        <v>0</v>
      </c>
      <c r="AH250" s="240">
        <f t="shared" si="30"/>
        <v>0</v>
      </c>
      <c r="AI250" s="236">
        <f t="shared" si="31"/>
        <v>0</v>
      </c>
      <c r="AJ250" s="252"/>
      <c r="AK250" s="233"/>
      <c r="AL250" s="216"/>
      <c r="AM250" s="236"/>
      <c r="AN250" s="231"/>
      <c r="AO250" s="231"/>
      <c r="AP250" s="231"/>
      <c r="AQ250" s="231"/>
      <c r="AR250" s="231"/>
      <c r="AS250" s="231"/>
      <c r="AT250" s="231"/>
      <c r="AU250" s="231"/>
      <c r="AV250" s="231"/>
      <c r="AW250" s="236"/>
      <c r="AX250" s="242"/>
      <c r="AY250" s="242"/>
      <c r="AZ250" s="242"/>
      <c r="BA250" s="242"/>
      <c r="BB250" s="242"/>
      <c r="BC250" s="242"/>
      <c r="BD250" s="242"/>
      <c r="BE250" s="231"/>
      <c r="BF250" s="242"/>
      <c r="BG250" s="242"/>
      <c r="BH250" s="242"/>
      <c r="BI250" s="242"/>
      <c r="BJ250" s="242"/>
      <c r="BK250" s="242"/>
      <c r="BL250" s="242"/>
      <c r="BM250" s="242"/>
      <c r="BN250" s="242"/>
      <c r="BO250" s="231">
        <v>0</v>
      </c>
      <c r="BP250" s="231"/>
      <c r="BQ250" s="231"/>
      <c r="BR250" s="231"/>
      <c r="BS250" s="231"/>
      <c r="BT250" s="231"/>
      <c r="BU250" s="231"/>
      <c r="BV250" s="231"/>
      <c r="BW250" s="231"/>
      <c r="BX250" s="231"/>
      <c r="BY250" s="231"/>
      <c r="BZ250" s="231"/>
      <c r="CA250" s="231"/>
      <c r="CB250" s="231"/>
      <c r="CC250" s="231"/>
      <c r="CD250" s="231"/>
      <c r="CE250" s="231"/>
      <c r="CF250" s="231"/>
      <c r="CG250" s="231"/>
      <c r="CH250" s="231"/>
      <c r="CI250" s="231"/>
    </row>
    <row r="251" spans="1:102" ht="25.2" customHeight="1" outlineLevel="1">
      <c r="A251" s="204">
        <v>233</v>
      </c>
      <c r="B251" s="207">
        <v>5020</v>
      </c>
      <c r="C251" s="208" t="s">
        <v>427</v>
      </c>
      <c r="D251" s="194" t="s">
        <v>181</v>
      </c>
      <c r="E251" s="209">
        <f t="shared" si="28"/>
        <v>37.6</v>
      </c>
      <c r="F251" s="216">
        <v>90</v>
      </c>
      <c r="G251" s="217">
        <v>0.7</v>
      </c>
      <c r="H251" s="218"/>
      <c r="I251" s="230">
        <f t="shared" si="29"/>
        <v>8.6999999999999993</v>
      </c>
      <c r="J251" s="216">
        <v>2.5</v>
      </c>
      <c r="K251" s="216">
        <v>0.6</v>
      </c>
      <c r="L251" s="233">
        <v>12.53</v>
      </c>
      <c r="M251" s="216">
        <v>10</v>
      </c>
      <c r="N251" s="216">
        <v>19</v>
      </c>
      <c r="O251" s="216">
        <v>0.2</v>
      </c>
      <c r="P251" s="216">
        <v>16</v>
      </c>
      <c r="Q251" s="216">
        <v>0.01</v>
      </c>
      <c r="R251" s="216">
        <v>0.02</v>
      </c>
      <c r="S251" s="216">
        <v>0.2</v>
      </c>
      <c r="T251" s="240">
        <v>4.3</v>
      </c>
      <c r="U251" s="240">
        <v>214.2</v>
      </c>
      <c r="V251" s="240">
        <v>9</v>
      </c>
      <c r="W251" s="241">
        <v>1.1200000000000001</v>
      </c>
      <c r="X251" s="233">
        <v>0.19</v>
      </c>
      <c r="Y251" s="240">
        <v>100</v>
      </c>
      <c r="Z251" s="216">
        <v>0.6</v>
      </c>
      <c r="AA251" s="241"/>
      <c r="AB251" s="241">
        <v>0.1</v>
      </c>
      <c r="AC251" s="240">
        <v>8</v>
      </c>
      <c r="AD251" s="240">
        <v>0</v>
      </c>
      <c r="AE251" s="233"/>
      <c r="AF251" s="233">
        <v>0</v>
      </c>
      <c r="AG251" s="240">
        <v>0</v>
      </c>
      <c r="AH251" s="240">
        <f t="shared" si="30"/>
        <v>0</v>
      </c>
      <c r="AI251" s="236">
        <f t="shared" si="31"/>
        <v>81.375</v>
      </c>
      <c r="AJ251" s="252"/>
      <c r="AK251" s="233">
        <v>0.73</v>
      </c>
      <c r="AL251" s="216">
        <v>2.6</v>
      </c>
      <c r="AM251" s="236">
        <v>253</v>
      </c>
      <c r="AN251" s="231"/>
      <c r="AO251" s="231">
        <v>1447</v>
      </c>
      <c r="AP251" s="231">
        <v>158</v>
      </c>
      <c r="AQ251" s="231">
        <v>834</v>
      </c>
      <c r="AR251" s="231"/>
      <c r="AS251" s="231"/>
      <c r="AT251" s="231"/>
      <c r="AU251" s="231"/>
      <c r="AV251" s="231"/>
      <c r="AW251" s="236">
        <v>0.02</v>
      </c>
      <c r="AX251" s="242">
        <v>1.6E-2</v>
      </c>
      <c r="AY251" s="242">
        <v>0</v>
      </c>
      <c r="AZ251" s="242">
        <v>3.0000000000000001E-3</v>
      </c>
      <c r="BA251" s="242">
        <v>0</v>
      </c>
      <c r="BB251" s="242">
        <v>0</v>
      </c>
      <c r="BC251" s="242">
        <v>0</v>
      </c>
      <c r="BD251" s="242">
        <v>3.6999999999999998E-2</v>
      </c>
      <c r="BE251" s="231">
        <v>0</v>
      </c>
      <c r="BF251" s="242">
        <v>0</v>
      </c>
      <c r="BG251" s="242">
        <v>3.6999999999999998E-2</v>
      </c>
      <c r="BH251" s="242">
        <v>4.2999999999999997E-2</v>
      </c>
      <c r="BI251" s="242">
        <v>3.9E-2</v>
      </c>
      <c r="BJ251" s="242">
        <v>4.0000000000000001E-3</v>
      </c>
      <c r="BK251" s="242">
        <v>0</v>
      </c>
      <c r="BL251" s="242">
        <v>0</v>
      </c>
      <c r="BM251" s="242">
        <v>0</v>
      </c>
      <c r="BN251" s="242"/>
      <c r="BO251" s="231">
        <v>0</v>
      </c>
      <c r="BP251" s="231">
        <v>4</v>
      </c>
      <c r="BQ251" s="204">
        <v>32</v>
      </c>
      <c r="BR251" s="204">
        <v>6</v>
      </c>
      <c r="BS251" s="204">
        <v>11</v>
      </c>
      <c r="BT251" s="204">
        <v>29</v>
      </c>
      <c r="BU251" s="204">
        <v>38</v>
      </c>
      <c r="BV251" s="204">
        <v>29</v>
      </c>
      <c r="BW251" s="204">
        <v>40</v>
      </c>
      <c r="BX251" s="204">
        <v>28</v>
      </c>
      <c r="BY251" s="204">
        <v>36</v>
      </c>
      <c r="BZ251" s="204">
        <v>13</v>
      </c>
      <c r="CA251" s="204">
        <v>14</v>
      </c>
      <c r="CB251" s="204">
        <v>15</v>
      </c>
      <c r="CC251" s="204">
        <v>22</v>
      </c>
      <c r="CD251" s="204">
        <v>52</v>
      </c>
      <c r="CE251" s="204">
        <v>110</v>
      </c>
      <c r="CF251" s="204">
        <v>21</v>
      </c>
      <c r="CG251" s="204">
        <v>19</v>
      </c>
      <c r="CH251" s="204">
        <v>22</v>
      </c>
      <c r="CI251" s="231"/>
    </row>
    <row r="252" spans="1:102" ht="25.2" customHeight="1" outlineLevel="1">
      <c r="A252" s="204">
        <v>234</v>
      </c>
      <c r="B252" s="207">
        <v>5021</v>
      </c>
      <c r="C252" s="208" t="s">
        <v>428</v>
      </c>
      <c r="D252" s="194" t="s">
        <v>181</v>
      </c>
      <c r="E252" s="209">
        <f t="shared" si="28"/>
        <v>48</v>
      </c>
      <c r="F252" s="216">
        <v>87.5</v>
      </c>
      <c r="G252" s="217">
        <v>0.9</v>
      </c>
      <c r="H252" s="218"/>
      <c r="I252" s="230">
        <f t="shared" si="29"/>
        <v>11.1</v>
      </c>
      <c r="J252" s="216">
        <v>2.5</v>
      </c>
      <c r="K252" s="216">
        <v>0.5</v>
      </c>
      <c r="L252" s="233"/>
      <c r="M252" s="216">
        <v>10</v>
      </c>
      <c r="N252" s="216">
        <v>19</v>
      </c>
      <c r="O252" s="216">
        <v>0.2</v>
      </c>
      <c r="P252" s="216">
        <v>16</v>
      </c>
      <c r="Q252" s="216">
        <v>0.01</v>
      </c>
      <c r="R252" s="216">
        <v>0.02</v>
      </c>
      <c r="S252" s="216">
        <v>0.2</v>
      </c>
      <c r="T252" s="240">
        <v>2.6</v>
      </c>
      <c r="U252" s="240">
        <v>217.2</v>
      </c>
      <c r="V252" s="240"/>
      <c r="W252" s="241">
        <v>1.22</v>
      </c>
      <c r="X252" s="233">
        <v>0.22</v>
      </c>
      <c r="Y252" s="240">
        <v>100</v>
      </c>
      <c r="Z252" s="216"/>
      <c r="AA252" s="241"/>
      <c r="AB252" s="241"/>
      <c r="AC252" s="240"/>
      <c r="AD252" s="240"/>
      <c r="AE252" s="233"/>
      <c r="AF252" s="233"/>
      <c r="AG252" s="240">
        <v>0</v>
      </c>
      <c r="AH252" s="240">
        <f t="shared" si="30"/>
        <v>0</v>
      </c>
      <c r="AI252" s="236">
        <f t="shared" si="31"/>
        <v>134.583333333333</v>
      </c>
      <c r="AJ252" s="252"/>
      <c r="AK252" s="233"/>
      <c r="AL252" s="216"/>
      <c r="AM252" s="236">
        <v>1615</v>
      </c>
      <c r="AN252" s="231"/>
      <c r="AO252" s="231"/>
      <c r="AP252" s="231"/>
      <c r="AQ252" s="231"/>
      <c r="AR252" s="231"/>
      <c r="AS252" s="231"/>
      <c r="AT252" s="231"/>
      <c r="AU252" s="231"/>
      <c r="AV252" s="231"/>
      <c r="AW252" s="236"/>
      <c r="AX252" s="242"/>
      <c r="AY252" s="242"/>
      <c r="AZ252" s="242"/>
      <c r="BA252" s="242"/>
      <c r="BB252" s="242"/>
      <c r="BC252" s="242"/>
      <c r="BD252" s="242"/>
      <c r="BE252" s="231"/>
      <c r="BF252" s="242"/>
      <c r="BG252" s="242"/>
      <c r="BH252" s="242"/>
      <c r="BI252" s="242"/>
      <c r="BJ252" s="242"/>
      <c r="BK252" s="242"/>
      <c r="BL252" s="242"/>
      <c r="BM252" s="242"/>
      <c r="BN252" s="242"/>
      <c r="BO252" s="231">
        <v>0</v>
      </c>
      <c r="BP252" s="231"/>
      <c r="BQ252" s="204">
        <v>32</v>
      </c>
      <c r="BR252" s="204">
        <v>6</v>
      </c>
      <c r="BS252" s="204">
        <v>11</v>
      </c>
      <c r="BT252" s="204">
        <v>29</v>
      </c>
      <c r="BU252" s="204">
        <v>38</v>
      </c>
      <c r="BV252" s="204">
        <v>29</v>
      </c>
      <c r="BW252" s="204">
        <v>40</v>
      </c>
      <c r="BX252" s="204">
        <v>28</v>
      </c>
      <c r="BY252" s="204">
        <v>36</v>
      </c>
      <c r="BZ252" s="204">
        <v>13</v>
      </c>
      <c r="CA252" s="204">
        <v>14</v>
      </c>
      <c r="CB252" s="204">
        <v>15</v>
      </c>
      <c r="CC252" s="204">
        <v>22</v>
      </c>
      <c r="CD252" s="204">
        <v>52</v>
      </c>
      <c r="CE252" s="204">
        <v>110</v>
      </c>
      <c r="CF252" s="204">
        <v>21</v>
      </c>
      <c r="CG252" s="204">
        <v>19</v>
      </c>
      <c r="CH252" s="204">
        <v>22</v>
      </c>
      <c r="CI252" s="231"/>
    </row>
    <row r="253" spans="1:102" ht="25.2" customHeight="1" outlineLevel="1">
      <c r="A253" s="204">
        <v>235</v>
      </c>
      <c r="B253" s="207">
        <v>5022</v>
      </c>
      <c r="C253" s="208" t="s">
        <v>429</v>
      </c>
      <c r="D253" s="194" t="s">
        <v>181</v>
      </c>
      <c r="E253" s="209">
        <f t="shared" si="28"/>
        <v>58.3</v>
      </c>
      <c r="F253" s="216">
        <v>85.7</v>
      </c>
      <c r="G253" s="217">
        <v>0.5</v>
      </c>
      <c r="H253" s="218">
        <v>0.7</v>
      </c>
      <c r="I253" s="230">
        <f t="shared" si="29"/>
        <v>12.5</v>
      </c>
      <c r="J253" s="216">
        <v>2.5</v>
      </c>
      <c r="K253" s="216">
        <v>0.6</v>
      </c>
      <c r="L253" s="233"/>
      <c r="M253" s="216">
        <v>52</v>
      </c>
      <c r="N253" s="216">
        <v>24</v>
      </c>
      <c r="O253" s="216">
        <v>2.2999999999999998</v>
      </c>
      <c r="P253" s="216">
        <v>8</v>
      </c>
      <c r="Q253" s="216">
        <v>0</v>
      </c>
      <c r="R253" s="216">
        <v>0.02</v>
      </c>
      <c r="S253" s="216">
        <v>0.2</v>
      </c>
      <c r="T253" s="231">
        <v>12</v>
      </c>
      <c r="U253" s="231">
        <v>193</v>
      </c>
      <c r="V253" s="231">
        <v>12</v>
      </c>
      <c r="W253" s="242"/>
      <c r="X253" s="232">
        <v>0.1</v>
      </c>
      <c r="Y253" s="231">
        <v>86</v>
      </c>
      <c r="Z253" s="231">
        <v>0.6</v>
      </c>
      <c r="AA253" s="241">
        <v>0.252</v>
      </c>
      <c r="AB253" s="241">
        <v>3.6999999999999998E-2</v>
      </c>
      <c r="AC253" s="240">
        <v>14</v>
      </c>
      <c r="AD253" s="240">
        <v>0</v>
      </c>
      <c r="AE253" s="233"/>
      <c r="AF253" s="233">
        <v>0</v>
      </c>
      <c r="AG253" s="240">
        <v>0</v>
      </c>
      <c r="AH253" s="240">
        <f t="shared" si="30"/>
        <v>0</v>
      </c>
      <c r="AI253" s="236">
        <f t="shared" si="31"/>
        <v>0</v>
      </c>
      <c r="AJ253" s="252"/>
      <c r="AK253" s="233"/>
      <c r="AL253" s="216"/>
      <c r="AM253" s="236"/>
      <c r="AN253" s="231"/>
      <c r="AO253" s="231"/>
      <c r="AP253" s="231"/>
      <c r="AQ253" s="231"/>
      <c r="AR253" s="231"/>
      <c r="AS253" s="231"/>
      <c r="AT253" s="231"/>
      <c r="AU253" s="231"/>
      <c r="AV253" s="231"/>
      <c r="AW253" s="236">
        <v>0.19400000000000001</v>
      </c>
      <c r="AX253" s="242">
        <v>0.1</v>
      </c>
      <c r="AY253" s="242">
        <v>0</v>
      </c>
      <c r="AZ253" s="242">
        <v>9.4E-2</v>
      </c>
      <c r="BA253" s="242">
        <v>0</v>
      </c>
      <c r="BB253" s="242">
        <v>0</v>
      </c>
      <c r="BC253" s="242">
        <v>0</v>
      </c>
      <c r="BD253" s="242">
        <v>0</v>
      </c>
      <c r="BE253" s="231">
        <v>0</v>
      </c>
      <c r="BF253" s="242">
        <v>0.52100000000000002</v>
      </c>
      <c r="BG253" s="242">
        <v>0</v>
      </c>
      <c r="BH253" s="242">
        <v>1.0999999999999999E-2</v>
      </c>
      <c r="BI253" s="242">
        <v>1.0999999999999999E-2</v>
      </c>
      <c r="BJ253" s="242">
        <v>0</v>
      </c>
      <c r="BK253" s="242">
        <v>0</v>
      </c>
      <c r="BL253" s="242">
        <v>0</v>
      </c>
      <c r="BM253" s="242">
        <v>0</v>
      </c>
      <c r="BN253" s="242"/>
      <c r="BO253" s="231">
        <v>0</v>
      </c>
      <c r="BP253" s="231"/>
      <c r="BQ253" s="231">
        <v>39</v>
      </c>
      <c r="BR253" s="231">
        <v>3</v>
      </c>
      <c r="BS253" s="231">
        <v>5</v>
      </c>
      <c r="BT253" s="231">
        <v>13</v>
      </c>
      <c r="BU253" s="231">
        <v>12</v>
      </c>
      <c r="BV253" s="231">
        <v>16</v>
      </c>
      <c r="BW253" s="231">
        <v>24</v>
      </c>
      <c r="BX253" s="231">
        <v>15</v>
      </c>
      <c r="BY253" s="231">
        <v>17</v>
      </c>
      <c r="BZ253" s="231">
        <v>16</v>
      </c>
      <c r="CA253" s="231"/>
      <c r="CB253" s="231">
        <v>14</v>
      </c>
      <c r="CC253" s="231">
        <v>14</v>
      </c>
      <c r="CD253" s="231">
        <v>32</v>
      </c>
      <c r="CE253" s="231">
        <v>38</v>
      </c>
      <c r="CF253" s="231">
        <v>17</v>
      </c>
      <c r="CG253" s="231">
        <v>36</v>
      </c>
      <c r="CH253" s="231">
        <v>18</v>
      </c>
      <c r="CI253" s="231"/>
      <c r="CV253" s="172"/>
      <c r="CW253" s="172"/>
      <c r="CX253" s="172"/>
    </row>
    <row r="254" spans="1:102" ht="25.2" customHeight="1" outlineLevel="1">
      <c r="A254" s="204">
        <v>236</v>
      </c>
      <c r="B254" s="207">
        <v>5023</v>
      </c>
      <c r="C254" s="208" t="s">
        <v>430</v>
      </c>
      <c r="D254" s="194" t="s">
        <v>181</v>
      </c>
      <c r="E254" s="209">
        <f t="shared" si="28"/>
        <v>47.8</v>
      </c>
      <c r="F254" s="216">
        <v>87.8</v>
      </c>
      <c r="G254" s="217">
        <v>0.7</v>
      </c>
      <c r="H254" s="218">
        <v>0.2</v>
      </c>
      <c r="I254" s="230">
        <f t="shared" si="29"/>
        <v>10.8</v>
      </c>
      <c r="J254" s="216">
        <v>0.6</v>
      </c>
      <c r="K254" s="216">
        <v>0.5</v>
      </c>
      <c r="L254" s="233">
        <v>9.8000000000000007</v>
      </c>
      <c r="M254" s="216">
        <v>19</v>
      </c>
      <c r="N254" s="216">
        <v>16</v>
      </c>
      <c r="O254" s="216">
        <v>2.2999999999999998</v>
      </c>
      <c r="P254" s="216">
        <v>4</v>
      </c>
      <c r="Q254" s="216">
        <v>0.02</v>
      </c>
      <c r="R254" s="216">
        <v>0.04</v>
      </c>
      <c r="S254" s="216">
        <v>0.1</v>
      </c>
      <c r="T254" s="240">
        <v>5</v>
      </c>
      <c r="U254" s="240">
        <v>88.4</v>
      </c>
      <c r="V254" s="240">
        <v>7</v>
      </c>
      <c r="W254" s="241">
        <v>0.05</v>
      </c>
      <c r="X254" s="233">
        <v>0.13</v>
      </c>
      <c r="Y254" s="240">
        <v>140</v>
      </c>
      <c r="Z254" s="216">
        <v>0.1</v>
      </c>
      <c r="AA254" s="241">
        <v>4.8000000000000001E-2</v>
      </c>
      <c r="AB254" s="241">
        <v>2.8000000000000001E-2</v>
      </c>
      <c r="AC254" s="240">
        <v>7</v>
      </c>
      <c r="AD254" s="240">
        <v>0</v>
      </c>
      <c r="AE254" s="233">
        <v>0.1</v>
      </c>
      <c r="AF254" s="233">
        <v>0</v>
      </c>
      <c r="AG254" s="240">
        <v>0</v>
      </c>
      <c r="AH254" s="240">
        <f t="shared" si="30"/>
        <v>0</v>
      </c>
      <c r="AI254" s="236">
        <f t="shared" si="31"/>
        <v>2.5</v>
      </c>
      <c r="AJ254" s="252"/>
      <c r="AK254" s="233">
        <v>0.12</v>
      </c>
      <c r="AL254" s="216">
        <v>4.5</v>
      </c>
      <c r="AM254" s="236">
        <v>27</v>
      </c>
      <c r="AN254" s="231">
        <v>6</v>
      </c>
      <c r="AO254" s="231"/>
      <c r="AP254" s="231"/>
      <c r="AQ254" s="231"/>
      <c r="AR254" s="231"/>
      <c r="AS254" s="231"/>
      <c r="AT254" s="231"/>
      <c r="AU254" s="231"/>
      <c r="AV254" s="231">
        <v>12</v>
      </c>
      <c r="AW254" s="236">
        <v>6.0000000000000001E-3</v>
      </c>
      <c r="AX254" s="242">
        <v>5.0000000000000001E-3</v>
      </c>
      <c r="AY254" s="242">
        <v>0</v>
      </c>
      <c r="AZ254" s="242">
        <v>1E-3</v>
      </c>
      <c r="BA254" s="242">
        <v>0</v>
      </c>
      <c r="BB254" s="242">
        <v>0</v>
      </c>
      <c r="BC254" s="242">
        <v>0</v>
      </c>
      <c r="BD254" s="242">
        <v>2.5999999999999999E-2</v>
      </c>
      <c r="BE254" s="231">
        <v>0</v>
      </c>
      <c r="BF254" s="242">
        <v>1E-3</v>
      </c>
      <c r="BG254" s="242">
        <v>2.5000000000000001E-2</v>
      </c>
      <c r="BH254" s="242">
        <v>2.9000000000000001E-2</v>
      </c>
      <c r="BI254" s="242">
        <v>2.9000000000000001E-2</v>
      </c>
      <c r="BJ254" s="242">
        <v>0</v>
      </c>
      <c r="BK254" s="242">
        <v>0</v>
      </c>
      <c r="BL254" s="242">
        <v>0</v>
      </c>
      <c r="BM254" s="242">
        <v>0</v>
      </c>
      <c r="BN254" s="242"/>
      <c r="BO254" s="231">
        <v>0</v>
      </c>
      <c r="BP254" s="231">
        <v>8</v>
      </c>
      <c r="BQ254" s="204">
        <v>37</v>
      </c>
      <c r="BR254" s="204">
        <v>8</v>
      </c>
      <c r="BS254" s="204">
        <v>8</v>
      </c>
      <c r="BT254" s="204">
        <v>46</v>
      </c>
      <c r="BU254" s="204">
        <v>42</v>
      </c>
      <c r="BV254" s="204">
        <v>37</v>
      </c>
      <c r="BW254" s="204">
        <v>50</v>
      </c>
      <c r="BX254" s="204">
        <v>37</v>
      </c>
      <c r="BY254" s="204">
        <v>32</v>
      </c>
      <c r="BZ254" s="204">
        <v>4</v>
      </c>
      <c r="CA254" s="204">
        <v>4</v>
      </c>
      <c r="CB254" s="204">
        <v>18</v>
      </c>
      <c r="CC254" s="204">
        <v>21</v>
      </c>
      <c r="CD254" s="204">
        <v>210</v>
      </c>
      <c r="CE254" s="204">
        <v>40</v>
      </c>
      <c r="CF254" s="204">
        <v>12</v>
      </c>
      <c r="CG254" s="204">
        <v>10</v>
      </c>
      <c r="CH254" s="204">
        <v>24</v>
      </c>
      <c r="CI254" s="231"/>
    </row>
    <row r="255" spans="1:102" ht="25.2" customHeight="1" outlineLevel="1">
      <c r="A255" s="204">
        <v>237</v>
      </c>
      <c r="B255" s="207">
        <v>5024</v>
      </c>
      <c r="C255" s="208" t="s">
        <v>431</v>
      </c>
      <c r="D255" s="194" t="s">
        <v>181</v>
      </c>
      <c r="E255" s="209">
        <f t="shared" si="28"/>
        <v>78.400000000000105</v>
      </c>
      <c r="F255" s="216">
        <v>79.599999999999994</v>
      </c>
      <c r="G255" s="217">
        <v>0.6</v>
      </c>
      <c r="H255" s="218"/>
      <c r="I255" s="230">
        <f t="shared" si="29"/>
        <v>19</v>
      </c>
      <c r="J255" s="216">
        <v>2.5</v>
      </c>
      <c r="K255" s="216">
        <v>0.8</v>
      </c>
      <c r="L255" s="233">
        <v>16.57</v>
      </c>
      <c r="M255" s="216">
        <v>13</v>
      </c>
      <c r="N255" s="216">
        <v>23</v>
      </c>
      <c r="O255" s="216">
        <v>0.7</v>
      </c>
      <c r="P255" s="216">
        <v>6</v>
      </c>
      <c r="Q255" s="216">
        <v>7.0000000000000007E-2</v>
      </c>
      <c r="R255" s="216">
        <v>0.01</v>
      </c>
      <c r="S255" s="216">
        <v>0.3</v>
      </c>
      <c r="T255" s="231">
        <v>3</v>
      </c>
      <c r="U255" s="231">
        <v>259</v>
      </c>
      <c r="V255" s="231">
        <v>3</v>
      </c>
      <c r="W255" s="242"/>
      <c r="X255" s="232">
        <v>0.12</v>
      </c>
      <c r="Y255" s="231">
        <v>70</v>
      </c>
      <c r="Z255" s="231">
        <v>0.6</v>
      </c>
      <c r="AA255" s="241">
        <v>0.59599999999999997</v>
      </c>
      <c r="AB255" s="241">
        <v>0.105</v>
      </c>
      <c r="AC255" s="240">
        <v>6</v>
      </c>
      <c r="AD255" s="240">
        <v>0</v>
      </c>
      <c r="AE255" s="233"/>
      <c r="AF255" s="233">
        <v>0</v>
      </c>
      <c r="AG255" s="240">
        <v>0</v>
      </c>
      <c r="AH255" s="240">
        <f t="shared" si="30"/>
        <v>0</v>
      </c>
      <c r="AI255" s="236">
        <f t="shared" si="31"/>
        <v>5.4166666666666696</v>
      </c>
      <c r="AJ255" s="252"/>
      <c r="AK255" s="233">
        <v>0.6</v>
      </c>
      <c r="AL255" s="216">
        <v>4.5999999999999996</v>
      </c>
      <c r="AM255" s="236">
        <v>40</v>
      </c>
      <c r="AN255" s="231">
        <v>50</v>
      </c>
      <c r="AO255" s="231"/>
      <c r="AP255" s="231"/>
      <c r="AQ255" s="231"/>
      <c r="AR255" s="231"/>
      <c r="AS255" s="231"/>
      <c r="AT255" s="231"/>
      <c r="AU255" s="231"/>
      <c r="AV255" s="231"/>
      <c r="AW255" s="236">
        <v>3.7999999999999999E-2</v>
      </c>
      <c r="AX255" s="242">
        <v>2.1999999999999999E-2</v>
      </c>
      <c r="AY255" s="242">
        <v>0</v>
      </c>
      <c r="AZ255" s="242">
        <v>1.2E-2</v>
      </c>
      <c r="BA255" s="242">
        <v>0</v>
      </c>
      <c r="BB255" s="242">
        <v>0</v>
      </c>
      <c r="BC255" s="242">
        <v>0</v>
      </c>
      <c r="BD255" s="242">
        <v>4.5999999999999999E-2</v>
      </c>
      <c r="BE255" s="231">
        <v>0</v>
      </c>
      <c r="BF255" s="242">
        <v>6.0000000000000001E-3</v>
      </c>
      <c r="BG255" s="242">
        <v>3.9E-2</v>
      </c>
      <c r="BH255" s="242">
        <v>6.3E-2</v>
      </c>
      <c r="BI255" s="242">
        <v>6.3E-2</v>
      </c>
      <c r="BJ255" s="242">
        <v>0</v>
      </c>
      <c r="BK255" s="242">
        <v>0</v>
      </c>
      <c r="BL255" s="242">
        <v>0</v>
      </c>
      <c r="BM255" s="242">
        <v>0</v>
      </c>
      <c r="BN255" s="242"/>
      <c r="BO255" s="231">
        <v>0</v>
      </c>
      <c r="BP255" s="231">
        <v>17</v>
      </c>
      <c r="BQ255" s="231"/>
      <c r="BR255" s="231"/>
      <c r="BS255" s="231"/>
      <c r="BT255" s="231"/>
      <c r="BU255" s="231"/>
      <c r="BV255" s="231"/>
      <c r="BW255" s="231"/>
      <c r="BX255" s="231"/>
      <c r="BY255" s="231"/>
      <c r="BZ255" s="231"/>
      <c r="CA255" s="231"/>
      <c r="CB255" s="231"/>
      <c r="CC255" s="231"/>
      <c r="CD255" s="231"/>
      <c r="CE255" s="231"/>
      <c r="CF255" s="231"/>
      <c r="CG255" s="231"/>
      <c r="CH255" s="231"/>
      <c r="CI255" s="231"/>
    </row>
    <row r="256" spans="1:102" ht="25.2" customHeight="1" outlineLevel="1">
      <c r="A256" s="204">
        <v>238</v>
      </c>
      <c r="B256" s="207">
        <v>5025</v>
      </c>
      <c r="C256" s="208" t="s">
        <v>432</v>
      </c>
      <c r="D256" s="194" t="s">
        <v>181</v>
      </c>
      <c r="E256" s="209">
        <f t="shared" si="28"/>
        <v>57.6</v>
      </c>
      <c r="F256" s="216">
        <v>84.7</v>
      </c>
      <c r="G256" s="217">
        <v>1.8</v>
      </c>
      <c r="H256" s="218"/>
      <c r="I256" s="230">
        <f t="shared" si="29"/>
        <v>12.6</v>
      </c>
      <c r="J256" s="216">
        <v>1.9</v>
      </c>
      <c r="K256" s="216">
        <v>0.9</v>
      </c>
      <c r="L256" s="233"/>
      <c r="M256" s="236">
        <v>38.1</v>
      </c>
      <c r="N256" s="236">
        <v>14.2</v>
      </c>
      <c r="O256" s="236">
        <v>0.7</v>
      </c>
      <c r="P256" s="236">
        <v>19.2</v>
      </c>
      <c r="Q256" s="236">
        <v>0.08</v>
      </c>
      <c r="R256" s="236">
        <v>0.1</v>
      </c>
      <c r="S256" s="236">
        <v>0.5</v>
      </c>
      <c r="T256" s="231">
        <v>4</v>
      </c>
      <c r="U256" s="231">
        <v>382</v>
      </c>
      <c r="V256" s="231">
        <v>18</v>
      </c>
      <c r="W256" s="242"/>
      <c r="X256" s="232"/>
      <c r="Y256" s="231"/>
      <c r="Z256" s="231"/>
      <c r="AA256" s="241">
        <v>0.13500000000000001</v>
      </c>
      <c r="AB256" s="241">
        <v>0.221</v>
      </c>
      <c r="AC256" s="240"/>
      <c r="AD256" s="240"/>
      <c r="AE256" s="236"/>
      <c r="AF256" s="236"/>
      <c r="AG256" s="240">
        <v>0</v>
      </c>
      <c r="AH256" s="240">
        <f t="shared" si="30"/>
        <v>0</v>
      </c>
      <c r="AI256" s="236">
        <f t="shared" si="31"/>
        <v>0</v>
      </c>
      <c r="AJ256" s="252"/>
      <c r="AK256" s="233"/>
      <c r="AL256" s="216"/>
      <c r="AM256" s="236"/>
      <c r="AN256" s="231"/>
      <c r="AO256" s="231"/>
      <c r="AP256" s="231"/>
      <c r="AQ256" s="231"/>
      <c r="AR256" s="231"/>
      <c r="AS256" s="231"/>
      <c r="AT256" s="231"/>
      <c r="AU256" s="231"/>
      <c r="AV256" s="231"/>
      <c r="AW256" s="236">
        <v>0.23100000000000001</v>
      </c>
      <c r="AX256" s="242"/>
      <c r="AY256" s="242"/>
      <c r="AZ256" s="242"/>
      <c r="BA256" s="242"/>
      <c r="BB256" s="242"/>
      <c r="BC256" s="242"/>
      <c r="BD256" s="242"/>
      <c r="BE256" s="231"/>
      <c r="BF256" s="242"/>
      <c r="BG256" s="242"/>
      <c r="BH256" s="242"/>
      <c r="BI256" s="242"/>
      <c r="BJ256" s="242"/>
      <c r="BK256" s="242"/>
      <c r="BL256" s="242"/>
      <c r="BM256" s="242"/>
      <c r="BN256" s="242"/>
      <c r="BO256" s="231">
        <v>0</v>
      </c>
      <c r="BP256" s="231"/>
      <c r="BQ256" s="231">
        <v>37</v>
      </c>
      <c r="BR256" s="231">
        <v>4</v>
      </c>
      <c r="BS256" s="231">
        <v>7</v>
      </c>
      <c r="BT256" s="231"/>
      <c r="BU256" s="231"/>
      <c r="BV256" s="231"/>
      <c r="BW256" s="231"/>
      <c r="BX256" s="231"/>
      <c r="BY256" s="231"/>
      <c r="BZ256" s="231"/>
      <c r="CA256" s="231"/>
      <c r="CB256" s="231"/>
      <c r="CC256" s="231"/>
      <c r="CD256" s="231"/>
      <c r="CE256" s="231"/>
      <c r="CF256" s="231"/>
      <c r="CG256" s="231"/>
      <c r="CH256" s="231"/>
      <c r="CI256" s="231"/>
    </row>
    <row r="257" spans="1:87" ht="25.2" customHeight="1" outlineLevel="1">
      <c r="A257" s="204">
        <v>239</v>
      </c>
      <c r="B257" s="207">
        <v>5026</v>
      </c>
      <c r="C257" s="208" t="s">
        <v>433</v>
      </c>
      <c r="D257" s="194" t="s">
        <v>181</v>
      </c>
      <c r="E257" s="209">
        <f t="shared" si="28"/>
        <v>23.6</v>
      </c>
      <c r="F257" s="216">
        <v>93.8</v>
      </c>
      <c r="G257" s="217">
        <v>0.2</v>
      </c>
      <c r="H257" s="218"/>
      <c r="I257" s="230">
        <f t="shared" si="29"/>
        <v>5.7</v>
      </c>
      <c r="J257" s="216" t="s">
        <v>247</v>
      </c>
      <c r="K257" s="216">
        <v>0.3</v>
      </c>
      <c r="L257" s="233"/>
      <c r="M257" s="236">
        <v>32</v>
      </c>
      <c r="N257" s="236">
        <v>7</v>
      </c>
      <c r="O257" s="236">
        <v>0.6</v>
      </c>
      <c r="P257" s="236">
        <v>2</v>
      </c>
      <c r="Q257" s="236"/>
      <c r="R257" s="236"/>
      <c r="S257" s="236"/>
      <c r="T257" s="231"/>
      <c r="U257" s="231"/>
      <c r="V257" s="231"/>
      <c r="W257" s="242"/>
      <c r="X257" s="232"/>
      <c r="Y257" s="231"/>
      <c r="Z257" s="231"/>
      <c r="AA257" s="241"/>
      <c r="AB257" s="241"/>
      <c r="AC257" s="240"/>
      <c r="AD257" s="240"/>
      <c r="AE257" s="236"/>
      <c r="AF257" s="236"/>
      <c r="AG257" s="240">
        <v>0</v>
      </c>
      <c r="AH257" s="240">
        <f t="shared" si="30"/>
        <v>0</v>
      </c>
      <c r="AI257" s="236">
        <f t="shared" si="31"/>
        <v>0</v>
      </c>
      <c r="AJ257" s="252"/>
      <c r="AK257" s="233"/>
      <c r="AL257" s="216"/>
      <c r="AM257" s="236"/>
      <c r="AN257" s="231"/>
      <c r="AO257" s="231"/>
      <c r="AP257" s="231"/>
      <c r="AQ257" s="231"/>
      <c r="AR257" s="231"/>
      <c r="AS257" s="231"/>
      <c r="AT257" s="231"/>
      <c r="AU257" s="231"/>
      <c r="AV257" s="231"/>
      <c r="AW257" s="236"/>
      <c r="AX257" s="242"/>
      <c r="AY257" s="242"/>
      <c r="AZ257" s="242"/>
      <c r="BA257" s="242"/>
      <c r="BB257" s="242"/>
      <c r="BC257" s="242"/>
      <c r="BD257" s="242"/>
      <c r="BE257" s="231"/>
      <c r="BF257" s="242"/>
      <c r="BG257" s="242"/>
      <c r="BH257" s="242"/>
      <c r="BI257" s="242"/>
      <c r="BJ257" s="242"/>
      <c r="BK257" s="242"/>
      <c r="BL257" s="242"/>
      <c r="BM257" s="242"/>
      <c r="BN257" s="242"/>
      <c r="BO257" s="231">
        <v>0</v>
      </c>
      <c r="BP257" s="231"/>
      <c r="BQ257" s="231"/>
      <c r="BR257" s="231"/>
      <c r="BS257" s="231"/>
      <c r="BT257" s="231"/>
      <c r="BU257" s="231"/>
      <c r="BV257" s="231"/>
      <c r="BW257" s="231"/>
      <c r="BX257" s="231"/>
      <c r="BY257" s="231"/>
      <c r="BZ257" s="231"/>
      <c r="CA257" s="231"/>
      <c r="CB257" s="231"/>
      <c r="CC257" s="231"/>
      <c r="CD257" s="231"/>
      <c r="CE257" s="231"/>
      <c r="CF257" s="231"/>
      <c r="CG257" s="231"/>
      <c r="CH257" s="231"/>
      <c r="CI257" s="231"/>
    </row>
    <row r="258" spans="1:87" ht="25.2" customHeight="1" outlineLevel="1">
      <c r="A258" s="204">
        <v>240</v>
      </c>
      <c r="B258" s="207">
        <v>5027</v>
      </c>
      <c r="C258" s="208" t="s">
        <v>434</v>
      </c>
      <c r="D258" s="194" t="s">
        <v>181</v>
      </c>
      <c r="E258" s="209">
        <f t="shared" si="28"/>
        <v>22.6</v>
      </c>
      <c r="F258" s="216">
        <v>94.1</v>
      </c>
      <c r="G258" s="217">
        <v>0.6</v>
      </c>
      <c r="H258" s="218">
        <v>0.2</v>
      </c>
      <c r="I258" s="230">
        <f t="shared" si="29"/>
        <v>4.6000000000000103</v>
      </c>
      <c r="J258" s="216">
        <v>0.7</v>
      </c>
      <c r="K258" s="216">
        <v>0.5</v>
      </c>
      <c r="L258" s="233">
        <v>9.92</v>
      </c>
      <c r="M258" s="216">
        <v>28</v>
      </c>
      <c r="N258" s="216">
        <v>20</v>
      </c>
      <c r="O258" s="216">
        <v>0.4</v>
      </c>
      <c r="P258" s="216">
        <v>3</v>
      </c>
      <c r="Q258" s="216">
        <v>0.06</v>
      </c>
      <c r="R258" s="216">
        <v>0.04</v>
      </c>
      <c r="S258" s="216">
        <v>0.5</v>
      </c>
      <c r="T258" s="231">
        <v>0</v>
      </c>
      <c r="U258" s="231">
        <v>157</v>
      </c>
      <c r="V258" s="231">
        <v>7</v>
      </c>
      <c r="W258" s="242">
        <v>5.1999999999999998E-2</v>
      </c>
      <c r="X258" s="232">
        <v>0.1</v>
      </c>
      <c r="Y258" s="231">
        <v>57</v>
      </c>
      <c r="Z258" s="231">
        <v>0</v>
      </c>
      <c r="AA258" s="241">
        <v>0.13500000000000001</v>
      </c>
      <c r="AB258" s="241">
        <v>2.9000000000000001E-2</v>
      </c>
      <c r="AC258" s="240">
        <v>5</v>
      </c>
      <c r="AD258" s="240">
        <v>0</v>
      </c>
      <c r="AE258" s="233"/>
      <c r="AF258" s="233">
        <v>0</v>
      </c>
      <c r="AG258" s="240">
        <v>0</v>
      </c>
      <c r="AH258" s="240">
        <f t="shared" si="30"/>
        <v>0</v>
      </c>
      <c r="AI258" s="236">
        <f t="shared" si="31"/>
        <v>138.708333333333</v>
      </c>
      <c r="AJ258" s="252"/>
      <c r="AK258" s="233">
        <v>0.26</v>
      </c>
      <c r="AL258" s="216">
        <v>6.4</v>
      </c>
      <c r="AM258" s="236">
        <v>1633</v>
      </c>
      <c r="AN258" s="231">
        <v>63</v>
      </c>
      <c r="AO258" s="231"/>
      <c r="AP258" s="231"/>
      <c r="AQ258" s="231">
        <v>327</v>
      </c>
      <c r="AR258" s="231"/>
      <c r="AS258" s="231"/>
      <c r="AT258" s="231"/>
      <c r="AU258" s="231"/>
      <c r="AV258" s="231">
        <v>24</v>
      </c>
      <c r="AW258" s="236">
        <v>1.7000000000000001E-2</v>
      </c>
      <c r="AX258" s="242">
        <v>1.4E-2</v>
      </c>
      <c r="AY258" s="242">
        <v>0</v>
      </c>
      <c r="AZ258" s="242">
        <v>3.0000000000000001E-3</v>
      </c>
      <c r="BA258" s="242">
        <v>0</v>
      </c>
      <c r="BB258" s="242">
        <v>0</v>
      </c>
      <c r="BC258" s="242">
        <v>0</v>
      </c>
      <c r="BD258" s="242">
        <v>0.13400000000000001</v>
      </c>
      <c r="BE258" s="231">
        <v>0</v>
      </c>
      <c r="BF258" s="242">
        <v>2E-3</v>
      </c>
      <c r="BG258" s="242">
        <v>0.13200000000000001</v>
      </c>
      <c r="BH258" s="242">
        <v>4.3999999999999997E-2</v>
      </c>
      <c r="BI258" s="242">
        <v>4.3999999999999997E-2</v>
      </c>
      <c r="BJ258" s="242">
        <v>0</v>
      </c>
      <c r="BK258" s="242">
        <v>0</v>
      </c>
      <c r="BL258" s="242">
        <v>0</v>
      </c>
      <c r="BM258" s="242">
        <v>0</v>
      </c>
      <c r="BN258" s="242"/>
      <c r="BO258" s="231">
        <v>0</v>
      </c>
      <c r="BP258" s="231">
        <v>7</v>
      </c>
      <c r="BQ258" s="231">
        <v>16</v>
      </c>
      <c r="BR258" s="231">
        <v>8</v>
      </c>
      <c r="BS258" s="231">
        <v>9</v>
      </c>
      <c r="BT258" s="231">
        <v>14</v>
      </c>
      <c r="BU258" s="231">
        <v>10</v>
      </c>
      <c r="BV258" s="231">
        <v>16</v>
      </c>
      <c r="BW258" s="231">
        <v>15</v>
      </c>
      <c r="BX258" s="231">
        <v>14</v>
      </c>
      <c r="BY258" s="231">
        <v>9</v>
      </c>
      <c r="BZ258" s="231">
        <v>9</v>
      </c>
      <c r="CA258" s="231">
        <v>2</v>
      </c>
      <c r="CB258" s="231">
        <v>8</v>
      </c>
      <c r="CC258" s="231">
        <v>28</v>
      </c>
      <c r="CD258" s="231">
        <v>352</v>
      </c>
      <c r="CE258" s="231">
        <v>35</v>
      </c>
      <c r="CF258" s="231">
        <v>9</v>
      </c>
      <c r="CG258" s="231">
        <v>27</v>
      </c>
      <c r="CH258" s="231">
        <v>23</v>
      </c>
      <c r="CI258" s="231"/>
    </row>
    <row r="259" spans="1:87" ht="25.2" customHeight="1" outlineLevel="1">
      <c r="A259" s="204">
        <v>241</v>
      </c>
      <c r="B259" s="207">
        <v>5028</v>
      </c>
      <c r="C259" s="208" t="s">
        <v>435</v>
      </c>
      <c r="D259" s="194" t="s">
        <v>181</v>
      </c>
      <c r="E259" s="209">
        <f t="shared" si="28"/>
        <v>52.8</v>
      </c>
      <c r="F259" s="216">
        <v>85.4</v>
      </c>
      <c r="G259" s="217">
        <v>0.6</v>
      </c>
      <c r="H259" s="218"/>
      <c r="I259" s="230">
        <f t="shared" si="29"/>
        <v>12.6</v>
      </c>
      <c r="J259" s="216">
        <v>1.2</v>
      </c>
      <c r="K259" s="216">
        <v>1.4</v>
      </c>
      <c r="L259" s="233"/>
      <c r="M259" s="216">
        <v>21</v>
      </c>
      <c r="N259" s="216">
        <v>28</v>
      </c>
      <c r="O259" s="216">
        <v>0.4</v>
      </c>
      <c r="P259" s="216">
        <v>5</v>
      </c>
      <c r="Q259" s="216">
        <v>0.09</v>
      </c>
      <c r="R259" s="216">
        <v>0.04</v>
      </c>
      <c r="S259" s="216">
        <v>0.7</v>
      </c>
      <c r="T259" s="240">
        <v>2.5</v>
      </c>
      <c r="U259" s="240">
        <v>367.5</v>
      </c>
      <c r="V259" s="240">
        <v>37</v>
      </c>
      <c r="W259" s="241">
        <v>0.15</v>
      </c>
      <c r="X259" s="233">
        <v>0.67</v>
      </c>
      <c r="Y259" s="240">
        <v>120</v>
      </c>
      <c r="Z259" s="216">
        <v>0.6</v>
      </c>
      <c r="AA259" s="241"/>
      <c r="AB259" s="241">
        <v>0.108</v>
      </c>
      <c r="AC259" s="240">
        <v>14</v>
      </c>
      <c r="AD259" s="240">
        <v>0</v>
      </c>
      <c r="AE259" s="233"/>
      <c r="AF259" s="233">
        <v>0</v>
      </c>
      <c r="AG259" s="240">
        <v>0</v>
      </c>
      <c r="AH259" s="240">
        <f t="shared" si="30"/>
        <v>0</v>
      </c>
      <c r="AI259" s="236">
        <f t="shared" si="31"/>
        <v>15</v>
      </c>
      <c r="AJ259" s="252"/>
      <c r="AK259" s="233"/>
      <c r="AL259" s="216"/>
      <c r="AM259" s="236">
        <v>180</v>
      </c>
      <c r="AN259" s="231"/>
      <c r="AO259" s="231"/>
      <c r="AP259" s="231"/>
      <c r="AQ259" s="231"/>
      <c r="AR259" s="231"/>
      <c r="AS259" s="231"/>
      <c r="AT259" s="231"/>
      <c r="AU259" s="231"/>
      <c r="AV259" s="231"/>
      <c r="AW259" s="236">
        <v>6.3E-2</v>
      </c>
      <c r="AX259" s="242">
        <v>0.04</v>
      </c>
      <c r="AY259" s="242">
        <v>0</v>
      </c>
      <c r="AZ259" s="242">
        <v>2.1999999999999999E-2</v>
      </c>
      <c r="BA259" s="242">
        <v>0</v>
      </c>
      <c r="BB259" s="242">
        <v>0</v>
      </c>
      <c r="BC259" s="242">
        <v>0</v>
      </c>
      <c r="BD259" s="242">
        <v>4.3999999999999997E-2</v>
      </c>
      <c r="BE259" s="231">
        <v>0</v>
      </c>
      <c r="BF259" s="242">
        <v>3.0000000000000001E-3</v>
      </c>
      <c r="BG259" s="242">
        <v>4.2000000000000003E-2</v>
      </c>
      <c r="BH259" s="242">
        <v>8.5999999999999993E-2</v>
      </c>
      <c r="BI259" s="242">
        <v>6.3E-2</v>
      </c>
      <c r="BJ259" s="242">
        <v>2.4E-2</v>
      </c>
      <c r="BK259" s="242">
        <v>0</v>
      </c>
      <c r="BL259" s="242">
        <v>0</v>
      </c>
      <c r="BM259" s="242">
        <v>0</v>
      </c>
      <c r="BN259" s="242"/>
      <c r="BO259" s="231">
        <v>0</v>
      </c>
      <c r="BP259" s="231"/>
      <c r="BQ259" s="231"/>
      <c r="BR259" s="231"/>
      <c r="BS259" s="231"/>
      <c r="BT259" s="231"/>
      <c r="BU259" s="231"/>
      <c r="BV259" s="231"/>
      <c r="BW259" s="231"/>
      <c r="BX259" s="231"/>
      <c r="BY259" s="231"/>
      <c r="BZ259" s="231"/>
      <c r="CA259" s="231"/>
      <c r="CB259" s="231"/>
      <c r="CC259" s="231"/>
      <c r="CD259" s="231"/>
      <c r="CE259" s="231"/>
      <c r="CF259" s="231"/>
      <c r="CG259" s="231"/>
      <c r="CH259" s="231"/>
      <c r="CI259" s="231"/>
    </row>
    <row r="260" spans="1:87" ht="25.2" customHeight="1" outlineLevel="1">
      <c r="A260" s="204">
        <v>242</v>
      </c>
      <c r="B260" s="207">
        <v>5029</v>
      </c>
      <c r="C260" s="208" t="s">
        <v>436</v>
      </c>
      <c r="D260" s="194" t="s">
        <v>181</v>
      </c>
      <c r="E260" s="209">
        <f t="shared" si="28"/>
        <v>285.60000000000002</v>
      </c>
      <c r="F260" s="216">
        <v>26</v>
      </c>
      <c r="G260" s="217">
        <v>2.9</v>
      </c>
      <c r="H260" s="218"/>
      <c r="I260" s="230">
        <f t="shared" si="29"/>
        <v>68.5</v>
      </c>
      <c r="J260" s="216">
        <v>1.5</v>
      </c>
      <c r="K260" s="216">
        <v>2.6</v>
      </c>
      <c r="L260" s="233"/>
      <c r="M260" s="233"/>
      <c r="N260" s="233"/>
      <c r="O260" s="233"/>
      <c r="P260" s="233"/>
      <c r="Q260" s="233"/>
      <c r="R260" s="233"/>
      <c r="S260" s="233"/>
      <c r="T260" s="231"/>
      <c r="U260" s="231"/>
      <c r="V260" s="231"/>
      <c r="W260" s="242"/>
      <c r="X260" s="232"/>
      <c r="Y260" s="231"/>
      <c r="Z260" s="231"/>
      <c r="AA260" s="241"/>
      <c r="AB260" s="241"/>
      <c r="AC260" s="240"/>
      <c r="AD260" s="240"/>
      <c r="AE260" s="233"/>
      <c r="AF260" s="233"/>
      <c r="AG260" s="240">
        <v>0</v>
      </c>
      <c r="AH260" s="240">
        <f t="shared" si="30"/>
        <v>0</v>
      </c>
      <c r="AI260" s="233">
        <f t="shared" si="31"/>
        <v>0</v>
      </c>
      <c r="AJ260" s="252"/>
      <c r="AK260" s="233"/>
      <c r="AL260" s="216"/>
      <c r="AM260" s="233"/>
      <c r="AN260" s="231"/>
      <c r="AO260" s="231"/>
      <c r="AP260" s="231"/>
      <c r="AQ260" s="231"/>
      <c r="AR260" s="231"/>
      <c r="AS260" s="231"/>
      <c r="AT260" s="231"/>
      <c r="AU260" s="231"/>
      <c r="AV260" s="231"/>
      <c r="AW260" s="233"/>
      <c r="AX260" s="242"/>
      <c r="AY260" s="242"/>
      <c r="AZ260" s="242"/>
      <c r="BA260" s="242"/>
      <c r="BB260" s="242"/>
      <c r="BC260" s="242"/>
      <c r="BD260" s="242"/>
      <c r="BE260" s="231"/>
      <c r="BF260" s="242"/>
      <c r="BG260" s="242"/>
      <c r="BH260" s="242"/>
      <c r="BI260" s="242"/>
      <c r="BJ260" s="242"/>
      <c r="BK260" s="242"/>
      <c r="BL260" s="242"/>
      <c r="BM260" s="242"/>
      <c r="BN260" s="242"/>
      <c r="BO260" s="231">
        <v>0</v>
      </c>
      <c r="BP260" s="231"/>
      <c r="BQ260" s="231"/>
      <c r="BR260" s="231"/>
      <c r="BS260" s="231"/>
      <c r="BT260" s="231"/>
      <c r="BU260" s="231"/>
      <c r="BV260" s="231"/>
      <c r="BW260" s="231"/>
      <c r="BX260" s="231"/>
      <c r="BY260" s="231"/>
      <c r="BZ260" s="231"/>
      <c r="CA260" s="231"/>
      <c r="CB260" s="231"/>
      <c r="CC260" s="231"/>
      <c r="CD260" s="231"/>
      <c r="CE260" s="231"/>
      <c r="CF260" s="231"/>
      <c r="CG260" s="231"/>
      <c r="CH260" s="231"/>
      <c r="CI260" s="231"/>
    </row>
    <row r="261" spans="1:87" ht="25.2" customHeight="1" outlineLevel="1">
      <c r="A261" s="204">
        <v>243</v>
      </c>
      <c r="B261" s="207">
        <v>5030</v>
      </c>
      <c r="C261" s="208" t="s">
        <v>437</v>
      </c>
      <c r="D261" s="194" t="s">
        <v>181</v>
      </c>
      <c r="E261" s="209">
        <f t="shared" si="28"/>
        <v>66.8</v>
      </c>
      <c r="F261" s="216">
        <v>82.2</v>
      </c>
      <c r="G261" s="217">
        <v>1.5</v>
      </c>
      <c r="H261" s="218"/>
      <c r="I261" s="230">
        <f t="shared" si="29"/>
        <v>15.2</v>
      </c>
      <c r="J261" s="216">
        <v>1.2</v>
      </c>
      <c r="K261" s="216">
        <v>1.1000000000000001</v>
      </c>
      <c r="L261" s="233"/>
      <c r="M261" s="216">
        <v>21</v>
      </c>
      <c r="N261" s="216">
        <v>28</v>
      </c>
      <c r="O261" s="216">
        <v>0.4</v>
      </c>
      <c r="P261" s="216">
        <v>5</v>
      </c>
      <c r="Q261" s="216">
        <v>0.09</v>
      </c>
      <c r="R261" s="216">
        <v>0.04</v>
      </c>
      <c r="S261" s="216">
        <v>0.7</v>
      </c>
      <c r="T261" s="231"/>
      <c r="U261" s="231"/>
      <c r="V261" s="231"/>
      <c r="W261" s="242"/>
      <c r="X261" s="232"/>
      <c r="Y261" s="231"/>
      <c r="Z261" s="231"/>
      <c r="AA261" s="241"/>
      <c r="AB261" s="241"/>
      <c r="AC261" s="240"/>
      <c r="AD261" s="240"/>
      <c r="AE261" s="233"/>
      <c r="AF261" s="233"/>
      <c r="AG261" s="240">
        <v>0</v>
      </c>
      <c r="AH261" s="240">
        <f t="shared" si="30"/>
        <v>0</v>
      </c>
      <c r="AI261" s="236">
        <f t="shared" si="31"/>
        <v>6.6666666666666696</v>
      </c>
      <c r="AJ261" s="252"/>
      <c r="AK261" s="233"/>
      <c r="AL261" s="216"/>
      <c r="AM261" s="236">
        <v>80</v>
      </c>
      <c r="AN261" s="231"/>
      <c r="AO261" s="231"/>
      <c r="AP261" s="231"/>
      <c r="AQ261" s="231"/>
      <c r="AR261" s="231"/>
      <c r="AS261" s="231"/>
      <c r="AT261" s="231"/>
      <c r="AU261" s="231"/>
      <c r="AV261" s="231"/>
      <c r="AW261" s="236"/>
      <c r="AX261" s="242"/>
      <c r="AY261" s="242"/>
      <c r="AZ261" s="242"/>
      <c r="BA261" s="242"/>
      <c r="BB261" s="242"/>
      <c r="BC261" s="242"/>
      <c r="BD261" s="242"/>
      <c r="BE261" s="231"/>
      <c r="BF261" s="242"/>
      <c r="BG261" s="242"/>
      <c r="BH261" s="242"/>
      <c r="BI261" s="242"/>
      <c r="BJ261" s="242"/>
      <c r="BK261" s="242"/>
      <c r="BL261" s="242"/>
      <c r="BM261" s="242"/>
      <c r="BN261" s="242"/>
      <c r="BO261" s="231">
        <v>0</v>
      </c>
      <c r="BP261" s="231"/>
      <c r="BQ261" s="231"/>
      <c r="BR261" s="231"/>
      <c r="BS261" s="231"/>
      <c r="BT261" s="231"/>
      <c r="BU261" s="231"/>
      <c r="BV261" s="231"/>
      <c r="BW261" s="231"/>
      <c r="BX261" s="231"/>
      <c r="BY261" s="231"/>
      <c r="BZ261" s="231"/>
      <c r="CA261" s="231"/>
      <c r="CB261" s="231"/>
      <c r="CC261" s="231"/>
      <c r="CD261" s="231"/>
      <c r="CE261" s="231"/>
      <c r="CF261" s="231"/>
      <c r="CG261" s="231"/>
      <c r="CH261" s="231"/>
      <c r="CI261" s="231"/>
    </row>
    <row r="262" spans="1:87" ht="25.2" customHeight="1" outlineLevel="1">
      <c r="A262" s="204">
        <v>244</v>
      </c>
      <c r="B262" s="207">
        <v>5031</v>
      </c>
      <c r="C262" s="208" t="s">
        <v>438</v>
      </c>
      <c r="D262" s="194" t="s">
        <v>181</v>
      </c>
      <c r="E262" s="209">
        <f t="shared" si="28"/>
        <v>48.8</v>
      </c>
      <c r="F262" s="216">
        <v>87.1</v>
      </c>
      <c r="G262" s="217">
        <v>0.9</v>
      </c>
      <c r="H262" s="218"/>
      <c r="I262" s="230">
        <f t="shared" si="29"/>
        <v>11.3</v>
      </c>
      <c r="J262" s="216">
        <v>0.8</v>
      </c>
      <c r="K262" s="216">
        <v>0.7</v>
      </c>
      <c r="L262" s="233">
        <v>9.24</v>
      </c>
      <c r="M262" s="216">
        <v>28</v>
      </c>
      <c r="N262" s="216">
        <v>26</v>
      </c>
      <c r="O262" s="216">
        <v>2.1</v>
      </c>
      <c r="P262" s="216">
        <v>7</v>
      </c>
      <c r="Q262" s="216">
        <v>0.04</v>
      </c>
      <c r="R262" s="216">
        <v>0.06</v>
      </c>
      <c r="S262" s="216">
        <v>0.7</v>
      </c>
      <c r="T262" s="231">
        <v>1</v>
      </c>
      <c r="U262" s="231">
        <v>259</v>
      </c>
      <c r="V262" s="231">
        <v>10</v>
      </c>
      <c r="W262" s="242">
        <v>7.6999999999999999E-2</v>
      </c>
      <c r="X262" s="232">
        <v>0.2</v>
      </c>
      <c r="Y262" s="231">
        <v>78</v>
      </c>
      <c r="Z262" s="231">
        <v>0.1</v>
      </c>
      <c r="AA262" s="241">
        <v>0.24</v>
      </c>
      <c r="AB262" s="241">
        <v>5.3999999999999999E-2</v>
      </c>
      <c r="AC262" s="240">
        <v>9</v>
      </c>
      <c r="AD262" s="240">
        <v>0</v>
      </c>
      <c r="AE262" s="233"/>
      <c r="AF262" s="233">
        <v>0</v>
      </c>
      <c r="AG262" s="240">
        <v>0</v>
      </c>
      <c r="AH262" s="240">
        <f t="shared" si="30"/>
        <v>0</v>
      </c>
      <c r="AI262" s="236">
        <f t="shared" si="31"/>
        <v>212.833333333333</v>
      </c>
      <c r="AJ262" s="252"/>
      <c r="AK262" s="233">
        <v>0.89</v>
      </c>
      <c r="AL262" s="216">
        <v>3.3</v>
      </c>
      <c r="AM262" s="236">
        <v>2554</v>
      </c>
      <c r="AN262" s="231">
        <v>0</v>
      </c>
      <c r="AO262" s="231">
        <v>0</v>
      </c>
      <c r="AP262" s="231">
        <v>5</v>
      </c>
      <c r="AQ262" s="231">
        <v>0</v>
      </c>
      <c r="AR262" s="231"/>
      <c r="AS262" s="231"/>
      <c r="AT262" s="231"/>
      <c r="AU262" s="231"/>
      <c r="AV262" s="231"/>
      <c r="AW262" s="236">
        <v>2.7E-2</v>
      </c>
      <c r="AX262" s="242">
        <v>2.4E-2</v>
      </c>
      <c r="AY262" s="242">
        <v>0</v>
      </c>
      <c r="AZ262" s="242">
        <v>3.0000000000000001E-3</v>
      </c>
      <c r="BA262" s="242">
        <v>0</v>
      </c>
      <c r="BB262" s="242">
        <v>0</v>
      </c>
      <c r="BC262" s="242">
        <v>0</v>
      </c>
      <c r="BD262" s="242">
        <v>0.17</v>
      </c>
      <c r="BE262" s="231">
        <v>0</v>
      </c>
      <c r="BF262" s="242">
        <v>0</v>
      </c>
      <c r="BG262" s="242">
        <v>0.17</v>
      </c>
      <c r="BH262" s="242">
        <v>7.6999999999999999E-2</v>
      </c>
      <c r="BI262" s="242">
        <v>7.6999999999999999E-2</v>
      </c>
      <c r="BJ262" s="242">
        <v>0</v>
      </c>
      <c r="BK262" s="242">
        <v>0</v>
      </c>
      <c r="BL262" s="242">
        <v>0</v>
      </c>
      <c r="BM262" s="242">
        <v>0</v>
      </c>
      <c r="BN262" s="242"/>
      <c r="BO262" s="231">
        <v>0</v>
      </c>
      <c r="BP262" s="231">
        <v>18</v>
      </c>
      <c r="BQ262" s="204">
        <v>20</v>
      </c>
      <c r="BR262" s="204">
        <v>4</v>
      </c>
      <c r="BS262" s="204">
        <v>2</v>
      </c>
      <c r="BT262" s="204">
        <v>11</v>
      </c>
      <c r="BU262" s="204">
        <v>14</v>
      </c>
      <c r="BV262" s="204">
        <v>15</v>
      </c>
      <c r="BW262" s="204">
        <v>20</v>
      </c>
      <c r="BX262" s="204">
        <v>12</v>
      </c>
      <c r="BY262" s="204">
        <v>9</v>
      </c>
      <c r="BZ262" s="204">
        <v>11</v>
      </c>
      <c r="CA262" s="204">
        <v>6</v>
      </c>
      <c r="CB262" s="204">
        <v>9</v>
      </c>
      <c r="CC262" s="204">
        <v>24</v>
      </c>
      <c r="CD262" s="204">
        <v>148</v>
      </c>
      <c r="CE262" s="204">
        <v>42</v>
      </c>
      <c r="CF262" s="204">
        <v>12</v>
      </c>
      <c r="CG262" s="204">
        <v>19</v>
      </c>
      <c r="CH262" s="204">
        <v>20</v>
      </c>
      <c r="CI262" s="231"/>
    </row>
    <row r="263" spans="1:87" ht="25.2" customHeight="1" outlineLevel="1">
      <c r="A263" s="204">
        <v>245</v>
      </c>
      <c r="B263" s="207">
        <v>5032</v>
      </c>
      <c r="C263" s="208" t="s">
        <v>439</v>
      </c>
      <c r="D263" s="194" t="s">
        <v>181</v>
      </c>
      <c r="E263" s="209">
        <f t="shared" si="28"/>
        <v>289.5</v>
      </c>
      <c r="F263" s="216">
        <v>25.9</v>
      </c>
      <c r="G263" s="217">
        <v>3</v>
      </c>
      <c r="H263" s="218">
        <v>1.1000000000000001</v>
      </c>
      <c r="I263" s="230">
        <f t="shared" si="29"/>
        <v>66.900000000000006</v>
      </c>
      <c r="J263" s="216">
        <v>4.0999999999999996</v>
      </c>
      <c r="K263" s="216">
        <v>3.1</v>
      </c>
      <c r="L263" s="233">
        <v>53.44</v>
      </c>
      <c r="M263" s="216">
        <v>62</v>
      </c>
      <c r="N263" s="216">
        <v>106</v>
      </c>
      <c r="O263" s="216">
        <v>4.5</v>
      </c>
      <c r="P263" s="216">
        <v>5</v>
      </c>
      <c r="Q263" s="216">
        <v>0.08</v>
      </c>
      <c r="R263" s="216">
        <v>0.09</v>
      </c>
      <c r="S263" s="216">
        <v>1.6</v>
      </c>
      <c r="T263" s="231">
        <v>10</v>
      </c>
      <c r="U263" s="231">
        <v>1162</v>
      </c>
      <c r="V263" s="231">
        <v>32</v>
      </c>
      <c r="W263" s="242">
        <v>0.23499999999999999</v>
      </c>
      <c r="X263" s="232">
        <v>0.39</v>
      </c>
      <c r="Y263" s="231">
        <v>343</v>
      </c>
      <c r="Z263" s="231">
        <v>2.2000000000000002</v>
      </c>
      <c r="AA263" s="241">
        <v>0.51600000000000001</v>
      </c>
      <c r="AB263" s="241">
        <v>0.14299999999999999</v>
      </c>
      <c r="AC263" s="240">
        <v>10</v>
      </c>
      <c r="AD263" s="240">
        <v>0</v>
      </c>
      <c r="AE263" s="233"/>
      <c r="AF263" s="233">
        <v>0</v>
      </c>
      <c r="AG263" s="240">
        <v>0</v>
      </c>
      <c r="AH263" s="240">
        <f t="shared" si="30"/>
        <v>0</v>
      </c>
      <c r="AI263" s="236">
        <f t="shared" si="31"/>
        <v>180.25</v>
      </c>
      <c r="AJ263" s="252"/>
      <c r="AK263" s="233">
        <v>4.33</v>
      </c>
      <c r="AL263" s="216">
        <v>3.1</v>
      </c>
      <c r="AM263" s="236">
        <v>2163</v>
      </c>
      <c r="AN263" s="231">
        <v>0</v>
      </c>
      <c r="AO263" s="231">
        <v>0</v>
      </c>
      <c r="AP263" s="231">
        <v>0</v>
      </c>
      <c r="AQ263" s="231">
        <v>0</v>
      </c>
      <c r="AR263" s="231"/>
      <c r="AS263" s="231"/>
      <c r="AT263" s="231"/>
      <c r="AU263" s="231"/>
      <c r="AV263" s="231">
        <v>73</v>
      </c>
      <c r="AW263" s="236">
        <v>1.7000000000000001E-2</v>
      </c>
      <c r="AX263" s="242">
        <v>1.7000000000000001E-2</v>
      </c>
      <c r="AY263" s="242">
        <v>0</v>
      </c>
      <c r="AZ263" s="242">
        <v>0</v>
      </c>
      <c r="BA263" s="242">
        <v>0</v>
      </c>
      <c r="BB263" s="242">
        <v>0</v>
      </c>
      <c r="BC263" s="242">
        <v>0</v>
      </c>
      <c r="BD263" s="242">
        <v>7.3999999999999996E-2</v>
      </c>
      <c r="BE263" s="231">
        <v>0</v>
      </c>
      <c r="BF263" s="242">
        <v>0</v>
      </c>
      <c r="BG263" s="242">
        <v>7.3999999999999996E-2</v>
      </c>
      <c r="BH263" s="242">
        <v>7.3999999999999996E-2</v>
      </c>
      <c r="BI263" s="242">
        <v>7.3999999999999996E-2</v>
      </c>
      <c r="BJ263" s="242">
        <v>0</v>
      </c>
      <c r="BK263" s="242">
        <v>0</v>
      </c>
      <c r="BL263" s="242">
        <v>0</v>
      </c>
      <c r="BM263" s="242">
        <v>0</v>
      </c>
      <c r="BN263" s="242"/>
      <c r="BO263" s="231">
        <v>0</v>
      </c>
      <c r="BP263" s="231"/>
      <c r="BQ263" s="231">
        <v>83</v>
      </c>
      <c r="BR263" s="231">
        <v>15</v>
      </c>
      <c r="BS263" s="231">
        <v>16</v>
      </c>
      <c r="BT263" s="231">
        <v>62</v>
      </c>
      <c r="BU263" s="231">
        <v>73</v>
      </c>
      <c r="BV263" s="231">
        <v>78</v>
      </c>
      <c r="BW263" s="231">
        <v>105</v>
      </c>
      <c r="BX263" s="231">
        <v>63</v>
      </c>
      <c r="BY263" s="231">
        <v>66</v>
      </c>
      <c r="BZ263" s="231">
        <v>47</v>
      </c>
      <c r="CA263" s="231">
        <v>19</v>
      </c>
      <c r="CB263" s="231">
        <v>39</v>
      </c>
      <c r="CC263" s="231">
        <v>110</v>
      </c>
      <c r="CD263" s="231">
        <v>937</v>
      </c>
      <c r="CE263" s="231">
        <v>188</v>
      </c>
      <c r="CF263" s="231">
        <v>70</v>
      </c>
      <c r="CG263" s="231">
        <v>821</v>
      </c>
      <c r="CH263" s="231">
        <v>87</v>
      </c>
      <c r="CI263" s="231"/>
    </row>
    <row r="264" spans="1:87" ht="25.2" customHeight="1" outlineLevel="1">
      <c r="A264" s="204">
        <v>246</v>
      </c>
      <c r="B264" s="207">
        <v>5033</v>
      </c>
      <c r="C264" s="208" t="s">
        <v>440</v>
      </c>
      <c r="D264" s="194" t="s">
        <v>181</v>
      </c>
      <c r="E264" s="209">
        <f t="shared" si="28"/>
        <v>68.8</v>
      </c>
      <c r="F264" s="216">
        <v>82.9</v>
      </c>
      <c r="G264" s="217">
        <v>0.6</v>
      </c>
      <c r="H264" s="218">
        <v>0.4</v>
      </c>
      <c r="I264" s="230">
        <f t="shared" si="29"/>
        <v>15.7</v>
      </c>
      <c r="J264" s="216">
        <v>0.4</v>
      </c>
      <c r="K264" s="216">
        <v>0.4</v>
      </c>
      <c r="L264" s="233"/>
      <c r="M264" s="216">
        <v>4</v>
      </c>
      <c r="N264" s="216">
        <v>4</v>
      </c>
      <c r="O264" s="216">
        <v>0.2</v>
      </c>
      <c r="P264" s="216">
        <v>60</v>
      </c>
      <c r="Q264" s="216">
        <v>0.06</v>
      </c>
      <c r="R264" s="216">
        <v>0.06</v>
      </c>
      <c r="S264" s="216">
        <v>0.9</v>
      </c>
      <c r="T264" s="231"/>
      <c r="U264" s="231"/>
      <c r="V264" s="231"/>
      <c r="W264" s="242"/>
      <c r="X264" s="232"/>
      <c r="Y264" s="231"/>
      <c r="Z264" s="231"/>
      <c r="AA264" s="241"/>
      <c r="AB264" s="241"/>
      <c r="AC264" s="240"/>
      <c r="AD264" s="240"/>
      <c r="AE264" s="233"/>
      <c r="AF264" s="233"/>
      <c r="AG264" s="240">
        <v>0</v>
      </c>
      <c r="AH264" s="240">
        <f t="shared" si="30"/>
        <v>0</v>
      </c>
      <c r="AI264" s="236">
        <f t="shared" si="31"/>
        <v>158.75</v>
      </c>
      <c r="AJ264" s="252"/>
      <c r="AK264" s="233"/>
      <c r="AL264" s="216"/>
      <c r="AM264" s="236">
        <v>1905</v>
      </c>
      <c r="AN264" s="231"/>
      <c r="AO264" s="231"/>
      <c r="AP264" s="231"/>
      <c r="AQ264" s="231"/>
      <c r="AR264" s="231"/>
      <c r="AS264" s="231"/>
      <c r="AT264" s="231"/>
      <c r="AU264" s="231"/>
      <c r="AV264" s="231"/>
      <c r="AW264" s="236"/>
      <c r="AX264" s="242"/>
      <c r="AY264" s="242"/>
      <c r="AZ264" s="242"/>
      <c r="BA264" s="242"/>
      <c r="BB264" s="242"/>
      <c r="BC264" s="242"/>
      <c r="BD264" s="242"/>
      <c r="BE264" s="231"/>
      <c r="BF264" s="242"/>
      <c r="BG264" s="242"/>
      <c r="BH264" s="242"/>
      <c r="BI264" s="242"/>
      <c r="BJ264" s="242"/>
      <c r="BK264" s="242"/>
      <c r="BL264" s="242"/>
      <c r="BM264" s="242"/>
      <c r="BN264" s="242"/>
      <c r="BO264" s="231">
        <v>0</v>
      </c>
      <c r="BP264" s="231"/>
      <c r="BQ264" s="231"/>
      <c r="BR264" s="231"/>
      <c r="BS264" s="231"/>
      <c r="BT264" s="231"/>
      <c r="BU264" s="231"/>
      <c r="BV264" s="231"/>
      <c r="BW264" s="231"/>
      <c r="BX264" s="231"/>
      <c r="BY264" s="231"/>
      <c r="BZ264" s="231"/>
      <c r="CA264" s="231"/>
      <c r="CB264" s="231"/>
      <c r="CC264" s="231"/>
      <c r="CD264" s="231"/>
      <c r="CE264" s="231"/>
      <c r="CF264" s="231"/>
      <c r="CG264" s="231"/>
      <c r="CH264" s="231"/>
      <c r="CI264" s="231"/>
    </row>
    <row r="265" spans="1:87" ht="25.2" customHeight="1" outlineLevel="1">
      <c r="A265" s="204">
        <v>247</v>
      </c>
      <c r="B265" s="207">
        <v>5034</v>
      </c>
      <c r="C265" s="208" t="s">
        <v>441</v>
      </c>
      <c r="D265" s="194" t="s">
        <v>181</v>
      </c>
      <c r="E265" s="209">
        <f t="shared" si="28"/>
        <v>67.600000000000094</v>
      </c>
      <c r="F265" s="216">
        <v>82.5</v>
      </c>
      <c r="G265" s="217">
        <v>1.6</v>
      </c>
      <c r="H265" s="218"/>
      <c r="I265" s="230">
        <f t="shared" si="29"/>
        <v>15.3</v>
      </c>
      <c r="J265" s="216">
        <v>0.8</v>
      </c>
      <c r="K265" s="216">
        <v>0.6</v>
      </c>
      <c r="L265" s="233"/>
      <c r="M265" s="216">
        <v>35</v>
      </c>
      <c r="N265" s="216">
        <v>45</v>
      </c>
      <c r="O265" s="216">
        <v>0.6</v>
      </c>
      <c r="P265" s="216">
        <v>36</v>
      </c>
      <c r="Q265" s="216">
        <v>0.11</v>
      </c>
      <c r="R265" s="216">
        <v>0.1</v>
      </c>
      <c r="S265" s="216">
        <v>0.8</v>
      </c>
      <c r="T265" s="240">
        <v>22.3</v>
      </c>
      <c r="U265" s="240">
        <v>259.5</v>
      </c>
      <c r="V265" s="240">
        <v>21</v>
      </c>
      <c r="W265" s="241">
        <v>0.17</v>
      </c>
      <c r="X265" s="233">
        <v>0.21</v>
      </c>
      <c r="Y265" s="240">
        <v>200</v>
      </c>
      <c r="Z265" s="216">
        <v>0.6</v>
      </c>
      <c r="AA265" s="241">
        <v>0.22600000000000001</v>
      </c>
      <c r="AB265" s="241">
        <v>0.2</v>
      </c>
      <c r="AC265" s="240">
        <v>14</v>
      </c>
      <c r="AD265" s="240">
        <v>0</v>
      </c>
      <c r="AE265" s="233"/>
      <c r="AF265" s="233">
        <v>0</v>
      </c>
      <c r="AG265" s="240">
        <v>0</v>
      </c>
      <c r="AH265" s="240">
        <f t="shared" si="30"/>
        <v>0</v>
      </c>
      <c r="AI265" s="236">
        <f t="shared" si="31"/>
        <v>0</v>
      </c>
      <c r="AJ265" s="252"/>
      <c r="AK265" s="233"/>
      <c r="AL265" s="216"/>
      <c r="AM265" s="236">
        <v>0</v>
      </c>
      <c r="AN265" s="231"/>
      <c r="AO265" s="231"/>
      <c r="AP265" s="231"/>
      <c r="AQ265" s="231"/>
      <c r="AR265" s="231"/>
      <c r="AS265" s="231"/>
      <c r="AT265" s="231"/>
      <c r="AU265" s="231"/>
      <c r="AV265" s="231"/>
      <c r="AW265" s="236">
        <v>4.8000000000000001E-2</v>
      </c>
      <c r="AX265" s="242">
        <v>2.8000000000000001E-2</v>
      </c>
      <c r="AY265" s="242">
        <v>0</v>
      </c>
      <c r="AZ265" s="242">
        <v>0.02</v>
      </c>
      <c r="BA265" s="242">
        <v>0</v>
      </c>
      <c r="BB265" s="242">
        <v>0</v>
      </c>
      <c r="BC265" s="242">
        <v>0</v>
      </c>
      <c r="BD265" s="242">
        <v>0.114</v>
      </c>
      <c r="BE265" s="231">
        <v>0</v>
      </c>
      <c r="BF265" s="242">
        <v>0</v>
      </c>
      <c r="BG265" s="242">
        <v>0.114</v>
      </c>
      <c r="BH265" s="242">
        <v>0.04</v>
      </c>
      <c r="BI265" s="242">
        <v>0.04</v>
      </c>
      <c r="BJ265" s="242">
        <v>0</v>
      </c>
      <c r="BK265" s="242">
        <v>0</v>
      </c>
      <c r="BL265" s="242">
        <v>0</v>
      </c>
      <c r="BM265" s="242">
        <v>0</v>
      </c>
      <c r="BN265" s="242"/>
      <c r="BO265" s="231">
        <v>0</v>
      </c>
      <c r="BP265" s="231"/>
      <c r="BQ265" s="231">
        <v>55</v>
      </c>
      <c r="BR265" s="231">
        <v>7</v>
      </c>
      <c r="BS265" s="231">
        <v>10</v>
      </c>
      <c r="BT265" s="231"/>
      <c r="BU265" s="231"/>
      <c r="BV265" s="231"/>
      <c r="BW265" s="231"/>
      <c r="BX265" s="231"/>
      <c r="BY265" s="231"/>
      <c r="BZ265" s="231"/>
      <c r="CA265" s="231"/>
      <c r="CB265" s="231"/>
      <c r="CC265" s="231"/>
      <c r="CD265" s="231"/>
      <c r="CE265" s="231"/>
      <c r="CF265" s="231"/>
      <c r="CG265" s="231"/>
      <c r="CH265" s="231"/>
      <c r="CI265" s="231"/>
    </row>
    <row r="266" spans="1:87" ht="25.2" customHeight="1" outlineLevel="1">
      <c r="A266" s="204">
        <v>248</v>
      </c>
      <c r="B266" s="207">
        <v>5035</v>
      </c>
      <c r="C266" s="208" t="s">
        <v>442</v>
      </c>
      <c r="D266" s="194" t="s">
        <v>181</v>
      </c>
      <c r="E266" s="209">
        <f t="shared" si="28"/>
        <v>51.6</v>
      </c>
      <c r="F266" s="216">
        <v>86.3</v>
      </c>
      <c r="G266" s="217">
        <v>0.9</v>
      </c>
      <c r="H266" s="218"/>
      <c r="I266" s="230">
        <f t="shared" si="29"/>
        <v>12</v>
      </c>
      <c r="J266" s="216">
        <v>1</v>
      </c>
      <c r="K266" s="216">
        <v>0.8</v>
      </c>
      <c r="L266" s="233"/>
      <c r="M266" s="216">
        <v>21</v>
      </c>
      <c r="N266" s="216">
        <v>12</v>
      </c>
      <c r="O266" s="216">
        <v>0.4</v>
      </c>
      <c r="P266" s="216">
        <v>58</v>
      </c>
      <c r="Q266" s="216">
        <v>0.03</v>
      </c>
      <c r="R266" s="216">
        <v>0.14000000000000001</v>
      </c>
      <c r="S266" s="216">
        <v>0.3</v>
      </c>
      <c r="T266" s="240">
        <v>25.5</v>
      </c>
      <c r="U266" s="240">
        <v>257.10000000000002</v>
      </c>
      <c r="V266" s="240">
        <v>10</v>
      </c>
      <c r="W266" s="241">
        <v>0.1</v>
      </c>
      <c r="X266" s="233">
        <v>0.28999999999999998</v>
      </c>
      <c r="Y266" s="240">
        <v>150</v>
      </c>
      <c r="Z266" s="216"/>
      <c r="AA266" s="241"/>
      <c r="AB266" s="241"/>
      <c r="AC266" s="240"/>
      <c r="AD266" s="240"/>
      <c r="AE266" s="233"/>
      <c r="AF266" s="233"/>
      <c r="AG266" s="240">
        <v>0</v>
      </c>
      <c r="AH266" s="240">
        <f t="shared" si="30"/>
        <v>0</v>
      </c>
      <c r="AI266" s="236">
        <f t="shared" si="31"/>
        <v>0</v>
      </c>
      <c r="AJ266" s="252"/>
      <c r="AK266" s="233"/>
      <c r="AL266" s="216"/>
      <c r="AM266" s="236">
        <v>0</v>
      </c>
      <c r="AN266" s="231"/>
      <c r="AO266" s="231"/>
      <c r="AP266" s="231"/>
      <c r="AQ266" s="231"/>
      <c r="AR266" s="231"/>
      <c r="AS266" s="231"/>
      <c r="AT266" s="231"/>
      <c r="AU266" s="231"/>
      <c r="AV266" s="231"/>
      <c r="AW266" s="236"/>
      <c r="AX266" s="244"/>
      <c r="AY266" s="244"/>
      <c r="AZ266" s="244"/>
      <c r="BA266" s="244"/>
      <c r="BB266" s="244"/>
      <c r="BC266" s="244"/>
      <c r="BD266" s="244"/>
      <c r="BE266" s="204"/>
      <c r="BF266" s="244"/>
      <c r="BG266" s="244"/>
      <c r="BH266" s="244"/>
      <c r="BI266" s="244"/>
      <c r="BJ266" s="244"/>
      <c r="BK266" s="244"/>
      <c r="BL266" s="244"/>
      <c r="BM266" s="244"/>
      <c r="BN266" s="244"/>
      <c r="BO266" s="231">
        <v>0</v>
      </c>
      <c r="BP266" s="204"/>
      <c r="BQ266" s="231">
        <v>46</v>
      </c>
      <c r="BR266" s="231">
        <v>13</v>
      </c>
      <c r="BS266" s="231"/>
      <c r="BT266" s="231">
        <v>30</v>
      </c>
      <c r="BU266" s="231">
        <v>34</v>
      </c>
      <c r="BV266" s="231">
        <v>58</v>
      </c>
      <c r="BW266" s="231">
        <v>54</v>
      </c>
      <c r="BX266" s="231">
        <v>26</v>
      </c>
      <c r="BY266" s="231">
        <v>35</v>
      </c>
      <c r="BZ266" s="231">
        <v>12</v>
      </c>
      <c r="CA266" s="231"/>
      <c r="CB266" s="231">
        <v>25</v>
      </c>
      <c r="CC266" s="231">
        <v>157</v>
      </c>
      <c r="CD266" s="231">
        <v>126</v>
      </c>
      <c r="CE266" s="231">
        <v>209</v>
      </c>
      <c r="CF266" s="231">
        <v>42</v>
      </c>
      <c r="CG266" s="231">
        <v>42</v>
      </c>
      <c r="CH266" s="231">
        <v>48</v>
      </c>
      <c r="CI266" s="231"/>
    </row>
    <row r="267" spans="1:87" ht="25.2" customHeight="1" outlineLevel="1">
      <c r="A267" s="204">
        <v>249</v>
      </c>
      <c r="B267" s="207">
        <v>5036</v>
      </c>
      <c r="C267" s="208" t="s">
        <v>443</v>
      </c>
      <c r="D267" s="194" t="s">
        <v>181</v>
      </c>
      <c r="E267" s="209">
        <f t="shared" si="28"/>
        <v>292.10000000000002</v>
      </c>
      <c r="F267" s="216">
        <v>25</v>
      </c>
      <c r="G267" s="217">
        <v>4.3</v>
      </c>
      <c r="H267" s="218">
        <v>0.5</v>
      </c>
      <c r="I267" s="230">
        <f t="shared" si="29"/>
        <v>67.599999999999994</v>
      </c>
      <c r="J267" s="216">
        <v>1.7</v>
      </c>
      <c r="K267" s="216">
        <v>2.6</v>
      </c>
      <c r="L267" s="233"/>
      <c r="M267" s="216">
        <v>32</v>
      </c>
      <c r="N267" s="216">
        <v>117</v>
      </c>
      <c r="O267" s="216">
        <v>4.4000000000000004</v>
      </c>
      <c r="P267" s="216">
        <v>34</v>
      </c>
      <c r="Q267" s="216">
        <v>0.02</v>
      </c>
      <c r="R267" s="216">
        <v>0.5</v>
      </c>
      <c r="S267" s="216">
        <v>1</v>
      </c>
      <c r="T267" s="231"/>
      <c r="U267" s="231"/>
      <c r="V267" s="231">
        <v>46</v>
      </c>
      <c r="W267" s="242"/>
      <c r="X267" s="232"/>
      <c r="Y267" s="231"/>
      <c r="Z267" s="231"/>
      <c r="AA267" s="241"/>
      <c r="AB267" s="241"/>
      <c r="AC267" s="240"/>
      <c r="AD267" s="240"/>
      <c r="AE267" s="233"/>
      <c r="AF267" s="233"/>
      <c r="AG267" s="240">
        <v>0</v>
      </c>
      <c r="AH267" s="240">
        <f t="shared" si="30"/>
        <v>0</v>
      </c>
      <c r="AI267" s="236">
        <f t="shared" si="31"/>
        <v>0</v>
      </c>
      <c r="AJ267" s="252"/>
      <c r="AK267" s="233"/>
      <c r="AL267" s="216"/>
      <c r="AM267" s="236">
        <v>0</v>
      </c>
      <c r="AN267" s="231"/>
      <c r="AO267" s="231"/>
      <c r="AP267" s="231"/>
      <c r="AQ267" s="231"/>
      <c r="AR267" s="231"/>
      <c r="AS267" s="231"/>
      <c r="AT267" s="231"/>
      <c r="AU267" s="231"/>
      <c r="AV267" s="231"/>
      <c r="AW267" s="236"/>
      <c r="AX267" s="242"/>
      <c r="AY267" s="242"/>
      <c r="AZ267" s="242"/>
      <c r="BA267" s="242"/>
      <c r="BB267" s="242"/>
      <c r="BC267" s="242"/>
      <c r="BD267" s="242"/>
      <c r="BE267" s="231"/>
      <c r="BF267" s="242"/>
      <c r="BG267" s="242"/>
      <c r="BH267" s="242"/>
      <c r="BI267" s="242"/>
      <c r="BJ267" s="242"/>
      <c r="BK267" s="242"/>
      <c r="BL267" s="242"/>
      <c r="BM267" s="242"/>
      <c r="BN267" s="242"/>
      <c r="BO267" s="231">
        <v>0</v>
      </c>
      <c r="BP267" s="231"/>
      <c r="BQ267" s="231">
        <v>172</v>
      </c>
      <c r="BR267" s="231">
        <v>49</v>
      </c>
      <c r="BS267" s="231"/>
      <c r="BT267" s="231">
        <v>112</v>
      </c>
      <c r="BU267" s="231">
        <v>128</v>
      </c>
      <c r="BV267" s="231">
        <v>217</v>
      </c>
      <c r="BW267" s="231">
        <v>202</v>
      </c>
      <c r="BX267" s="231">
        <v>97</v>
      </c>
      <c r="BY267" s="231">
        <v>131</v>
      </c>
      <c r="BZ267" s="231">
        <v>45</v>
      </c>
      <c r="CA267" s="231"/>
      <c r="CB267" s="231">
        <v>94</v>
      </c>
      <c r="CC267" s="231">
        <v>585</v>
      </c>
      <c r="CD267" s="231">
        <v>469</v>
      </c>
      <c r="CE267" s="231">
        <v>780</v>
      </c>
      <c r="CF267" s="231">
        <v>158</v>
      </c>
      <c r="CG267" s="231">
        <v>158</v>
      </c>
      <c r="CH267" s="231">
        <v>180</v>
      </c>
      <c r="CI267" s="231"/>
    </row>
    <row r="268" spans="1:87" ht="25.2" customHeight="1" outlineLevel="1">
      <c r="A268" s="204">
        <v>250</v>
      </c>
      <c r="B268" s="207">
        <v>5037</v>
      </c>
      <c r="C268" s="208" t="s">
        <v>444</v>
      </c>
      <c r="D268" s="194" t="s">
        <v>181</v>
      </c>
      <c r="E268" s="209">
        <f t="shared" si="28"/>
        <v>70</v>
      </c>
      <c r="F268" s="216">
        <v>82.1</v>
      </c>
      <c r="G268" s="217">
        <v>0.4</v>
      </c>
      <c r="H268" s="218"/>
      <c r="I268" s="230">
        <f t="shared" si="29"/>
        <v>17.100000000000001</v>
      </c>
      <c r="J268" s="216">
        <v>0.6</v>
      </c>
      <c r="K268" s="216">
        <v>0.4</v>
      </c>
      <c r="L268" s="233">
        <v>15.48</v>
      </c>
      <c r="M268" s="216">
        <v>17</v>
      </c>
      <c r="N268" s="216">
        <v>22</v>
      </c>
      <c r="O268" s="216">
        <v>0.6</v>
      </c>
      <c r="P268" s="216">
        <v>3</v>
      </c>
      <c r="Q268" s="216">
        <v>0.06</v>
      </c>
      <c r="R268" s="216">
        <v>0.04</v>
      </c>
      <c r="S268" s="216">
        <v>0.2</v>
      </c>
      <c r="T268" s="231">
        <v>2</v>
      </c>
      <c r="U268" s="231">
        <v>191</v>
      </c>
      <c r="V268" s="231">
        <v>7</v>
      </c>
      <c r="W268" s="242">
        <v>7.0999999999999994E-2</v>
      </c>
      <c r="X268" s="232">
        <v>7.0000000000000007E-2</v>
      </c>
      <c r="Y268" s="231">
        <v>127</v>
      </c>
      <c r="Z268" s="231">
        <v>0.1</v>
      </c>
      <c r="AA268" s="241">
        <v>0.05</v>
      </c>
      <c r="AB268" s="241">
        <v>8.5999999999999993E-2</v>
      </c>
      <c r="AC268" s="240">
        <v>2</v>
      </c>
      <c r="AD268" s="240">
        <v>0</v>
      </c>
      <c r="AE268" s="233">
        <v>0.3</v>
      </c>
      <c r="AF268" s="233">
        <v>0</v>
      </c>
      <c r="AG268" s="240">
        <v>0</v>
      </c>
      <c r="AH268" s="240">
        <f t="shared" si="30"/>
        <v>0</v>
      </c>
      <c r="AI268" s="236">
        <f t="shared" si="31"/>
        <v>3.2916666666666701</v>
      </c>
      <c r="AJ268" s="252"/>
      <c r="AK268" s="233">
        <v>0.19</v>
      </c>
      <c r="AL268" s="216">
        <v>14.6</v>
      </c>
      <c r="AM268" s="236">
        <v>39</v>
      </c>
      <c r="AN268" s="231">
        <v>1</v>
      </c>
      <c r="AO268" s="231">
        <v>0</v>
      </c>
      <c r="AP268" s="231">
        <v>0</v>
      </c>
      <c r="AQ268" s="231">
        <v>72</v>
      </c>
      <c r="AR268" s="231"/>
      <c r="AS268" s="231"/>
      <c r="AT268" s="231"/>
      <c r="AU268" s="231"/>
      <c r="AV268" s="231">
        <v>27</v>
      </c>
      <c r="AW268" s="236">
        <v>5.3999999999999999E-2</v>
      </c>
      <c r="AX268" s="242">
        <v>4.5999999999999999E-2</v>
      </c>
      <c r="AY268" s="242">
        <v>0</v>
      </c>
      <c r="AZ268" s="242">
        <v>6.0000000000000001E-3</v>
      </c>
      <c r="BA268" s="242">
        <v>0</v>
      </c>
      <c r="BB268" s="242">
        <v>0</v>
      </c>
      <c r="BC268" s="242">
        <v>0</v>
      </c>
      <c r="BD268" s="242">
        <v>7.0000000000000001E-3</v>
      </c>
      <c r="BE268" s="231">
        <v>0</v>
      </c>
      <c r="BF268" s="242">
        <v>0</v>
      </c>
      <c r="BG268" s="242">
        <v>7.0000000000000001E-3</v>
      </c>
      <c r="BH268" s="242">
        <v>4.8000000000000001E-2</v>
      </c>
      <c r="BI268" s="242">
        <v>3.6999999999999998E-2</v>
      </c>
      <c r="BJ268" s="242">
        <v>1.0999999999999999E-2</v>
      </c>
      <c r="BK268" s="242">
        <v>0</v>
      </c>
      <c r="BL268" s="242">
        <v>0</v>
      </c>
      <c r="BM268" s="242">
        <v>0</v>
      </c>
      <c r="BN268" s="242"/>
      <c r="BO268" s="231">
        <v>0</v>
      </c>
      <c r="BP268" s="231"/>
      <c r="BQ268" s="204">
        <v>11</v>
      </c>
      <c r="BR268" s="204">
        <v>17</v>
      </c>
      <c r="BS268" s="204">
        <v>2</v>
      </c>
      <c r="BT268" s="204">
        <v>10</v>
      </c>
      <c r="BU268" s="204">
        <v>14</v>
      </c>
      <c r="BV268" s="204">
        <v>14</v>
      </c>
      <c r="BW268" s="204">
        <v>10</v>
      </c>
      <c r="BX268" s="204">
        <v>4</v>
      </c>
      <c r="BY268" s="204">
        <v>37</v>
      </c>
      <c r="BZ268" s="204">
        <v>18</v>
      </c>
      <c r="CA268" s="204">
        <v>8</v>
      </c>
      <c r="CB268" s="204">
        <v>9</v>
      </c>
      <c r="CC268" s="204">
        <v>21</v>
      </c>
      <c r="CD268" s="204">
        <v>60</v>
      </c>
      <c r="CE268" s="204">
        <v>104</v>
      </c>
      <c r="CF268" s="204">
        <v>15</v>
      </c>
      <c r="CG268" s="204">
        <v>17</v>
      </c>
      <c r="CH268" s="204">
        <v>24</v>
      </c>
      <c r="CI268" s="231"/>
    </row>
    <row r="269" spans="1:87" ht="25.2" customHeight="1" outlineLevel="1">
      <c r="A269" s="204">
        <v>251</v>
      </c>
      <c r="B269" s="207">
        <v>5038</v>
      </c>
      <c r="C269" s="208" t="s">
        <v>445</v>
      </c>
      <c r="D269" s="194" t="s">
        <v>181</v>
      </c>
      <c r="E269" s="209">
        <f t="shared" si="28"/>
        <v>23.6</v>
      </c>
      <c r="F269" s="216">
        <v>93.6</v>
      </c>
      <c r="G269" s="217">
        <v>0.4</v>
      </c>
      <c r="H269" s="218"/>
      <c r="I269" s="230">
        <f t="shared" si="29"/>
        <v>5.5</v>
      </c>
      <c r="J269" s="216">
        <v>2.4</v>
      </c>
      <c r="K269" s="216">
        <v>0.5</v>
      </c>
      <c r="L269" s="233"/>
      <c r="M269" s="216">
        <v>40</v>
      </c>
      <c r="N269" s="216">
        <v>21</v>
      </c>
      <c r="O269" s="216">
        <v>1.4</v>
      </c>
      <c r="P269" s="216">
        <v>45</v>
      </c>
      <c r="Q269" s="216">
        <v>0.05</v>
      </c>
      <c r="R269" s="216">
        <v>0.04</v>
      </c>
      <c r="S269" s="216">
        <v>0.3</v>
      </c>
      <c r="T269" s="240">
        <v>11.4</v>
      </c>
      <c r="U269" s="240">
        <v>119.8</v>
      </c>
      <c r="V269" s="240">
        <v>15</v>
      </c>
      <c r="W269" s="241">
        <v>7.0000000000000007E-2</v>
      </c>
      <c r="X269" s="233">
        <v>0.17</v>
      </c>
      <c r="Y269" s="240">
        <v>160</v>
      </c>
      <c r="Z269" s="216"/>
      <c r="AA269" s="241"/>
      <c r="AB269" s="241"/>
      <c r="AC269" s="240"/>
      <c r="AD269" s="240"/>
      <c r="AE269" s="233"/>
      <c r="AF269" s="233"/>
      <c r="AG269" s="240">
        <v>0</v>
      </c>
      <c r="AH269" s="240">
        <f t="shared" si="30"/>
        <v>0</v>
      </c>
      <c r="AI269" s="236">
        <f t="shared" si="31"/>
        <v>1.25</v>
      </c>
      <c r="AJ269" s="252"/>
      <c r="AK269" s="233"/>
      <c r="AL269" s="216"/>
      <c r="AM269" s="236">
        <v>15</v>
      </c>
      <c r="AN269" s="231"/>
      <c r="AO269" s="231"/>
      <c r="AP269" s="231"/>
      <c r="AQ269" s="231"/>
      <c r="AR269" s="231"/>
      <c r="AS269" s="231"/>
      <c r="AT269" s="231"/>
      <c r="AU269" s="231"/>
      <c r="AV269" s="231"/>
      <c r="AW269" s="236"/>
      <c r="AX269" s="242"/>
      <c r="AY269" s="242"/>
      <c r="AZ269" s="242"/>
      <c r="BA269" s="242"/>
      <c r="BB269" s="242"/>
      <c r="BC269" s="242"/>
      <c r="BD269" s="242"/>
      <c r="BE269" s="231"/>
      <c r="BF269" s="242"/>
      <c r="BG269" s="242"/>
      <c r="BH269" s="242"/>
      <c r="BI269" s="242"/>
      <c r="BJ269" s="242"/>
      <c r="BK269" s="242"/>
      <c r="BL269" s="242"/>
      <c r="BM269" s="242"/>
      <c r="BN269" s="242"/>
      <c r="BO269" s="231">
        <v>0</v>
      </c>
      <c r="BP269" s="231"/>
      <c r="BQ269" s="231"/>
      <c r="BR269" s="231"/>
      <c r="BS269" s="231"/>
      <c r="BT269" s="231"/>
      <c r="BU269" s="231"/>
      <c r="BV269" s="231"/>
      <c r="BW269" s="231"/>
      <c r="BX269" s="231"/>
      <c r="BY269" s="231"/>
      <c r="BZ269" s="231"/>
      <c r="CA269" s="231"/>
      <c r="CB269" s="231"/>
      <c r="CC269" s="231"/>
      <c r="CD269" s="231"/>
      <c r="CE269" s="231"/>
      <c r="CF269" s="231"/>
      <c r="CG269" s="231"/>
      <c r="CH269" s="231"/>
      <c r="CI269" s="231"/>
    </row>
    <row r="270" spans="1:87" ht="25.2" customHeight="1" outlineLevel="1">
      <c r="A270" s="204">
        <v>252</v>
      </c>
      <c r="B270" s="207">
        <v>5039</v>
      </c>
      <c r="C270" s="208" t="s">
        <v>446</v>
      </c>
      <c r="D270" s="194" t="s">
        <v>181</v>
      </c>
      <c r="E270" s="209">
        <f t="shared" si="28"/>
        <v>22.4</v>
      </c>
      <c r="F270" s="216">
        <v>94</v>
      </c>
      <c r="G270" s="217">
        <v>1.2</v>
      </c>
      <c r="H270" s="218"/>
      <c r="I270" s="230">
        <f t="shared" si="29"/>
        <v>4.3999999999999897</v>
      </c>
      <c r="J270" s="216">
        <v>2.2999999999999998</v>
      </c>
      <c r="K270" s="216">
        <v>0.4</v>
      </c>
      <c r="L270" s="233"/>
      <c r="M270" s="236">
        <v>27</v>
      </c>
      <c r="N270" s="236">
        <v>30</v>
      </c>
      <c r="O270" s="236">
        <v>0.2</v>
      </c>
      <c r="P270" s="236"/>
      <c r="Q270" s="236"/>
      <c r="R270" s="236"/>
      <c r="S270" s="236"/>
      <c r="T270" s="231"/>
      <c r="U270" s="231"/>
      <c r="V270" s="231"/>
      <c r="W270" s="242"/>
      <c r="X270" s="232"/>
      <c r="Y270" s="231"/>
      <c r="Z270" s="231"/>
      <c r="AA270" s="241"/>
      <c r="AB270" s="241"/>
      <c r="AC270" s="240"/>
      <c r="AD270" s="240"/>
      <c r="AE270" s="236"/>
      <c r="AF270" s="236"/>
      <c r="AG270" s="240">
        <v>0</v>
      </c>
      <c r="AH270" s="240">
        <f t="shared" si="30"/>
        <v>0</v>
      </c>
      <c r="AI270" s="236">
        <f t="shared" si="31"/>
        <v>0</v>
      </c>
      <c r="AJ270" s="252"/>
      <c r="AK270" s="233"/>
      <c r="AL270" s="216"/>
      <c r="AM270" s="236"/>
      <c r="AN270" s="231"/>
      <c r="AO270" s="231"/>
      <c r="AP270" s="231"/>
      <c r="AQ270" s="231"/>
      <c r="AR270" s="231"/>
      <c r="AS270" s="231"/>
      <c r="AT270" s="231"/>
      <c r="AU270" s="231"/>
      <c r="AV270" s="231"/>
      <c r="AW270" s="236"/>
      <c r="AX270" s="242"/>
      <c r="AY270" s="242"/>
      <c r="AZ270" s="242"/>
      <c r="BA270" s="242"/>
      <c r="BB270" s="242"/>
      <c r="BC270" s="242"/>
      <c r="BD270" s="242"/>
      <c r="BE270" s="231"/>
      <c r="BF270" s="242"/>
      <c r="BG270" s="242"/>
      <c r="BH270" s="242"/>
      <c r="BI270" s="242"/>
      <c r="BJ270" s="242"/>
      <c r="BK270" s="242"/>
      <c r="BL270" s="242"/>
      <c r="BM270" s="242"/>
      <c r="BN270" s="242"/>
      <c r="BO270" s="231">
        <v>0</v>
      </c>
      <c r="BP270" s="231"/>
      <c r="BQ270" s="231"/>
      <c r="BR270" s="231"/>
      <c r="BS270" s="231"/>
      <c r="BT270" s="231"/>
      <c r="BU270" s="231"/>
      <c r="BV270" s="231"/>
      <c r="BW270" s="231"/>
      <c r="BX270" s="231"/>
      <c r="BY270" s="231"/>
      <c r="BZ270" s="231"/>
      <c r="CA270" s="231"/>
      <c r="CB270" s="231"/>
      <c r="CC270" s="231"/>
      <c r="CD270" s="231"/>
      <c r="CE270" s="231"/>
      <c r="CF270" s="231"/>
      <c r="CG270" s="231"/>
      <c r="CH270" s="231"/>
      <c r="CI270" s="231"/>
    </row>
    <row r="271" spans="1:87" ht="25.2" customHeight="1" outlineLevel="1">
      <c r="A271" s="204">
        <v>253</v>
      </c>
      <c r="B271" s="207">
        <v>5040</v>
      </c>
      <c r="C271" s="208" t="s">
        <v>447</v>
      </c>
      <c r="D271" s="194" t="s">
        <v>181</v>
      </c>
      <c r="E271" s="209">
        <f t="shared" si="28"/>
        <v>57.2</v>
      </c>
      <c r="F271" s="216">
        <v>85</v>
      </c>
      <c r="G271" s="217">
        <v>0.6</v>
      </c>
      <c r="H271" s="218"/>
      <c r="I271" s="230">
        <f t="shared" si="29"/>
        <v>13.7</v>
      </c>
      <c r="J271" s="216">
        <v>6</v>
      </c>
      <c r="K271" s="216">
        <v>0.7</v>
      </c>
      <c r="L271" s="233">
        <v>8.92</v>
      </c>
      <c r="M271" s="216">
        <v>10</v>
      </c>
      <c r="N271" s="216">
        <v>16</v>
      </c>
      <c r="O271" s="216">
        <v>1.3</v>
      </c>
      <c r="P271" s="216">
        <v>62</v>
      </c>
      <c r="Q271" s="216">
        <v>0.05</v>
      </c>
      <c r="R271" s="216">
        <v>0.04</v>
      </c>
      <c r="S271" s="216">
        <v>1.1000000000000001</v>
      </c>
      <c r="T271" s="240">
        <v>4</v>
      </c>
      <c r="U271" s="240">
        <v>291</v>
      </c>
      <c r="V271" s="240">
        <v>22</v>
      </c>
      <c r="W271" s="241">
        <v>0.15</v>
      </c>
      <c r="X271" s="233">
        <v>2.4</v>
      </c>
      <c r="Y271" s="240">
        <v>20</v>
      </c>
      <c r="Z271" s="216">
        <v>0.6</v>
      </c>
      <c r="AA271" s="241">
        <v>0.45100000000000001</v>
      </c>
      <c r="AB271" s="241">
        <v>0.11</v>
      </c>
      <c r="AC271" s="240">
        <v>49</v>
      </c>
      <c r="AD271" s="240">
        <v>0</v>
      </c>
      <c r="AE271" s="233"/>
      <c r="AF271" s="233">
        <v>0</v>
      </c>
      <c r="AG271" s="240">
        <v>0</v>
      </c>
      <c r="AH271" s="240">
        <f t="shared" si="30"/>
        <v>0</v>
      </c>
      <c r="AI271" s="236">
        <f t="shared" si="31"/>
        <v>31.1666666666667</v>
      </c>
      <c r="AJ271" s="252"/>
      <c r="AK271" s="233">
        <v>0.73</v>
      </c>
      <c r="AL271" s="216">
        <v>2.6</v>
      </c>
      <c r="AM271" s="236">
        <v>374</v>
      </c>
      <c r="AN271" s="231">
        <v>0</v>
      </c>
      <c r="AO271" s="231">
        <v>0</v>
      </c>
      <c r="AP271" s="231">
        <v>5204</v>
      </c>
      <c r="AQ271" s="231">
        <v>0</v>
      </c>
      <c r="AR271" s="231"/>
      <c r="AS271" s="231"/>
      <c r="AT271" s="231"/>
      <c r="AU271" s="231"/>
      <c r="AV271" s="231"/>
      <c r="AW271" s="236">
        <v>0.27200000000000002</v>
      </c>
      <c r="AX271" s="242">
        <v>0.22800000000000001</v>
      </c>
      <c r="AY271" s="242">
        <v>0</v>
      </c>
      <c r="AZ271" s="242">
        <v>2.5000000000000001E-2</v>
      </c>
      <c r="BA271" s="242">
        <v>0</v>
      </c>
      <c r="BB271" s="242">
        <v>0</v>
      </c>
      <c r="BC271" s="242">
        <v>0</v>
      </c>
      <c r="BD271" s="242">
        <v>8.6999999999999994E-2</v>
      </c>
      <c r="BE271" s="231">
        <v>0</v>
      </c>
      <c r="BF271" s="242">
        <v>5.0000000000000001E-3</v>
      </c>
      <c r="BG271" s="242">
        <v>8.2000000000000003E-2</v>
      </c>
      <c r="BH271" s="242">
        <v>0.40100000000000002</v>
      </c>
      <c r="BI271" s="242">
        <v>0.28799999999999998</v>
      </c>
      <c r="BJ271" s="242">
        <v>0.112</v>
      </c>
      <c r="BK271" s="242">
        <v>0</v>
      </c>
      <c r="BL271" s="242">
        <v>0</v>
      </c>
      <c r="BM271" s="242">
        <v>0</v>
      </c>
      <c r="BN271" s="242"/>
      <c r="BO271" s="231">
        <v>0</v>
      </c>
      <c r="BP271" s="231"/>
      <c r="BQ271" s="231">
        <v>72</v>
      </c>
      <c r="BR271" s="231">
        <v>16</v>
      </c>
      <c r="BS271" s="231">
        <v>22</v>
      </c>
      <c r="BT271" s="231">
        <v>6</v>
      </c>
      <c r="BU271" s="231">
        <v>96</v>
      </c>
      <c r="BV271" s="231">
        <v>87</v>
      </c>
      <c r="BW271" s="231">
        <v>171</v>
      </c>
      <c r="BX271" s="231">
        <v>93</v>
      </c>
      <c r="BY271" s="231"/>
      <c r="BZ271" s="231">
        <v>22</v>
      </c>
      <c r="CA271" s="231"/>
      <c r="CB271" s="231">
        <v>31</v>
      </c>
      <c r="CC271" s="231">
        <v>128</v>
      </c>
      <c r="CD271" s="231">
        <v>162</v>
      </c>
      <c r="CE271" s="231">
        <v>333</v>
      </c>
      <c r="CF271" s="231">
        <v>128</v>
      </c>
      <c r="CG271" s="231">
        <v>78</v>
      </c>
      <c r="CH271" s="231">
        <v>75</v>
      </c>
      <c r="CI271" s="231"/>
    </row>
    <row r="272" spans="1:87" ht="25.2" customHeight="1" outlineLevel="1">
      <c r="A272" s="204">
        <v>254</v>
      </c>
      <c r="B272" s="207">
        <v>5041</v>
      </c>
      <c r="C272" s="208" t="s">
        <v>448</v>
      </c>
      <c r="D272" s="194" t="s">
        <v>181</v>
      </c>
      <c r="E272" s="209">
        <f t="shared" si="28"/>
        <v>75.8</v>
      </c>
      <c r="F272" s="216">
        <v>88.3</v>
      </c>
      <c r="G272" s="217">
        <v>1.8</v>
      </c>
      <c r="H272" s="218">
        <v>6.2</v>
      </c>
      <c r="I272" s="230">
        <f t="shared" si="29"/>
        <v>3.2</v>
      </c>
      <c r="J272" s="216">
        <v>0.4</v>
      </c>
      <c r="K272" s="216">
        <v>0.5</v>
      </c>
      <c r="L272" s="233"/>
      <c r="M272" s="236">
        <v>48.6</v>
      </c>
      <c r="N272" s="236">
        <v>69</v>
      </c>
      <c r="O272" s="236">
        <v>1.4</v>
      </c>
      <c r="P272" s="236"/>
      <c r="Q272" s="236"/>
      <c r="R272" s="236"/>
      <c r="S272" s="236"/>
      <c r="T272" s="231"/>
      <c r="U272" s="231"/>
      <c r="V272" s="231"/>
      <c r="W272" s="242"/>
      <c r="X272" s="232"/>
      <c r="Y272" s="231"/>
      <c r="Z272" s="231"/>
      <c r="AA272" s="241"/>
      <c r="AB272" s="241"/>
      <c r="AC272" s="240"/>
      <c r="AD272" s="240"/>
      <c r="AE272" s="236"/>
      <c r="AF272" s="236"/>
      <c r="AG272" s="240">
        <v>0</v>
      </c>
      <c r="AH272" s="240">
        <f t="shared" si="30"/>
        <v>0</v>
      </c>
      <c r="AI272" s="236">
        <f t="shared" si="31"/>
        <v>0</v>
      </c>
      <c r="AJ272" s="252"/>
      <c r="AK272" s="233"/>
      <c r="AL272" s="216"/>
      <c r="AM272" s="236"/>
      <c r="AN272" s="231"/>
      <c r="AO272" s="231"/>
      <c r="AP272" s="231"/>
      <c r="AQ272" s="231"/>
      <c r="AR272" s="231"/>
      <c r="AS272" s="231"/>
      <c r="AT272" s="231"/>
      <c r="AU272" s="231"/>
      <c r="AV272" s="231"/>
      <c r="AW272" s="236"/>
      <c r="AX272" s="242"/>
      <c r="AY272" s="242"/>
      <c r="AZ272" s="242"/>
      <c r="BA272" s="242"/>
      <c r="BB272" s="242"/>
      <c r="BC272" s="242"/>
      <c r="BD272" s="242"/>
      <c r="BE272" s="231"/>
      <c r="BF272" s="242"/>
      <c r="BG272" s="242"/>
      <c r="BH272" s="242"/>
      <c r="BI272" s="242"/>
      <c r="BJ272" s="242"/>
      <c r="BK272" s="242"/>
      <c r="BL272" s="242"/>
      <c r="BM272" s="242"/>
      <c r="BN272" s="242"/>
      <c r="BO272" s="231">
        <v>0</v>
      </c>
      <c r="BP272" s="231"/>
      <c r="BQ272" s="231"/>
      <c r="BR272" s="231"/>
      <c r="BS272" s="231"/>
      <c r="BT272" s="231"/>
      <c r="BU272" s="231"/>
      <c r="BV272" s="231"/>
      <c r="BW272" s="231"/>
      <c r="BX272" s="231"/>
      <c r="BY272" s="231"/>
      <c r="BZ272" s="231"/>
      <c r="CA272" s="231"/>
      <c r="CB272" s="231"/>
      <c r="CC272" s="231"/>
      <c r="CD272" s="231"/>
      <c r="CE272" s="231"/>
      <c r="CF272" s="231"/>
      <c r="CG272" s="231"/>
      <c r="CH272" s="231"/>
      <c r="CI272" s="231"/>
    </row>
    <row r="273" spans="1:99" ht="25.2" customHeight="1" outlineLevel="1">
      <c r="A273" s="204">
        <v>255</v>
      </c>
      <c r="B273" s="207">
        <v>5042</v>
      </c>
      <c r="C273" s="208" t="s">
        <v>449</v>
      </c>
      <c r="D273" s="194" t="s">
        <v>181</v>
      </c>
      <c r="E273" s="209">
        <f t="shared" si="28"/>
        <v>103.4</v>
      </c>
      <c r="F273" s="216">
        <v>85.4</v>
      </c>
      <c r="G273" s="217">
        <v>1.9</v>
      </c>
      <c r="H273" s="218">
        <v>9.4</v>
      </c>
      <c r="I273" s="230">
        <f t="shared" si="29"/>
        <v>2.7999999999999798</v>
      </c>
      <c r="J273" s="216">
        <v>0.5</v>
      </c>
      <c r="K273" s="216">
        <v>0.5</v>
      </c>
      <c r="L273" s="233">
        <v>2.42</v>
      </c>
      <c r="M273" s="236">
        <v>59.9</v>
      </c>
      <c r="N273" s="236">
        <v>84.9</v>
      </c>
      <c r="O273" s="236">
        <v>1.6</v>
      </c>
      <c r="P273" s="236">
        <v>17.399999999999999</v>
      </c>
      <c r="Q273" s="236">
        <v>2.1000000000000001E-2</v>
      </c>
      <c r="R273" s="236">
        <v>5.2999999999999999E-2</v>
      </c>
      <c r="S273" s="236">
        <v>0.67200000000000004</v>
      </c>
      <c r="T273" s="231">
        <v>2</v>
      </c>
      <c r="U273" s="231">
        <v>351</v>
      </c>
      <c r="V273" s="231">
        <v>24</v>
      </c>
      <c r="W273" s="242">
        <v>9.5000000000000001E-2</v>
      </c>
      <c r="X273" s="232">
        <v>0.4</v>
      </c>
      <c r="Y273" s="231">
        <v>311</v>
      </c>
      <c r="Z273" s="231"/>
      <c r="AA273" s="241">
        <v>0.93100000000000005</v>
      </c>
      <c r="AB273" s="241">
        <v>7.8E-2</v>
      </c>
      <c r="AC273" s="240">
        <v>35</v>
      </c>
      <c r="AD273" s="240">
        <v>0</v>
      </c>
      <c r="AE273" s="236">
        <v>3.2</v>
      </c>
      <c r="AF273" s="236">
        <v>0</v>
      </c>
      <c r="AG273" s="240">
        <v>0</v>
      </c>
      <c r="AH273" s="240">
        <f t="shared" si="30"/>
        <v>0</v>
      </c>
      <c r="AI273" s="236">
        <f t="shared" si="31"/>
        <v>7.0416666666666696</v>
      </c>
      <c r="AJ273" s="252"/>
      <c r="AK273" s="233">
        <v>2.66</v>
      </c>
      <c r="AL273" s="216"/>
      <c r="AM273" s="236">
        <v>53</v>
      </c>
      <c r="AN273" s="231">
        <v>27</v>
      </c>
      <c r="AO273" s="231">
        <v>36</v>
      </c>
      <c r="AP273" s="231">
        <v>0</v>
      </c>
      <c r="AQ273" s="231">
        <v>0</v>
      </c>
      <c r="AR273" s="231"/>
      <c r="AS273" s="231"/>
      <c r="AT273" s="231"/>
      <c r="AU273" s="231"/>
      <c r="AV273" s="231"/>
      <c r="AW273" s="236">
        <v>1.96</v>
      </c>
      <c r="AX273" s="242">
        <v>1.905</v>
      </c>
      <c r="AY273" s="242">
        <v>0</v>
      </c>
      <c r="AZ273" s="242">
        <v>5.5E-2</v>
      </c>
      <c r="BA273" s="242">
        <v>0</v>
      </c>
      <c r="BB273" s="242">
        <v>0</v>
      </c>
      <c r="BC273" s="242">
        <v>0</v>
      </c>
      <c r="BD273" s="242">
        <v>5.5129999999999999</v>
      </c>
      <c r="BE273" s="231">
        <v>0</v>
      </c>
      <c r="BF273" s="242">
        <v>0.82499999999999996</v>
      </c>
      <c r="BG273" s="242">
        <v>4.6890000000000001</v>
      </c>
      <c r="BH273" s="242">
        <v>1.6759999999999999</v>
      </c>
      <c r="BI273" s="242">
        <v>1.58</v>
      </c>
      <c r="BJ273" s="242">
        <v>9.6000000000000002E-2</v>
      </c>
      <c r="BK273" s="242">
        <v>0</v>
      </c>
      <c r="BL273" s="242">
        <v>0</v>
      </c>
      <c r="BM273" s="242">
        <v>0</v>
      </c>
      <c r="BN273" s="242"/>
      <c r="BO273" s="231">
        <v>0</v>
      </c>
      <c r="BP273" s="231"/>
      <c r="BQ273" s="231">
        <v>147</v>
      </c>
      <c r="BR273" s="231">
        <v>42</v>
      </c>
      <c r="BS273" s="231">
        <v>28</v>
      </c>
      <c r="BT273" s="231">
        <v>260</v>
      </c>
      <c r="BU273" s="231">
        <v>82</v>
      </c>
      <c r="BV273" s="231">
        <v>120</v>
      </c>
      <c r="BW273" s="231">
        <v>160</v>
      </c>
      <c r="BX273" s="231">
        <v>94</v>
      </c>
      <c r="BY273" s="231">
        <v>99</v>
      </c>
      <c r="BZ273" s="231">
        <v>55</v>
      </c>
      <c r="CA273" s="231">
        <v>31</v>
      </c>
      <c r="CB273" s="231">
        <v>54</v>
      </c>
      <c r="CC273" s="231">
        <v>121</v>
      </c>
      <c r="CD273" s="231">
        <v>264</v>
      </c>
      <c r="CE273" s="231">
        <v>321</v>
      </c>
      <c r="CF273" s="231">
        <v>116</v>
      </c>
      <c r="CG273" s="231">
        <v>110</v>
      </c>
      <c r="CH273" s="231">
        <v>128</v>
      </c>
      <c r="CI273" s="231"/>
    </row>
    <row r="274" spans="1:99" ht="25.2" customHeight="1" outlineLevel="1">
      <c r="A274" s="204">
        <v>256</v>
      </c>
      <c r="B274" s="207">
        <v>5043</v>
      </c>
      <c r="C274" s="208" t="s">
        <v>450</v>
      </c>
      <c r="D274" s="194" t="s">
        <v>181</v>
      </c>
      <c r="E274" s="209">
        <f t="shared" si="28"/>
        <v>62</v>
      </c>
      <c r="F274" s="216">
        <v>83.9</v>
      </c>
      <c r="G274" s="217">
        <v>1.8</v>
      </c>
      <c r="H274" s="218"/>
      <c r="I274" s="230">
        <f t="shared" si="29"/>
        <v>13.7</v>
      </c>
      <c r="J274" s="216">
        <v>0.9</v>
      </c>
      <c r="K274" s="216">
        <v>0.6</v>
      </c>
      <c r="L274" s="233"/>
      <c r="M274" s="236">
        <v>37.6</v>
      </c>
      <c r="N274" s="236">
        <v>24.1</v>
      </c>
      <c r="O274" s="236">
        <v>1.6</v>
      </c>
      <c r="P274" s="236"/>
      <c r="Q274" s="236"/>
      <c r="R274" s="236"/>
      <c r="S274" s="236"/>
      <c r="T274" s="231"/>
      <c r="U274" s="231"/>
      <c r="V274" s="231"/>
      <c r="W274" s="242"/>
      <c r="X274" s="232"/>
      <c r="Y274" s="231"/>
      <c r="Z274" s="231"/>
      <c r="AA274" s="241"/>
      <c r="AB274" s="241"/>
      <c r="AC274" s="240"/>
      <c r="AD274" s="240"/>
      <c r="AE274" s="236"/>
      <c r="AF274" s="236"/>
      <c r="AG274" s="240">
        <v>0</v>
      </c>
      <c r="AH274" s="240">
        <f t="shared" si="30"/>
        <v>0</v>
      </c>
      <c r="AI274" s="236">
        <f t="shared" si="31"/>
        <v>0</v>
      </c>
      <c r="AJ274" s="252"/>
      <c r="AK274" s="233"/>
      <c r="AL274" s="216"/>
      <c r="AM274" s="236"/>
      <c r="AN274" s="231"/>
      <c r="AO274" s="231"/>
      <c r="AP274" s="231"/>
      <c r="AQ274" s="231"/>
      <c r="AR274" s="231"/>
      <c r="AS274" s="231"/>
      <c r="AT274" s="231"/>
      <c r="AU274" s="231"/>
      <c r="AV274" s="231"/>
      <c r="AW274" s="236"/>
      <c r="AX274" s="242"/>
      <c r="AY274" s="242"/>
      <c r="AZ274" s="242"/>
      <c r="BA274" s="242"/>
      <c r="BB274" s="242"/>
      <c r="BC274" s="242"/>
      <c r="BD274" s="242"/>
      <c r="BE274" s="231"/>
      <c r="BF274" s="242"/>
      <c r="BG274" s="242"/>
      <c r="BH274" s="242"/>
      <c r="BI274" s="242"/>
      <c r="BJ274" s="242"/>
      <c r="BK274" s="242"/>
      <c r="BL274" s="242"/>
      <c r="BM274" s="242"/>
      <c r="BN274" s="242"/>
      <c r="BO274" s="231">
        <v>0</v>
      </c>
      <c r="BP274" s="231"/>
      <c r="BQ274" s="231"/>
      <c r="BR274" s="231"/>
      <c r="BS274" s="231"/>
      <c r="BT274" s="231"/>
      <c r="BU274" s="231"/>
      <c r="BV274" s="231"/>
      <c r="BW274" s="231"/>
      <c r="BX274" s="231"/>
      <c r="BY274" s="231"/>
      <c r="BZ274" s="231"/>
      <c r="CA274" s="231"/>
      <c r="CB274" s="231"/>
      <c r="CC274" s="231"/>
      <c r="CD274" s="231"/>
      <c r="CE274" s="231"/>
      <c r="CF274" s="231"/>
      <c r="CG274" s="231"/>
      <c r="CH274" s="231"/>
      <c r="CI274" s="231"/>
    </row>
    <row r="275" spans="1:99" ht="25.2" customHeight="1" outlineLevel="1">
      <c r="A275" s="204">
        <v>257</v>
      </c>
      <c r="B275" s="207">
        <v>5044</v>
      </c>
      <c r="C275" s="208" t="s">
        <v>451</v>
      </c>
      <c r="D275" s="194" t="s">
        <v>181</v>
      </c>
      <c r="E275" s="209">
        <f t="shared" si="28"/>
        <v>47.200000000000102</v>
      </c>
      <c r="F275" s="216">
        <v>87.6</v>
      </c>
      <c r="G275" s="217">
        <v>1.3</v>
      </c>
      <c r="H275" s="218"/>
      <c r="I275" s="230">
        <f t="shared" si="29"/>
        <v>10.5</v>
      </c>
      <c r="J275" s="216">
        <v>1.8</v>
      </c>
      <c r="K275" s="216">
        <v>0.6</v>
      </c>
      <c r="L275" s="233"/>
      <c r="M275" s="236">
        <v>10.7</v>
      </c>
      <c r="N275" s="236">
        <v>10.8</v>
      </c>
      <c r="O275" s="236">
        <v>0.6</v>
      </c>
      <c r="P275" s="236">
        <v>9.6</v>
      </c>
      <c r="Q275" s="236"/>
      <c r="R275" s="236"/>
      <c r="S275" s="236"/>
      <c r="T275" s="231"/>
      <c r="U275" s="231"/>
      <c r="V275" s="231"/>
      <c r="W275" s="242"/>
      <c r="X275" s="232"/>
      <c r="Y275" s="231"/>
      <c r="Z275" s="231"/>
      <c r="AA275" s="241"/>
      <c r="AB275" s="241"/>
      <c r="AC275" s="240"/>
      <c r="AD275" s="240"/>
      <c r="AE275" s="236"/>
      <c r="AF275" s="236"/>
      <c r="AG275" s="240">
        <v>0</v>
      </c>
      <c r="AH275" s="240">
        <f t="shared" si="30"/>
        <v>0</v>
      </c>
      <c r="AI275" s="236">
        <f t="shared" si="31"/>
        <v>0</v>
      </c>
      <c r="AJ275" s="252"/>
      <c r="AK275" s="233"/>
      <c r="AL275" s="216"/>
      <c r="AM275" s="236"/>
      <c r="AN275" s="231"/>
      <c r="AO275" s="231"/>
      <c r="AP275" s="231"/>
      <c r="AQ275" s="231"/>
      <c r="AR275" s="231"/>
      <c r="AS275" s="231"/>
      <c r="AT275" s="231"/>
      <c r="AU275" s="231"/>
      <c r="AV275" s="231"/>
      <c r="AW275" s="236"/>
      <c r="AX275" s="242"/>
      <c r="AY275" s="242"/>
      <c r="AZ275" s="242"/>
      <c r="BA275" s="242"/>
      <c r="BB275" s="242"/>
      <c r="BC275" s="242"/>
      <c r="BD275" s="242"/>
      <c r="BE275" s="231"/>
      <c r="BF275" s="242"/>
      <c r="BG275" s="242"/>
      <c r="BH275" s="242"/>
      <c r="BI275" s="242"/>
      <c r="BJ275" s="242"/>
      <c r="BK275" s="242"/>
      <c r="BL275" s="242"/>
      <c r="BM275" s="242"/>
      <c r="BN275" s="242"/>
      <c r="BO275" s="231">
        <v>0</v>
      </c>
      <c r="BP275" s="231"/>
      <c r="BQ275" s="231"/>
      <c r="BR275" s="231"/>
      <c r="BS275" s="231"/>
      <c r="BT275" s="231"/>
      <c r="BU275" s="231"/>
      <c r="BV275" s="231"/>
      <c r="BW275" s="231"/>
      <c r="BX275" s="231"/>
      <c r="BY275" s="231"/>
      <c r="BZ275" s="231"/>
      <c r="CA275" s="231"/>
      <c r="CB275" s="231"/>
      <c r="CC275" s="231"/>
      <c r="CD275" s="231"/>
      <c r="CE275" s="231"/>
      <c r="CF275" s="231"/>
      <c r="CG275" s="231"/>
      <c r="CH275" s="231"/>
      <c r="CI275" s="231"/>
    </row>
    <row r="276" spans="1:99" ht="25.2" customHeight="1" outlineLevel="1">
      <c r="A276" s="204">
        <v>258</v>
      </c>
      <c r="B276" s="207">
        <v>5045</v>
      </c>
      <c r="C276" s="208" t="s">
        <v>452</v>
      </c>
      <c r="D276" s="194" t="s">
        <v>181</v>
      </c>
      <c r="E276" s="209">
        <f t="shared" si="28"/>
        <v>106</v>
      </c>
      <c r="F276" s="216">
        <v>73.400000000000006</v>
      </c>
      <c r="G276" s="217">
        <v>4.3</v>
      </c>
      <c r="H276" s="218">
        <v>0.4</v>
      </c>
      <c r="I276" s="230">
        <f t="shared" si="29"/>
        <v>21.3</v>
      </c>
      <c r="J276" s="216" t="s">
        <v>247</v>
      </c>
      <c r="K276" s="216">
        <v>0.6</v>
      </c>
      <c r="L276" s="233"/>
      <c r="M276" s="236">
        <v>101</v>
      </c>
      <c r="N276" s="236">
        <v>270</v>
      </c>
      <c r="O276" s="236"/>
      <c r="P276" s="236"/>
      <c r="Q276" s="236"/>
      <c r="R276" s="236"/>
      <c r="S276" s="236"/>
      <c r="T276" s="231"/>
      <c r="U276" s="231"/>
      <c r="V276" s="231"/>
      <c r="W276" s="242"/>
      <c r="X276" s="232"/>
      <c r="Y276" s="231"/>
      <c r="Z276" s="231"/>
      <c r="AA276" s="241"/>
      <c r="AB276" s="241"/>
      <c r="AC276" s="240"/>
      <c r="AD276" s="240"/>
      <c r="AE276" s="236"/>
      <c r="AF276" s="236"/>
      <c r="AG276" s="240">
        <v>0</v>
      </c>
      <c r="AH276" s="240">
        <f t="shared" si="30"/>
        <v>0</v>
      </c>
      <c r="AI276" s="236">
        <f t="shared" si="31"/>
        <v>0</v>
      </c>
      <c r="AJ276" s="252"/>
      <c r="AK276" s="233"/>
      <c r="AL276" s="216"/>
      <c r="AM276" s="236"/>
      <c r="AN276" s="231"/>
      <c r="AO276" s="231"/>
      <c r="AP276" s="231"/>
      <c r="AQ276" s="231"/>
      <c r="AR276" s="231"/>
      <c r="AS276" s="231"/>
      <c r="AT276" s="231"/>
      <c r="AU276" s="231"/>
      <c r="AV276" s="231"/>
      <c r="AW276" s="236"/>
      <c r="AX276" s="242"/>
      <c r="AY276" s="242"/>
      <c r="AZ276" s="242"/>
      <c r="BA276" s="242"/>
      <c r="BB276" s="242"/>
      <c r="BC276" s="242"/>
      <c r="BD276" s="242"/>
      <c r="BE276" s="231"/>
      <c r="BF276" s="242"/>
      <c r="BG276" s="242"/>
      <c r="BH276" s="242"/>
      <c r="BI276" s="242"/>
      <c r="BJ276" s="242"/>
      <c r="BK276" s="242"/>
      <c r="BL276" s="242"/>
      <c r="BM276" s="242"/>
      <c r="BN276" s="242"/>
      <c r="BO276" s="231">
        <v>0</v>
      </c>
      <c r="BP276" s="231"/>
      <c r="BQ276" s="231"/>
      <c r="BR276" s="231"/>
      <c r="BS276" s="231"/>
      <c r="BT276" s="231"/>
      <c r="BU276" s="231"/>
      <c r="BV276" s="231"/>
      <c r="BW276" s="231"/>
      <c r="BX276" s="231"/>
      <c r="BY276" s="231"/>
      <c r="BZ276" s="231"/>
      <c r="CA276" s="231"/>
      <c r="CB276" s="231"/>
      <c r="CC276" s="231"/>
      <c r="CD276" s="231"/>
      <c r="CE276" s="231"/>
      <c r="CF276" s="231"/>
      <c r="CG276" s="231"/>
      <c r="CH276" s="231"/>
      <c r="CI276" s="231"/>
    </row>
    <row r="277" spans="1:99" ht="25.2" customHeight="1" outlineLevel="1">
      <c r="A277" s="204">
        <v>259</v>
      </c>
      <c r="B277" s="207">
        <v>5046</v>
      </c>
      <c r="C277" s="208" t="s">
        <v>453</v>
      </c>
      <c r="D277" s="194" t="s">
        <v>181</v>
      </c>
      <c r="E277" s="209">
        <f t="shared" si="28"/>
        <v>42</v>
      </c>
      <c r="F277" s="216">
        <v>89</v>
      </c>
      <c r="G277" s="217">
        <v>0.9</v>
      </c>
      <c r="H277" s="218"/>
      <c r="I277" s="230">
        <f t="shared" si="29"/>
        <v>9.5999999999999908</v>
      </c>
      <c r="J277" s="216">
        <v>4.0999999999999996</v>
      </c>
      <c r="K277" s="216">
        <v>0.5</v>
      </c>
      <c r="L277" s="233"/>
      <c r="M277" s="216">
        <v>124</v>
      </c>
      <c r="N277" s="216">
        <v>42</v>
      </c>
      <c r="O277" s="216">
        <v>0.3</v>
      </c>
      <c r="P277" s="216">
        <v>43</v>
      </c>
      <c r="Q277" s="216">
        <v>0.1</v>
      </c>
      <c r="R277" s="216">
        <v>0.02</v>
      </c>
      <c r="S277" s="216">
        <v>0.2</v>
      </c>
      <c r="T277" s="231"/>
      <c r="U277" s="231"/>
      <c r="V277" s="231"/>
      <c r="W277" s="242"/>
      <c r="X277" s="232"/>
      <c r="Y277" s="231"/>
      <c r="Z277" s="231"/>
      <c r="AA277" s="241"/>
      <c r="AB277" s="241"/>
      <c r="AC277" s="240"/>
      <c r="AD277" s="240"/>
      <c r="AE277" s="233"/>
      <c r="AF277" s="233"/>
      <c r="AG277" s="240">
        <v>0</v>
      </c>
      <c r="AH277" s="240">
        <f t="shared" si="30"/>
        <v>0</v>
      </c>
      <c r="AI277" s="236">
        <f t="shared" si="31"/>
        <v>8.3333333333333304</v>
      </c>
      <c r="AJ277" s="252"/>
      <c r="AK277" s="233"/>
      <c r="AL277" s="216"/>
      <c r="AM277" s="236">
        <v>100</v>
      </c>
      <c r="AN277" s="231"/>
      <c r="AO277" s="231"/>
      <c r="AP277" s="231"/>
      <c r="AQ277" s="231"/>
      <c r="AR277" s="231"/>
      <c r="AS277" s="231"/>
      <c r="AT277" s="231"/>
      <c r="AU277" s="231"/>
      <c r="AV277" s="231"/>
      <c r="AW277" s="236"/>
      <c r="AX277" s="242"/>
      <c r="AY277" s="242"/>
      <c r="AZ277" s="242"/>
      <c r="BA277" s="242"/>
      <c r="BB277" s="242"/>
      <c r="BC277" s="242"/>
      <c r="BD277" s="242"/>
      <c r="BE277" s="231"/>
      <c r="BF277" s="242"/>
      <c r="BG277" s="242"/>
      <c r="BH277" s="242"/>
      <c r="BI277" s="242"/>
      <c r="BJ277" s="242"/>
      <c r="BK277" s="242"/>
      <c r="BL277" s="242"/>
      <c r="BM277" s="242"/>
      <c r="BN277" s="242"/>
      <c r="BO277" s="231">
        <v>0</v>
      </c>
      <c r="BP277" s="231"/>
      <c r="BQ277" s="231"/>
      <c r="BR277" s="231"/>
      <c r="BS277" s="231"/>
      <c r="BT277" s="231"/>
      <c r="BU277" s="231"/>
      <c r="BV277" s="231"/>
      <c r="BW277" s="231"/>
      <c r="BX277" s="231"/>
      <c r="BY277" s="231"/>
      <c r="BZ277" s="231"/>
      <c r="CA277" s="231"/>
      <c r="CB277" s="231"/>
      <c r="CC277" s="231"/>
      <c r="CD277" s="231"/>
      <c r="CE277" s="231"/>
      <c r="CF277" s="231"/>
      <c r="CG277" s="231"/>
      <c r="CH277" s="231"/>
      <c r="CI277" s="231"/>
    </row>
    <row r="278" spans="1:99" ht="25.2" customHeight="1" outlineLevel="1">
      <c r="A278" s="204">
        <v>260</v>
      </c>
      <c r="B278" s="207">
        <v>5047</v>
      </c>
      <c r="C278" s="208" t="s">
        <v>454</v>
      </c>
      <c r="D278" s="194" t="s">
        <v>181</v>
      </c>
      <c r="E278" s="209">
        <f t="shared" si="28"/>
        <v>40</v>
      </c>
      <c r="F278" s="216">
        <v>89.5</v>
      </c>
      <c r="G278" s="217">
        <v>0.8</v>
      </c>
      <c r="H278" s="218"/>
      <c r="I278" s="230">
        <f t="shared" si="29"/>
        <v>9.1999999999999993</v>
      </c>
      <c r="J278" s="216">
        <v>0.6</v>
      </c>
      <c r="K278" s="216">
        <v>0.5</v>
      </c>
      <c r="L278" s="233">
        <v>10.58</v>
      </c>
      <c r="M278" s="216">
        <v>35</v>
      </c>
      <c r="N278" s="216">
        <v>17</v>
      </c>
      <c r="O278" s="216">
        <v>0.4</v>
      </c>
      <c r="P278" s="216">
        <v>55</v>
      </c>
      <c r="Q278" s="216">
        <v>0.08</v>
      </c>
      <c r="R278" s="216">
        <v>0.03</v>
      </c>
      <c r="S278" s="216">
        <v>0.2</v>
      </c>
      <c r="T278" s="240">
        <v>3.6</v>
      </c>
      <c r="U278" s="240">
        <v>110.9</v>
      </c>
      <c r="V278" s="240">
        <v>10</v>
      </c>
      <c r="W278" s="241">
        <v>0.08</v>
      </c>
      <c r="X278" s="233">
        <v>0.2</v>
      </c>
      <c r="Y278" s="240">
        <v>100</v>
      </c>
      <c r="Z278" s="216">
        <v>0.4</v>
      </c>
      <c r="AA278" s="241">
        <v>0.216</v>
      </c>
      <c r="AB278" s="241">
        <v>7.8E-2</v>
      </c>
      <c r="AC278" s="240">
        <v>16</v>
      </c>
      <c r="AD278" s="240">
        <v>0</v>
      </c>
      <c r="AE278" s="233">
        <v>0.8</v>
      </c>
      <c r="AF278" s="233">
        <v>0</v>
      </c>
      <c r="AG278" s="240">
        <v>0</v>
      </c>
      <c r="AH278" s="240">
        <f t="shared" si="30"/>
        <v>0</v>
      </c>
      <c r="AI278" s="236">
        <f t="shared" si="31"/>
        <v>24.6666666666667</v>
      </c>
      <c r="AJ278" s="252"/>
      <c r="AK278" s="233">
        <v>0.2</v>
      </c>
      <c r="AL278" s="216">
        <v>0</v>
      </c>
      <c r="AM278" s="236">
        <v>43</v>
      </c>
      <c r="AN278" s="231">
        <v>21</v>
      </c>
      <c r="AO278" s="231">
        <v>485</v>
      </c>
      <c r="AP278" s="231">
        <v>0</v>
      </c>
      <c r="AQ278" s="231">
        <v>243</v>
      </c>
      <c r="AR278" s="231"/>
      <c r="AS278" s="231"/>
      <c r="AT278" s="231"/>
      <c r="AU278" s="231"/>
      <c r="AV278" s="231"/>
      <c r="AW278" s="236">
        <v>3.9E-2</v>
      </c>
      <c r="AX278" s="242">
        <v>3.5000000000000003E-2</v>
      </c>
      <c r="AY278" s="242">
        <v>0</v>
      </c>
      <c r="AZ278" s="242">
        <v>2E-3</v>
      </c>
      <c r="BA278" s="242">
        <v>0</v>
      </c>
      <c r="BB278" s="242">
        <v>0</v>
      </c>
      <c r="BC278" s="242">
        <v>0</v>
      </c>
      <c r="BD278" s="242">
        <v>0.06</v>
      </c>
      <c r="BE278" s="231">
        <v>0</v>
      </c>
      <c r="BF278" s="242">
        <v>7.0000000000000001E-3</v>
      </c>
      <c r="BG278" s="242">
        <v>5.2999999999999999E-2</v>
      </c>
      <c r="BH278" s="242">
        <v>6.5000000000000002E-2</v>
      </c>
      <c r="BI278" s="242">
        <v>4.8000000000000001E-2</v>
      </c>
      <c r="BJ278" s="242">
        <v>1.7999999999999999E-2</v>
      </c>
      <c r="BK278" s="242">
        <v>0</v>
      </c>
      <c r="BL278" s="242">
        <v>0</v>
      </c>
      <c r="BM278" s="242">
        <v>0</v>
      </c>
      <c r="BN278" s="242"/>
      <c r="BO278" s="231">
        <v>0</v>
      </c>
      <c r="BP278" s="231"/>
      <c r="BQ278" s="231">
        <v>32</v>
      </c>
      <c r="BR278" s="231">
        <v>2</v>
      </c>
      <c r="BS278" s="231">
        <v>2</v>
      </c>
      <c r="BT278" s="231">
        <v>18</v>
      </c>
      <c r="BU278" s="231">
        <v>16</v>
      </c>
      <c r="BV278" s="231">
        <v>21</v>
      </c>
      <c r="BW278" s="231">
        <v>28</v>
      </c>
      <c r="BX278" s="231">
        <v>17</v>
      </c>
      <c r="BY278" s="231">
        <v>68</v>
      </c>
      <c r="BZ278" s="231">
        <v>11</v>
      </c>
      <c r="CA278" s="231">
        <v>2</v>
      </c>
      <c r="CB278" s="231">
        <v>15</v>
      </c>
      <c r="CC278" s="231">
        <v>28</v>
      </c>
      <c r="CD278" s="231">
        <v>129</v>
      </c>
      <c r="CE278" s="231">
        <v>61</v>
      </c>
      <c r="CF278" s="231">
        <v>19</v>
      </c>
      <c r="CG278" s="231">
        <v>74</v>
      </c>
      <c r="CH278" s="231">
        <v>33</v>
      </c>
      <c r="CI278" s="231"/>
    </row>
    <row r="279" spans="1:99" ht="25.2" customHeight="1" outlineLevel="1">
      <c r="A279" s="204">
        <v>261</v>
      </c>
      <c r="B279" s="207">
        <v>5048</v>
      </c>
      <c r="C279" s="208" t="s">
        <v>455</v>
      </c>
      <c r="D279" s="194" t="s">
        <v>181</v>
      </c>
      <c r="E279" s="209">
        <f t="shared" si="28"/>
        <v>137.6</v>
      </c>
      <c r="F279" s="216">
        <v>66.8</v>
      </c>
      <c r="G279" s="217">
        <v>2.5</v>
      </c>
      <c r="H279" s="218">
        <v>1.6</v>
      </c>
      <c r="I279" s="230">
        <f t="shared" si="29"/>
        <v>28.3</v>
      </c>
      <c r="J279" s="216">
        <v>1.4</v>
      </c>
      <c r="K279" s="216">
        <v>0.8</v>
      </c>
      <c r="L279" s="233"/>
      <c r="M279" s="216">
        <v>20</v>
      </c>
      <c r="N279" s="216">
        <v>63</v>
      </c>
      <c r="O279" s="216">
        <v>0.9</v>
      </c>
      <c r="P279" s="216">
        <v>37</v>
      </c>
      <c r="Q279" s="216">
        <v>0.27</v>
      </c>
      <c r="R279" s="216">
        <v>0.28999999999999998</v>
      </c>
      <c r="S279" s="216">
        <v>1.2</v>
      </c>
      <c r="T279" s="240">
        <v>1</v>
      </c>
      <c r="U279" s="240">
        <v>601</v>
      </c>
      <c r="V279" s="240">
        <v>33</v>
      </c>
      <c r="W279" s="241">
        <v>0.32500000000000001</v>
      </c>
      <c r="X279" s="233">
        <v>0.28000000000000003</v>
      </c>
      <c r="Y279" s="240">
        <v>0.20699999999999999</v>
      </c>
      <c r="Z279" s="216"/>
      <c r="AA279" s="241">
        <v>0.23</v>
      </c>
      <c r="AB279" s="241">
        <v>0.316</v>
      </c>
      <c r="AC279" s="240">
        <v>36</v>
      </c>
      <c r="AD279" s="240"/>
      <c r="AE279" s="233"/>
      <c r="AF279" s="233">
        <v>0</v>
      </c>
      <c r="AG279" s="240">
        <v>0</v>
      </c>
      <c r="AH279" s="240">
        <f t="shared" si="30"/>
        <v>0</v>
      </c>
      <c r="AI279" s="236">
        <f t="shared" si="31"/>
        <v>2.1666666666666701</v>
      </c>
      <c r="AJ279" s="252"/>
      <c r="AK279" s="233"/>
      <c r="AL279" s="216"/>
      <c r="AM279" s="236">
        <v>23</v>
      </c>
      <c r="AN279" s="231">
        <v>6</v>
      </c>
      <c r="AO279" s="231">
        <v>0</v>
      </c>
      <c r="AP279" s="231">
        <v>0</v>
      </c>
      <c r="AQ279" s="231">
        <v>0</v>
      </c>
      <c r="AR279" s="231"/>
      <c r="AS279" s="231"/>
      <c r="AT279" s="231"/>
      <c r="AU279" s="231"/>
      <c r="AV279" s="231"/>
      <c r="AW279" s="236"/>
      <c r="AX279" s="242"/>
      <c r="AY279" s="242"/>
      <c r="AZ279" s="242"/>
      <c r="BA279" s="242"/>
      <c r="BB279" s="242"/>
      <c r="BC279" s="242"/>
      <c r="BD279" s="242"/>
      <c r="BE279" s="231"/>
      <c r="BF279" s="242"/>
      <c r="BG279" s="242"/>
      <c r="BH279" s="242"/>
      <c r="BI279" s="242"/>
      <c r="BJ279" s="242"/>
      <c r="BK279" s="242"/>
      <c r="BL279" s="242"/>
      <c r="BM279" s="242"/>
      <c r="BN279" s="242"/>
      <c r="BO279" s="231">
        <v>0</v>
      </c>
      <c r="BP279" s="231"/>
      <c r="BQ279" s="231"/>
      <c r="BR279" s="231"/>
      <c r="BS279" s="231"/>
      <c r="BT279" s="231"/>
      <c r="BU279" s="231"/>
      <c r="BV279" s="231"/>
      <c r="BW279" s="231"/>
      <c r="BX279" s="231"/>
      <c r="BY279" s="231"/>
      <c r="BZ279" s="231"/>
      <c r="CA279" s="231"/>
      <c r="CB279" s="231"/>
      <c r="CC279" s="231"/>
      <c r="CD279" s="231"/>
      <c r="CE279" s="231"/>
      <c r="CF279" s="231"/>
      <c r="CG279" s="231"/>
      <c r="CH279" s="231"/>
      <c r="CI279" s="231"/>
    </row>
    <row r="280" spans="1:99" ht="25.2" customHeight="1" outlineLevel="1">
      <c r="A280" s="204">
        <v>262</v>
      </c>
      <c r="B280" s="207">
        <v>5049</v>
      </c>
      <c r="C280" s="208" t="s">
        <v>456</v>
      </c>
      <c r="D280" s="194" t="s">
        <v>181</v>
      </c>
      <c r="E280" s="209">
        <f t="shared" si="28"/>
        <v>48.8</v>
      </c>
      <c r="F280" s="216">
        <v>87</v>
      </c>
      <c r="G280" s="217">
        <v>1.3</v>
      </c>
      <c r="H280" s="218"/>
      <c r="I280" s="230">
        <f t="shared" si="29"/>
        <v>10.9</v>
      </c>
      <c r="J280" s="216">
        <v>2.7</v>
      </c>
      <c r="K280" s="216">
        <v>0.8</v>
      </c>
      <c r="L280" s="233"/>
      <c r="M280" s="236">
        <v>100</v>
      </c>
      <c r="N280" s="236">
        <v>44</v>
      </c>
      <c r="O280" s="236"/>
      <c r="P280" s="236">
        <v>3</v>
      </c>
      <c r="Q280" s="236"/>
      <c r="R280" s="236"/>
      <c r="S280" s="236"/>
      <c r="T280" s="231"/>
      <c r="U280" s="231"/>
      <c r="V280" s="231"/>
      <c r="W280" s="242"/>
      <c r="X280" s="232"/>
      <c r="Y280" s="231"/>
      <c r="Z280" s="231"/>
      <c r="AA280" s="241"/>
      <c r="AB280" s="241"/>
      <c r="AC280" s="240"/>
      <c r="AD280" s="240"/>
      <c r="AE280" s="236"/>
      <c r="AF280" s="236"/>
      <c r="AG280" s="240">
        <v>0</v>
      </c>
      <c r="AH280" s="240">
        <f t="shared" si="30"/>
        <v>0</v>
      </c>
      <c r="AI280" s="236">
        <f t="shared" si="31"/>
        <v>0</v>
      </c>
      <c r="AJ280" s="252"/>
      <c r="AK280" s="233"/>
      <c r="AL280" s="216"/>
      <c r="AM280" s="236"/>
      <c r="AN280" s="231"/>
      <c r="AO280" s="231"/>
      <c r="AP280" s="231"/>
      <c r="AQ280" s="231"/>
      <c r="AR280" s="231"/>
      <c r="AS280" s="231"/>
      <c r="AT280" s="231"/>
      <c r="AU280" s="231"/>
      <c r="AV280" s="231"/>
      <c r="AW280" s="236"/>
      <c r="AX280" s="242"/>
      <c r="AY280" s="242"/>
      <c r="AZ280" s="242"/>
      <c r="BA280" s="242"/>
      <c r="BB280" s="242"/>
      <c r="BC280" s="242"/>
      <c r="BD280" s="242"/>
      <c r="BE280" s="231"/>
      <c r="BF280" s="242"/>
      <c r="BG280" s="242"/>
      <c r="BH280" s="242"/>
      <c r="BI280" s="242"/>
      <c r="BJ280" s="242"/>
      <c r="BK280" s="242"/>
      <c r="BL280" s="242"/>
      <c r="BM280" s="242"/>
      <c r="BN280" s="242"/>
      <c r="BO280" s="231">
        <v>0</v>
      </c>
      <c r="BP280" s="231"/>
      <c r="BQ280" s="231"/>
      <c r="BR280" s="231"/>
      <c r="BS280" s="231"/>
      <c r="BT280" s="231"/>
      <c r="BU280" s="231"/>
      <c r="BV280" s="231"/>
      <c r="BW280" s="231"/>
      <c r="BX280" s="231"/>
      <c r="BY280" s="231"/>
      <c r="BZ280" s="231"/>
      <c r="CA280" s="231"/>
      <c r="CB280" s="231"/>
      <c r="CC280" s="231"/>
      <c r="CD280" s="231"/>
      <c r="CE280" s="231"/>
      <c r="CF280" s="231"/>
      <c r="CG280" s="231"/>
      <c r="CH280" s="231"/>
      <c r="CI280" s="231"/>
    </row>
    <row r="281" spans="1:99" ht="25.2" customHeight="1" outlineLevel="1">
      <c r="A281" s="204">
        <v>263</v>
      </c>
      <c r="B281" s="207">
        <v>5050</v>
      </c>
      <c r="C281" s="208" t="s">
        <v>457</v>
      </c>
      <c r="D281" s="194" t="s">
        <v>181</v>
      </c>
      <c r="E281" s="209">
        <f t="shared" si="28"/>
        <v>40</v>
      </c>
      <c r="F281" s="216">
        <v>89.5</v>
      </c>
      <c r="G281" s="217">
        <v>0.8</v>
      </c>
      <c r="H281" s="218"/>
      <c r="I281" s="230">
        <f t="shared" si="29"/>
        <v>9.1999999999999993</v>
      </c>
      <c r="J281" s="216">
        <v>0.7</v>
      </c>
      <c r="K281" s="216">
        <v>0.5</v>
      </c>
      <c r="L281" s="233"/>
      <c r="M281" s="216">
        <v>44</v>
      </c>
      <c r="N281" s="216">
        <v>25</v>
      </c>
      <c r="O281" s="216">
        <v>0.2</v>
      </c>
      <c r="P281" s="216">
        <v>24</v>
      </c>
      <c r="Q281" s="216">
        <v>0.06</v>
      </c>
      <c r="R281" s="216">
        <v>0.04</v>
      </c>
      <c r="S281" s="216">
        <v>0.6</v>
      </c>
      <c r="T281" s="231">
        <v>3</v>
      </c>
      <c r="U281" s="231">
        <v>250</v>
      </c>
      <c r="V281" s="231">
        <v>10</v>
      </c>
      <c r="W281" s="242">
        <v>8.4000000000000005E-2</v>
      </c>
      <c r="X281" s="232">
        <v>0.05</v>
      </c>
      <c r="Y281" s="231">
        <v>73</v>
      </c>
      <c r="Z281" s="231"/>
      <c r="AA281" s="241"/>
      <c r="AB281" s="241">
        <v>8.1000000000000003E-2</v>
      </c>
      <c r="AC281" s="240"/>
      <c r="AD281" s="240"/>
      <c r="AE281" s="233"/>
      <c r="AF281" s="233"/>
      <c r="AG281" s="240">
        <v>0</v>
      </c>
      <c r="AH281" s="240">
        <f t="shared" si="30"/>
        <v>0</v>
      </c>
      <c r="AI281" s="236">
        <f t="shared" si="31"/>
        <v>0.41666666666666702</v>
      </c>
      <c r="AJ281" s="252"/>
      <c r="AK281" s="233"/>
      <c r="AL281" s="216"/>
      <c r="AM281" s="236">
        <v>5</v>
      </c>
      <c r="AN281" s="231"/>
      <c r="AO281" s="231"/>
      <c r="AP281" s="231"/>
      <c r="AQ281" s="231"/>
      <c r="AR281" s="231"/>
      <c r="AS281" s="231"/>
      <c r="AT281" s="231"/>
      <c r="AU281" s="231"/>
      <c r="AV281" s="231"/>
      <c r="AW281" s="236"/>
      <c r="AX281" s="242"/>
      <c r="AY281" s="242"/>
      <c r="AZ281" s="242"/>
      <c r="BA281" s="242"/>
      <c r="BB281" s="242"/>
      <c r="BC281" s="242"/>
      <c r="BD281" s="242"/>
      <c r="BE281" s="231"/>
      <c r="BF281" s="242"/>
      <c r="BG281" s="242"/>
      <c r="BH281" s="242"/>
      <c r="BI281" s="242"/>
      <c r="BJ281" s="242"/>
      <c r="BK281" s="242"/>
      <c r="BL281" s="242"/>
      <c r="BM281" s="242"/>
      <c r="BN281" s="242"/>
      <c r="BO281" s="231">
        <v>0</v>
      </c>
      <c r="BP281" s="231"/>
      <c r="BQ281" s="231"/>
      <c r="BR281" s="231"/>
      <c r="BS281" s="231"/>
      <c r="BT281" s="231"/>
      <c r="BU281" s="231"/>
      <c r="BV281" s="231"/>
      <c r="BW281" s="231"/>
      <c r="BX281" s="231"/>
      <c r="BY281" s="231"/>
      <c r="BZ281" s="231"/>
      <c r="CA281" s="231"/>
      <c r="CB281" s="231"/>
      <c r="CC281" s="231"/>
      <c r="CD281" s="231"/>
      <c r="CE281" s="231"/>
      <c r="CF281" s="231"/>
      <c r="CG281" s="231"/>
      <c r="CH281" s="231"/>
      <c r="CI281" s="231"/>
    </row>
    <row r="282" spans="1:99" ht="25.2" customHeight="1" outlineLevel="1">
      <c r="A282" s="204">
        <v>264</v>
      </c>
      <c r="B282" s="207">
        <v>5051</v>
      </c>
      <c r="C282" s="208" t="s">
        <v>458</v>
      </c>
      <c r="D282" s="194" t="s">
        <v>181</v>
      </c>
      <c r="E282" s="209">
        <f t="shared" si="28"/>
        <v>49.2</v>
      </c>
      <c r="F282" s="216">
        <v>87.2</v>
      </c>
      <c r="G282" s="217">
        <v>0.5</v>
      </c>
      <c r="H282" s="218"/>
      <c r="I282" s="230">
        <f t="shared" si="29"/>
        <v>11.8</v>
      </c>
      <c r="J282" s="216">
        <v>0.6</v>
      </c>
      <c r="K282" s="216">
        <v>0.5</v>
      </c>
      <c r="L282" s="233">
        <v>10.39</v>
      </c>
      <c r="M282" s="216">
        <v>19</v>
      </c>
      <c r="N282" s="216">
        <v>13</v>
      </c>
      <c r="O282" s="216">
        <v>2.5</v>
      </c>
      <c r="P282" s="216">
        <v>7</v>
      </c>
      <c r="Q282" s="216">
        <v>0.04</v>
      </c>
      <c r="R282" s="216">
        <v>0.03</v>
      </c>
      <c r="S282" s="216">
        <v>0.2</v>
      </c>
      <c r="T282" s="240">
        <v>15.2</v>
      </c>
      <c r="U282" s="240">
        <v>101.9</v>
      </c>
      <c r="V282" s="240">
        <v>3</v>
      </c>
      <c r="W282" s="241">
        <v>0.06</v>
      </c>
      <c r="X282" s="233">
        <v>0.2</v>
      </c>
      <c r="Y282" s="240">
        <v>100</v>
      </c>
      <c r="Z282" s="216">
        <v>0.2</v>
      </c>
      <c r="AA282" s="241">
        <v>6.0999999999999999E-2</v>
      </c>
      <c r="AB282" s="241">
        <v>4.1000000000000002E-2</v>
      </c>
      <c r="AC282" s="240">
        <v>3</v>
      </c>
      <c r="AD282" s="240">
        <v>0</v>
      </c>
      <c r="AE282" s="233">
        <v>0.3</v>
      </c>
      <c r="AF282" s="233">
        <v>0</v>
      </c>
      <c r="AG282" s="240">
        <v>0</v>
      </c>
      <c r="AH282" s="240">
        <f t="shared" si="30"/>
        <v>0</v>
      </c>
      <c r="AI282" s="236">
        <f t="shared" si="31"/>
        <v>2.7083333333333299</v>
      </c>
      <c r="AJ282" s="252"/>
      <c r="AK282" s="233">
        <v>0.18</v>
      </c>
      <c r="AL282" s="216">
        <v>2.2000000000000002</v>
      </c>
      <c r="AM282" s="236">
        <v>27</v>
      </c>
      <c r="AN282" s="231">
        <v>0</v>
      </c>
      <c r="AO282" s="231">
        <v>11</v>
      </c>
      <c r="AP282" s="231">
        <v>0</v>
      </c>
      <c r="AQ282" s="231">
        <v>29</v>
      </c>
      <c r="AR282" s="231"/>
      <c r="AS282" s="231"/>
      <c r="AT282" s="231"/>
      <c r="AU282" s="231"/>
      <c r="AV282" s="231">
        <v>14</v>
      </c>
      <c r="AW282" s="236">
        <v>2.8000000000000001E-2</v>
      </c>
      <c r="AX282" s="242">
        <v>2.4E-2</v>
      </c>
      <c r="AY282" s="242">
        <v>0</v>
      </c>
      <c r="AZ282" s="242">
        <v>3.0000000000000001E-3</v>
      </c>
      <c r="BA282" s="242">
        <v>0</v>
      </c>
      <c r="BB282" s="242">
        <v>0</v>
      </c>
      <c r="BC282" s="242">
        <v>0</v>
      </c>
      <c r="BD282" s="242">
        <v>7.0000000000000001E-3</v>
      </c>
      <c r="BE282" s="231">
        <v>0</v>
      </c>
      <c r="BF282" s="242">
        <v>0</v>
      </c>
      <c r="BG282" s="242">
        <v>7.0000000000000001E-3</v>
      </c>
      <c r="BH282" s="242">
        <v>5.0999999999999997E-2</v>
      </c>
      <c r="BI282" s="242">
        <v>4.2999999999999997E-2</v>
      </c>
      <c r="BJ282" s="242">
        <v>8.9999999999999993E-3</v>
      </c>
      <c r="BK282" s="242">
        <v>0</v>
      </c>
      <c r="BL282" s="242">
        <v>0</v>
      </c>
      <c r="BM282" s="242">
        <v>0</v>
      </c>
      <c r="BN282" s="242"/>
      <c r="BO282" s="231">
        <v>0</v>
      </c>
      <c r="BP282" s="231">
        <v>12</v>
      </c>
      <c r="BQ282" s="204">
        <v>36</v>
      </c>
      <c r="BR282" s="204">
        <v>5</v>
      </c>
      <c r="BS282" s="204">
        <v>6</v>
      </c>
      <c r="BT282" s="204">
        <v>15</v>
      </c>
      <c r="BU282" s="204">
        <v>22</v>
      </c>
      <c r="BV282" s="204">
        <v>24</v>
      </c>
      <c r="BW282" s="204">
        <v>37</v>
      </c>
      <c r="BX282" s="204">
        <v>21</v>
      </c>
      <c r="BY282" s="204">
        <v>16</v>
      </c>
      <c r="BZ282" s="204">
        <v>12</v>
      </c>
      <c r="CA282" s="204">
        <v>8</v>
      </c>
      <c r="CB282" s="204">
        <v>9</v>
      </c>
      <c r="CC282" s="204">
        <v>27</v>
      </c>
      <c r="CD282" s="204">
        <v>125</v>
      </c>
      <c r="CE282" s="204">
        <v>67</v>
      </c>
      <c r="CF282" s="204">
        <v>23</v>
      </c>
      <c r="CG282" s="204">
        <v>19</v>
      </c>
      <c r="CH282" s="204">
        <v>26</v>
      </c>
      <c r="CI282" s="231"/>
      <c r="CU282" s="172"/>
    </row>
    <row r="283" spans="1:99" ht="25.2" customHeight="1" outlineLevel="1">
      <c r="A283" s="204">
        <v>265</v>
      </c>
      <c r="B283" s="207">
        <v>5052</v>
      </c>
      <c r="C283" s="208" t="s">
        <v>459</v>
      </c>
      <c r="D283" s="194" t="s">
        <v>181</v>
      </c>
      <c r="E283" s="209">
        <f t="shared" si="28"/>
        <v>47.2</v>
      </c>
      <c r="F283" s="216">
        <v>87.8</v>
      </c>
      <c r="G283" s="217">
        <v>0.7</v>
      </c>
      <c r="H283" s="218"/>
      <c r="I283" s="230">
        <f t="shared" si="29"/>
        <v>11.1</v>
      </c>
      <c r="J283" s="216">
        <v>1.1000000000000001</v>
      </c>
      <c r="K283" s="216">
        <v>0.4</v>
      </c>
      <c r="L283" s="233">
        <v>15.23</v>
      </c>
      <c r="M283" s="216">
        <v>6</v>
      </c>
      <c r="N283" s="216">
        <v>34</v>
      </c>
      <c r="O283" s="216">
        <v>0.5</v>
      </c>
      <c r="P283" s="216">
        <v>36</v>
      </c>
      <c r="Q283" s="216">
        <v>0.02</v>
      </c>
      <c r="R283" s="216">
        <v>0.04</v>
      </c>
      <c r="S283" s="216">
        <v>0.7</v>
      </c>
      <c r="T283" s="231">
        <v>1</v>
      </c>
      <c r="U283" s="231">
        <v>171</v>
      </c>
      <c r="V283" s="231">
        <v>10</v>
      </c>
      <c r="W283" s="242">
        <v>5.5E-2</v>
      </c>
      <c r="X283" s="232">
        <v>7.0000000000000007E-2</v>
      </c>
      <c r="Y283" s="231">
        <v>148</v>
      </c>
      <c r="Z283" s="231">
        <v>0.6</v>
      </c>
      <c r="AA283" s="241"/>
      <c r="AB283" s="241">
        <v>0.1</v>
      </c>
      <c r="AC283" s="240">
        <v>14</v>
      </c>
      <c r="AD283" s="240">
        <v>0</v>
      </c>
      <c r="AE283" s="233"/>
      <c r="AF283" s="233">
        <v>0</v>
      </c>
      <c r="AG283" s="240">
        <v>0</v>
      </c>
      <c r="AH283" s="240">
        <f t="shared" si="30"/>
        <v>0</v>
      </c>
      <c r="AI283" s="236">
        <f t="shared" si="31"/>
        <v>0</v>
      </c>
      <c r="AJ283" s="252"/>
      <c r="AK283" s="233">
        <v>7.0000000000000007E-2</v>
      </c>
      <c r="AL283" s="216">
        <v>0.4</v>
      </c>
      <c r="AM283" s="236"/>
      <c r="AN283" s="231"/>
      <c r="AO283" s="231"/>
      <c r="AP283" s="231"/>
      <c r="AQ283" s="231"/>
      <c r="AR283" s="231"/>
      <c r="AS283" s="231"/>
      <c r="AT283" s="231"/>
      <c r="AU283" s="231"/>
      <c r="AV283" s="231"/>
      <c r="AW283" s="236">
        <v>9.9000000000000005E-2</v>
      </c>
      <c r="AX283" s="242">
        <v>7.0000000000000007E-2</v>
      </c>
      <c r="AY283" s="242">
        <v>0</v>
      </c>
      <c r="AZ283" s="242">
        <v>2.4E-2</v>
      </c>
      <c r="BA283" s="242">
        <v>0</v>
      </c>
      <c r="BB283" s="242">
        <v>0</v>
      </c>
      <c r="BC283" s="242">
        <v>0</v>
      </c>
      <c r="BD283" s="242">
        <v>0.12</v>
      </c>
      <c r="BE283" s="231">
        <v>0</v>
      </c>
      <c r="BF283" s="242">
        <v>1E-3</v>
      </c>
      <c r="BG283" s="242">
        <v>0.11899999999999999</v>
      </c>
      <c r="BH283" s="242">
        <v>0.13200000000000001</v>
      </c>
      <c r="BI283" s="242">
        <v>6.7000000000000004E-2</v>
      </c>
      <c r="BJ283" s="242">
        <v>6.5000000000000002E-2</v>
      </c>
      <c r="BK283" s="242">
        <v>0</v>
      </c>
      <c r="BL283" s="242">
        <v>0</v>
      </c>
      <c r="BM283" s="242">
        <v>0</v>
      </c>
      <c r="BN283" s="242"/>
      <c r="BO283" s="231">
        <v>0</v>
      </c>
      <c r="BP283" s="231"/>
      <c r="BQ283" s="204">
        <v>41</v>
      </c>
      <c r="BR283" s="204">
        <v>9</v>
      </c>
      <c r="BS283" s="204">
        <v>7</v>
      </c>
      <c r="BT283" s="204"/>
      <c r="BU283" s="204"/>
      <c r="BV283" s="204"/>
      <c r="BW283" s="204"/>
      <c r="BX283" s="204"/>
      <c r="BY283" s="204"/>
      <c r="BZ283" s="204"/>
      <c r="CA283" s="204"/>
      <c r="CB283" s="204"/>
      <c r="CC283" s="204"/>
      <c r="CD283" s="204"/>
      <c r="CE283" s="204"/>
      <c r="CF283" s="204"/>
      <c r="CG283" s="204"/>
      <c r="CH283" s="204"/>
      <c r="CI283" s="231"/>
      <c r="CT283" s="172"/>
    </row>
    <row r="284" spans="1:99" ht="25.2" customHeight="1" outlineLevel="1">
      <c r="A284" s="204">
        <v>266</v>
      </c>
      <c r="B284" s="207">
        <v>5053</v>
      </c>
      <c r="C284" s="208" t="s">
        <v>460</v>
      </c>
      <c r="D284" s="194" t="s">
        <v>181</v>
      </c>
      <c r="E284" s="209">
        <f t="shared" si="28"/>
        <v>263.5</v>
      </c>
      <c r="F284" s="216">
        <v>34.9</v>
      </c>
      <c r="G284" s="217">
        <v>3</v>
      </c>
      <c r="H284" s="218">
        <v>1.9</v>
      </c>
      <c r="I284" s="230">
        <f t="shared" si="29"/>
        <v>58.6</v>
      </c>
      <c r="J284" s="216">
        <v>1</v>
      </c>
      <c r="K284" s="216">
        <v>1.6</v>
      </c>
      <c r="L284" s="233">
        <v>66.099999999999994</v>
      </c>
      <c r="M284" s="216">
        <v>25</v>
      </c>
      <c r="N284" s="216">
        <v>58</v>
      </c>
      <c r="O284" s="216">
        <v>1.4</v>
      </c>
      <c r="P284" s="216">
        <v>183</v>
      </c>
      <c r="Q284" s="216">
        <v>0.01</v>
      </c>
      <c r="R284" s="216">
        <v>0.56999999999999995</v>
      </c>
      <c r="S284" s="216">
        <v>3.1</v>
      </c>
      <c r="T284" s="231">
        <v>3</v>
      </c>
      <c r="U284" s="231">
        <v>1110</v>
      </c>
      <c r="V284" s="231">
        <v>42</v>
      </c>
      <c r="W284" s="242">
        <v>0.23400000000000001</v>
      </c>
      <c r="X284" s="232">
        <v>0.28000000000000003</v>
      </c>
      <c r="Y284" s="231">
        <v>631</v>
      </c>
      <c r="Z284" s="231">
        <v>1.3</v>
      </c>
      <c r="AA284" s="241"/>
      <c r="AB284" s="241">
        <v>0.09</v>
      </c>
      <c r="AC284" s="240">
        <v>12</v>
      </c>
      <c r="AD284" s="240">
        <v>0</v>
      </c>
      <c r="AE284" s="233"/>
      <c r="AF284" s="233">
        <v>0</v>
      </c>
      <c r="AG284" s="240">
        <v>0</v>
      </c>
      <c r="AH284" s="240">
        <f t="shared" si="30"/>
        <v>0</v>
      </c>
      <c r="AI284" s="236">
        <f t="shared" si="31"/>
        <v>0</v>
      </c>
      <c r="AJ284" s="252"/>
      <c r="AK284" s="233">
        <v>0.31</v>
      </c>
      <c r="AL284" s="216">
        <v>1.6</v>
      </c>
      <c r="AM284" s="236">
        <v>0</v>
      </c>
      <c r="AN284" s="231"/>
      <c r="AO284" s="231"/>
      <c r="AP284" s="231"/>
      <c r="AQ284" s="231"/>
      <c r="AR284" s="231"/>
      <c r="AS284" s="231"/>
      <c r="AT284" s="231"/>
      <c r="AU284" s="231"/>
      <c r="AV284" s="231"/>
      <c r="AW284" s="236">
        <v>0.27</v>
      </c>
      <c r="AX284" s="242">
        <v>0.19</v>
      </c>
      <c r="AY284" s="242">
        <v>0</v>
      </c>
      <c r="AZ284" s="242">
        <v>6.5000000000000002E-2</v>
      </c>
      <c r="BA284" s="242">
        <v>0</v>
      </c>
      <c r="BB284" s="242">
        <v>0</v>
      </c>
      <c r="BC284" s="242">
        <v>0</v>
      </c>
      <c r="BD284" s="242">
        <v>0.32800000000000001</v>
      </c>
      <c r="BE284" s="231">
        <v>0</v>
      </c>
      <c r="BF284" s="242">
        <v>4.0000000000000001E-3</v>
      </c>
      <c r="BG284" s="242">
        <v>0.32400000000000001</v>
      </c>
      <c r="BH284" s="242">
        <v>0.36099999999999999</v>
      </c>
      <c r="BI284" s="242">
        <v>0.184</v>
      </c>
      <c r="BJ284" s="242">
        <v>0.17799999999999999</v>
      </c>
      <c r="BK284" s="242">
        <v>0</v>
      </c>
      <c r="BL284" s="242">
        <v>0</v>
      </c>
      <c r="BM284" s="242">
        <v>0</v>
      </c>
      <c r="BN284" s="242"/>
      <c r="BO284" s="231">
        <v>0</v>
      </c>
      <c r="BP284" s="231"/>
      <c r="BQ284" s="231"/>
      <c r="BR284" s="231"/>
      <c r="BS284" s="231"/>
      <c r="BT284" s="231"/>
      <c r="BU284" s="231"/>
      <c r="BV284" s="231"/>
      <c r="BW284" s="231"/>
      <c r="BX284" s="231"/>
      <c r="BY284" s="231"/>
      <c r="BZ284" s="231"/>
      <c r="CA284" s="231"/>
      <c r="CB284" s="231"/>
      <c r="CC284" s="231"/>
      <c r="CD284" s="231"/>
      <c r="CE284" s="231"/>
      <c r="CF284" s="231"/>
      <c r="CG284" s="231"/>
      <c r="CH284" s="231"/>
      <c r="CI284" s="231"/>
    </row>
    <row r="285" spans="1:99" ht="25.2" customHeight="1" outlineLevel="1">
      <c r="A285" s="204">
        <v>267</v>
      </c>
      <c r="B285" s="207">
        <v>5054</v>
      </c>
      <c r="C285" s="208" t="s">
        <v>461</v>
      </c>
      <c r="D285" s="194" t="s">
        <v>181</v>
      </c>
      <c r="E285" s="209">
        <f t="shared" si="28"/>
        <v>50.8</v>
      </c>
      <c r="F285" s="216">
        <v>86.5</v>
      </c>
      <c r="G285" s="217">
        <v>1</v>
      </c>
      <c r="H285" s="218"/>
      <c r="I285" s="230">
        <f t="shared" si="29"/>
        <v>11.7</v>
      </c>
      <c r="J285" s="216">
        <v>2.2999999999999998</v>
      </c>
      <c r="K285" s="216">
        <v>0.8</v>
      </c>
      <c r="L285" s="233"/>
      <c r="M285" s="216">
        <v>68</v>
      </c>
      <c r="N285" s="216">
        <v>32</v>
      </c>
      <c r="O285" s="216">
        <v>0.4</v>
      </c>
      <c r="P285" s="216">
        <v>5</v>
      </c>
      <c r="Q285" s="216">
        <v>0.01</v>
      </c>
      <c r="R285" s="216">
        <v>0.02</v>
      </c>
      <c r="S285" s="216">
        <v>0.9</v>
      </c>
      <c r="T285" s="231"/>
      <c r="U285" s="231"/>
      <c r="V285" s="231"/>
      <c r="W285" s="242"/>
      <c r="X285" s="232"/>
      <c r="Y285" s="231"/>
      <c r="Z285" s="231"/>
      <c r="AA285" s="241"/>
      <c r="AB285" s="241"/>
      <c r="AC285" s="240"/>
      <c r="AD285" s="240"/>
      <c r="AE285" s="233"/>
      <c r="AF285" s="233"/>
      <c r="AG285" s="240">
        <v>0</v>
      </c>
      <c r="AH285" s="240">
        <f t="shared" si="30"/>
        <v>0</v>
      </c>
      <c r="AI285" s="236">
        <f t="shared" si="31"/>
        <v>0</v>
      </c>
      <c r="AJ285" s="252"/>
      <c r="AK285" s="233"/>
      <c r="AL285" s="216"/>
      <c r="AM285" s="236"/>
      <c r="AN285" s="231"/>
      <c r="AO285" s="231"/>
      <c r="AP285" s="231"/>
      <c r="AQ285" s="231"/>
      <c r="AR285" s="231"/>
      <c r="AS285" s="231"/>
      <c r="AT285" s="231"/>
      <c r="AU285" s="231"/>
      <c r="AV285" s="231"/>
      <c r="AW285" s="236"/>
      <c r="AX285" s="242"/>
      <c r="AY285" s="242"/>
      <c r="AZ285" s="242"/>
      <c r="BA285" s="242"/>
      <c r="BB285" s="242"/>
      <c r="BC285" s="242"/>
      <c r="BD285" s="242"/>
      <c r="BE285" s="231"/>
      <c r="BF285" s="242"/>
      <c r="BG285" s="242"/>
      <c r="BH285" s="242"/>
      <c r="BI285" s="242"/>
      <c r="BJ285" s="242"/>
      <c r="BK285" s="242"/>
      <c r="BL285" s="242"/>
      <c r="BM285" s="242"/>
      <c r="BN285" s="242"/>
      <c r="BO285" s="231">
        <v>0</v>
      </c>
      <c r="BP285" s="231"/>
      <c r="BQ285" s="231"/>
      <c r="BR285" s="231"/>
      <c r="BS285" s="231"/>
      <c r="BT285" s="231"/>
      <c r="BU285" s="231"/>
      <c r="BV285" s="231"/>
      <c r="BW285" s="231"/>
      <c r="BX285" s="231"/>
      <c r="BY285" s="231"/>
      <c r="BZ285" s="231"/>
      <c r="CA285" s="231"/>
      <c r="CB285" s="231"/>
      <c r="CC285" s="231"/>
      <c r="CD285" s="231"/>
      <c r="CE285" s="231"/>
      <c r="CF285" s="231"/>
      <c r="CG285" s="231"/>
      <c r="CH285" s="231"/>
      <c r="CI285" s="231"/>
    </row>
    <row r="286" spans="1:99" ht="25.2" customHeight="1" outlineLevel="1">
      <c r="A286" s="204">
        <v>268</v>
      </c>
      <c r="B286" s="207">
        <v>5055</v>
      </c>
      <c r="C286" s="208" t="s">
        <v>462</v>
      </c>
      <c r="D286" s="194" t="s">
        <v>181</v>
      </c>
      <c r="E286" s="209">
        <f t="shared" si="28"/>
        <v>68.700000000000102</v>
      </c>
      <c r="F286" s="216">
        <v>82.6</v>
      </c>
      <c r="G286" s="217">
        <v>0.6</v>
      </c>
      <c r="H286" s="218">
        <v>0.3</v>
      </c>
      <c r="I286" s="230">
        <f t="shared" si="29"/>
        <v>15.9</v>
      </c>
      <c r="J286" s="216" t="s">
        <v>247</v>
      </c>
      <c r="K286" s="216">
        <v>0.6</v>
      </c>
      <c r="L286" s="233">
        <v>14.8</v>
      </c>
      <c r="M286" s="216">
        <v>10</v>
      </c>
      <c r="N286" s="216">
        <v>13</v>
      </c>
      <c r="O286" s="216">
        <v>0.4</v>
      </c>
      <c r="P286" s="216">
        <v>30</v>
      </c>
      <c r="Q286" s="216">
        <v>0.05</v>
      </c>
      <c r="R286" s="216">
        <v>0.05</v>
      </c>
      <c r="S286" s="216">
        <v>0.3</v>
      </c>
      <c r="T286" s="240">
        <v>2.1</v>
      </c>
      <c r="U286" s="240">
        <v>114.1</v>
      </c>
      <c r="V286" s="240">
        <v>9</v>
      </c>
      <c r="W286" s="241">
        <v>0.28000000000000003</v>
      </c>
      <c r="X286" s="233">
        <v>0.56000000000000005</v>
      </c>
      <c r="Y286" s="240">
        <v>150</v>
      </c>
      <c r="Z286" s="216">
        <v>0.6</v>
      </c>
      <c r="AA286" s="241">
        <v>0.16</v>
      </c>
      <c r="AB286" s="241">
        <v>0.13400000000000001</v>
      </c>
      <c r="AC286" s="240">
        <v>14</v>
      </c>
      <c r="AD286" s="240">
        <v>0</v>
      </c>
      <c r="AE286" s="233"/>
      <c r="AF286" s="233">
        <v>0</v>
      </c>
      <c r="AG286" s="240">
        <v>0</v>
      </c>
      <c r="AH286" s="240">
        <f t="shared" si="30"/>
        <v>0</v>
      </c>
      <c r="AI286" s="236">
        <f t="shared" si="31"/>
        <v>38.25</v>
      </c>
      <c r="AJ286" s="252"/>
      <c r="AK286" s="233">
        <v>1.1200000000000001</v>
      </c>
      <c r="AL286" s="216">
        <v>4.2</v>
      </c>
      <c r="AM286" s="236">
        <v>445</v>
      </c>
      <c r="AN286" s="231">
        <v>17</v>
      </c>
      <c r="AO286" s="231">
        <v>11</v>
      </c>
      <c r="AP286" s="231"/>
      <c r="AQ286" s="231"/>
      <c r="AR286" s="231"/>
      <c r="AS286" s="231"/>
      <c r="AT286" s="231"/>
      <c r="AU286" s="231"/>
      <c r="AV286" s="231"/>
      <c r="AW286" s="236">
        <v>6.6000000000000003E-2</v>
      </c>
      <c r="AX286" s="242">
        <v>5.1999999999999998E-2</v>
      </c>
      <c r="AY286" s="242">
        <v>0</v>
      </c>
      <c r="AZ286" s="242">
        <v>3.0000000000000001E-3</v>
      </c>
      <c r="BA286" s="242">
        <v>0</v>
      </c>
      <c r="BB286" s="242">
        <v>0</v>
      </c>
      <c r="BC286" s="242">
        <v>0</v>
      </c>
      <c r="BD286" s="242">
        <v>0.10100000000000001</v>
      </c>
      <c r="BE286" s="231">
        <v>0</v>
      </c>
      <c r="BF286" s="242">
        <v>4.8000000000000001E-2</v>
      </c>
      <c r="BG286" s="242">
        <v>5.3999999999999999E-2</v>
      </c>
      <c r="BH286" s="242">
        <v>5.0999999999999997E-2</v>
      </c>
      <c r="BI286" s="242">
        <v>1.4E-2</v>
      </c>
      <c r="BJ286" s="242">
        <v>3.6999999999999998E-2</v>
      </c>
      <c r="BK286" s="242">
        <v>0</v>
      </c>
      <c r="BL286" s="242">
        <v>0</v>
      </c>
      <c r="BM286" s="242">
        <v>0</v>
      </c>
      <c r="BN286" s="242"/>
      <c r="BO286" s="231">
        <v>0</v>
      </c>
      <c r="BP286" s="231"/>
      <c r="BQ286" s="231">
        <v>41</v>
      </c>
      <c r="BR286" s="231">
        <v>5</v>
      </c>
      <c r="BS286" s="231">
        <v>8</v>
      </c>
      <c r="BT286" s="231">
        <v>17</v>
      </c>
      <c r="BU286" s="231">
        <v>19</v>
      </c>
      <c r="BV286" s="231">
        <v>26</v>
      </c>
      <c r="BW286" s="231">
        <v>31</v>
      </c>
      <c r="BX286" s="231">
        <v>18</v>
      </c>
      <c r="BY286" s="231">
        <v>19</v>
      </c>
      <c r="BZ286" s="231">
        <v>12</v>
      </c>
      <c r="CA286" s="231"/>
      <c r="CB286" s="231">
        <v>10</v>
      </c>
      <c r="CC286" s="231">
        <v>51</v>
      </c>
      <c r="CD286" s="231">
        <v>42</v>
      </c>
      <c r="CE286" s="231">
        <v>60</v>
      </c>
      <c r="CF286" s="231">
        <v>21</v>
      </c>
      <c r="CG286" s="231">
        <v>18</v>
      </c>
      <c r="CH286" s="231">
        <v>22</v>
      </c>
      <c r="CI286" s="231"/>
    </row>
    <row r="287" spans="1:99" ht="25.2" customHeight="1" outlineLevel="1">
      <c r="A287" s="204">
        <v>269</v>
      </c>
      <c r="B287" s="207">
        <v>5056</v>
      </c>
      <c r="C287" s="208" t="s">
        <v>463</v>
      </c>
      <c r="D287" s="194" t="s">
        <v>181</v>
      </c>
      <c r="E287" s="209">
        <f t="shared" si="28"/>
        <v>67.88</v>
      </c>
      <c r="F287" s="233">
        <v>83.07</v>
      </c>
      <c r="G287" s="270">
        <v>1.1399999999999999</v>
      </c>
      <c r="H287" s="271">
        <v>0.52</v>
      </c>
      <c r="I287" s="230">
        <f t="shared" si="29"/>
        <v>14.66</v>
      </c>
      <c r="J287" s="233">
        <v>3</v>
      </c>
      <c r="K287" s="233">
        <v>0.61</v>
      </c>
      <c r="L287" s="233">
        <v>8.99</v>
      </c>
      <c r="M287" s="216">
        <v>34</v>
      </c>
      <c r="N287" s="216">
        <v>34</v>
      </c>
      <c r="O287" s="216">
        <v>0.31</v>
      </c>
      <c r="P287" s="216">
        <v>92.7</v>
      </c>
      <c r="Q287" s="216">
        <v>2.7E-2</v>
      </c>
      <c r="R287" s="216">
        <v>2.5000000000000001E-2</v>
      </c>
      <c r="S287" s="216">
        <v>0.34100000000000003</v>
      </c>
      <c r="T287" s="240">
        <v>3</v>
      </c>
      <c r="U287" s="240">
        <v>312</v>
      </c>
      <c r="V287" s="240">
        <v>17</v>
      </c>
      <c r="W287" s="241">
        <v>9.8000000000000004E-2</v>
      </c>
      <c r="X287" s="233">
        <v>0.14000000000000001</v>
      </c>
      <c r="Y287" s="240">
        <v>130</v>
      </c>
      <c r="Z287" s="216">
        <v>0.2</v>
      </c>
      <c r="AA287" s="241">
        <v>0.183</v>
      </c>
      <c r="AB287" s="241">
        <v>6.3E-2</v>
      </c>
      <c r="AC287" s="240">
        <v>25</v>
      </c>
      <c r="AD287" s="240">
        <v>0</v>
      </c>
      <c r="AE287" s="233"/>
      <c r="AF287" s="233">
        <v>0</v>
      </c>
      <c r="AG287" s="240">
        <v>0</v>
      </c>
      <c r="AH287" s="240">
        <f t="shared" si="30"/>
        <v>0</v>
      </c>
      <c r="AI287" s="236">
        <f t="shared" si="31"/>
        <v>4.3333333333333304</v>
      </c>
      <c r="AJ287" s="252"/>
      <c r="AK287" s="233">
        <v>1.46</v>
      </c>
      <c r="AL287" s="216">
        <v>40.299999999999997</v>
      </c>
      <c r="AM287" s="236">
        <v>52</v>
      </c>
      <c r="AN287" s="231">
        <v>0</v>
      </c>
      <c r="AO287" s="231">
        <v>0</v>
      </c>
      <c r="AP287" s="231">
        <v>0</v>
      </c>
      <c r="AQ287" s="231">
        <v>122</v>
      </c>
      <c r="AR287" s="231"/>
      <c r="AS287" s="231"/>
      <c r="AT287" s="231"/>
      <c r="AU287" s="231"/>
      <c r="AV287" s="231"/>
      <c r="AW287" s="236">
        <v>2.9000000000000001E-2</v>
      </c>
      <c r="AX287" s="242">
        <v>1.7000000000000001E-2</v>
      </c>
      <c r="AY287" s="242">
        <v>0</v>
      </c>
      <c r="AZ287" s="242">
        <v>1.2E-2</v>
      </c>
      <c r="BA287" s="242">
        <v>0</v>
      </c>
      <c r="BB287" s="242">
        <v>0</v>
      </c>
      <c r="BC287" s="242">
        <v>0</v>
      </c>
      <c r="BD287" s="242">
        <v>4.7E-2</v>
      </c>
      <c r="BE287" s="231">
        <v>0</v>
      </c>
      <c r="BF287" s="242">
        <v>0</v>
      </c>
      <c r="BG287" s="242">
        <v>4.7E-2</v>
      </c>
      <c r="BH287" s="242">
        <v>0.28699999999999998</v>
      </c>
      <c r="BI287" s="242">
        <v>0.246</v>
      </c>
      <c r="BJ287" s="242">
        <v>4.2000000000000003E-2</v>
      </c>
      <c r="BK287" s="242">
        <v>0</v>
      </c>
      <c r="BL287" s="242">
        <v>0</v>
      </c>
      <c r="BM287" s="242">
        <v>0</v>
      </c>
      <c r="BN287" s="242"/>
      <c r="BO287" s="231">
        <v>0</v>
      </c>
      <c r="BP287" s="231"/>
      <c r="BQ287" s="231">
        <v>61</v>
      </c>
      <c r="BR287" s="231">
        <v>24</v>
      </c>
      <c r="BS287" s="231">
        <v>15</v>
      </c>
      <c r="BT287" s="231">
        <v>44</v>
      </c>
      <c r="BU287" s="231">
        <v>47</v>
      </c>
      <c r="BV287" s="231">
        <v>57</v>
      </c>
      <c r="BW287" s="231">
        <v>66</v>
      </c>
      <c r="BX287" s="231">
        <v>51</v>
      </c>
      <c r="BY287" s="231">
        <v>81</v>
      </c>
      <c r="BZ287" s="231">
        <v>27</v>
      </c>
      <c r="CA287" s="231">
        <v>31</v>
      </c>
      <c r="CB287" s="231">
        <v>34</v>
      </c>
      <c r="CC287" s="231">
        <v>53</v>
      </c>
      <c r="CD287" s="231">
        <v>126</v>
      </c>
      <c r="CE287" s="231">
        <v>184</v>
      </c>
      <c r="CF287" s="231">
        <v>60</v>
      </c>
      <c r="CG287" s="231">
        <v>44</v>
      </c>
      <c r="CH287" s="231">
        <v>53</v>
      </c>
      <c r="CI287" s="231"/>
    </row>
    <row r="288" spans="1:99" s="169" customFormat="1" ht="7.05" customHeight="1">
      <c r="A288" s="196"/>
      <c r="B288" s="196"/>
      <c r="C288" s="197"/>
      <c r="D288" s="198"/>
      <c r="E288" s="199"/>
      <c r="F288" s="199"/>
      <c r="G288" s="200"/>
      <c r="H288" s="201"/>
      <c r="I288" s="228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199"/>
      <c r="AJ288" s="250"/>
      <c r="AK288" s="199"/>
      <c r="AL288" s="199"/>
      <c r="AM288" s="199"/>
      <c r="AN288" s="199"/>
      <c r="AO288" s="199"/>
      <c r="AP288" s="199"/>
      <c r="AQ288" s="199"/>
      <c r="AR288" s="199"/>
      <c r="AS288" s="199"/>
      <c r="AT288" s="199"/>
      <c r="AU288" s="199"/>
      <c r="AV288" s="199"/>
      <c r="AW288" s="199"/>
      <c r="AX288" s="199"/>
      <c r="AY288" s="199"/>
      <c r="AZ288" s="199"/>
      <c r="BA288" s="199"/>
      <c r="BB288" s="199"/>
      <c r="BC288" s="199"/>
      <c r="BD288" s="199"/>
      <c r="BE288" s="199"/>
      <c r="BF288" s="199"/>
      <c r="BG288" s="199"/>
      <c r="BH288" s="199"/>
      <c r="BI288" s="199"/>
      <c r="BJ288" s="199"/>
      <c r="BK288" s="199"/>
      <c r="BL288" s="199"/>
      <c r="BM288" s="199"/>
      <c r="BN288" s="199"/>
      <c r="BO288" s="199"/>
      <c r="BP288" s="199"/>
      <c r="BQ288" s="199"/>
      <c r="BR288" s="199"/>
      <c r="BS288" s="199"/>
      <c r="BT288" s="199"/>
      <c r="BU288" s="199"/>
      <c r="BV288" s="199"/>
      <c r="BW288" s="199"/>
      <c r="BX288" s="199"/>
      <c r="BY288" s="199"/>
      <c r="BZ288" s="199"/>
      <c r="CA288" s="199"/>
      <c r="CB288" s="199"/>
      <c r="CC288" s="199"/>
      <c r="CD288" s="199"/>
      <c r="CE288" s="199"/>
      <c r="CF288" s="199"/>
      <c r="CG288" s="199"/>
      <c r="CH288" s="199"/>
      <c r="CI288" s="199"/>
    </row>
    <row r="289" spans="1:97" ht="25.2" customHeight="1">
      <c r="A289" s="204"/>
      <c r="B289" s="202"/>
      <c r="C289" s="203" t="s">
        <v>464</v>
      </c>
      <c r="D289" s="194"/>
      <c r="E289" s="240"/>
      <c r="F289" s="236"/>
      <c r="G289" s="272"/>
      <c r="H289" s="273"/>
      <c r="I289" s="230"/>
      <c r="J289" s="236"/>
      <c r="K289" s="236"/>
      <c r="L289" s="233"/>
      <c r="M289" s="216"/>
      <c r="N289" s="216"/>
      <c r="O289" s="216"/>
      <c r="P289" s="216"/>
      <c r="Q289" s="216"/>
      <c r="R289" s="216"/>
      <c r="S289" s="216"/>
      <c r="T289" s="274"/>
      <c r="U289" s="274"/>
      <c r="V289" s="274"/>
      <c r="W289" s="266"/>
      <c r="X289" s="267"/>
      <c r="Y289" s="274"/>
      <c r="Z289" s="193"/>
      <c r="AA289" s="241"/>
      <c r="AB289" s="241"/>
      <c r="AC289" s="240"/>
      <c r="AD289" s="240"/>
      <c r="AE289" s="236"/>
      <c r="AF289" s="236"/>
      <c r="AG289" s="240"/>
      <c r="AH289" s="240"/>
      <c r="AI289" s="236"/>
      <c r="AJ289" s="252"/>
      <c r="AK289" s="233"/>
      <c r="AL289" s="216"/>
      <c r="AM289" s="236"/>
      <c r="AN289" s="231"/>
      <c r="AO289" s="231"/>
      <c r="AP289" s="231"/>
      <c r="AQ289" s="231"/>
      <c r="AR289" s="231"/>
      <c r="AS289" s="231"/>
      <c r="AT289" s="231"/>
      <c r="AU289" s="231"/>
      <c r="AV289" s="231"/>
      <c r="AW289" s="236"/>
      <c r="AX289" s="242"/>
      <c r="AY289" s="242"/>
      <c r="AZ289" s="242"/>
      <c r="BA289" s="242"/>
      <c r="BB289" s="242"/>
      <c r="BC289" s="242"/>
      <c r="BD289" s="242"/>
      <c r="BE289" s="231"/>
      <c r="BF289" s="242"/>
      <c r="BG289" s="242"/>
      <c r="BH289" s="242"/>
      <c r="BI289" s="242"/>
      <c r="BJ289" s="242"/>
      <c r="BK289" s="242"/>
      <c r="BL289" s="242"/>
      <c r="BM289" s="242"/>
      <c r="BN289" s="242"/>
      <c r="BO289" s="231"/>
      <c r="BP289" s="231"/>
      <c r="BQ289" s="231"/>
      <c r="BR289" s="231"/>
      <c r="BS289" s="231"/>
      <c r="BT289" s="231"/>
      <c r="BU289" s="231"/>
      <c r="BV289" s="231"/>
      <c r="BW289" s="231"/>
      <c r="BX289" s="231"/>
      <c r="BY289" s="231"/>
      <c r="BZ289" s="231"/>
      <c r="CA289" s="231"/>
      <c r="CB289" s="231"/>
      <c r="CC289" s="231"/>
      <c r="CD289" s="231"/>
      <c r="CE289" s="231"/>
      <c r="CF289" s="231"/>
      <c r="CG289" s="231"/>
      <c r="CH289" s="231"/>
      <c r="CI289" s="231"/>
    </row>
    <row r="290" spans="1:97" ht="25.2" customHeight="1" outlineLevel="1">
      <c r="A290" s="204">
        <v>270</v>
      </c>
      <c r="B290" s="207">
        <v>6001</v>
      </c>
      <c r="C290" s="208" t="s">
        <v>465</v>
      </c>
      <c r="D290" s="194" t="s">
        <v>181</v>
      </c>
      <c r="E290" s="209">
        <f t="shared" ref="E290:E303" si="32">G290*4+H290*9+I290*4</f>
        <v>755.5</v>
      </c>
      <c r="F290" s="216">
        <v>15.4</v>
      </c>
      <c r="G290" s="217">
        <v>0.5</v>
      </c>
      <c r="H290" s="218">
        <v>83.5</v>
      </c>
      <c r="I290" s="230">
        <f t="shared" ref="I290:I303" si="33">100-SUM(F290,G290,H290,K290)</f>
        <v>0.5</v>
      </c>
      <c r="J290" s="216">
        <v>0</v>
      </c>
      <c r="K290" s="216">
        <v>0.1</v>
      </c>
      <c r="L290" s="233"/>
      <c r="M290" s="216">
        <v>12</v>
      </c>
      <c r="N290" s="216">
        <v>12</v>
      </c>
      <c r="O290" s="216">
        <v>0.1</v>
      </c>
      <c r="P290" s="216">
        <v>0</v>
      </c>
      <c r="Q290" s="216">
        <v>1.2E-2</v>
      </c>
      <c r="R290" s="216">
        <v>3.5000000000000003E-2</v>
      </c>
      <c r="S290" s="216">
        <v>0.04</v>
      </c>
      <c r="T290" s="231">
        <v>11</v>
      </c>
      <c r="U290" s="231">
        <v>24</v>
      </c>
      <c r="V290" s="231">
        <v>2</v>
      </c>
      <c r="W290" s="231">
        <v>4.0000000000000001E-3</v>
      </c>
      <c r="X290" s="231">
        <v>0.09</v>
      </c>
      <c r="Y290" s="231">
        <v>16</v>
      </c>
      <c r="Z290" s="231">
        <v>1</v>
      </c>
      <c r="AA290" s="231">
        <v>0.11</v>
      </c>
      <c r="AB290" s="231">
        <v>3.0000000000000001E-3</v>
      </c>
      <c r="AC290" s="231">
        <v>3</v>
      </c>
      <c r="AD290" s="231">
        <v>0</v>
      </c>
      <c r="AE290" s="231"/>
      <c r="AF290" s="231">
        <v>0</v>
      </c>
      <c r="AG290" s="240">
        <v>600</v>
      </c>
      <c r="AH290" s="240">
        <f t="shared" ref="AH290:AH303" si="34">AG290*3.33</f>
        <v>1998</v>
      </c>
      <c r="AI290" s="231">
        <f t="shared" ref="AI290:AI303" si="35">AG290+AM290/12+AN290/24+AO290/24</f>
        <v>613.16666666666697</v>
      </c>
      <c r="AJ290" s="252"/>
      <c r="AK290" s="231">
        <v>2.3199999999999998</v>
      </c>
      <c r="AL290" s="210">
        <v>7</v>
      </c>
      <c r="AM290" s="231">
        <v>158</v>
      </c>
      <c r="AN290" s="231">
        <v>0</v>
      </c>
      <c r="AO290" s="231">
        <v>0</v>
      </c>
      <c r="AP290" s="231">
        <v>0</v>
      </c>
      <c r="AQ290" s="231">
        <v>0</v>
      </c>
      <c r="AR290" s="231">
        <v>0</v>
      </c>
      <c r="AS290" s="231">
        <v>0</v>
      </c>
      <c r="AT290" s="231">
        <v>0</v>
      </c>
      <c r="AU290" s="231">
        <v>0</v>
      </c>
      <c r="AV290" s="231"/>
      <c r="AW290" s="231">
        <v>51.368000000000002</v>
      </c>
      <c r="AX290" s="244">
        <v>21.696999999999999</v>
      </c>
      <c r="AY290" s="244">
        <v>0.56000000000000005</v>
      </c>
      <c r="AZ290" s="244">
        <v>9.9990000000000006</v>
      </c>
      <c r="BA290" s="244">
        <v>0.13800000000000001</v>
      </c>
      <c r="BB290" s="244">
        <v>0</v>
      </c>
      <c r="BC290" s="244">
        <v>0</v>
      </c>
      <c r="BD290" s="244">
        <v>21.021000000000001</v>
      </c>
      <c r="BE290" s="237">
        <v>0</v>
      </c>
      <c r="BF290" s="244">
        <v>0.96099999999999997</v>
      </c>
      <c r="BG290" s="244">
        <v>16.978000000000002</v>
      </c>
      <c r="BH290" s="244">
        <v>3.0430000000000001</v>
      </c>
      <c r="BI290" s="244">
        <v>2.1659999999999999</v>
      </c>
      <c r="BJ290" s="244">
        <v>0.315</v>
      </c>
      <c r="BK290" s="244">
        <v>0</v>
      </c>
      <c r="BL290" s="244">
        <v>0</v>
      </c>
      <c r="BM290" s="244">
        <v>0</v>
      </c>
      <c r="BN290" s="244">
        <v>2.9820000000000002</v>
      </c>
      <c r="BO290" s="204">
        <v>270</v>
      </c>
      <c r="BP290" s="204">
        <v>4</v>
      </c>
      <c r="BQ290" s="231"/>
      <c r="BR290" s="231"/>
      <c r="BS290" s="231"/>
      <c r="BT290" s="231"/>
      <c r="BU290" s="231"/>
      <c r="BV290" s="231"/>
      <c r="BW290" s="231"/>
      <c r="BX290" s="231"/>
      <c r="BY290" s="231"/>
      <c r="BZ290" s="231"/>
      <c r="CA290" s="231"/>
      <c r="CB290" s="231"/>
      <c r="CC290" s="231"/>
      <c r="CD290" s="231"/>
      <c r="CE290" s="231"/>
      <c r="CF290" s="231"/>
      <c r="CG290" s="231"/>
      <c r="CH290" s="231"/>
      <c r="CI290" s="231"/>
    </row>
    <row r="291" spans="1:97" ht="25.2" customHeight="1" outlineLevel="1">
      <c r="A291" s="204">
        <v>271</v>
      </c>
      <c r="B291" s="207">
        <v>6002</v>
      </c>
      <c r="C291" s="208" t="s">
        <v>466</v>
      </c>
      <c r="D291" s="194" t="s">
        <v>181</v>
      </c>
      <c r="E291" s="209">
        <f t="shared" si="32"/>
        <v>897.3</v>
      </c>
      <c r="F291" s="216">
        <v>0.3</v>
      </c>
      <c r="G291" s="217">
        <v>0</v>
      </c>
      <c r="H291" s="218">
        <v>99.7</v>
      </c>
      <c r="I291" s="230">
        <f t="shared" si="33"/>
        <v>0</v>
      </c>
      <c r="J291" s="216">
        <v>0</v>
      </c>
      <c r="K291" s="216">
        <v>0</v>
      </c>
      <c r="L291" s="233">
        <v>0</v>
      </c>
      <c r="M291" s="236"/>
      <c r="N291" s="236"/>
      <c r="O291" s="236"/>
      <c r="P291" s="236">
        <v>0</v>
      </c>
      <c r="Q291" s="236"/>
      <c r="R291" s="236"/>
      <c r="S291" s="236"/>
      <c r="T291" s="231"/>
      <c r="U291" s="231"/>
      <c r="V291" s="231"/>
      <c r="W291" s="242"/>
      <c r="X291" s="232"/>
      <c r="Y291" s="231"/>
      <c r="Z291" s="231"/>
      <c r="AA291" s="241"/>
      <c r="AB291" s="241"/>
      <c r="AC291" s="240"/>
      <c r="AD291" s="240"/>
      <c r="AE291" s="236"/>
      <c r="AF291" s="236"/>
      <c r="AG291" s="240"/>
      <c r="AH291" s="240">
        <f t="shared" si="34"/>
        <v>0</v>
      </c>
      <c r="AI291" s="231">
        <f t="shared" si="35"/>
        <v>0</v>
      </c>
      <c r="AJ291" s="252"/>
      <c r="AK291" s="233"/>
      <c r="AL291" s="216"/>
      <c r="AM291" s="231">
        <v>0</v>
      </c>
      <c r="AN291" s="231">
        <v>0</v>
      </c>
      <c r="AO291" s="231">
        <v>0</v>
      </c>
      <c r="AP291" s="231">
        <v>0</v>
      </c>
      <c r="AQ291" s="231">
        <v>0</v>
      </c>
      <c r="AR291" s="231">
        <v>0</v>
      </c>
      <c r="AS291" s="231">
        <v>0</v>
      </c>
      <c r="AT291" s="231">
        <v>0</v>
      </c>
      <c r="AU291" s="231">
        <v>0</v>
      </c>
      <c r="AV291" s="231"/>
      <c r="AW291" s="231"/>
      <c r="AX291" s="242"/>
      <c r="AY291" s="242"/>
      <c r="AZ291" s="242"/>
      <c r="BA291" s="242"/>
      <c r="BB291" s="242"/>
      <c r="BC291" s="242"/>
      <c r="BD291" s="242"/>
      <c r="BE291" s="231"/>
      <c r="BF291" s="242"/>
      <c r="BG291" s="242"/>
      <c r="BH291" s="242"/>
      <c r="BI291" s="242"/>
      <c r="BJ291" s="242"/>
      <c r="BK291" s="242"/>
      <c r="BL291" s="242"/>
      <c r="BM291" s="242"/>
      <c r="BN291" s="242"/>
      <c r="BO291" s="231"/>
      <c r="BP291" s="231"/>
      <c r="BQ291" s="231"/>
      <c r="BR291" s="231"/>
      <c r="BS291" s="231"/>
      <c r="BT291" s="231"/>
      <c r="BU291" s="231"/>
      <c r="BV291" s="231"/>
      <c r="BW291" s="231"/>
      <c r="BX291" s="231"/>
      <c r="BY291" s="231"/>
      <c r="BZ291" s="231"/>
      <c r="CA291" s="231"/>
      <c r="CB291" s="231"/>
      <c r="CC291" s="231"/>
      <c r="CD291" s="231"/>
      <c r="CE291" s="231"/>
      <c r="CF291" s="231"/>
      <c r="CG291" s="231"/>
      <c r="CH291" s="231"/>
      <c r="CI291" s="231"/>
    </row>
    <row r="292" spans="1:97" ht="25.2" customHeight="1" outlineLevel="1">
      <c r="A292" s="204">
        <v>272</v>
      </c>
      <c r="B292" s="207">
        <v>6003</v>
      </c>
      <c r="C292" s="208" t="s">
        <v>467</v>
      </c>
      <c r="D292" s="194" t="s">
        <v>468</v>
      </c>
      <c r="E292" s="209">
        <f t="shared" si="32"/>
        <v>827</v>
      </c>
      <c r="F292" s="216">
        <v>3</v>
      </c>
      <c r="G292" s="217">
        <v>2</v>
      </c>
      <c r="H292" s="218">
        <v>91</v>
      </c>
      <c r="I292" s="230">
        <f t="shared" si="33"/>
        <v>0</v>
      </c>
      <c r="J292" s="216">
        <v>0</v>
      </c>
      <c r="K292" s="216">
        <v>4</v>
      </c>
      <c r="L292" s="233">
        <v>0</v>
      </c>
      <c r="M292" s="236"/>
      <c r="N292" s="236"/>
      <c r="O292" s="236"/>
      <c r="P292" s="236">
        <v>0</v>
      </c>
      <c r="Q292" s="236"/>
      <c r="R292" s="236"/>
      <c r="S292" s="236"/>
      <c r="T292" s="231"/>
      <c r="U292" s="231"/>
      <c r="V292" s="231"/>
      <c r="W292" s="242"/>
      <c r="X292" s="232"/>
      <c r="Y292" s="231"/>
      <c r="Z292" s="231"/>
      <c r="AA292" s="241"/>
      <c r="AB292" s="241"/>
      <c r="AC292" s="240"/>
      <c r="AD292" s="240"/>
      <c r="AE292" s="236"/>
      <c r="AF292" s="236"/>
      <c r="AG292" s="240"/>
      <c r="AH292" s="240">
        <f t="shared" si="34"/>
        <v>0</v>
      </c>
      <c r="AI292" s="231">
        <f t="shared" si="35"/>
        <v>0</v>
      </c>
      <c r="AJ292" s="252"/>
      <c r="AK292" s="233"/>
      <c r="AL292" s="216"/>
      <c r="AM292" s="231">
        <v>0</v>
      </c>
      <c r="AN292" s="231">
        <v>0</v>
      </c>
      <c r="AO292" s="231">
        <v>0</v>
      </c>
      <c r="AP292" s="231">
        <v>0</v>
      </c>
      <c r="AQ292" s="231">
        <v>0</v>
      </c>
      <c r="AR292" s="231">
        <v>0</v>
      </c>
      <c r="AS292" s="231">
        <v>0</v>
      </c>
      <c r="AT292" s="231">
        <v>0</v>
      </c>
      <c r="AU292" s="231">
        <v>0</v>
      </c>
      <c r="AV292" s="231"/>
      <c r="AW292" s="231"/>
      <c r="AX292" s="242"/>
      <c r="AY292" s="242"/>
      <c r="AZ292" s="242"/>
      <c r="BA292" s="242"/>
      <c r="BB292" s="242"/>
      <c r="BC292" s="242"/>
      <c r="BD292" s="242"/>
      <c r="BE292" s="231"/>
      <c r="BF292" s="242"/>
      <c r="BG292" s="242"/>
      <c r="BH292" s="242"/>
      <c r="BI292" s="242"/>
      <c r="BJ292" s="242"/>
      <c r="BK292" s="242"/>
      <c r="BL292" s="242"/>
      <c r="BM292" s="242"/>
      <c r="BN292" s="242"/>
      <c r="BO292" s="231"/>
      <c r="BP292" s="231"/>
      <c r="BQ292" s="231"/>
      <c r="BR292" s="231"/>
      <c r="BS292" s="231"/>
      <c r="BT292" s="231"/>
      <c r="BU292" s="231"/>
      <c r="BV292" s="231"/>
      <c r="BW292" s="231"/>
      <c r="BX292" s="231"/>
      <c r="BY292" s="231"/>
      <c r="BZ292" s="231"/>
      <c r="CA292" s="231"/>
      <c r="CB292" s="231"/>
      <c r="CC292" s="231"/>
      <c r="CD292" s="231"/>
      <c r="CE292" s="231"/>
      <c r="CF292" s="231"/>
      <c r="CG292" s="231"/>
      <c r="CH292" s="231"/>
      <c r="CI292" s="231"/>
    </row>
    <row r="293" spans="1:97" ht="25.2" customHeight="1" outlineLevel="1">
      <c r="A293" s="204">
        <v>273</v>
      </c>
      <c r="B293" s="207">
        <v>6004</v>
      </c>
      <c r="C293" s="208" t="s">
        <v>469</v>
      </c>
      <c r="D293" s="194" t="s">
        <v>468</v>
      </c>
      <c r="E293" s="209">
        <f t="shared" si="32"/>
        <v>896.4</v>
      </c>
      <c r="F293" s="216">
        <v>0.4</v>
      </c>
      <c r="G293" s="217">
        <v>0</v>
      </c>
      <c r="H293" s="218">
        <v>99.6</v>
      </c>
      <c r="I293" s="230">
        <f t="shared" si="33"/>
        <v>0</v>
      </c>
      <c r="J293" s="216">
        <v>0</v>
      </c>
      <c r="K293" s="216">
        <v>0</v>
      </c>
      <c r="L293" s="233">
        <v>0</v>
      </c>
      <c r="M293" s="216">
        <v>0</v>
      </c>
      <c r="N293" s="216">
        <v>12</v>
      </c>
      <c r="O293" s="216">
        <v>0</v>
      </c>
      <c r="P293" s="216">
        <v>0</v>
      </c>
      <c r="Q293" s="216">
        <v>1.9E-2</v>
      </c>
      <c r="R293" s="216"/>
      <c r="S293" s="216"/>
      <c r="T293" s="231"/>
      <c r="U293" s="231"/>
      <c r="V293" s="231"/>
      <c r="W293" s="242"/>
      <c r="X293" s="232"/>
      <c r="Y293" s="231"/>
      <c r="Z293" s="231"/>
      <c r="AA293" s="241"/>
      <c r="AB293" s="241"/>
      <c r="AC293" s="240"/>
      <c r="AD293" s="240"/>
      <c r="AE293" s="236"/>
      <c r="AF293" s="236"/>
      <c r="AG293" s="240"/>
      <c r="AH293" s="240">
        <f t="shared" si="34"/>
        <v>0</v>
      </c>
      <c r="AI293" s="231">
        <f t="shared" si="35"/>
        <v>0</v>
      </c>
      <c r="AJ293" s="252"/>
      <c r="AK293" s="233"/>
      <c r="AL293" s="216"/>
      <c r="AM293" s="231">
        <v>0</v>
      </c>
      <c r="AN293" s="231">
        <v>0</v>
      </c>
      <c r="AO293" s="231">
        <v>0</v>
      </c>
      <c r="AP293" s="231">
        <v>0</v>
      </c>
      <c r="AQ293" s="231">
        <v>0</v>
      </c>
      <c r="AR293" s="231">
        <v>0</v>
      </c>
      <c r="AS293" s="231">
        <v>0</v>
      </c>
      <c r="AT293" s="231">
        <v>0</v>
      </c>
      <c r="AU293" s="231">
        <v>0</v>
      </c>
      <c r="AV293" s="231"/>
      <c r="AW293" s="231">
        <v>39.1</v>
      </c>
      <c r="AX293" s="244">
        <v>23.8</v>
      </c>
      <c r="AY293" s="244">
        <v>0</v>
      </c>
      <c r="AZ293" s="244">
        <v>13.5</v>
      </c>
      <c r="BA293" s="244">
        <v>0</v>
      </c>
      <c r="BB293" s="244">
        <v>0</v>
      </c>
      <c r="BC293" s="244">
        <v>0</v>
      </c>
      <c r="BD293" s="244">
        <v>45.1</v>
      </c>
      <c r="BE293" s="237">
        <v>0</v>
      </c>
      <c r="BF293" s="244">
        <v>2.7</v>
      </c>
      <c r="BG293" s="244">
        <v>41.2</v>
      </c>
      <c r="BH293" s="244">
        <v>11.2</v>
      </c>
      <c r="BI293" s="244">
        <v>10.199999999999999</v>
      </c>
      <c r="BJ293" s="244">
        <v>1</v>
      </c>
      <c r="BK293" s="244">
        <v>0</v>
      </c>
      <c r="BL293" s="244">
        <v>0</v>
      </c>
      <c r="BM293" s="244">
        <v>0</v>
      </c>
      <c r="BN293" s="244"/>
      <c r="BO293" s="204">
        <v>95</v>
      </c>
      <c r="BP293" s="204"/>
      <c r="BQ293" s="231"/>
      <c r="BR293" s="231"/>
      <c r="BS293" s="231"/>
      <c r="BT293" s="231"/>
      <c r="BU293" s="231"/>
      <c r="BV293" s="231"/>
      <c r="BW293" s="231"/>
      <c r="BX293" s="231"/>
      <c r="BY293" s="231"/>
      <c r="BZ293" s="231"/>
      <c r="CA293" s="231"/>
      <c r="CB293" s="231"/>
      <c r="CC293" s="231"/>
      <c r="CD293" s="231"/>
      <c r="CE293" s="231"/>
      <c r="CF293" s="231"/>
      <c r="CG293" s="231"/>
      <c r="CH293" s="231"/>
      <c r="CI293" s="231"/>
    </row>
    <row r="294" spans="1:97" ht="25.2" customHeight="1" outlineLevel="1">
      <c r="A294" s="204">
        <v>274</v>
      </c>
      <c r="B294" s="207">
        <v>6005</v>
      </c>
      <c r="C294" s="208" t="s">
        <v>470</v>
      </c>
      <c r="D294" s="194" t="s">
        <v>181</v>
      </c>
      <c r="E294" s="209">
        <f t="shared" si="32"/>
        <v>728.7</v>
      </c>
      <c r="F294" s="216">
        <v>18.5</v>
      </c>
      <c r="G294" s="217">
        <v>0.5</v>
      </c>
      <c r="H294" s="218">
        <v>80.7</v>
      </c>
      <c r="I294" s="230">
        <f t="shared" si="33"/>
        <v>9.9999999999994302E-2</v>
      </c>
      <c r="J294" s="216">
        <v>0</v>
      </c>
      <c r="K294" s="216">
        <v>0.2</v>
      </c>
      <c r="L294" s="233"/>
      <c r="M294" s="216">
        <v>17</v>
      </c>
      <c r="N294" s="216">
        <v>13</v>
      </c>
      <c r="O294" s="216"/>
      <c r="P294" s="216">
        <v>0.1</v>
      </c>
      <c r="Q294" s="216">
        <v>6.0000000000000001E-3</v>
      </c>
      <c r="R294" s="216">
        <v>2.1000000000000001E-2</v>
      </c>
      <c r="S294" s="216">
        <v>1.2999999999999999E-2</v>
      </c>
      <c r="T294" s="231">
        <v>2</v>
      </c>
      <c r="U294" s="231">
        <v>25</v>
      </c>
      <c r="V294" s="231">
        <v>2</v>
      </c>
      <c r="W294" s="242">
        <v>0</v>
      </c>
      <c r="X294" s="232">
        <v>0.02</v>
      </c>
      <c r="Y294" s="231">
        <v>0</v>
      </c>
      <c r="Z294" s="231">
        <v>0</v>
      </c>
      <c r="AA294" s="241">
        <v>4.9000000000000002E-2</v>
      </c>
      <c r="AB294" s="241">
        <v>5.0000000000000001E-3</v>
      </c>
      <c r="AC294" s="240">
        <v>1</v>
      </c>
      <c r="AD294" s="240">
        <v>0</v>
      </c>
      <c r="AE294" s="233"/>
      <c r="AF294" s="233">
        <v>0.06</v>
      </c>
      <c r="AG294" s="240">
        <v>768</v>
      </c>
      <c r="AH294" s="240">
        <f t="shared" si="34"/>
        <v>2557.44</v>
      </c>
      <c r="AI294" s="236">
        <f t="shared" si="35"/>
        <v>818.83333333333303</v>
      </c>
      <c r="AJ294" s="252"/>
      <c r="AK294" s="233">
        <v>12.8</v>
      </c>
      <c r="AL294" s="216">
        <v>93</v>
      </c>
      <c r="AM294" s="236">
        <v>610</v>
      </c>
      <c r="AN294" s="231">
        <v>0</v>
      </c>
      <c r="AO294" s="231">
        <v>0</v>
      </c>
      <c r="AP294" s="231">
        <v>0</v>
      </c>
      <c r="AQ294" s="231">
        <v>0</v>
      </c>
      <c r="AR294" s="231"/>
      <c r="AS294" s="231"/>
      <c r="AT294" s="231"/>
      <c r="AU294" s="231"/>
      <c r="AV294" s="231"/>
      <c r="AW294" s="236">
        <v>15</v>
      </c>
      <c r="AX294" s="244">
        <v>9.5</v>
      </c>
      <c r="AY294" s="244">
        <v>0</v>
      </c>
      <c r="AZ294" s="244">
        <v>5</v>
      </c>
      <c r="BA294" s="244">
        <v>0</v>
      </c>
      <c r="BB294" s="244">
        <v>0</v>
      </c>
      <c r="BC294" s="244">
        <v>0</v>
      </c>
      <c r="BD294" s="244">
        <v>36.700000000000003</v>
      </c>
      <c r="BE294" s="237">
        <v>0</v>
      </c>
      <c r="BF294" s="244">
        <v>0</v>
      </c>
      <c r="BG294" s="244">
        <v>36.700000000000003</v>
      </c>
      <c r="BH294" s="244">
        <v>25</v>
      </c>
      <c r="BI294" s="244">
        <v>24.7</v>
      </c>
      <c r="BJ294" s="244">
        <v>0.3</v>
      </c>
      <c r="BK294" s="244">
        <v>0</v>
      </c>
      <c r="BL294" s="244">
        <v>0</v>
      </c>
      <c r="BM294" s="244">
        <v>0</v>
      </c>
      <c r="BN294" s="244"/>
      <c r="BO294" s="204">
        <v>0</v>
      </c>
      <c r="BP294" s="204">
        <v>265</v>
      </c>
      <c r="BQ294" s="231">
        <v>39</v>
      </c>
      <c r="BR294" s="231">
        <v>12</v>
      </c>
      <c r="BS294" s="231">
        <v>7</v>
      </c>
      <c r="BT294" s="231">
        <v>24</v>
      </c>
      <c r="BU294" s="231">
        <v>22</v>
      </c>
      <c r="BV294" s="231">
        <v>33</v>
      </c>
      <c r="BW294" s="231">
        <v>49</v>
      </c>
      <c r="BX294" s="231">
        <v>30</v>
      </c>
      <c r="BY294" s="231">
        <v>18</v>
      </c>
      <c r="BZ294" s="231">
        <v>13</v>
      </c>
      <c r="CA294" s="231">
        <v>5</v>
      </c>
      <c r="CB294" s="231">
        <v>24</v>
      </c>
      <c r="CC294" s="231">
        <v>17</v>
      </c>
      <c r="CD294" s="231">
        <v>38</v>
      </c>
      <c r="CE294" s="231">
        <v>104</v>
      </c>
      <c r="CF294" s="231">
        <v>11</v>
      </c>
      <c r="CG294" s="231">
        <v>48</v>
      </c>
      <c r="CH294" s="231">
        <v>27</v>
      </c>
      <c r="CI294" s="231"/>
    </row>
    <row r="295" spans="1:97" ht="25.2" customHeight="1" outlineLevel="1">
      <c r="A295" s="204">
        <v>275</v>
      </c>
      <c r="B295" s="207">
        <v>6006</v>
      </c>
      <c r="C295" s="208" t="s">
        <v>471</v>
      </c>
      <c r="D295" s="194" t="s">
        <v>181</v>
      </c>
      <c r="E295" s="209">
        <f t="shared" si="32"/>
        <v>900</v>
      </c>
      <c r="F295" s="216">
        <v>0</v>
      </c>
      <c r="G295" s="217">
        <v>0</v>
      </c>
      <c r="H295" s="218">
        <v>100</v>
      </c>
      <c r="I295" s="230">
        <f t="shared" si="33"/>
        <v>0</v>
      </c>
      <c r="J295" s="216">
        <v>0</v>
      </c>
      <c r="K295" s="216">
        <v>0</v>
      </c>
      <c r="L295" s="233">
        <v>0</v>
      </c>
      <c r="M295" s="216"/>
      <c r="N295" s="216"/>
      <c r="O295" s="216"/>
      <c r="P295" s="216"/>
      <c r="Q295" s="216"/>
      <c r="R295" s="216"/>
      <c r="S295" s="216"/>
      <c r="T295" s="231"/>
      <c r="U295" s="231"/>
      <c r="V295" s="231"/>
      <c r="W295" s="242"/>
      <c r="X295" s="232"/>
      <c r="Y295" s="231"/>
      <c r="Z295" s="231"/>
      <c r="AA295" s="241"/>
      <c r="AB295" s="241"/>
      <c r="AC295" s="240"/>
      <c r="AD295" s="240"/>
      <c r="AE295" s="236"/>
      <c r="AF295" s="236"/>
      <c r="AG295" s="240"/>
      <c r="AH295" s="240">
        <f t="shared" si="34"/>
        <v>0</v>
      </c>
      <c r="AI295" s="236">
        <f t="shared" si="35"/>
        <v>0</v>
      </c>
      <c r="AJ295" s="252"/>
      <c r="AK295" s="233">
        <v>35.299999999999997</v>
      </c>
      <c r="AL295" s="216">
        <v>24.7</v>
      </c>
      <c r="AM295" s="236">
        <v>0</v>
      </c>
      <c r="AN295" s="231">
        <v>0</v>
      </c>
      <c r="AO295" s="231">
        <v>0</v>
      </c>
      <c r="AP295" s="231">
        <v>0</v>
      </c>
      <c r="AQ295" s="231">
        <v>0</v>
      </c>
      <c r="AR295" s="236">
        <v>0</v>
      </c>
      <c r="AS295" s="231">
        <v>0</v>
      </c>
      <c r="AT295" s="231">
        <v>0</v>
      </c>
      <c r="AU295" s="231">
        <v>0</v>
      </c>
      <c r="AV295" s="231"/>
      <c r="AW295" s="236">
        <v>25.9</v>
      </c>
      <c r="AX295" s="244">
        <v>22.7</v>
      </c>
      <c r="AY295" s="244">
        <v>0</v>
      </c>
      <c r="AZ295" s="244">
        <v>2.2999999999999998</v>
      </c>
      <c r="BA295" s="244">
        <v>0</v>
      </c>
      <c r="BB295" s="244">
        <v>0</v>
      </c>
      <c r="BC295" s="244">
        <v>0</v>
      </c>
      <c r="BD295" s="244">
        <v>17.8</v>
      </c>
      <c r="BE295" s="237">
        <v>0</v>
      </c>
      <c r="BF295" s="244">
        <v>0.8</v>
      </c>
      <c r="BG295" s="244">
        <v>17</v>
      </c>
      <c r="BH295" s="244">
        <v>51.9</v>
      </c>
      <c r="BI295" s="244">
        <v>51.5</v>
      </c>
      <c r="BJ295" s="244">
        <v>0.2</v>
      </c>
      <c r="BK295" s="244">
        <v>0</v>
      </c>
      <c r="BL295" s="244">
        <v>0</v>
      </c>
      <c r="BM295" s="244">
        <v>0</v>
      </c>
      <c r="BN295" s="244"/>
      <c r="BO295" s="204">
        <v>0</v>
      </c>
      <c r="BP295" s="204">
        <v>324</v>
      </c>
      <c r="BQ295" s="231"/>
      <c r="BR295" s="231"/>
      <c r="BS295" s="231"/>
      <c r="BT295" s="231"/>
      <c r="BU295" s="231"/>
      <c r="BV295" s="231"/>
      <c r="BW295" s="231"/>
      <c r="BX295" s="231"/>
      <c r="BY295" s="231"/>
      <c r="BZ295" s="231"/>
      <c r="CA295" s="231"/>
      <c r="CB295" s="231"/>
      <c r="CC295" s="231"/>
      <c r="CD295" s="231"/>
      <c r="CE295" s="231"/>
      <c r="CF295" s="231"/>
      <c r="CG295" s="231"/>
      <c r="CH295" s="231"/>
      <c r="CI295" s="231"/>
    </row>
    <row r="296" spans="1:97" ht="25.2" customHeight="1" outlineLevel="1">
      <c r="A296" s="204">
        <v>276</v>
      </c>
      <c r="B296" s="207">
        <v>6007</v>
      </c>
      <c r="C296" s="208" t="s">
        <v>472</v>
      </c>
      <c r="D296" s="194" t="s">
        <v>181</v>
      </c>
      <c r="E296" s="209">
        <f t="shared" si="32"/>
        <v>900</v>
      </c>
      <c r="F296" s="216">
        <v>0</v>
      </c>
      <c r="G296" s="217">
        <v>0</v>
      </c>
      <c r="H296" s="218">
        <v>100</v>
      </c>
      <c r="I296" s="230">
        <f t="shared" si="33"/>
        <v>0</v>
      </c>
      <c r="J296" s="216">
        <v>0</v>
      </c>
      <c r="K296" s="216">
        <v>0</v>
      </c>
      <c r="L296" s="233">
        <v>0</v>
      </c>
      <c r="M296" s="216"/>
      <c r="N296" s="216"/>
      <c r="O296" s="216">
        <v>7.0000000000000007E-2</v>
      </c>
      <c r="P296" s="216"/>
      <c r="Q296" s="216"/>
      <c r="R296" s="216"/>
      <c r="S296" s="216"/>
      <c r="T296" s="231"/>
      <c r="U296" s="231"/>
      <c r="V296" s="231"/>
      <c r="W296" s="242"/>
      <c r="X296" s="232"/>
      <c r="Y296" s="231"/>
      <c r="Z296" s="231"/>
      <c r="AA296" s="241"/>
      <c r="AB296" s="241"/>
      <c r="AC296" s="240"/>
      <c r="AD296" s="240"/>
      <c r="AE296" s="236"/>
      <c r="AF296" s="236"/>
      <c r="AG296" s="240"/>
      <c r="AH296" s="240">
        <f t="shared" si="34"/>
        <v>0</v>
      </c>
      <c r="AI296" s="236">
        <f t="shared" si="35"/>
        <v>0</v>
      </c>
      <c r="AJ296" s="252"/>
      <c r="AK296" s="233">
        <v>32.299999999999997</v>
      </c>
      <c r="AL296" s="216">
        <v>24.7</v>
      </c>
      <c r="AM296" s="236">
        <v>0</v>
      </c>
      <c r="AN296" s="231">
        <v>0</v>
      </c>
      <c r="AO296" s="231">
        <v>0</v>
      </c>
      <c r="AP296" s="231">
        <v>0</v>
      </c>
      <c r="AQ296" s="231">
        <v>0</v>
      </c>
      <c r="AR296" s="236">
        <v>0</v>
      </c>
      <c r="AS296" s="231">
        <v>0</v>
      </c>
      <c r="AT296" s="231">
        <v>0</v>
      </c>
      <c r="AU296" s="231">
        <v>0</v>
      </c>
      <c r="AV296" s="231"/>
      <c r="AW296" s="236">
        <v>19.7</v>
      </c>
      <c r="AX296" s="244">
        <v>16.899999999999999</v>
      </c>
      <c r="AY296" s="244">
        <v>0</v>
      </c>
      <c r="AZ296" s="244">
        <v>1.6</v>
      </c>
      <c r="BA296" s="244">
        <v>0</v>
      </c>
      <c r="BB296" s="244">
        <v>0</v>
      </c>
      <c r="BC296" s="244">
        <v>0</v>
      </c>
      <c r="BD296" s="244">
        <v>39.299999999999997</v>
      </c>
      <c r="BE296" s="237">
        <v>0</v>
      </c>
      <c r="BF296" s="244">
        <v>0.2</v>
      </c>
      <c r="BG296" s="244">
        <v>39.1</v>
      </c>
      <c r="BH296" s="244">
        <v>35</v>
      </c>
      <c r="BI296" s="244">
        <v>33.4</v>
      </c>
      <c r="BJ296" s="244">
        <v>1.6</v>
      </c>
      <c r="BK296" s="244">
        <v>0</v>
      </c>
      <c r="BL296" s="244">
        <v>0</v>
      </c>
      <c r="BM296" s="244">
        <v>0</v>
      </c>
      <c r="BN296" s="244"/>
      <c r="BO296" s="204">
        <v>0</v>
      </c>
      <c r="BP296" s="204">
        <v>1190</v>
      </c>
      <c r="BQ296" s="231"/>
      <c r="BR296" s="231"/>
      <c r="BS296" s="231"/>
      <c r="BT296" s="231"/>
      <c r="BU296" s="231"/>
      <c r="BV296" s="231"/>
      <c r="BW296" s="231"/>
      <c r="BX296" s="231"/>
      <c r="BY296" s="231"/>
      <c r="BZ296" s="231"/>
      <c r="CA296" s="231"/>
      <c r="CB296" s="231"/>
      <c r="CC296" s="231"/>
      <c r="CD296" s="231"/>
      <c r="CE296" s="231"/>
      <c r="CF296" s="231"/>
      <c r="CG296" s="231"/>
      <c r="CH296" s="231"/>
      <c r="CI296" s="231"/>
      <c r="CS296" s="172"/>
    </row>
    <row r="297" spans="1:97" ht="25.2" customHeight="1" outlineLevel="1">
      <c r="A297" s="204">
        <v>277</v>
      </c>
      <c r="B297" s="207">
        <v>6008</v>
      </c>
      <c r="C297" s="208" t="s">
        <v>473</v>
      </c>
      <c r="D297" s="194" t="s">
        <v>181</v>
      </c>
      <c r="E297" s="209">
        <f t="shared" si="32"/>
        <v>900</v>
      </c>
      <c r="F297" s="216">
        <v>0</v>
      </c>
      <c r="G297" s="217">
        <v>0</v>
      </c>
      <c r="H297" s="218">
        <v>100</v>
      </c>
      <c r="I297" s="230">
        <f t="shared" si="33"/>
        <v>0</v>
      </c>
      <c r="J297" s="216">
        <v>0</v>
      </c>
      <c r="K297" s="216">
        <v>0</v>
      </c>
      <c r="L297" s="233">
        <v>0</v>
      </c>
      <c r="M297" s="216"/>
      <c r="N297" s="216"/>
      <c r="O297" s="216"/>
      <c r="P297" s="216"/>
      <c r="Q297" s="216"/>
      <c r="R297" s="216"/>
      <c r="S297" s="216"/>
      <c r="T297" s="231"/>
      <c r="U297" s="231"/>
      <c r="V297" s="231"/>
      <c r="W297" s="242"/>
      <c r="X297" s="232"/>
      <c r="Y297" s="231"/>
      <c r="Z297" s="231"/>
      <c r="AA297" s="241"/>
      <c r="AB297" s="241"/>
      <c r="AC297" s="240"/>
      <c r="AD297" s="240"/>
      <c r="AE297" s="236"/>
      <c r="AF297" s="236"/>
      <c r="AG297" s="240"/>
      <c r="AH297" s="240">
        <f t="shared" si="34"/>
        <v>0</v>
      </c>
      <c r="AI297" s="236">
        <f t="shared" si="35"/>
        <v>0</v>
      </c>
      <c r="AJ297" s="252"/>
      <c r="AK297" s="233">
        <v>15.94</v>
      </c>
      <c r="AL297" s="216">
        <v>8</v>
      </c>
      <c r="AM297" s="236">
        <v>0</v>
      </c>
      <c r="AN297" s="231">
        <v>0</v>
      </c>
      <c r="AO297" s="231">
        <v>0</v>
      </c>
      <c r="AP297" s="231">
        <v>0</v>
      </c>
      <c r="AQ297" s="231">
        <v>0</v>
      </c>
      <c r="AR297" s="236">
        <v>0</v>
      </c>
      <c r="AS297" s="231">
        <v>0</v>
      </c>
      <c r="AT297" s="231">
        <v>0</v>
      </c>
      <c r="AU297" s="231">
        <v>0</v>
      </c>
      <c r="AV297" s="231"/>
      <c r="AW297" s="236">
        <v>49.3</v>
      </c>
      <c r="AX297" s="244">
        <v>43.5</v>
      </c>
      <c r="AY297" s="244">
        <v>0</v>
      </c>
      <c r="AZ297" s="244">
        <v>4.3</v>
      </c>
      <c r="BA297" s="244">
        <v>0</v>
      </c>
      <c r="BB297" s="244">
        <v>0</v>
      </c>
      <c r="BC297" s="244">
        <v>0</v>
      </c>
      <c r="BD297" s="244">
        <v>37</v>
      </c>
      <c r="BE297" s="237">
        <v>0</v>
      </c>
      <c r="BF297" s="244">
        <v>0.3</v>
      </c>
      <c r="BG297" s="244">
        <v>36.6</v>
      </c>
      <c r="BH297" s="244">
        <v>9.3000000000000007</v>
      </c>
      <c r="BI297" s="244">
        <v>9.1</v>
      </c>
      <c r="BJ297" s="244">
        <v>0.2</v>
      </c>
      <c r="BK297" s="244">
        <v>0</v>
      </c>
      <c r="BL297" s="244">
        <v>0</v>
      </c>
      <c r="BM297" s="244">
        <v>0</v>
      </c>
      <c r="BN297" s="244"/>
      <c r="BO297" s="204">
        <v>0</v>
      </c>
      <c r="BP297" s="204"/>
      <c r="BQ297" s="231"/>
      <c r="BR297" s="231"/>
      <c r="BS297" s="231"/>
      <c r="BT297" s="231"/>
      <c r="BU297" s="231"/>
      <c r="BV297" s="231"/>
      <c r="BW297" s="231"/>
      <c r="BX297" s="231"/>
      <c r="BY297" s="231"/>
      <c r="BZ297" s="231"/>
      <c r="CA297" s="231"/>
      <c r="CB297" s="231"/>
      <c r="CC297" s="231"/>
      <c r="CD297" s="231"/>
      <c r="CE297" s="231"/>
      <c r="CF297" s="231"/>
      <c r="CG297" s="231"/>
      <c r="CH297" s="231"/>
      <c r="CI297" s="231"/>
    </row>
    <row r="298" spans="1:97" ht="25.2" customHeight="1" outlineLevel="1">
      <c r="A298" s="204">
        <v>278</v>
      </c>
      <c r="B298" s="207">
        <v>6009</v>
      </c>
      <c r="C298" s="208" t="s">
        <v>474</v>
      </c>
      <c r="D298" s="194" t="s">
        <v>181</v>
      </c>
      <c r="E298" s="209">
        <f t="shared" si="32"/>
        <v>900</v>
      </c>
      <c r="F298" s="216">
        <v>0</v>
      </c>
      <c r="G298" s="217">
        <v>0</v>
      </c>
      <c r="H298" s="218">
        <v>100</v>
      </c>
      <c r="I298" s="230">
        <f t="shared" si="33"/>
        <v>0</v>
      </c>
      <c r="J298" s="216">
        <v>0</v>
      </c>
      <c r="K298" s="216">
        <v>0</v>
      </c>
      <c r="L298" s="233">
        <v>0</v>
      </c>
      <c r="M298" s="216"/>
      <c r="N298" s="216"/>
      <c r="O298" s="216">
        <v>0.04</v>
      </c>
      <c r="P298" s="216"/>
      <c r="Q298" s="216"/>
      <c r="R298" s="216"/>
      <c r="S298" s="216"/>
      <c r="T298" s="231"/>
      <c r="U298" s="231"/>
      <c r="V298" s="231"/>
      <c r="W298" s="242"/>
      <c r="X298" s="232"/>
      <c r="Y298" s="231"/>
      <c r="Z298" s="231"/>
      <c r="AA298" s="241"/>
      <c r="AB298" s="241"/>
      <c r="AC298" s="240"/>
      <c r="AD298" s="240"/>
      <c r="AE298" s="236"/>
      <c r="AF298" s="236"/>
      <c r="AG298" s="240"/>
      <c r="AH298" s="240">
        <f t="shared" si="34"/>
        <v>0</v>
      </c>
      <c r="AI298" s="236">
        <f t="shared" si="35"/>
        <v>0</v>
      </c>
      <c r="AJ298" s="252"/>
      <c r="AK298" s="233">
        <v>0.09</v>
      </c>
      <c r="AL298" s="216">
        <v>0.5</v>
      </c>
      <c r="AM298" s="236">
        <v>0</v>
      </c>
      <c r="AN298" s="231">
        <v>0</v>
      </c>
      <c r="AO298" s="231">
        <v>0</v>
      </c>
      <c r="AP298" s="231">
        <v>0</v>
      </c>
      <c r="AQ298" s="231">
        <v>0</v>
      </c>
      <c r="AR298" s="236">
        <v>0</v>
      </c>
      <c r="AS298" s="231">
        <v>0</v>
      </c>
      <c r="AT298" s="231">
        <v>0</v>
      </c>
      <c r="AU298" s="231">
        <v>0</v>
      </c>
      <c r="AV298" s="231"/>
      <c r="AW298" s="236">
        <v>86.5</v>
      </c>
      <c r="AX298" s="244">
        <v>8.1999999999999993</v>
      </c>
      <c r="AY298" s="244">
        <v>0</v>
      </c>
      <c r="AZ298" s="244">
        <v>2.8</v>
      </c>
      <c r="BA298" s="244">
        <v>0</v>
      </c>
      <c r="BB298" s="244">
        <v>0</v>
      </c>
      <c r="BC298" s="244">
        <v>0</v>
      </c>
      <c r="BD298" s="244">
        <v>5.8</v>
      </c>
      <c r="BE298" s="237">
        <v>0</v>
      </c>
      <c r="BF298" s="244">
        <v>0</v>
      </c>
      <c r="BG298" s="244">
        <v>5.8</v>
      </c>
      <c r="BH298" s="244">
        <v>1.8</v>
      </c>
      <c r="BI298" s="244">
        <v>1.8</v>
      </c>
      <c r="BJ298" s="244">
        <v>0</v>
      </c>
      <c r="BK298" s="244">
        <v>0</v>
      </c>
      <c r="BL298" s="244">
        <v>0</v>
      </c>
      <c r="BM298" s="244">
        <v>0</v>
      </c>
      <c r="BN298" s="244"/>
      <c r="BO298" s="204">
        <v>0</v>
      </c>
      <c r="BP298" s="204">
        <v>86</v>
      </c>
      <c r="BQ298" s="231"/>
      <c r="BR298" s="231"/>
      <c r="BS298" s="231"/>
      <c r="BT298" s="231"/>
      <c r="BU298" s="231"/>
      <c r="BV298" s="231"/>
      <c r="BW298" s="231"/>
      <c r="BX298" s="231"/>
      <c r="BY298" s="231"/>
      <c r="BZ298" s="231"/>
      <c r="CA298" s="231"/>
      <c r="CB298" s="231"/>
      <c r="CC298" s="231"/>
      <c r="CD298" s="231"/>
      <c r="CE298" s="231"/>
      <c r="CF298" s="231"/>
      <c r="CG298" s="231"/>
      <c r="CH298" s="231"/>
      <c r="CI298" s="231"/>
    </row>
    <row r="299" spans="1:97" ht="25.2" customHeight="1" outlineLevel="1">
      <c r="A299" s="204">
        <v>279</v>
      </c>
      <c r="B299" s="207">
        <v>6010</v>
      </c>
      <c r="C299" s="208" t="s">
        <v>475</v>
      </c>
      <c r="D299" s="194" t="s">
        <v>181</v>
      </c>
      <c r="E299" s="209">
        <f t="shared" si="32"/>
        <v>900</v>
      </c>
      <c r="F299" s="216">
        <v>0</v>
      </c>
      <c r="G299" s="217">
        <v>0</v>
      </c>
      <c r="H299" s="218">
        <v>100</v>
      </c>
      <c r="I299" s="230">
        <f t="shared" si="33"/>
        <v>0</v>
      </c>
      <c r="J299" s="216">
        <v>0</v>
      </c>
      <c r="K299" s="216">
        <v>0</v>
      </c>
      <c r="L299" s="233">
        <v>0</v>
      </c>
      <c r="M299" s="216"/>
      <c r="N299" s="216"/>
      <c r="O299" s="216">
        <v>0.02</v>
      </c>
      <c r="P299" s="216"/>
      <c r="Q299" s="216"/>
      <c r="R299" s="216"/>
      <c r="S299" s="216"/>
      <c r="T299" s="231"/>
      <c r="U299" s="231"/>
      <c r="V299" s="231"/>
      <c r="W299" s="242"/>
      <c r="X299" s="232"/>
      <c r="Y299" s="231"/>
      <c r="Z299" s="231"/>
      <c r="AA299" s="241"/>
      <c r="AB299" s="241"/>
      <c r="AC299" s="240"/>
      <c r="AD299" s="240"/>
      <c r="AE299" s="236"/>
      <c r="AF299" s="236"/>
      <c r="AG299" s="240"/>
      <c r="AH299" s="240">
        <f t="shared" si="34"/>
        <v>0</v>
      </c>
      <c r="AI299" s="236">
        <f t="shared" si="35"/>
        <v>0</v>
      </c>
      <c r="AJ299" s="252"/>
      <c r="AK299" s="233">
        <v>9.2100000000000009</v>
      </c>
      <c r="AL299" s="216">
        <v>197.6</v>
      </c>
      <c r="AM299" s="236">
        <v>0</v>
      </c>
      <c r="AN299" s="231">
        <v>0</v>
      </c>
      <c r="AO299" s="231">
        <v>0</v>
      </c>
      <c r="AP299" s="231">
        <v>0</v>
      </c>
      <c r="AQ299" s="231">
        <v>0</v>
      </c>
      <c r="AR299" s="236">
        <v>0</v>
      </c>
      <c r="AS299" s="231">
        <v>0</v>
      </c>
      <c r="AT299" s="231">
        <v>0</v>
      </c>
      <c r="AU299" s="231">
        <v>0</v>
      </c>
      <c r="AV299" s="231"/>
      <c r="AW299" s="236">
        <v>14.4</v>
      </c>
      <c r="AX299" s="244">
        <v>10.3</v>
      </c>
      <c r="AY299" s="244">
        <v>0</v>
      </c>
      <c r="AZ299" s="244">
        <v>3.8</v>
      </c>
      <c r="BA299" s="244">
        <v>0</v>
      </c>
      <c r="BB299" s="244">
        <v>0</v>
      </c>
      <c r="BC299" s="244">
        <v>0</v>
      </c>
      <c r="BD299" s="244">
        <v>23.3</v>
      </c>
      <c r="BE299" s="237">
        <v>0</v>
      </c>
      <c r="BF299" s="244">
        <v>0.2</v>
      </c>
      <c r="BG299" s="244">
        <v>22.8</v>
      </c>
      <c r="BH299" s="244">
        <v>57.9</v>
      </c>
      <c r="BI299" s="244">
        <v>51</v>
      </c>
      <c r="BJ299" s="244">
        <v>6.8</v>
      </c>
      <c r="BK299" s="244">
        <v>0</v>
      </c>
      <c r="BL299" s="244">
        <v>0</v>
      </c>
      <c r="BM299" s="244">
        <v>0</v>
      </c>
      <c r="BN299" s="244"/>
      <c r="BO299" s="204">
        <v>0</v>
      </c>
      <c r="BP299" s="204">
        <v>250</v>
      </c>
      <c r="BQ299" s="231"/>
      <c r="BR299" s="231"/>
      <c r="BS299" s="231"/>
      <c r="BT299" s="231"/>
      <c r="BU299" s="231"/>
      <c r="BV299" s="231"/>
      <c r="BW299" s="231"/>
      <c r="BX299" s="231"/>
      <c r="BY299" s="231"/>
      <c r="BZ299" s="231"/>
      <c r="CA299" s="231"/>
      <c r="CB299" s="231"/>
      <c r="CC299" s="231"/>
      <c r="CD299" s="231"/>
      <c r="CE299" s="231"/>
      <c r="CF299" s="231"/>
      <c r="CG299" s="231"/>
      <c r="CH299" s="231"/>
      <c r="CI299" s="231"/>
    </row>
    <row r="300" spans="1:97" ht="25.2" customHeight="1" outlineLevel="1">
      <c r="A300" s="204">
        <v>280</v>
      </c>
      <c r="B300" s="207">
        <v>6011</v>
      </c>
      <c r="C300" s="208" t="s">
        <v>476</v>
      </c>
      <c r="D300" s="194" t="s">
        <v>181</v>
      </c>
      <c r="E300" s="209">
        <f t="shared" si="32"/>
        <v>900</v>
      </c>
      <c r="F300" s="216">
        <v>0</v>
      </c>
      <c r="G300" s="217">
        <v>0</v>
      </c>
      <c r="H300" s="218">
        <v>100</v>
      </c>
      <c r="I300" s="230">
        <f t="shared" si="33"/>
        <v>0</v>
      </c>
      <c r="J300" s="216">
        <v>0</v>
      </c>
      <c r="K300" s="216">
        <v>0</v>
      </c>
      <c r="L300" s="233">
        <v>0</v>
      </c>
      <c r="M300" s="216"/>
      <c r="N300" s="216"/>
      <c r="O300" s="216">
        <v>0.03</v>
      </c>
      <c r="P300" s="216"/>
      <c r="Q300" s="216"/>
      <c r="R300" s="216"/>
      <c r="S300" s="216"/>
      <c r="T300" s="231"/>
      <c r="U300" s="231"/>
      <c r="V300" s="231"/>
      <c r="W300" s="242"/>
      <c r="X300" s="232"/>
      <c r="Y300" s="231"/>
      <c r="Z300" s="231"/>
      <c r="AA300" s="241"/>
      <c r="AB300" s="241"/>
      <c r="AC300" s="240"/>
      <c r="AD300" s="240"/>
      <c r="AE300" s="236"/>
      <c r="AF300" s="236"/>
      <c r="AG300" s="240"/>
      <c r="AH300" s="240">
        <f t="shared" si="34"/>
        <v>0</v>
      </c>
      <c r="AI300" s="236">
        <f t="shared" si="35"/>
        <v>0</v>
      </c>
      <c r="AJ300" s="252"/>
      <c r="AK300" s="233">
        <v>15.69</v>
      </c>
      <c r="AL300" s="216">
        <v>0.7</v>
      </c>
      <c r="AM300" s="236">
        <v>0</v>
      </c>
      <c r="AN300" s="231">
        <v>0</v>
      </c>
      <c r="AO300" s="231">
        <v>0</v>
      </c>
      <c r="AP300" s="231">
        <v>0</v>
      </c>
      <c r="AQ300" s="231">
        <v>0</v>
      </c>
      <c r="AR300" s="236">
        <v>0</v>
      </c>
      <c r="AS300" s="231">
        <v>0</v>
      </c>
      <c r="AT300" s="231">
        <v>0</v>
      </c>
      <c r="AU300" s="231">
        <v>0</v>
      </c>
      <c r="AV300" s="231"/>
      <c r="AW300" s="236">
        <v>16.899999999999999</v>
      </c>
      <c r="AX300" s="244">
        <v>9.5</v>
      </c>
      <c r="AY300" s="244">
        <v>0</v>
      </c>
      <c r="AZ300" s="244">
        <v>2.2000000000000002</v>
      </c>
      <c r="BA300" s="244">
        <v>1.4</v>
      </c>
      <c r="BB300" s="244">
        <v>2.8</v>
      </c>
      <c r="BC300" s="244">
        <v>0.9</v>
      </c>
      <c r="BD300" s="244">
        <v>46.2</v>
      </c>
      <c r="BE300" s="237">
        <v>0</v>
      </c>
      <c r="BF300" s="244">
        <v>0.1</v>
      </c>
      <c r="BG300" s="244">
        <v>44.8</v>
      </c>
      <c r="BH300" s="244">
        <v>32</v>
      </c>
      <c r="BI300" s="244">
        <v>32</v>
      </c>
      <c r="BJ300" s="244">
        <v>0</v>
      </c>
      <c r="BK300" s="244">
        <v>0</v>
      </c>
      <c r="BL300" s="244">
        <v>0</v>
      </c>
      <c r="BM300" s="244">
        <v>0</v>
      </c>
      <c r="BN300" s="244"/>
      <c r="BO300" s="204">
        <v>0</v>
      </c>
      <c r="BP300" s="204">
        <v>207</v>
      </c>
      <c r="BQ300" s="231"/>
      <c r="BR300" s="231"/>
      <c r="BS300" s="231"/>
      <c r="BT300" s="231"/>
      <c r="BU300" s="231"/>
      <c r="BV300" s="231"/>
      <c r="BW300" s="231"/>
      <c r="BX300" s="231"/>
      <c r="BY300" s="231"/>
      <c r="BZ300" s="231"/>
      <c r="CA300" s="231"/>
      <c r="CB300" s="231"/>
      <c r="CC300" s="231"/>
      <c r="CD300" s="231"/>
      <c r="CE300" s="231"/>
      <c r="CF300" s="231"/>
      <c r="CG300" s="231"/>
      <c r="CH300" s="231"/>
      <c r="CI300" s="231"/>
    </row>
    <row r="301" spans="1:97" ht="25.2" customHeight="1" outlineLevel="1">
      <c r="A301" s="204">
        <v>281</v>
      </c>
      <c r="B301" s="207">
        <v>6012</v>
      </c>
      <c r="C301" s="208" t="s">
        <v>477</v>
      </c>
      <c r="D301" s="194" t="s">
        <v>181</v>
      </c>
      <c r="E301" s="209">
        <f t="shared" si="32"/>
        <v>900</v>
      </c>
      <c r="F301" s="216">
        <v>0</v>
      </c>
      <c r="G301" s="217">
        <v>0</v>
      </c>
      <c r="H301" s="218">
        <v>100</v>
      </c>
      <c r="I301" s="230">
        <f t="shared" si="33"/>
        <v>0</v>
      </c>
      <c r="J301" s="216">
        <v>0</v>
      </c>
      <c r="K301" s="216">
        <v>0</v>
      </c>
      <c r="L301" s="233">
        <v>0</v>
      </c>
      <c r="M301" s="216"/>
      <c r="N301" s="216"/>
      <c r="O301" s="216"/>
      <c r="P301" s="216"/>
      <c r="Q301" s="216"/>
      <c r="R301" s="216"/>
      <c r="S301" s="216"/>
      <c r="T301" s="231"/>
      <c r="U301" s="231"/>
      <c r="V301" s="231"/>
      <c r="W301" s="242"/>
      <c r="X301" s="232"/>
      <c r="Y301" s="231"/>
      <c r="Z301" s="231"/>
      <c r="AA301" s="241"/>
      <c r="AB301" s="241"/>
      <c r="AC301" s="240"/>
      <c r="AD301" s="240"/>
      <c r="AE301" s="236"/>
      <c r="AF301" s="236"/>
      <c r="AG301" s="240"/>
      <c r="AH301" s="240">
        <f t="shared" si="34"/>
        <v>0</v>
      </c>
      <c r="AI301" s="236">
        <f t="shared" si="35"/>
        <v>0</v>
      </c>
      <c r="AJ301" s="252"/>
      <c r="AK301" s="233">
        <v>1.4</v>
      </c>
      <c r="AL301" s="216">
        <v>13.6</v>
      </c>
      <c r="AM301" s="236">
        <v>0</v>
      </c>
      <c r="AN301" s="231">
        <v>0</v>
      </c>
      <c r="AO301" s="231">
        <v>0</v>
      </c>
      <c r="AP301" s="231">
        <v>0</v>
      </c>
      <c r="AQ301" s="231">
        <v>0</v>
      </c>
      <c r="AR301" s="236">
        <v>0</v>
      </c>
      <c r="AS301" s="231">
        <v>0</v>
      </c>
      <c r="AT301" s="231">
        <v>0</v>
      </c>
      <c r="AU301" s="231">
        <v>0</v>
      </c>
      <c r="AV301" s="231"/>
      <c r="AW301" s="236">
        <v>14.2</v>
      </c>
      <c r="AX301" s="244">
        <v>8.9</v>
      </c>
      <c r="AY301" s="244">
        <v>0</v>
      </c>
      <c r="AZ301" s="244">
        <v>4.8</v>
      </c>
      <c r="BA301" s="244">
        <v>0</v>
      </c>
      <c r="BB301" s="244">
        <v>0</v>
      </c>
      <c r="BC301" s="244">
        <v>0</v>
      </c>
      <c r="BD301" s="244">
        <v>39.700000000000003</v>
      </c>
      <c r="BE301" s="237">
        <v>0</v>
      </c>
      <c r="BF301" s="244">
        <v>0.2</v>
      </c>
      <c r="BG301" s="244">
        <v>39.299999999999997</v>
      </c>
      <c r="BH301" s="244">
        <v>41.7</v>
      </c>
      <c r="BI301" s="244">
        <v>41.3</v>
      </c>
      <c r="BJ301" s="244">
        <v>0.3</v>
      </c>
      <c r="BK301" s="244">
        <v>0</v>
      </c>
      <c r="BL301" s="244">
        <v>0</v>
      </c>
      <c r="BM301" s="244">
        <v>0</v>
      </c>
      <c r="BN301" s="244"/>
      <c r="BO301" s="204">
        <v>0</v>
      </c>
      <c r="BP301" s="204">
        <v>865</v>
      </c>
      <c r="BQ301" s="231"/>
      <c r="BR301" s="231"/>
      <c r="BS301" s="231"/>
      <c r="BT301" s="231"/>
      <c r="BU301" s="231"/>
      <c r="BV301" s="231"/>
      <c r="BW301" s="231"/>
      <c r="BX301" s="231"/>
      <c r="BY301" s="231"/>
      <c r="BZ301" s="231"/>
      <c r="CA301" s="231"/>
      <c r="CB301" s="231"/>
      <c r="CC301" s="231"/>
      <c r="CD301" s="231"/>
      <c r="CE301" s="231"/>
      <c r="CF301" s="231"/>
      <c r="CG301" s="231"/>
      <c r="CH301" s="231"/>
      <c r="CI301" s="231"/>
    </row>
    <row r="302" spans="1:97" ht="25.2" customHeight="1" outlineLevel="1">
      <c r="A302" s="204">
        <v>282</v>
      </c>
      <c r="B302" s="207">
        <v>6013</v>
      </c>
      <c r="C302" s="208" t="s">
        <v>478</v>
      </c>
      <c r="D302" s="194" t="s">
        <v>181</v>
      </c>
      <c r="E302" s="209">
        <f t="shared" si="32"/>
        <v>900</v>
      </c>
      <c r="F302" s="216">
        <v>0</v>
      </c>
      <c r="G302" s="217">
        <v>0</v>
      </c>
      <c r="H302" s="218">
        <v>100</v>
      </c>
      <c r="I302" s="230">
        <f t="shared" si="33"/>
        <v>0</v>
      </c>
      <c r="J302" s="216">
        <v>0</v>
      </c>
      <c r="K302" s="216">
        <v>0</v>
      </c>
      <c r="L302" s="233">
        <v>0</v>
      </c>
      <c r="M302" s="216"/>
      <c r="N302" s="216"/>
      <c r="O302" s="216"/>
      <c r="P302" s="216"/>
      <c r="Q302" s="216"/>
      <c r="R302" s="216"/>
      <c r="S302" s="216"/>
      <c r="T302" s="231"/>
      <c r="U302" s="231"/>
      <c r="V302" s="231"/>
      <c r="W302" s="242"/>
      <c r="X302" s="232"/>
      <c r="Y302" s="231"/>
      <c r="Z302" s="231"/>
      <c r="AA302" s="241"/>
      <c r="AB302" s="241"/>
      <c r="AC302" s="240"/>
      <c r="AD302" s="240"/>
      <c r="AE302" s="236"/>
      <c r="AF302" s="236"/>
      <c r="AG302" s="240"/>
      <c r="AH302" s="240">
        <f t="shared" si="34"/>
        <v>0</v>
      </c>
      <c r="AI302" s="236">
        <f t="shared" si="35"/>
        <v>0</v>
      </c>
      <c r="AJ302" s="252"/>
      <c r="AK302" s="233">
        <v>14.3</v>
      </c>
      <c r="AL302" s="216">
        <v>1.9</v>
      </c>
      <c r="AM302" s="236">
        <v>0</v>
      </c>
      <c r="AN302" s="231">
        <v>0</v>
      </c>
      <c r="AO302" s="231">
        <v>0</v>
      </c>
      <c r="AP302" s="231">
        <v>0</v>
      </c>
      <c r="AQ302" s="231">
        <v>0</v>
      </c>
      <c r="AR302" s="236">
        <v>0</v>
      </c>
      <c r="AS302" s="231">
        <v>0</v>
      </c>
      <c r="AT302" s="231">
        <v>0</v>
      </c>
      <c r="AU302" s="231">
        <v>0</v>
      </c>
      <c r="AV302" s="231"/>
      <c r="AW302" s="236">
        <v>12.948</v>
      </c>
      <c r="AX302" s="244">
        <v>10.579000000000001</v>
      </c>
      <c r="AY302" s="244">
        <v>6.7000000000000004E-2</v>
      </c>
      <c r="AZ302" s="244">
        <v>1.8480000000000001</v>
      </c>
      <c r="BA302" s="244">
        <v>0.43099999999999999</v>
      </c>
      <c r="BB302" s="244">
        <v>0</v>
      </c>
      <c r="BC302" s="244"/>
      <c r="BD302" s="244">
        <v>27.576000000000001</v>
      </c>
      <c r="BE302" s="237">
        <v>0</v>
      </c>
      <c r="BF302" s="244">
        <v>0.114</v>
      </c>
      <c r="BG302" s="244">
        <v>27.332999999999998</v>
      </c>
      <c r="BH302" s="244">
        <v>54.677</v>
      </c>
      <c r="BI302" s="244">
        <v>53.23</v>
      </c>
      <c r="BJ302" s="244">
        <v>1.161</v>
      </c>
      <c r="BK302" s="244">
        <v>0</v>
      </c>
      <c r="BL302" s="244">
        <v>0</v>
      </c>
      <c r="BM302" s="244">
        <v>0</v>
      </c>
      <c r="BN302" s="244">
        <v>0.28599999999999998</v>
      </c>
      <c r="BO302" s="204">
        <v>0</v>
      </c>
      <c r="BP302" s="204">
        <v>968</v>
      </c>
      <c r="BQ302" s="231"/>
      <c r="BR302" s="231"/>
      <c r="BS302" s="231"/>
      <c r="BT302" s="231"/>
      <c r="BU302" s="231"/>
      <c r="BV302" s="231"/>
      <c r="BW302" s="231"/>
      <c r="BX302" s="231"/>
      <c r="BY302" s="231"/>
      <c r="BZ302" s="231"/>
      <c r="CA302" s="231"/>
      <c r="CB302" s="231"/>
      <c r="CC302" s="231"/>
      <c r="CD302" s="231"/>
      <c r="CE302" s="231"/>
      <c r="CF302" s="231"/>
      <c r="CG302" s="231"/>
      <c r="CH302" s="231"/>
      <c r="CI302" s="231"/>
    </row>
    <row r="303" spans="1:97" ht="25.2" customHeight="1" outlineLevel="1">
      <c r="A303" s="204">
        <v>283</v>
      </c>
      <c r="B303" s="207">
        <v>6014</v>
      </c>
      <c r="C303" s="208" t="s">
        <v>479</v>
      </c>
      <c r="D303" s="194" t="s">
        <v>181</v>
      </c>
      <c r="E303" s="209">
        <f t="shared" si="32"/>
        <v>900</v>
      </c>
      <c r="F303" s="216">
        <v>0</v>
      </c>
      <c r="G303" s="217">
        <v>0</v>
      </c>
      <c r="H303" s="218">
        <v>100</v>
      </c>
      <c r="I303" s="230">
        <f t="shared" si="33"/>
        <v>0</v>
      </c>
      <c r="J303" s="216">
        <v>0</v>
      </c>
      <c r="K303" s="216">
        <v>0</v>
      </c>
      <c r="L303" s="233">
        <v>0</v>
      </c>
      <c r="M303" s="216">
        <v>1</v>
      </c>
      <c r="N303" s="216"/>
      <c r="O303" s="216">
        <v>0.56000000000000005</v>
      </c>
      <c r="P303" s="216"/>
      <c r="Q303" s="216"/>
      <c r="R303" s="216"/>
      <c r="S303" s="216"/>
      <c r="T303" s="231">
        <v>2</v>
      </c>
      <c r="U303" s="231">
        <v>1</v>
      </c>
      <c r="V303" s="231"/>
      <c r="W303" s="242"/>
      <c r="X303" s="232"/>
      <c r="Y303" s="231"/>
      <c r="Z303" s="231"/>
      <c r="AA303" s="241"/>
      <c r="AB303" s="241"/>
      <c r="AC303" s="240"/>
      <c r="AD303" s="240"/>
      <c r="AE303" s="236"/>
      <c r="AF303" s="236"/>
      <c r="AG303" s="240"/>
      <c r="AH303" s="240">
        <f t="shared" si="34"/>
        <v>0</v>
      </c>
      <c r="AI303" s="236">
        <f t="shared" si="35"/>
        <v>0</v>
      </c>
      <c r="AJ303" s="252"/>
      <c r="AK303" s="233">
        <v>14.35</v>
      </c>
      <c r="AL303" s="216">
        <v>60.2</v>
      </c>
      <c r="AM303" s="236">
        <v>0</v>
      </c>
      <c r="AN303" s="231">
        <v>0</v>
      </c>
      <c r="AO303" s="231">
        <v>0</v>
      </c>
      <c r="AP303" s="231">
        <v>0</v>
      </c>
      <c r="AQ303" s="231">
        <v>0</v>
      </c>
      <c r="AR303" s="236">
        <v>0</v>
      </c>
      <c r="AS303" s="231">
        <v>0</v>
      </c>
      <c r="AT303" s="231">
        <v>0</v>
      </c>
      <c r="AU303" s="231">
        <v>0</v>
      </c>
      <c r="AV303" s="231"/>
      <c r="AW303" s="236">
        <v>13.808</v>
      </c>
      <c r="AX303" s="244">
        <v>11.29</v>
      </c>
      <c r="AY303" s="244">
        <v>2.1999999999999999E-2</v>
      </c>
      <c r="AZ303" s="244">
        <v>1.9530000000000001</v>
      </c>
      <c r="BA303" s="244">
        <v>0.41399999999999998</v>
      </c>
      <c r="BB303" s="244">
        <v>0.129</v>
      </c>
      <c r="BC303" s="244">
        <v>0</v>
      </c>
      <c r="BD303" s="244">
        <v>72.960999999999999</v>
      </c>
      <c r="BE303" s="237">
        <v>0</v>
      </c>
      <c r="BF303" s="244">
        <v>1.2549999999999999</v>
      </c>
      <c r="BG303" s="244">
        <v>71.269000000000005</v>
      </c>
      <c r="BH303" s="244">
        <v>10.523</v>
      </c>
      <c r="BI303" s="244">
        <v>9.7620000000000005</v>
      </c>
      <c r="BJ303" s="244">
        <v>0.76100000000000001</v>
      </c>
      <c r="BK303" s="244">
        <v>0</v>
      </c>
      <c r="BL303" s="244">
        <v>0</v>
      </c>
      <c r="BM303" s="244">
        <v>0</v>
      </c>
      <c r="BN303" s="244"/>
      <c r="BO303" s="204">
        <v>0</v>
      </c>
      <c r="BP303" s="204">
        <v>221</v>
      </c>
      <c r="BQ303" s="231"/>
      <c r="BR303" s="231"/>
      <c r="BS303" s="231"/>
      <c r="BT303" s="231"/>
      <c r="BU303" s="231"/>
      <c r="BV303" s="231"/>
      <c r="BW303" s="231"/>
      <c r="BX303" s="231"/>
      <c r="BY303" s="231"/>
      <c r="BZ303" s="231"/>
      <c r="CA303" s="231"/>
      <c r="CB303" s="231"/>
      <c r="CC303" s="231"/>
      <c r="CD303" s="231"/>
      <c r="CE303" s="231"/>
      <c r="CF303" s="231"/>
      <c r="CG303" s="231"/>
      <c r="CH303" s="231"/>
      <c r="CI303" s="231"/>
    </row>
    <row r="304" spans="1:97" s="169" customFormat="1" ht="7.05" customHeight="1">
      <c r="A304" s="196"/>
      <c r="B304" s="196"/>
      <c r="C304" s="197"/>
      <c r="D304" s="198"/>
      <c r="E304" s="199"/>
      <c r="F304" s="199"/>
      <c r="G304" s="200"/>
      <c r="H304" s="201"/>
      <c r="I304" s="228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  <c r="AD304" s="199"/>
      <c r="AE304" s="199"/>
      <c r="AF304" s="199"/>
      <c r="AG304" s="199"/>
      <c r="AH304" s="199"/>
      <c r="AI304" s="199"/>
      <c r="AJ304" s="250"/>
      <c r="AK304" s="199"/>
      <c r="AL304" s="199"/>
      <c r="AM304" s="199"/>
      <c r="AN304" s="199"/>
      <c r="AO304" s="199"/>
      <c r="AP304" s="199"/>
      <c r="AQ304" s="199"/>
      <c r="AR304" s="199"/>
      <c r="AS304" s="199"/>
      <c r="AT304" s="199"/>
      <c r="AU304" s="199"/>
      <c r="AV304" s="199"/>
      <c r="AW304" s="199"/>
      <c r="AX304" s="199"/>
      <c r="AY304" s="199"/>
      <c r="AZ304" s="199"/>
      <c r="BA304" s="199"/>
      <c r="BB304" s="199"/>
      <c r="BC304" s="199"/>
      <c r="BD304" s="199"/>
      <c r="BE304" s="199"/>
      <c r="BF304" s="199"/>
      <c r="BG304" s="199"/>
      <c r="BH304" s="199"/>
      <c r="BI304" s="199"/>
      <c r="BJ304" s="199"/>
      <c r="BK304" s="199"/>
      <c r="BL304" s="199"/>
      <c r="BM304" s="199"/>
      <c r="BN304" s="199"/>
      <c r="BO304" s="199"/>
      <c r="BP304" s="199"/>
      <c r="BQ304" s="199"/>
      <c r="BR304" s="199"/>
      <c r="BS304" s="199"/>
      <c r="BT304" s="199"/>
      <c r="BU304" s="199"/>
      <c r="BV304" s="199"/>
      <c r="BW304" s="199"/>
      <c r="BX304" s="199"/>
      <c r="BY304" s="199"/>
      <c r="BZ304" s="199"/>
      <c r="CA304" s="199"/>
      <c r="CB304" s="199"/>
      <c r="CC304" s="199"/>
      <c r="CD304" s="199"/>
      <c r="CE304" s="199"/>
      <c r="CF304" s="199"/>
      <c r="CG304" s="199"/>
      <c r="CH304" s="199"/>
      <c r="CI304" s="199"/>
    </row>
    <row r="305" spans="1:87" ht="25.2" customHeight="1">
      <c r="A305" s="204"/>
      <c r="B305" s="202"/>
      <c r="C305" s="203" t="s">
        <v>480</v>
      </c>
      <c r="D305" s="194"/>
      <c r="E305" s="209"/>
      <c r="F305" s="204"/>
      <c r="G305" s="205"/>
      <c r="H305" s="206"/>
      <c r="I305" s="230"/>
      <c r="J305" s="204"/>
      <c r="K305" s="204"/>
      <c r="L305" s="213"/>
      <c r="M305" s="237"/>
      <c r="N305" s="237"/>
      <c r="O305" s="237"/>
      <c r="P305" s="237"/>
      <c r="Q305" s="237"/>
      <c r="R305" s="237"/>
      <c r="S305" s="237"/>
      <c r="T305" s="231"/>
      <c r="U305" s="231"/>
      <c r="V305" s="231"/>
      <c r="W305" s="242"/>
      <c r="X305" s="232"/>
      <c r="Y305" s="231"/>
      <c r="Z305" s="231"/>
      <c r="AA305" s="244"/>
      <c r="AB305" s="244"/>
      <c r="AC305" s="243"/>
      <c r="AD305" s="243"/>
      <c r="AE305" s="204"/>
      <c r="AF305" s="204"/>
      <c r="AG305" s="243"/>
      <c r="AH305" s="243"/>
      <c r="AI305" s="204"/>
      <c r="AJ305" s="253"/>
      <c r="AK305" s="213"/>
      <c r="AL305" s="237"/>
      <c r="AM305" s="204"/>
      <c r="AN305" s="231"/>
      <c r="AO305" s="231"/>
      <c r="AP305" s="231"/>
      <c r="AQ305" s="231"/>
      <c r="AR305" s="231"/>
      <c r="AS305" s="231"/>
      <c r="AT305" s="231"/>
      <c r="AU305" s="231"/>
      <c r="AV305" s="231"/>
      <c r="AW305" s="204"/>
      <c r="AX305" s="242"/>
      <c r="AY305" s="242"/>
      <c r="AZ305" s="242"/>
      <c r="BA305" s="242"/>
      <c r="BB305" s="242"/>
      <c r="BC305" s="242"/>
      <c r="BD305" s="242"/>
      <c r="BE305" s="231"/>
      <c r="BF305" s="242"/>
      <c r="BG305" s="242"/>
      <c r="BH305" s="242"/>
      <c r="BI305" s="242"/>
      <c r="BJ305" s="242"/>
      <c r="BK305" s="242"/>
      <c r="BL305" s="242"/>
      <c r="BM305" s="242"/>
      <c r="BN305" s="242"/>
      <c r="BO305" s="231"/>
      <c r="BP305" s="231"/>
      <c r="BQ305" s="231"/>
      <c r="BR305" s="231"/>
      <c r="BS305" s="231"/>
      <c r="BT305" s="231"/>
      <c r="BU305" s="231"/>
      <c r="BV305" s="231"/>
      <c r="BW305" s="231"/>
      <c r="BX305" s="231"/>
      <c r="BY305" s="231"/>
      <c r="BZ305" s="231"/>
      <c r="CA305" s="231"/>
      <c r="CB305" s="231"/>
      <c r="CC305" s="231"/>
      <c r="CD305" s="231"/>
      <c r="CE305" s="231"/>
      <c r="CF305" s="231"/>
      <c r="CG305" s="231"/>
      <c r="CH305" s="231"/>
      <c r="CI305" s="231"/>
    </row>
    <row r="306" spans="1:87" ht="25.2" customHeight="1" outlineLevel="1">
      <c r="A306" s="204">
        <v>284</v>
      </c>
      <c r="B306" s="207">
        <v>7001</v>
      </c>
      <c r="C306" s="208" t="s">
        <v>481</v>
      </c>
      <c r="D306" s="194" t="s">
        <v>468</v>
      </c>
      <c r="E306" s="209">
        <f t="shared" ref="E306:E369" si="36">G306*4+H306*9+I306*4</f>
        <v>143.5</v>
      </c>
      <c r="F306" s="216">
        <v>72.8</v>
      </c>
      <c r="G306" s="217">
        <v>19</v>
      </c>
      <c r="H306" s="218">
        <v>7.5</v>
      </c>
      <c r="I306" s="230">
        <f t="shared" ref="I306:I369" si="37">100-SUM(F306,G306,H306,K306)</f>
        <v>0</v>
      </c>
      <c r="J306" s="216">
        <v>0</v>
      </c>
      <c r="K306" s="216">
        <v>0.7</v>
      </c>
      <c r="L306" s="233">
        <v>0</v>
      </c>
      <c r="M306" s="216">
        <v>8</v>
      </c>
      <c r="N306" s="216">
        <v>188</v>
      </c>
      <c r="O306" s="216">
        <v>1.7</v>
      </c>
      <c r="P306" s="216">
        <v>2</v>
      </c>
      <c r="Q306" s="216">
        <v>0.23</v>
      </c>
      <c r="R306" s="216">
        <v>0.25</v>
      </c>
      <c r="S306" s="216">
        <v>6.2</v>
      </c>
      <c r="T306" s="231">
        <v>76</v>
      </c>
      <c r="U306" s="231">
        <v>329</v>
      </c>
      <c r="V306" s="231">
        <v>24</v>
      </c>
      <c r="W306" s="242">
        <v>2.7E-2</v>
      </c>
      <c r="X306" s="232">
        <v>2.5499999999999998</v>
      </c>
      <c r="Y306" s="231">
        <v>110</v>
      </c>
      <c r="Z306" s="231">
        <v>8.5</v>
      </c>
      <c r="AA306" s="241">
        <v>1.36</v>
      </c>
      <c r="AB306" s="241">
        <v>0.49</v>
      </c>
      <c r="AC306" s="240">
        <v>13</v>
      </c>
      <c r="AD306" s="240"/>
      <c r="AE306" s="233">
        <v>0</v>
      </c>
      <c r="AF306" s="233">
        <v>1.27</v>
      </c>
      <c r="AG306" s="240">
        <v>0</v>
      </c>
      <c r="AH306" s="240">
        <f t="shared" ref="AH306:AH369" si="38">AG306*3.33</f>
        <v>0</v>
      </c>
      <c r="AI306" s="236">
        <f t="shared" ref="AI306:AI369" si="39">AG306+AM306/12+AN306/24+AO306/24</f>
        <v>0</v>
      </c>
      <c r="AJ306" s="252"/>
      <c r="AK306" s="233">
        <v>0.25</v>
      </c>
      <c r="AL306" s="216">
        <v>4.5999999999999996</v>
      </c>
      <c r="AM306" s="236">
        <v>0</v>
      </c>
      <c r="AN306" s="236">
        <v>0</v>
      </c>
      <c r="AO306" s="236">
        <v>0</v>
      </c>
      <c r="AP306" s="236">
        <v>0</v>
      </c>
      <c r="AQ306" s="236">
        <v>0</v>
      </c>
      <c r="AR306" s="236">
        <v>0</v>
      </c>
      <c r="AS306" s="236">
        <v>0</v>
      </c>
      <c r="AT306" s="236">
        <v>0</v>
      </c>
      <c r="AU306" s="236">
        <v>0</v>
      </c>
      <c r="AV306" s="231"/>
      <c r="AW306" s="236">
        <v>3.35</v>
      </c>
      <c r="AX306" s="242">
        <v>1.76</v>
      </c>
      <c r="AY306" s="242">
        <v>0</v>
      </c>
      <c r="AZ306" s="242">
        <v>1.1000000000000001</v>
      </c>
      <c r="BA306" s="242">
        <v>0</v>
      </c>
      <c r="BB306" s="242">
        <v>0</v>
      </c>
      <c r="BC306" s="242">
        <v>0</v>
      </c>
      <c r="BD306" s="242">
        <v>3.04</v>
      </c>
      <c r="BE306" s="231">
        <v>0</v>
      </c>
      <c r="BF306" s="242">
        <v>0.35</v>
      </c>
      <c r="BG306" s="242">
        <v>2.6</v>
      </c>
      <c r="BH306" s="242">
        <v>0.51</v>
      </c>
      <c r="BI306" s="242">
        <v>0.39</v>
      </c>
      <c r="BJ306" s="242">
        <v>0.06</v>
      </c>
      <c r="BK306" s="242">
        <v>0.06</v>
      </c>
      <c r="BL306" s="242">
        <v>0</v>
      </c>
      <c r="BM306" s="242">
        <v>0</v>
      </c>
      <c r="BN306" s="242"/>
      <c r="BO306" s="231">
        <v>78</v>
      </c>
      <c r="BP306" s="231"/>
      <c r="BQ306" s="204">
        <v>1544</v>
      </c>
      <c r="BR306" s="204">
        <v>473</v>
      </c>
      <c r="BS306" s="204">
        <v>199</v>
      </c>
      <c r="BT306" s="204">
        <v>756</v>
      </c>
      <c r="BU306" s="204">
        <v>788</v>
      </c>
      <c r="BV306" s="204">
        <v>977</v>
      </c>
      <c r="BW306" s="204">
        <v>1481</v>
      </c>
      <c r="BX306" s="204">
        <v>946</v>
      </c>
      <c r="BY306" s="204">
        <v>1229</v>
      </c>
      <c r="BZ306" s="204">
        <v>630</v>
      </c>
      <c r="CA306" s="204">
        <v>158</v>
      </c>
      <c r="CB306" s="204">
        <v>662</v>
      </c>
      <c r="CC306" s="204">
        <v>1135</v>
      </c>
      <c r="CD306" s="204">
        <v>1734</v>
      </c>
      <c r="CE306" s="204">
        <v>2648</v>
      </c>
      <c r="CF306" s="204">
        <v>1009</v>
      </c>
      <c r="CG306" s="204">
        <v>851</v>
      </c>
      <c r="CH306" s="204">
        <v>788</v>
      </c>
      <c r="CI306" s="231"/>
    </row>
    <row r="307" spans="1:87" ht="25.2" customHeight="1" outlineLevel="1">
      <c r="A307" s="204">
        <v>285</v>
      </c>
      <c r="B307" s="207">
        <v>7002</v>
      </c>
      <c r="C307" s="208" t="s">
        <v>482</v>
      </c>
      <c r="D307" s="194" t="s">
        <v>468</v>
      </c>
      <c r="E307" s="209">
        <f t="shared" si="36"/>
        <v>84.5</v>
      </c>
      <c r="F307" s="216">
        <v>78.2</v>
      </c>
      <c r="G307" s="217">
        <v>20</v>
      </c>
      <c r="H307" s="218">
        <v>0.5</v>
      </c>
      <c r="I307" s="230">
        <f t="shared" si="37"/>
        <v>0</v>
      </c>
      <c r="J307" s="216">
        <v>0</v>
      </c>
      <c r="K307" s="216">
        <v>1.3</v>
      </c>
      <c r="L307" s="233">
        <v>0</v>
      </c>
      <c r="M307" s="216">
        <v>8</v>
      </c>
      <c r="N307" s="216">
        <v>176</v>
      </c>
      <c r="O307" s="216">
        <v>1.7</v>
      </c>
      <c r="P307" s="216">
        <v>2</v>
      </c>
      <c r="Q307" s="216">
        <v>0.23</v>
      </c>
      <c r="R307" s="216">
        <v>0.25</v>
      </c>
      <c r="S307" s="216">
        <v>6.2</v>
      </c>
      <c r="T307" s="231">
        <v>80</v>
      </c>
      <c r="U307" s="231">
        <v>348</v>
      </c>
      <c r="V307" s="231">
        <v>26</v>
      </c>
      <c r="W307" s="242">
        <v>2.9000000000000001E-2</v>
      </c>
      <c r="X307" s="232">
        <v>2.73</v>
      </c>
      <c r="Y307" s="231">
        <v>116</v>
      </c>
      <c r="Z307" s="231">
        <v>8.6999999999999993</v>
      </c>
      <c r="AA307" s="241">
        <v>1.45</v>
      </c>
      <c r="AB307" s="241">
        <v>0.52</v>
      </c>
      <c r="AC307" s="240">
        <v>14</v>
      </c>
      <c r="AD307" s="240"/>
      <c r="AE307" s="233">
        <v>0</v>
      </c>
      <c r="AF307" s="233">
        <v>1.34</v>
      </c>
      <c r="AG307" s="240">
        <v>0</v>
      </c>
      <c r="AH307" s="240">
        <f t="shared" si="38"/>
        <v>0</v>
      </c>
      <c r="AI307" s="236">
        <f t="shared" si="39"/>
        <v>0</v>
      </c>
      <c r="AJ307" s="252"/>
      <c r="AK307" s="233">
        <v>0.25</v>
      </c>
      <c r="AL307" s="216"/>
      <c r="AM307" s="236">
        <v>0</v>
      </c>
      <c r="AN307" s="236">
        <v>0</v>
      </c>
      <c r="AO307" s="236">
        <v>0</v>
      </c>
      <c r="AP307" s="236">
        <v>0</v>
      </c>
      <c r="AQ307" s="236">
        <v>0</v>
      </c>
      <c r="AR307" s="236">
        <v>0</v>
      </c>
      <c r="AS307" s="236">
        <v>0</v>
      </c>
      <c r="AT307" s="236">
        <v>0</v>
      </c>
      <c r="AU307" s="236">
        <v>0</v>
      </c>
      <c r="AV307" s="231">
        <v>172</v>
      </c>
      <c r="AW307" s="236">
        <v>0.78</v>
      </c>
      <c r="AX307" s="242">
        <v>0.44</v>
      </c>
      <c r="AY307" s="242">
        <v>0</v>
      </c>
      <c r="AZ307" s="242">
        <v>0.27</v>
      </c>
      <c r="BA307" s="242">
        <v>0</v>
      </c>
      <c r="BB307" s="242">
        <v>0</v>
      </c>
      <c r="BC307" s="242">
        <v>0</v>
      </c>
      <c r="BD307" s="242">
        <v>0.83</v>
      </c>
      <c r="BE307" s="231">
        <v>0</v>
      </c>
      <c r="BF307" s="242">
        <v>0.08</v>
      </c>
      <c r="BG307" s="242">
        <v>0.74</v>
      </c>
      <c r="BH307" s="242">
        <v>0.27</v>
      </c>
      <c r="BI307" s="242">
        <v>0.19</v>
      </c>
      <c r="BJ307" s="242">
        <v>0.01</v>
      </c>
      <c r="BK307" s="242">
        <v>7.0000000000000007E-2</v>
      </c>
      <c r="BL307" s="242">
        <v>0</v>
      </c>
      <c r="BM307" s="242">
        <v>0</v>
      </c>
      <c r="BN307" s="242"/>
      <c r="BO307" s="231">
        <v>79</v>
      </c>
      <c r="BP307" s="231"/>
      <c r="BQ307" s="204">
        <v>1560.5</v>
      </c>
      <c r="BR307" s="204">
        <v>478</v>
      </c>
      <c r="BS307" s="204">
        <v>201</v>
      </c>
      <c r="BT307" s="204">
        <v>764</v>
      </c>
      <c r="BU307" s="204">
        <v>796</v>
      </c>
      <c r="BV307" s="204">
        <v>987</v>
      </c>
      <c r="BW307" s="204">
        <v>1496</v>
      </c>
      <c r="BX307" s="204">
        <v>955</v>
      </c>
      <c r="BY307" s="204">
        <v>1242</v>
      </c>
      <c r="BZ307" s="204">
        <v>637</v>
      </c>
      <c r="CA307" s="204">
        <v>159</v>
      </c>
      <c r="CB307" s="204">
        <v>669</v>
      </c>
      <c r="CC307" s="204">
        <v>1146</v>
      </c>
      <c r="CD307" s="204">
        <v>1751</v>
      </c>
      <c r="CE307" s="204">
        <v>2675</v>
      </c>
      <c r="CF307" s="204">
        <v>1019</v>
      </c>
      <c r="CG307" s="204">
        <v>860</v>
      </c>
      <c r="CH307" s="204">
        <v>796</v>
      </c>
      <c r="CI307" s="231"/>
    </row>
    <row r="308" spans="1:87" ht="25.2" customHeight="1" outlineLevel="1">
      <c r="A308" s="204">
        <v>286</v>
      </c>
      <c r="B308" s="207">
        <v>7003</v>
      </c>
      <c r="C308" s="208" t="s">
        <v>483</v>
      </c>
      <c r="D308" s="194" t="s">
        <v>468</v>
      </c>
      <c r="E308" s="209">
        <f t="shared" si="36"/>
        <v>118.2</v>
      </c>
      <c r="F308" s="216">
        <v>74.099999999999994</v>
      </c>
      <c r="G308" s="217">
        <v>21</v>
      </c>
      <c r="H308" s="218">
        <v>3.8</v>
      </c>
      <c r="I308" s="230">
        <f t="shared" si="37"/>
        <v>0</v>
      </c>
      <c r="J308" s="216">
        <v>0</v>
      </c>
      <c r="K308" s="216">
        <v>1.1000000000000001</v>
      </c>
      <c r="L308" s="233"/>
      <c r="M308" s="216">
        <v>12</v>
      </c>
      <c r="N308" s="216">
        <v>226</v>
      </c>
      <c r="O308" s="216">
        <v>3.1</v>
      </c>
      <c r="P308" s="216">
        <v>1</v>
      </c>
      <c r="Q308" s="216">
        <v>0.1</v>
      </c>
      <c r="R308" s="216">
        <v>0.17</v>
      </c>
      <c r="S308" s="216">
        <v>4.2</v>
      </c>
      <c r="T308" s="240">
        <v>83</v>
      </c>
      <c r="U308" s="240">
        <v>378</v>
      </c>
      <c r="V308" s="240">
        <v>28</v>
      </c>
      <c r="W308" s="242"/>
      <c r="X308" s="233">
        <v>2.2000000000000002</v>
      </c>
      <c r="Y308" s="240">
        <v>160</v>
      </c>
      <c r="Z308" s="231"/>
      <c r="AA308" s="241"/>
      <c r="AB308" s="241"/>
      <c r="AC308" s="240"/>
      <c r="AD308" s="240"/>
      <c r="AE308" s="233"/>
      <c r="AF308" s="233"/>
      <c r="AG308" s="236">
        <v>0</v>
      </c>
      <c r="AH308" s="240">
        <f t="shared" si="38"/>
        <v>0</v>
      </c>
      <c r="AI308" s="236">
        <f t="shared" si="39"/>
        <v>0</v>
      </c>
      <c r="AJ308" s="252"/>
      <c r="AK308" s="233"/>
      <c r="AL308" s="216"/>
      <c r="AM308" s="236"/>
      <c r="AN308" s="236"/>
      <c r="AO308" s="236"/>
      <c r="AP308" s="236"/>
      <c r="AQ308" s="236"/>
      <c r="AR308" s="236"/>
      <c r="AS308" s="236"/>
      <c r="AT308" s="236"/>
      <c r="AU308" s="236"/>
      <c r="AV308" s="231"/>
      <c r="AW308" s="236"/>
      <c r="AX308" s="242">
        <v>0.9</v>
      </c>
      <c r="AY308" s="242"/>
      <c r="AZ308" s="242">
        <v>0.63</v>
      </c>
      <c r="BA308" s="242"/>
      <c r="BB308" s="242"/>
      <c r="BC308" s="242"/>
      <c r="BD308" s="242"/>
      <c r="BE308" s="231"/>
      <c r="BF308" s="242"/>
      <c r="BG308" s="242"/>
      <c r="BH308" s="242"/>
      <c r="BI308" s="242">
        <v>0.09</v>
      </c>
      <c r="BJ308" s="242">
        <v>0.03</v>
      </c>
      <c r="BK308" s="242"/>
      <c r="BL308" s="242"/>
      <c r="BM308" s="242"/>
      <c r="BN308" s="242"/>
      <c r="BO308" s="231">
        <v>59</v>
      </c>
      <c r="BP308" s="231"/>
      <c r="BQ308" s="204">
        <v>1860</v>
      </c>
      <c r="BR308" s="204">
        <v>564</v>
      </c>
      <c r="BS308" s="204">
        <v>234</v>
      </c>
      <c r="BT308" s="204">
        <v>920</v>
      </c>
      <c r="BU308" s="204">
        <v>959</v>
      </c>
      <c r="BV308" s="204">
        <v>1047</v>
      </c>
      <c r="BW308" s="204">
        <v>1695</v>
      </c>
      <c r="BX308" s="204">
        <v>1005</v>
      </c>
      <c r="BY308" s="204">
        <v>1321</v>
      </c>
      <c r="BZ308" s="204">
        <v>713</v>
      </c>
      <c r="CA308" s="204">
        <v>268</v>
      </c>
      <c r="CB308" s="204">
        <v>752</v>
      </c>
      <c r="CC308" s="204">
        <v>1221</v>
      </c>
      <c r="CD308" s="204">
        <v>179</v>
      </c>
      <c r="CE308" s="204">
        <v>3194</v>
      </c>
      <c r="CF308" s="204">
        <v>1016</v>
      </c>
      <c r="CG308" s="204">
        <v>790</v>
      </c>
      <c r="CH308" s="204">
        <v>842</v>
      </c>
      <c r="CI308" s="231"/>
    </row>
    <row r="309" spans="1:87" ht="25.2" customHeight="1" outlineLevel="1">
      <c r="A309" s="204">
        <v>287</v>
      </c>
      <c r="B309" s="207">
        <v>7004</v>
      </c>
      <c r="C309" s="208" t="s">
        <v>484</v>
      </c>
      <c r="D309" s="194" t="s">
        <v>468</v>
      </c>
      <c r="E309" s="209">
        <f t="shared" si="36"/>
        <v>166.5</v>
      </c>
      <c r="F309" s="216">
        <v>70.5</v>
      </c>
      <c r="G309" s="217">
        <v>18</v>
      </c>
      <c r="H309" s="218">
        <v>10.5</v>
      </c>
      <c r="I309" s="230">
        <f t="shared" si="37"/>
        <v>0</v>
      </c>
      <c r="J309" s="216">
        <v>0</v>
      </c>
      <c r="K309" s="216">
        <v>1</v>
      </c>
      <c r="L309" s="233"/>
      <c r="M309" s="216">
        <v>10</v>
      </c>
      <c r="N309" s="216">
        <v>194</v>
      </c>
      <c r="O309" s="216">
        <v>2.7</v>
      </c>
      <c r="P309" s="216">
        <v>1</v>
      </c>
      <c r="Q309" s="216">
        <v>0.1</v>
      </c>
      <c r="R309" s="216">
        <v>0.17</v>
      </c>
      <c r="S309" s="216">
        <v>4.2</v>
      </c>
      <c r="T309" s="231"/>
      <c r="U309" s="231"/>
      <c r="V309" s="231"/>
      <c r="W309" s="242"/>
      <c r="X309" s="232"/>
      <c r="Y309" s="231"/>
      <c r="Z309" s="231"/>
      <c r="AA309" s="241"/>
      <c r="AB309" s="241"/>
      <c r="AC309" s="240"/>
      <c r="AD309" s="240"/>
      <c r="AE309" s="233"/>
      <c r="AF309" s="233"/>
      <c r="AG309" s="236">
        <v>2</v>
      </c>
      <c r="AH309" s="240">
        <f t="shared" si="38"/>
        <v>6.66</v>
      </c>
      <c r="AI309" s="236">
        <f t="shared" si="39"/>
        <v>2</v>
      </c>
      <c r="AJ309" s="252"/>
      <c r="AK309" s="233"/>
      <c r="AL309" s="216"/>
      <c r="AM309" s="236"/>
      <c r="AN309" s="236"/>
      <c r="AO309" s="236"/>
      <c r="AP309" s="236"/>
      <c r="AQ309" s="236"/>
      <c r="AR309" s="236"/>
      <c r="AS309" s="236"/>
      <c r="AT309" s="236"/>
      <c r="AU309" s="236"/>
      <c r="AV309" s="231"/>
      <c r="AW309" s="236"/>
      <c r="AX309" s="242"/>
      <c r="AY309" s="242"/>
      <c r="AZ309" s="242"/>
      <c r="BA309" s="242"/>
      <c r="BB309" s="242"/>
      <c r="BC309" s="242"/>
      <c r="BD309" s="242"/>
      <c r="BE309" s="231"/>
      <c r="BF309" s="242"/>
      <c r="BG309" s="242"/>
      <c r="BH309" s="242"/>
      <c r="BI309" s="242"/>
      <c r="BJ309" s="242"/>
      <c r="BK309" s="242"/>
      <c r="BL309" s="242"/>
      <c r="BM309" s="242"/>
      <c r="BN309" s="242"/>
      <c r="BO309" s="231"/>
      <c r="BP309" s="231"/>
      <c r="BQ309" s="204">
        <v>1557</v>
      </c>
      <c r="BR309" s="204">
        <v>456</v>
      </c>
      <c r="BS309" s="204">
        <v>184</v>
      </c>
      <c r="BT309" s="204">
        <v>770</v>
      </c>
      <c r="BU309" s="204">
        <v>809</v>
      </c>
      <c r="BV309" s="204">
        <v>889</v>
      </c>
      <c r="BW309" s="204">
        <v>1419</v>
      </c>
      <c r="BX309" s="204">
        <v>833</v>
      </c>
      <c r="BY309" s="204">
        <v>1246</v>
      </c>
      <c r="BZ309" s="204">
        <v>580</v>
      </c>
      <c r="CA309" s="204">
        <v>208</v>
      </c>
      <c r="CB309" s="204">
        <v>595</v>
      </c>
      <c r="CC309" s="204">
        <v>1181</v>
      </c>
      <c r="CD309" s="204">
        <v>1633</v>
      </c>
      <c r="CE309" s="204">
        <v>2773</v>
      </c>
      <c r="CF309" s="204">
        <v>1484</v>
      </c>
      <c r="CG309" s="204">
        <v>982</v>
      </c>
      <c r="CH309" s="204">
        <v>740</v>
      </c>
      <c r="CI309" s="231"/>
    </row>
    <row r="310" spans="1:87" ht="25.2" customHeight="1" outlineLevel="1">
      <c r="A310" s="204">
        <v>288</v>
      </c>
      <c r="B310" s="207">
        <v>7005</v>
      </c>
      <c r="C310" s="208" t="s">
        <v>485</v>
      </c>
      <c r="D310" s="194" t="s">
        <v>468</v>
      </c>
      <c r="E310" s="209">
        <f t="shared" si="36"/>
        <v>105.32</v>
      </c>
      <c r="F310" s="216">
        <v>72.680000000000007</v>
      </c>
      <c r="G310" s="217">
        <v>23.07</v>
      </c>
      <c r="H310" s="218"/>
      <c r="I310" s="230">
        <f t="shared" si="37"/>
        <v>3.26</v>
      </c>
      <c r="J310" s="216">
        <v>0</v>
      </c>
      <c r="K310" s="216">
        <v>0.99</v>
      </c>
      <c r="L310" s="233">
        <v>0</v>
      </c>
      <c r="M310" s="216">
        <v>23</v>
      </c>
      <c r="N310" s="216">
        <v>214</v>
      </c>
      <c r="O310" s="216">
        <v>1.63</v>
      </c>
      <c r="P310" s="216">
        <v>0</v>
      </c>
      <c r="Q310" s="216">
        <v>7.8E-2</v>
      </c>
      <c r="R310" s="216">
        <v>0.124</v>
      </c>
      <c r="S310" s="216">
        <v>6.7030000000000003</v>
      </c>
      <c r="T310" s="231">
        <v>57</v>
      </c>
      <c r="U310" s="231">
        <v>361</v>
      </c>
      <c r="V310" s="231">
        <v>24</v>
      </c>
      <c r="W310" s="241">
        <v>1.0999999999999999E-2</v>
      </c>
      <c r="X310" s="231">
        <v>4.05</v>
      </c>
      <c r="Y310" s="231">
        <v>78</v>
      </c>
      <c r="Z310" s="216">
        <v>31.2</v>
      </c>
      <c r="AA310" s="241">
        <v>0.67800000000000005</v>
      </c>
      <c r="AB310" s="241">
        <v>0.65100000000000002</v>
      </c>
      <c r="AC310" s="240">
        <v>13</v>
      </c>
      <c r="AD310" s="240">
        <v>0</v>
      </c>
      <c r="AE310" s="233">
        <v>0</v>
      </c>
      <c r="AF310" s="233">
        <v>0.98</v>
      </c>
      <c r="AG310" s="240">
        <v>0</v>
      </c>
      <c r="AH310" s="240">
        <f t="shared" si="38"/>
        <v>0</v>
      </c>
      <c r="AI310" s="236">
        <f t="shared" si="39"/>
        <v>0</v>
      </c>
      <c r="AJ310" s="252"/>
      <c r="AK310" s="233">
        <v>0.28999999999999998</v>
      </c>
      <c r="AL310" s="216">
        <v>1.2</v>
      </c>
      <c r="AM310" s="236">
        <v>0</v>
      </c>
      <c r="AN310" s="236">
        <v>0</v>
      </c>
      <c r="AO310" s="236">
        <v>0</v>
      </c>
      <c r="AP310" s="236">
        <v>0</v>
      </c>
      <c r="AQ310" s="236">
        <v>0</v>
      </c>
      <c r="AR310" s="236">
        <v>0</v>
      </c>
      <c r="AS310" s="236">
        <v>0</v>
      </c>
      <c r="AT310" s="236">
        <v>0</v>
      </c>
      <c r="AU310" s="236">
        <v>0</v>
      </c>
      <c r="AV310" s="231">
        <v>133</v>
      </c>
      <c r="AW310" s="236">
        <v>1.4319999999999999</v>
      </c>
      <c r="AX310" s="244">
        <v>0.86</v>
      </c>
      <c r="AY310" s="242">
        <v>0</v>
      </c>
      <c r="AZ310" s="244">
        <v>0.47499999999999998</v>
      </c>
      <c r="BA310" s="242">
        <v>0</v>
      </c>
      <c r="BB310" s="242">
        <v>0</v>
      </c>
      <c r="BC310" s="242">
        <v>0</v>
      </c>
      <c r="BD310" s="244">
        <v>1.5589999999999999</v>
      </c>
      <c r="BE310" s="231">
        <v>0</v>
      </c>
      <c r="BF310" s="244">
        <v>0.12</v>
      </c>
      <c r="BG310" s="244">
        <v>1.4370000000000001</v>
      </c>
      <c r="BH310" s="244">
        <v>0.16800000000000001</v>
      </c>
      <c r="BI310" s="244">
        <v>0.13500000000000001</v>
      </c>
      <c r="BJ310" s="244">
        <v>8.9999999999999993E-3</v>
      </c>
      <c r="BK310" s="244">
        <v>2.4E-2</v>
      </c>
      <c r="BL310" s="242">
        <v>0</v>
      </c>
      <c r="BM310" s="242">
        <v>0</v>
      </c>
      <c r="BN310" s="244"/>
      <c r="BO310" s="204">
        <v>40</v>
      </c>
      <c r="BP310" s="204"/>
      <c r="BQ310" s="231">
        <v>1950</v>
      </c>
      <c r="BR310" s="231">
        <v>601</v>
      </c>
      <c r="BS310" s="231">
        <v>152</v>
      </c>
      <c r="BT310" s="231">
        <v>911</v>
      </c>
      <c r="BU310" s="231">
        <v>922</v>
      </c>
      <c r="BV310" s="231">
        <v>1145</v>
      </c>
      <c r="BW310" s="231">
        <v>1835</v>
      </c>
      <c r="BX310" s="231">
        <v>1050</v>
      </c>
      <c r="BY310" s="231">
        <v>1492</v>
      </c>
      <c r="BZ310" s="231">
        <v>736</v>
      </c>
      <c r="CA310" s="231">
        <v>298</v>
      </c>
      <c r="CB310" s="231">
        <v>735</v>
      </c>
      <c r="CC310" s="231">
        <v>1403</v>
      </c>
      <c r="CD310" s="231">
        <v>2102</v>
      </c>
      <c r="CE310" s="231">
        <v>3464</v>
      </c>
      <c r="CF310" s="231">
        <v>1405</v>
      </c>
      <c r="CG310" s="231">
        <v>1100</v>
      </c>
      <c r="CH310" s="231">
        <v>909</v>
      </c>
      <c r="CI310" s="231"/>
    </row>
    <row r="311" spans="1:87" ht="25.2" customHeight="1" outlineLevel="1">
      <c r="A311" s="204">
        <v>289</v>
      </c>
      <c r="B311" s="207">
        <v>7006</v>
      </c>
      <c r="C311" s="208" t="s">
        <v>486</v>
      </c>
      <c r="D311" s="194" t="s">
        <v>468</v>
      </c>
      <c r="E311" s="209">
        <f t="shared" si="36"/>
        <v>126.88</v>
      </c>
      <c r="F311" s="216">
        <v>67.39</v>
      </c>
      <c r="G311" s="217">
        <v>21.53</v>
      </c>
      <c r="H311" s="218"/>
      <c r="I311" s="230">
        <f t="shared" si="37"/>
        <v>10.19</v>
      </c>
      <c r="J311" s="216">
        <v>0</v>
      </c>
      <c r="K311" s="216">
        <v>0.89</v>
      </c>
      <c r="L311" s="233">
        <v>0</v>
      </c>
      <c r="M311" s="216">
        <v>5</v>
      </c>
      <c r="N311" s="216">
        <v>185</v>
      </c>
      <c r="O311" s="216">
        <v>1.78</v>
      </c>
      <c r="P311" s="216">
        <v>0</v>
      </c>
      <c r="Q311" s="216">
        <v>0.1</v>
      </c>
      <c r="R311" s="216">
        <v>0.15</v>
      </c>
      <c r="S311" s="216">
        <v>4.45</v>
      </c>
      <c r="T311" s="204">
        <v>59</v>
      </c>
      <c r="U311" s="204">
        <v>349</v>
      </c>
      <c r="V311" s="204">
        <v>22</v>
      </c>
      <c r="W311" s="244">
        <v>1.4E-2</v>
      </c>
      <c r="X311" s="213">
        <v>3.64</v>
      </c>
      <c r="Y311" s="204">
        <v>78</v>
      </c>
      <c r="Z311" s="204">
        <v>17.8</v>
      </c>
      <c r="AA311" s="241">
        <v>0.36</v>
      </c>
      <c r="AB311" s="241">
        <v>0.44</v>
      </c>
      <c r="AC311" s="240">
        <v>7</v>
      </c>
      <c r="AD311" s="240"/>
      <c r="AE311" s="233"/>
      <c r="AF311" s="233">
        <v>3.05</v>
      </c>
      <c r="AG311" s="240">
        <v>0</v>
      </c>
      <c r="AH311" s="240">
        <f t="shared" si="38"/>
        <v>0</v>
      </c>
      <c r="AI311" s="236">
        <f t="shared" si="39"/>
        <v>0</v>
      </c>
      <c r="AJ311" s="252"/>
      <c r="AK311" s="233"/>
      <c r="AL311" s="216"/>
      <c r="AM311" s="236">
        <v>0</v>
      </c>
      <c r="AN311" s="236">
        <v>0</v>
      </c>
      <c r="AO311" s="236">
        <v>0</v>
      </c>
      <c r="AP311" s="236">
        <v>0</v>
      </c>
      <c r="AQ311" s="236">
        <v>0</v>
      </c>
      <c r="AR311" s="236">
        <v>0</v>
      </c>
      <c r="AS311" s="236">
        <v>0</v>
      </c>
      <c r="AT311" s="236">
        <v>0</v>
      </c>
      <c r="AU311" s="236">
        <v>0</v>
      </c>
      <c r="AV311" s="204"/>
      <c r="AW311" s="236">
        <v>4.29</v>
      </c>
      <c r="AX311" s="244">
        <v>2.54</v>
      </c>
      <c r="AY311" s="242">
        <v>0</v>
      </c>
      <c r="AZ311" s="244">
        <v>1.23</v>
      </c>
      <c r="BA311" s="242">
        <v>0</v>
      </c>
      <c r="BB311" s="242">
        <v>0</v>
      </c>
      <c r="BC311" s="242">
        <v>0</v>
      </c>
      <c r="BD311" s="244">
        <v>4.8099999999999996</v>
      </c>
      <c r="BE311" s="231">
        <v>0</v>
      </c>
      <c r="BF311" s="244">
        <v>0.39</v>
      </c>
      <c r="BG311" s="244">
        <v>4.1900000000000004</v>
      </c>
      <c r="BH311" s="244">
        <v>0.39</v>
      </c>
      <c r="BI311" s="244">
        <v>0.31</v>
      </c>
      <c r="BJ311" s="244">
        <v>0.02</v>
      </c>
      <c r="BK311" s="244">
        <v>0.05</v>
      </c>
      <c r="BL311" s="242">
        <v>0</v>
      </c>
      <c r="BM311" s="242">
        <v>0</v>
      </c>
      <c r="BN311" s="244"/>
      <c r="BO311" s="204">
        <v>59</v>
      </c>
      <c r="BP311" s="204"/>
      <c r="BQ311" s="204">
        <v>1791</v>
      </c>
      <c r="BR311" s="204">
        <v>551</v>
      </c>
      <c r="BS311" s="204">
        <v>241</v>
      </c>
      <c r="BT311" s="204">
        <v>841</v>
      </c>
      <c r="BU311" s="204">
        <v>940</v>
      </c>
      <c r="BV311" s="204">
        <v>1047</v>
      </c>
      <c r="BW311" s="204">
        <v>1702</v>
      </c>
      <c r="BX311" s="204">
        <v>968</v>
      </c>
      <c r="BY311" s="204">
        <v>1361</v>
      </c>
      <c r="BZ311" s="204">
        <v>737</v>
      </c>
      <c r="CA311" s="204">
        <v>241</v>
      </c>
      <c r="CB311" s="204">
        <v>723</v>
      </c>
      <c r="CC311" s="204">
        <v>1299</v>
      </c>
      <c r="CD311" s="204">
        <v>1967</v>
      </c>
      <c r="CE311" s="204">
        <v>3235</v>
      </c>
      <c r="CF311" s="204">
        <v>1175</v>
      </c>
      <c r="CG311" s="204">
        <v>951</v>
      </c>
      <c r="CH311" s="204">
        <v>823</v>
      </c>
      <c r="CI311" s="204"/>
    </row>
    <row r="312" spans="1:87" ht="25.2" customHeight="1" outlineLevel="1">
      <c r="A312" s="204">
        <v>290</v>
      </c>
      <c r="B312" s="207">
        <v>7007</v>
      </c>
      <c r="C312" s="208" t="s">
        <v>487</v>
      </c>
      <c r="D312" s="194" t="s">
        <v>468</v>
      </c>
      <c r="E312" s="209">
        <f t="shared" si="36"/>
        <v>340</v>
      </c>
      <c r="F312" s="216">
        <v>51.7</v>
      </c>
      <c r="G312" s="217">
        <v>17.5</v>
      </c>
      <c r="H312" s="218">
        <v>30</v>
      </c>
      <c r="I312" s="230">
        <f t="shared" si="37"/>
        <v>0</v>
      </c>
      <c r="J312" s="216">
        <v>0</v>
      </c>
      <c r="K312" s="216">
        <v>0.8</v>
      </c>
      <c r="L312" s="233">
        <v>0</v>
      </c>
      <c r="M312" s="216">
        <v>45</v>
      </c>
      <c r="N312" s="216">
        <v>217</v>
      </c>
      <c r="O312" s="216">
        <v>5.4</v>
      </c>
      <c r="P312" s="216">
        <v>5.2</v>
      </c>
      <c r="Q312" s="216">
        <v>0.1</v>
      </c>
      <c r="R312" s="216">
        <v>0.28000000000000003</v>
      </c>
      <c r="S312" s="216">
        <v>5.3</v>
      </c>
      <c r="T312" s="231">
        <v>54</v>
      </c>
      <c r="U312" s="231">
        <v>199</v>
      </c>
      <c r="V312" s="231">
        <v>22</v>
      </c>
      <c r="W312" s="242">
        <v>1.9E-2</v>
      </c>
      <c r="X312" s="232">
        <v>2.2000000000000002</v>
      </c>
      <c r="Y312" s="231">
        <v>437</v>
      </c>
      <c r="Z312" s="231">
        <v>13.3</v>
      </c>
      <c r="AA312" s="241">
        <v>0.76</v>
      </c>
      <c r="AB312" s="241">
        <v>0.41</v>
      </c>
      <c r="AC312" s="240">
        <v>6</v>
      </c>
      <c r="AD312" s="240">
        <v>0</v>
      </c>
      <c r="AE312" s="233"/>
      <c r="AF312" s="233">
        <v>0.4</v>
      </c>
      <c r="AG312" s="240">
        <v>73</v>
      </c>
      <c r="AH312" s="240">
        <f t="shared" si="38"/>
        <v>243.09</v>
      </c>
      <c r="AI312" s="236">
        <f t="shared" si="39"/>
        <v>73</v>
      </c>
      <c r="AJ312" s="252"/>
      <c r="AK312" s="233"/>
      <c r="AL312" s="216"/>
      <c r="AM312" s="236">
        <v>0</v>
      </c>
      <c r="AN312" s="236">
        <v>0</v>
      </c>
      <c r="AO312" s="236">
        <v>0</v>
      </c>
      <c r="AP312" s="236">
        <v>0</v>
      </c>
      <c r="AQ312" s="236">
        <v>0</v>
      </c>
      <c r="AR312" s="236">
        <v>0</v>
      </c>
      <c r="AS312" s="236">
        <v>0</v>
      </c>
      <c r="AT312" s="236">
        <v>0</v>
      </c>
      <c r="AU312" s="236">
        <v>0</v>
      </c>
      <c r="AV312" s="231"/>
      <c r="AW312" s="236">
        <v>8.43</v>
      </c>
      <c r="AX312" s="242">
        <v>4.79</v>
      </c>
      <c r="AY312" s="242">
        <v>0</v>
      </c>
      <c r="AZ312" s="242">
        <v>2.69</v>
      </c>
      <c r="BA312" s="242">
        <v>0</v>
      </c>
      <c r="BB312" s="242">
        <v>0</v>
      </c>
      <c r="BC312" s="242">
        <v>0</v>
      </c>
      <c r="BD312" s="242">
        <v>9.7200000000000006</v>
      </c>
      <c r="BE312" s="231">
        <v>0</v>
      </c>
      <c r="BF312" s="242">
        <v>3.47</v>
      </c>
      <c r="BG312" s="242">
        <v>6.26</v>
      </c>
      <c r="BH312" s="242">
        <v>3.07</v>
      </c>
      <c r="BI312" s="242">
        <v>2.67</v>
      </c>
      <c r="BJ312" s="242">
        <v>0</v>
      </c>
      <c r="BK312" s="242">
        <v>0.16</v>
      </c>
      <c r="BL312" s="242">
        <v>0.01</v>
      </c>
      <c r="BM312" s="242">
        <v>0.02</v>
      </c>
      <c r="BN312" s="242"/>
      <c r="BO312" s="231">
        <v>95</v>
      </c>
      <c r="BP312" s="231"/>
      <c r="BQ312" s="231">
        <v>1537</v>
      </c>
      <c r="BR312" s="231">
        <v>552</v>
      </c>
      <c r="BS312" s="231">
        <v>268</v>
      </c>
      <c r="BT312" s="231">
        <v>773</v>
      </c>
      <c r="BU312" s="231">
        <v>884</v>
      </c>
      <c r="BV312" s="231">
        <v>967</v>
      </c>
      <c r="BW312" s="231">
        <v>1506</v>
      </c>
      <c r="BX312" s="231">
        <v>943</v>
      </c>
      <c r="BY312" s="231">
        <v>1210</v>
      </c>
      <c r="BZ312" s="231">
        <v>647</v>
      </c>
      <c r="CA312" s="231">
        <v>320</v>
      </c>
      <c r="CB312" s="231">
        <v>789</v>
      </c>
      <c r="CC312" s="231">
        <v>1194</v>
      </c>
      <c r="CD312" s="231">
        <v>1557</v>
      </c>
      <c r="CE312" s="231">
        <v>2378</v>
      </c>
      <c r="CF312" s="231">
        <v>1491</v>
      </c>
      <c r="CG312" s="231">
        <v>839</v>
      </c>
      <c r="CH312" s="231">
        <v>878</v>
      </c>
      <c r="CI312" s="231"/>
    </row>
    <row r="313" spans="1:87" ht="25.2" customHeight="1" outlineLevel="1">
      <c r="A313" s="204">
        <v>291</v>
      </c>
      <c r="B313" s="207">
        <v>7008</v>
      </c>
      <c r="C313" s="208" t="s">
        <v>488</v>
      </c>
      <c r="D313" s="194" t="s">
        <v>468</v>
      </c>
      <c r="E313" s="209">
        <f t="shared" si="36"/>
        <v>337.6</v>
      </c>
      <c r="F313" s="216">
        <v>53</v>
      </c>
      <c r="G313" s="217">
        <v>16</v>
      </c>
      <c r="H313" s="218">
        <v>30.4</v>
      </c>
      <c r="I313" s="230">
        <f t="shared" si="37"/>
        <v>0</v>
      </c>
      <c r="J313" s="216">
        <v>0</v>
      </c>
      <c r="K313" s="216">
        <v>0.6</v>
      </c>
      <c r="L313" s="233">
        <v>0</v>
      </c>
      <c r="M313" s="216">
        <v>16</v>
      </c>
      <c r="N313" s="216">
        <v>43</v>
      </c>
      <c r="O313" s="216">
        <v>1</v>
      </c>
      <c r="P313" s="216"/>
      <c r="Q313" s="216">
        <v>0.04</v>
      </c>
      <c r="R313" s="216">
        <v>0.08</v>
      </c>
      <c r="S313" s="216">
        <v>1.8</v>
      </c>
      <c r="T313" s="231">
        <v>20</v>
      </c>
      <c r="U313" s="231">
        <v>255</v>
      </c>
      <c r="V313" s="231">
        <v>46</v>
      </c>
      <c r="W313" s="242"/>
      <c r="X313" s="232"/>
      <c r="Y313" s="231"/>
      <c r="Z313" s="231"/>
      <c r="AA313" s="241"/>
      <c r="AB313" s="241"/>
      <c r="AC313" s="240"/>
      <c r="AD313" s="240"/>
      <c r="AE313" s="233"/>
      <c r="AF313" s="233"/>
      <c r="AG313" s="240"/>
      <c r="AH313" s="240">
        <f t="shared" si="38"/>
        <v>0</v>
      </c>
      <c r="AI313" s="236">
        <f t="shared" si="39"/>
        <v>0</v>
      </c>
      <c r="AJ313" s="252"/>
      <c r="AK313" s="233"/>
      <c r="AL313" s="216"/>
      <c r="AM313" s="236">
        <v>0</v>
      </c>
      <c r="AN313" s="236">
        <v>0</v>
      </c>
      <c r="AO313" s="236">
        <v>0</v>
      </c>
      <c r="AP313" s="236">
        <v>0</v>
      </c>
      <c r="AQ313" s="236">
        <v>0</v>
      </c>
      <c r="AR313" s="236">
        <v>0</v>
      </c>
      <c r="AS313" s="236">
        <v>0</v>
      </c>
      <c r="AT313" s="236">
        <v>0</v>
      </c>
      <c r="AU313" s="236">
        <v>0</v>
      </c>
      <c r="AV313" s="231"/>
      <c r="AW313" s="236"/>
      <c r="AX313" s="242"/>
      <c r="AY313" s="242"/>
      <c r="AZ313" s="242"/>
      <c r="BA313" s="242"/>
      <c r="BB313" s="242"/>
      <c r="BC313" s="242"/>
      <c r="BD313" s="242"/>
      <c r="BE313" s="231"/>
      <c r="BF313" s="242"/>
      <c r="BG313" s="242"/>
      <c r="BH313" s="242"/>
      <c r="BI313" s="242"/>
      <c r="BJ313" s="242"/>
      <c r="BK313" s="242"/>
      <c r="BL313" s="242"/>
      <c r="BM313" s="242"/>
      <c r="BN313" s="242"/>
      <c r="BO313" s="231"/>
      <c r="BP313" s="231"/>
      <c r="BQ313" s="231"/>
      <c r="BR313" s="231"/>
      <c r="BS313" s="231"/>
      <c r="BT313" s="231"/>
      <c r="BU313" s="231"/>
      <c r="BV313" s="231"/>
      <c r="BW313" s="231"/>
      <c r="BX313" s="231"/>
      <c r="BY313" s="231"/>
      <c r="BZ313" s="231"/>
      <c r="CA313" s="231"/>
      <c r="CB313" s="231"/>
      <c r="CC313" s="231"/>
      <c r="CD313" s="231"/>
      <c r="CE313" s="231"/>
      <c r="CF313" s="231"/>
      <c r="CG313" s="231"/>
      <c r="CH313" s="231"/>
      <c r="CI313" s="231"/>
    </row>
    <row r="314" spans="1:87" ht="25.2" customHeight="1" outlineLevel="1">
      <c r="A314" s="204">
        <v>292</v>
      </c>
      <c r="B314" s="207">
        <v>7009</v>
      </c>
      <c r="C314" s="208" t="s">
        <v>489</v>
      </c>
      <c r="D314" s="194" t="s">
        <v>468</v>
      </c>
      <c r="E314" s="209">
        <f t="shared" si="36"/>
        <v>230.4</v>
      </c>
      <c r="F314" s="216">
        <v>63.8</v>
      </c>
      <c r="G314" s="217">
        <v>18</v>
      </c>
      <c r="H314" s="218">
        <v>17.600000000000001</v>
      </c>
      <c r="I314" s="230">
        <f t="shared" si="37"/>
        <v>0</v>
      </c>
      <c r="J314" s="216">
        <v>0</v>
      </c>
      <c r="K314" s="216">
        <v>0.6</v>
      </c>
      <c r="L314" s="233">
        <v>0</v>
      </c>
      <c r="M314" s="216">
        <v>20</v>
      </c>
      <c r="N314" s="216">
        <v>36</v>
      </c>
      <c r="O314" s="216">
        <v>0.7</v>
      </c>
      <c r="P314" s="216">
        <v>0</v>
      </c>
      <c r="Q314" s="216">
        <v>0.04</v>
      </c>
      <c r="R314" s="216">
        <v>0.08</v>
      </c>
      <c r="S314" s="216">
        <v>1.8</v>
      </c>
      <c r="T314" s="231">
        <v>32</v>
      </c>
      <c r="U314" s="231">
        <v>176</v>
      </c>
      <c r="V314" s="231">
        <v>35</v>
      </c>
      <c r="W314" s="242"/>
      <c r="X314" s="232"/>
      <c r="Y314" s="231"/>
      <c r="Z314" s="231"/>
      <c r="AA314" s="241"/>
      <c r="AB314" s="241"/>
      <c r="AC314" s="240"/>
      <c r="AD314" s="240"/>
      <c r="AE314" s="233"/>
      <c r="AF314" s="233"/>
      <c r="AG314" s="240"/>
      <c r="AH314" s="240">
        <f t="shared" si="38"/>
        <v>0</v>
      </c>
      <c r="AI314" s="236">
        <f t="shared" si="39"/>
        <v>0</v>
      </c>
      <c r="AJ314" s="252"/>
      <c r="AK314" s="233"/>
      <c r="AL314" s="216"/>
      <c r="AM314" s="236">
        <v>0</v>
      </c>
      <c r="AN314" s="236">
        <v>0</v>
      </c>
      <c r="AO314" s="236">
        <v>0</v>
      </c>
      <c r="AP314" s="236">
        <v>0</v>
      </c>
      <c r="AQ314" s="236">
        <v>0</v>
      </c>
      <c r="AR314" s="236">
        <v>0</v>
      </c>
      <c r="AS314" s="236">
        <v>0</v>
      </c>
      <c r="AT314" s="236">
        <v>0</v>
      </c>
      <c r="AU314" s="236">
        <v>0</v>
      </c>
      <c r="AV314" s="231"/>
      <c r="AW314" s="236"/>
      <c r="AX314" s="242"/>
      <c r="AY314" s="242"/>
      <c r="AZ314" s="242"/>
      <c r="BA314" s="242"/>
      <c r="BB314" s="242"/>
      <c r="BC314" s="242"/>
      <c r="BD314" s="242"/>
      <c r="BE314" s="231"/>
      <c r="BF314" s="242"/>
      <c r="BG314" s="242"/>
      <c r="BH314" s="242"/>
      <c r="BI314" s="242"/>
      <c r="BJ314" s="242"/>
      <c r="BK314" s="242"/>
      <c r="BL314" s="242"/>
      <c r="BM314" s="242"/>
      <c r="BN314" s="242"/>
      <c r="BO314" s="231"/>
      <c r="BP314" s="231"/>
      <c r="BQ314" s="231"/>
      <c r="BR314" s="231"/>
      <c r="BS314" s="231"/>
      <c r="BT314" s="231"/>
      <c r="BU314" s="231"/>
      <c r="BV314" s="231"/>
      <c r="BW314" s="231"/>
      <c r="BX314" s="231"/>
      <c r="BY314" s="231"/>
      <c r="BZ314" s="231"/>
      <c r="CA314" s="231"/>
      <c r="CB314" s="231"/>
      <c r="CC314" s="231"/>
      <c r="CD314" s="231"/>
      <c r="CE314" s="231"/>
      <c r="CF314" s="231"/>
      <c r="CG314" s="231"/>
      <c r="CH314" s="231"/>
      <c r="CI314" s="231"/>
    </row>
    <row r="315" spans="1:87" ht="25.2" customHeight="1" outlineLevel="1">
      <c r="A315" s="204">
        <v>293</v>
      </c>
      <c r="B315" s="207">
        <v>7010</v>
      </c>
      <c r="C315" s="208" t="s">
        <v>490</v>
      </c>
      <c r="D315" s="194" t="s">
        <v>468</v>
      </c>
      <c r="E315" s="209">
        <f t="shared" si="36"/>
        <v>218.6</v>
      </c>
      <c r="F315" s="216">
        <v>65.8</v>
      </c>
      <c r="G315" s="217">
        <v>16.399999999999999</v>
      </c>
      <c r="H315" s="218">
        <v>17</v>
      </c>
      <c r="I315" s="230">
        <f t="shared" si="37"/>
        <v>0</v>
      </c>
      <c r="J315" s="216">
        <v>0</v>
      </c>
      <c r="K315" s="216">
        <v>0.8</v>
      </c>
      <c r="L315" s="233">
        <v>0</v>
      </c>
      <c r="M315" s="216">
        <v>9</v>
      </c>
      <c r="N315" s="216">
        <v>177</v>
      </c>
      <c r="O315" s="216">
        <v>2.5</v>
      </c>
      <c r="P315" s="216">
        <v>3</v>
      </c>
      <c r="Q315" s="216">
        <v>0.17</v>
      </c>
      <c r="R315" s="216">
        <v>0.15</v>
      </c>
      <c r="S315" s="216">
        <v>5.8</v>
      </c>
      <c r="T315" s="236">
        <v>91</v>
      </c>
      <c r="U315" s="240">
        <v>256</v>
      </c>
      <c r="V315" s="240">
        <v>27</v>
      </c>
      <c r="W315" s="241">
        <v>0.04</v>
      </c>
      <c r="X315" s="233">
        <v>2.9</v>
      </c>
      <c r="Y315" s="240">
        <v>160</v>
      </c>
      <c r="Z315" s="216">
        <v>17.8</v>
      </c>
      <c r="AA315" s="241"/>
      <c r="AB315" s="241"/>
      <c r="AC315" s="240"/>
      <c r="AD315" s="240"/>
      <c r="AE315" s="233">
        <v>1</v>
      </c>
      <c r="AF315" s="233"/>
      <c r="AG315" s="240">
        <v>30</v>
      </c>
      <c r="AH315" s="240">
        <f t="shared" si="38"/>
        <v>99.9</v>
      </c>
      <c r="AI315" s="236">
        <f t="shared" si="39"/>
        <v>30</v>
      </c>
      <c r="AJ315" s="252"/>
      <c r="AK315" s="233"/>
      <c r="AL315" s="216"/>
      <c r="AM315" s="236">
        <v>0</v>
      </c>
      <c r="AN315" s="236">
        <v>0</v>
      </c>
      <c r="AO315" s="236">
        <v>0</v>
      </c>
      <c r="AP315" s="236">
        <v>0</v>
      </c>
      <c r="AQ315" s="236">
        <v>0</v>
      </c>
      <c r="AR315" s="236">
        <v>0</v>
      </c>
      <c r="AS315" s="236">
        <v>0</v>
      </c>
      <c r="AT315" s="236">
        <v>0</v>
      </c>
      <c r="AU315" s="236">
        <v>0</v>
      </c>
      <c r="AV315" s="231">
        <v>182</v>
      </c>
      <c r="AW315" s="236">
        <v>6.7</v>
      </c>
      <c r="AX315" s="244">
        <v>3.3</v>
      </c>
      <c r="AY315" s="244">
        <v>0</v>
      </c>
      <c r="AZ315" s="244">
        <v>2.5</v>
      </c>
      <c r="BA315" s="244">
        <v>0</v>
      </c>
      <c r="BB315" s="244">
        <v>0</v>
      </c>
      <c r="BC315" s="244">
        <v>0</v>
      </c>
      <c r="BD315" s="244">
        <v>9.6999999999999993</v>
      </c>
      <c r="BE315" s="237">
        <v>0</v>
      </c>
      <c r="BF315" s="244">
        <v>0</v>
      </c>
      <c r="BG315" s="244">
        <v>7.5</v>
      </c>
      <c r="BH315" s="244"/>
      <c r="BI315" s="244">
        <v>1.2</v>
      </c>
      <c r="BJ315" s="244">
        <v>0.3</v>
      </c>
      <c r="BK315" s="244">
        <v>0</v>
      </c>
      <c r="BL315" s="244">
        <v>0</v>
      </c>
      <c r="BM315" s="244">
        <v>0</v>
      </c>
      <c r="BN315" s="244"/>
      <c r="BO315" s="204">
        <v>78</v>
      </c>
      <c r="BP315" s="204"/>
      <c r="BQ315" s="204">
        <v>1580</v>
      </c>
      <c r="BR315" s="204">
        <v>441</v>
      </c>
      <c r="BS315" s="204">
        <v>212</v>
      </c>
      <c r="BT315" s="204">
        <v>598</v>
      </c>
      <c r="BU315" s="204">
        <v>764</v>
      </c>
      <c r="BV315" s="204">
        <v>870</v>
      </c>
      <c r="BW315" s="204">
        <v>1395</v>
      </c>
      <c r="BX315" s="204">
        <v>933</v>
      </c>
      <c r="BY315" s="204">
        <v>212</v>
      </c>
      <c r="BZ315" s="204">
        <v>870</v>
      </c>
      <c r="CA315" s="204">
        <v>307</v>
      </c>
      <c r="CB315" s="204">
        <v>598</v>
      </c>
      <c r="CC315" s="204">
        <v>1300</v>
      </c>
      <c r="CD315" s="204">
        <v>454</v>
      </c>
      <c r="CE315" s="204">
        <v>1028</v>
      </c>
      <c r="CF315" s="204">
        <v>1466</v>
      </c>
      <c r="CG315" s="204">
        <v>2320</v>
      </c>
      <c r="CH315" s="204">
        <v>794</v>
      </c>
      <c r="CI315" s="231"/>
    </row>
    <row r="316" spans="1:87" ht="25.2" customHeight="1" outlineLevel="1">
      <c r="A316" s="204">
        <v>294</v>
      </c>
      <c r="B316" s="207">
        <v>7011</v>
      </c>
      <c r="C316" s="208" t="s">
        <v>491</v>
      </c>
      <c r="D316" s="194" t="s">
        <v>468</v>
      </c>
      <c r="E316" s="209">
        <f t="shared" si="36"/>
        <v>121.5</v>
      </c>
      <c r="F316" s="216">
        <v>74.400000000000006</v>
      </c>
      <c r="G316" s="217">
        <v>20.7</v>
      </c>
      <c r="H316" s="218">
        <v>4.3</v>
      </c>
      <c r="I316" s="230">
        <f t="shared" si="37"/>
        <v>0</v>
      </c>
      <c r="J316" s="216">
        <v>0</v>
      </c>
      <c r="K316" s="216">
        <v>0.6</v>
      </c>
      <c r="L316" s="233">
        <v>0</v>
      </c>
      <c r="M316" s="216">
        <v>11</v>
      </c>
      <c r="N316" s="216">
        <v>129</v>
      </c>
      <c r="O316" s="216">
        <v>2</v>
      </c>
      <c r="P316" s="216">
        <v>1</v>
      </c>
      <c r="Q316" s="216">
        <v>7.0000000000000007E-2</v>
      </c>
      <c r="R316" s="216">
        <v>0.13</v>
      </c>
      <c r="S316" s="216">
        <v>4.9000000000000004</v>
      </c>
      <c r="T316" s="231">
        <v>82</v>
      </c>
      <c r="U316" s="231">
        <v>385</v>
      </c>
      <c r="V316" s="231"/>
      <c r="W316" s="242">
        <v>3.7999999999999999E-2</v>
      </c>
      <c r="X316" s="232">
        <v>4</v>
      </c>
      <c r="Y316" s="231">
        <v>256</v>
      </c>
      <c r="Z316" s="231">
        <v>8.8000000000000007</v>
      </c>
      <c r="AA316" s="241"/>
      <c r="AB316" s="241"/>
      <c r="AC316" s="240">
        <v>5</v>
      </c>
      <c r="AD316" s="240">
        <v>0</v>
      </c>
      <c r="AE316" s="233"/>
      <c r="AF316" s="233">
        <v>1.1299999999999999</v>
      </c>
      <c r="AG316" s="240">
        <v>91</v>
      </c>
      <c r="AH316" s="240">
        <f t="shared" si="38"/>
        <v>303.02999999999997</v>
      </c>
      <c r="AI316" s="236">
        <f t="shared" si="39"/>
        <v>91</v>
      </c>
      <c r="AJ316" s="252"/>
      <c r="AK316" s="231"/>
      <c r="AL316" s="231"/>
      <c r="AM316" s="236">
        <v>0</v>
      </c>
      <c r="AN316" s="236">
        <v>0</v>
      </c>
      <c r="AO316" s="236">
        <v>0</v>
      </c>
      <c r="AP316" s="236">
        <v>0</v>
      </c>
      <c r="AQ316" s="236">
        <v>0</v>
      </c>
      <c r="AR316" s="236">
        <v>0</v>
      </c>
      <c r="AS316" s="236">
        <v>0</v>
      </c>
      <c r="AT316" s="236">
        <v>0</v>
      </c>
      <c r="AU316" s="236">
        <v>0</v>
      </c>
      <c r="AV316" s="231"/>
      <c r="AW316" s="236">
        <v>0.71</v>
      </c>
      <c r="AX316" s="242">
        <v>0.33</v>
      </c>
      <c r="AY316" s="244">
        <v>0</v>
      </c>
      <c r="AZ316" s="242">
        <v>0.33</v>
      </c>
      <c r="BA316" s="244">
        <v>0</v>
      </c>
      <c r="BB316" s="244">
        <v>0</v>
      </c>
      <c r="BC316" s="244">
        <v>0</v>
      </c>
      <c r="BD316" s="242">
        <v>1.03</v>
      </c>
      <c r="BE316" s="231">
        <v>0</v>
      </c>
      <c r="BF316" s="242">
        <v>0.04</v>
      </c>
      <c r="BG316" s="242">
        <v>0.94</v>
      </c>
      <c r="BH316" s="242">
        <v>0.17</v>
      </c>
      <c r="BI316" s="242">
        <v>0.1</v>
      </c>
      <c r="BJ316" s="242">
        <v>0.02</v>
      </c>
      <c r="BK316" s="242">
        <v>0.06</v>
      </c>
      <c r="BL316" s="242">
        <v>0</v>
      </c>
      <c r="BM316" s="242">
        <v>0</v>
      </c>
      <c r="BN316" s="242"/>
      <c r="BO316" s="231">
        <v>57</v>
      </c>
      <c r="BP316" s="231"/>
      <c r="BQ316" s="231">
        <v>1532</v>
      </c>
      <c r="BR316" s="231">
        <v>552</v>
      </c>
      <c r="BS316" s="231">
        <v>306</v>
      </c>
      <c r="BT316" s="231">
        <v>715</v>
      </c>
      <c r="BU316" s="231">
        <v>981</v>
      </c>
      <c r="BV316" s="231">
        <v>1103</v>
      </c>
      <c r="BW316" s="231">
        <v>1716</v>
      </c>
      <c r="BX316" s="231">
        <v>1042</v>
      </c>
      <c r="BY316" s="231">
        <v>1512</v>
      </c>
      <c r="BZ316" s="231">
        <v>429</v>
      </c>
      <c r="CA316" s="231">
        <v>245</v>
      </c>
      <c r="CB316" s="231">
        <v>633</v>
      </c>
      <c r="CC316" s="231"/>
      <c r="CD316" s="231"/>
      <c r="CE316" s="231"/>
      <c r="CF316" s="231"/>
      <c r="CG316" s="231"/>
      <c r="CH316" s="231"/>
      <c r="CI316" s="231"/>
    </row>
    <row r="317" spans="1:87" ht="25.2" customHeight="1" outlineLevel="1">
      <c r="A317" s="204">
        <v>295</v>
      </c>
      <c r="B317" s="207">
        <v>7012</v>
      </c>
      <c r="C317" s="208" t="s">
        <v>492</v>
      </c>
      <c r="D317" s="194" t="s">
        <v>468</v>
      </c>
      <c r="E317" s="209">
        <f t="shared" si="36"/>
        <v>140.80000000000001</v>
      </c>
      <c r="F317" s="216">
        <v>69.7</v>
      </c>
      <c r="G317" s="217">
        <v>24.4</v>
      </c>
      <c r="H317" s="218">
        <v>4.8</v>
      </c>
      <c r="I317" s="230">
        <f t="shared" si="37"/>
        <v>0</v>
      </c>
      <c r="J317" s="216">
        <v>0</v>
      </c>
      <c r="K317" s="216">
        <v>1.1000000000000001</v>
      </c>
      <c r="L317" s="233">
        <v>0</v>
      </c>
      <c r="M317" s="236">
        <v>14</v>
      </c>
      <c r="N317" s="236">
        <v>263</v>
      </c>
      <c r="O317" s="236">
        <v>0.4</v>
      </c>
      <c r="P317" s="236"/>
      <c r="Q317" s="236"/>
      <c r="R317" s="236"/>
      <c r="S317" s="236"/>
      <c r="T317" s="231"/>
      <c r="U317" s="231"/>
      <c r="V317" s="231"/>
      <c r="W317" s="242"/>
      <c r="X317" s="232"/>
      <c r="Y317" s="231"/>
      <c r="Z317" s="231"/>
      <c r="AA317" s="241"/>
      <c r="AB317" s="241"/>
      <c r="AC317" s="240"/>
      <c r="AD317" s="240"/>
      <c r="AE317" s="236"/>
      <c r="AF317" s="236"/>
      <c r="AG317" s="240"/>
      <c r="AH317" s="240">
        <f t="shared" si="38"/>
        <v>0</v>
      </c>
      <c r="AI317" s="236">
        <f t="shared" si="39"/>
        <v>0</v>
      </c>
      <c r="AJ317" s="252"/>
      <c r="AK317" s="233"/>
      <c r="AL317" s="216"/>
      <c r="AM317" s="236">
        <v>0</v>
      </c>
      <c r="AN317" s="236">
        <v>0</v>
      </c>
      <c r="AO317" s="236">
        <v>0</v>
      </c>
      <c r="AP317" s="236">
        <v>0</v>
      </c>
      <c r="AQ317" s="236">
        <v>0</v>
      </c>
      <c r="AR317" s="236">
        <v>0</v>
      </c>
      <c r="AS317" s="236">
        <v>0</v>
      </c>
      <c r="AT317" s="236">
        <v>0</v>
      </c>
      <c r="AU317" s="236">
        <v>0</v>
      </c>
      <c r="AV317" s="231"/>
      <c r="AW317" s="236"/>
      <c r="AX317" s="242"/>
      <c r="AY317" s="242"/>
      <c r="AZ317" s="242"/>
      <c r="BA317" s="242"/>
      <c r="BB317" s="242"/>
      <c r="BC317" s="242"/>
      <c r="BD317" s="242"/>
      <c r="BE317" s="231"/>
      <c r="BF317" s="242"/>
      <c r="BG317" s="242"/>
      <c r="BH317" s="242"/>
      <c r="BI317" s="242"/>
      <c r="BJ317" s="242"/>
      <c r="BK317" s="242"/>
      <c r="BL317" s="242"/>
      <c r="BM317" s="242"/>
      <c r="BN317" s="242"/>
      <c r="BO317" s="231"/>
      <c r="BP317" s="231"/>
      <c r="BQ317" s="231"/>
      <c r="BR317" s="231"/>
      <c r="BS317" s="231"/>
      <c r="BT317" s="231"/>
      <c r="BU317" s="231"/>
      <c r="BV317" s="231"/>
      <c r="BW317" s="231"/>
      <c r="BX317" s="231"/>
      <c r="BY317" s="231"/>
      <c r="BZ317" s="231"/>
      <c r="CA317" s="231"/>
      <c r="CB317" s="231"/>
      <c r="CC317" s="231"/>
      <c r="CD317" s="231"/>
      <c r="CE317" s="231"/>
      <c r="CF317" s="231"/>
      <c r="CG317" s="231"/>
      <c r="CH317" s="231"/>
      <c r="CI317" s="231"/>
    </row>
    <row r="318" spans="1:87" ht="25.2" customHeight="1" outlineLevel="1">
      <c r="A318" s="204">
        <v>296</v>
      </c>
      <c r="B318" s="207">
        <v>7013</v>
      </c>
      <c r="C318" s="208" t="s">
        <v>493</v>
      </c>
      <c r="D318" s="194" t="s">
        <v>468</v>
      </c>
      <c r="E318" s="209">
        <f t="shared" si="36"/>
        <v>199.1</v>
      </c>
      <c r="F318" s="216">
        <v>65.599999999999994</v>
      </c>
      <c r="G318" s="217">
        <v>20.3</v>
      </c>
      <c r="H318" s="218">
        <v>13.1</v>
      </c>
      <c r="I318" s="230">
        <f t="shared" si="37"/>
        <v>0</v>
      </c>
      <c r="J318" s="216">
        <v>0</v>
      </c>
      <c r="K318" s="216">
        <v>1</v>
      </c>
      <c r="L318" s="233">
        <v>0</v>
      </c>
      <c r="M318" s="216">
        <v>12</v>
      </c>
      <c r="N318" s="216">
        <v>200</v>
      </c>
      <c r="O318" s="216">
        <v>1.5</v>
      </c>
      <c r="P318" s="216">
        <v>4</v>
      </c>
      <c r="Q318" s="216">
        <v>0.15</v>
      </c>
      <c r="R318" s="216">
        <v>0.16</v>
      </c>
      <c r="S318" s="216">
        <v>8.1</v>
      </c>
      <c r="T318" s="240">
        <v>70</v>
      </c>
      <c r="U318" s="240">
        <v>189</v>
      </c>
      <c r="V318" s="240">
        <v>29</v>
      </c>
      <c r="W318" s="241">
        <v>1.9E-2</v>
      </c>
      <c r="X318" s="233">
        <v>1.5</v>
      </c>
      <c r="Y318" s="240">
        <v>48</v>
      </c>
      <c r="Z318" s="216">
        <v>14.4</v>
      </c>
      <c r="AA318" s="241">
        <v>0.91</v>
      </c>
      <c r="AB318" s="241">
        <v>0.35</v>
      </c>
      <c r="AC318" s="240">
        <v>6</v>
      </c>
      <c r="AD318" s="240">
        <v>0</v>
      </c>
      <c r="AE318" s="233"/>
      <c r="AF318" s="233">
        <v>0.31</v>
      </c>
      <c r="AG318" s="240">
        <v>120</v>
      </c>
      <c r="AH318" s="240">
        <f t="shared" si="38"/>
        <v>399.6</v>
      </c>
      <c r="AI318" s="236">
        <f t="shared" si="39"/>
        <v>120</v>
      </c>
      <c r="AJ318" s="252"/>
      <c r="AK318" s="233">
        <v>0.3</v>
      </c>
      <c r="AL318" s="216">
        <v>1.5</v>
      </c>
      <c r="AM318" s="236">
        <v>0</v>
      </c>
      <c r="AN318" s="236">
        <v>0</v>
      </c>
      <c r="AO318" s="236">
        <v>0</v>
      </c>
      <c r="AP318" s="236">
        <v>0</v>
      </c>
      <c r="AQ318" s="236">
        <v>0</v>
      </c>
      <c r="AR318" s="236">
        <v>0</v>
      </c>
      <c r="AS318" s="236">
        <v>0</v>
      </c>
      <c r="AT318" s="236">
        <v>0</v>
      </c>
      <c r="AU318" s="236">
        <v>0</v>
      </c>
      <c r="AV318" s="231"/>
      <c r="AW318" s="236">
        <v>4.3099999999999996</v>
      </c>
      <c r="AX318" s="244">
        <v>3.15</v>
      </c>
      <c r="AY318" s="244">
        <v>0</v>
      </c>
      <c r="AZ318" s="244">
        <v>0.87</v>
      </c>
      <c r="BA318" s="244">
        <v>0</v>
      </c>
      <c r="BB318" s="244">
        <v>0</v>
      </c>
      <c r="BC318" s="244">
        <v>0</v>
      </c>
      <c r="BD318" s="244">
        <v>6.24</v>
      </c>
      <c r="BE318" s="231">
        <v>0</v>
      </c>
      <c r="BF318" s="213">
        <v>0.83</v>
      </c>
      <c r="BG318" s="244">
        <v>5.17</v>
      </c>
      <c r="BH318" s="244">
        <v>3.23</v>
      </c>
      <c r="BI318" s="244">
        <v>2.88</v>
      </c>
      <c r="BJ318" s="244">
        <v>0.14000000000000001</v>
      </c>
      <c r="BK318" s="244">
        <v>0.08</v>
      </c>
      <c r="BL318" s="244">
        <v>0.01</v>
      </c>
      <c r="BM318" s="244">
        <v>0.03</v>
      </c>
      <c r="BN318" s="244"/>
      <c r="BO318" s="231">
        <v>75</v>
      </c>
      <c r="BP318" s="231"/>
      <c r="BQ318" s="204">
        <v>1859</v>
      </c>
      <c r="BR318" s="204">
        <v>653</v>
      </c>
      <c r="BS318" s="204">
        <v>246</v>
      </c>
      <c r="BT318" s="204">
        <v>717</v>
      </c>
      <c r="BU318" s="204">
        <v>787</v>
      </c>
      <c r="BV318" s="204">
        <v>972</v>
      </c>
      <c r="BW318" s="204">
        <v>1629</v>
      </c>
      <c r="BX318" s="204">
        <v>1293</v>
      </c>
      <c r="BY318" s="204">
        <v>1190</v>
      </c>
      <c r="BZ318" s="204">
        <v>432</v>
      </c>
      <c r="CA318" s="204">
        <v>288</v>
      </c>
      <c r="CB318" s="204">
        <v>595</v>
      </c>
      <c r="CC318" s="204">
        <v>1088</v>
      </c>
      <c r="CD318" s="204">
        <v>1965</v>
      </c>
      <c r="CE318" s="204">
        <v>2848</v>
      </c>
      <c r="CF318" s="204">
        <v>797</v>
      </c>
      <c r="CG318" s="204">
        <v>925</v>
      </c>
      <c r="CH318" s="204">
        <v>938</v>
      </c>
      <c r="CI318" s="231"/>
    </row>
    <row r="319" spans="1:87" ht="25.2" customHeight="1" outlineLevel="1">
      <c r="A319" s="204">
        <v>297</v>
      </c>
      <c r="B319" s="207">
        <v>7014</v>
      </c>
      <c r="C319" s="208" t="s">
        <v>494</v>
      </c>
      <c r="D319" s="194" t="s">
        <v>468</v>
      </c>
      <c r="E319" s="209">
        <f t="shared" si="36"/>
        <v>218.1</v>
      </c>
      <c r="F319" s="216">
        <v>63.6</v>
      </c>
      <c r="G319" s="217">
        <v>20.059999999999999</v>
      </c>
      <c r="H319" s="218">
        <v>15.3</v>
      </c>
      <c r="I319" s="230">
        <f t="shared" si="37"/>
        <v>4.0000000000006301E-2</v>
      </c>
      <c r="J319" s="216">
        <v>0</v>
      </c>
      <c r="K319" s="216">
        <v>1</v>
      </c>
      <c r="L319" s="233">
        <v>0</v>
      </c>
      <c r="M319" s="216">
        <v>24</v>
      </c>
      <c r="N319" s="216">
        <v>320</v>
      </c>
      <c r="O319" s="216">
        <v>3.2</v>
      </c>
      <c r="P319" s="216">
        <v>0</v>
      </c>
      <c r="Q319" s="216">
        <v>0.06</v>
      </c>
      <c r="R319" s="216">
        <v>0.08</v>
      </c>
      <c r="S319" s="216">
        <v>7</v>
      </c>
      <c r="T319" s="231">
        <v>66</v>
      </c>
      <c r="U319" s="231">
        <v>236</v>
      </c>
      <c r="V319" s="231">
        <v>18</v>
      </c>
      <c r="W319" s="242">
        <v>0.02</v>
      </c>
      <c r="X319" s="232">
        <v>2.67</v>
      </c>
      <c r="Y319" s="231">
        <v>127</v>
      </c>
      <c r="Z319" s="231">
        <v>26.4</v>
      </c>
      <c r="AA319" s="241">
        <v>0.91700000000000004</v>
      </c>
      <c r="AB319" s="241">
        <v>0.28999999999999998</v>
      </c>
      <c r="AC319" s="240">
        <v>9</v>
      </c>
      <c r="AD319" s="240">
        <v>0</v>
      </c>
      <c r="AE319" s="233">
        <v>2</v>
      </c>
      <c r="AF319" s="233">
        <v>0.36</v>
      </c>
      <c r="AG319" s="240">
        <v>180</v>
      </c>
      <c r="AH319" s="240">
        <f t="shared" si="38"/>
        <v>599.4</v>
      </c>
      <c r="AI319" s="236">
        <f t="shared" si="39"/>
        <v>180</v>
      </c>
      <c r="AJ319" s="252"/>
      <c r="AK319" s="233"/>
      <c r="AL319" s="216"/>
      <c r="AM319" s="236">
        <v>0</v>
      </c>
      <c r="AN319" s="236">
        <v>0</v>
      </c>
      <c r="AO319" s="236">
        <v>0</v>
      </c>
      <c r="AP319" s="236">
        <v>0</v>
      </c>
      <c r="AQ319" s="236">
        <v>0</v>
      </c>
      <c r="AR319" s="236">
        <v>0</v>
      </c>
      <c r="AS319" s="236">
        <v>0</v>
      </c>
      <c r="AT319" s="236">
        <v>0</v>
      </c>
      <c r="AU319" s="236">
        <v>0</v>
      </c>
      <c r="AV319" s="231">
        <v>110</v>
      </c>
      <c r="AW319" s="236">
        <v>3.66</v>
      </c>
      <c r="AX319" s="244">
        <v>2.4300000000000002</v>
      </c>
      <c r="AY319" s="244">
        <v>0</v>
      </c>
      <c r="AZ319" s="244">
        <v>0.82</v>
      </c>
      <c r="BA319" s="244">
        <v>0</v>
      </c>
      <c r="BB319" s="244">
        <v>0</v>
      </c>
      <c r="BC319" s="244">
        <v>0</v>
      </c>
      <c r="BD319" s="244">
        <v>4.9400000000000004</v>
      </c>
      <c r="BE319" s="237">
        <v>0</v>
      </c>
      <c r="BF319" s="244">
        <v>0.84</v>
      </c>
      <c r="BG319" s="244">
        <v>3.99</v>
      </c>
      <c r="BH319" s="244">
        <v>3.23</v>
      </c>
      <c r="BI319" s="244">
        <v>2.83</v>
      </c>
      <c r="BJ319" s="244">
        <v>0.18</v>
      </c>
      <c r="BK319" s="244">
        <v>0.14000000000000001</v>
      </c>
      <c r="BL319" s="244">
        <v>0</v>
      </c>
      <c r="BM319" s="244">
        <v>0.03</v>
      </c>
      <c r="BN319" s="244"/>
      <c r="BO319" s="204">
        <v>74</v>
      </c>
      <c r="BP319" s="204"/>
      <c r="BQ319" s="204">
        <v>1356</v>
      </c>
      <c r="BR319" s="204">
        <v>459</v>
      </c>
      <c r="BS319" s="204">
        <v>198</v>
      </c>
      <c r="BT319" s="204">
        <v>631</v>
      </c>
      <c r="BU319" s="204">
        <v>760</v>
      </c>
      <c r="BV319" s="204">
        <v>810</v>
      </c>
      <c r="BW319" s="204">
        <v>1267</v>
      </c>
      <c r="BX319" s="204">
        <v>746</v>
      </c>
      <c r="BY319" s="204">
        <v>1088</v>
      </c>
      <c r="BZ319" s="204">
        <v>472</v>
      </c>
      <c r="CA319" s="204">
        <v>154</v>
      </c>
      <c r="CB319" s="204">
        <v>538</v>
      </c>
      <c r="CC319" s="204">
        <v>1042</v>
      </c>
      <c r="CD319" s="204">
        <v>1622</v>
      </c>
      <c r="CE319" s="204">
        <v>2536</v>
      </c>
      <c r="CF319" s="204">
        <v>1071</v>
      </c>
      <c r="CG319" s="204">
        <v>829</v>
      </c>
      <c r="CH319" s="204">
        <v>666</v>
      </c>
      <c r="CI319" s="231"/>
    </row>
    <row r="320" spans="1:87" ht="25.2" customHeight="1" outlineLevel="1">
      <c r="A320" s="204">
        <v>298</v>
      </c>
      <c r="B320" s="207">
        <v>7015</v>
      </c>
      <c r="C320" s="208" t="s">
        <v>495</v>
      </c>
      <c r="D320" s="194" t="s">
        <v>468</v>
      </c>
      <c r="E320" s="209">
        <f t="shared" si="36"/>
        <v>94</v>
      </c>
      <c r="F320" s="216">
        <v>77.900000000000006</v>
      </c>
      <c r="G320" s="217">
        <v>19</v>
      </c>
      <c r="H320" s="218">
        <v>2</v>
      </c>
      <c r="I320" s="230">
        <f t="shared" si="37"/>
        <v>0</v>
      </c>
      <c r="J320" s="216">
        <v>0</v>
      </c>
      <c r="K320" s="216">
        <v>1.1000000000000001</v>
      </c>
      <c r="L320" s="233">
        <v>0</v>
      </c>
      <c r="M320" s="216">
        <v>11</v>
      </c>
      <c r="N320" s="216">
        <v>205</v>
      </c>
      <c r="O320" s="216">
        <v>2.8</v>
      </c>
      <c r="P320" s="216">
        <v>0</v>
      </c>
      <c r="Q320" s="216">
        <v>0.26</v>
      </c>
      <c r="R320" s="216">
        <v>0.6</v>
      </c>
      <c r="S320" s="216">
        <v>5.0999999999999996</v>
      </c>
      <c r="T320" s="231">
        <v>51</v>
      </c>
      <c r="U320" s="231">
        <v>318</v>
      </c>
      <c r="V320" s="231">
        <v>23</v>
      </c>
      <c r="W320" s="242">
        <v>4.1000000000000002E-2</v>
      </c>
      <c r="X320" s="232">
        <v>2.09</v>
      </c>
      <c r="Y320" s="231">
        <v>253</v>
      </c>
      <c r="Z320" s="231">
        <v>9.6999999999999993</v>
      </c>
      <c r="AA320" s="241"/>
      <c r="AB320" s="241">
        <v>0.37</v>
      </c>
      <c r="AC320" s="240">
        <v>4</v>
      </c>
      <c r="AD320" s="240">
        <v>0</v>
      </c>
      <c r="AE320" s="233"/>
      <c r="AF320" s="233">
        <v>6.31</v>
      </c>
      <c r="AG320" s="240">
        <v>8</v>
      </c>
      <c r="AH320" s="240">
        <f t="shared" si="38"/>
        <v>26.64</v>
      </c>
      <c r="AI320" s="236">
        <f t="shared" si="39"/>
        <v>8</v>
      </c>
      <c r="AJ320" s="252"/>
      <c r="AK320" s="233">
        <v>0.2</v>
      </c>
      <c r="AL320" s="216">
        <v>1.1000000000000001</v>
      </c>
      <c r="AM320" s="236">
        <v>0</v>
      </c>
      <c r="AN320" s="236">
        <v>0</v>
      </c>
      <c r="AO320" s="236">
        <v>0</v>
      </c>
      <c r="AP320" s="236">
        <v>0</v>
      </c>
      <c r="AQ320" s="236">
        <v>0</v>
      </c>
      <c r="AR320" s="236">
        <v>0</v>
      </c>
      <c r="AS320" s="236">
        <v>0</v>
      </c>
      <c r="AT320" s="236">
        <v>0</v>
      </c>
      <c r="AU320" s="236">
        <v>0</v>
      </c>
      <c r="AV320" s="231"/>
      <c r="AW320" s="236">
        <v>0.95</v>
      </c>
      <c r="AX320" s="242">
        <v>0.41</v>
      </c>
      <c r="AY320" s="242">
        <v>0</v>
      </c>
      <c r="AZ320" s="242">
        <v>0.51</v>
      </c>
      <c r="BA320" s="242">
        <v>0</v>
      </c>
      <c r="BB320" s="242">
        <v>0</v>
      </c>
      <c r="BC320" s="242">
        <v>0</v>
      </c>
      <c r="BD320" s="242">
        <v>0.67</v>
      </c>
      <c r="BE320" s="231">
        <v>0</v>
      </c>
      <c r="BF320" s="242">
        <v>0.03</v>
      </c>
      <c r="BG320" s="242">
        <v>0.63</v>
      </c>
      <c r="BH320" s="242">
        <v>0.47</v>
      </c>
      <c r="BI320" s="242">
        <v>0.31</v>
      </c>
      <c r="BJ320" s="242">
        <v>7.0000000000000007E-2</v>
      </c>
      <c r="BK320" s="242">
        <v>0.1</v>
      </c>
      <c r="BL320" s="242">
        <v>0</v>
      </c>
      <c r="BM320" s="242">
        <v>0</v>
      </c>
      <c r="BN320" s="242"/>
      <c r="BO320" s="231">
        <v>85</v>
      </c>
      <c r="BP320" s="257"/>
      <c r="BQ320" s="231"/>
      <c r="BR320" s="231"/>
      <c r="BS320" s="231"/>
      <c r="BT320" s="231"/>
      <c r="BU320" s="231"/>
      <c r="BV320" s="231"/>
      <c r="BW320" s="231"/>
      <c r="BX320" s="231"/>
      <c r="BY320" s="231"/>
      <c r="BZ320" s="231"/>
      <c r="CA320" s="231"/>
      <c r="CB320" s="231"/>
      <c r="CC320" s="231"/>
      <c r="CD320" s="231"/>
      <c r="CE320" s="231"/>
      <c r="CF320" s="231"/>
      <c r="CG320" s="231"/>
      <c r="CH320" s="231"/>
      <c r="CI320" s="231"/>
    </row>
    <row r="321" spans="1:102" ht="25.2" customHeight="1" outlineLevel="1">
      <c r="A321" s="204">
        <v>299</v>
      </c>
      <c r="B321" s="207">
        <v>7016</v>
      </c>
      <c r="C321" s="208" t="s">
        <v>496</v>
      </c>
      <c r="D321" s="194" t="s">
        <v>468</v>
      </c>
      <c r="E321" s="209">
        <f t="shared" si="36"/>
        <v>393.7</v>
      </c>
      <c r="F321" s="216">
        <v>47.5</v>
      </c>
      <c r="G321" s="217">
        <v>14.5</v>
      </c>
      <c r="H321" s="218">
        <v>37.299999999999997</v>
      </c>
      <c r="I321" s="230">
        <f t="shared" si="37"/>
        <v>0</v>
      </c>
      <c r="J321" s="216">
        <v>0</v>
      </c>
      <c r="K321" s="216">
        <v>0.7</v>
      </c>
      <c r="L321" s="233">
        <v>0</v>
      </c>
      <c r="M321" s="216">
        <v>8</v>
      </c>
      <c r="N321" s="216">
        <v>156</v>
      </c>
      <c r="O321" s="216">
        <v>0.4</v>
      </c>
      <c r="P321" s="216">
        <v>0</v>
      </c>
      <c r="Q321" s="216">
        <v>0</v>
      </c>
      <c r="R321" s="216">
        <v>0</v>
      </c>
      <c r="S321" s="216">
        <v>0</v>
      </c>
      <c r="T321" s="231">
        <v>42</v>
      </c>
      <c r="U321" s="231">
        <v>253</v>
      </c>
      <c r="V321" s="231">
        <v>13</v>
      </c>
      <c r="W321" s="242">
        <v>1.0999999999999999E-2</v>
      </c>
      <c r="X321" s="232">
        <v>1.59</v>
      </c>
      <c r="Y321" s="231">
        <v>55</v>
      </c>
      <c r="Z321" s="231">
        <v>28.4</v>
      </c>
      <c r="AA321" s="241">
        <v>0.52600000000000002</v>
      </c>
      <c r="AB321" s="241">
        <v>0.28399999999999997</v>
      </c>
      <c r="AC321" s="240">
        <v>4</v>
      </c>
      <c r="AD321" s="240">
        <v>0</v>
      </c>
      <c r="AE321" s="233"/>
      <c r="AF321" s="233">
        <v>0.61</v>
      </c>
      <c r="AG321" s="240">
        <v>2</v>
      </c>
      <c r="AH321" s="240">
        <f t="shared" si="38"/>
        <v>6.66</v>
      </c>
      <c r="AI321" s="236">
        <f t="shared" si="39"/>
        <v>2</v>
      </c>
      <c r="AJ321" s="252"/>
      <c r="AK321" s="233"/>
      <c r="AL321" s="216"/>
      <c r="AM321" s="236">
        <v>0</v>
      </c>
      <c r="AN321" s="236">
        <v>0</v>
      </c>
      <c r="AO321" s="236">
        <v>0</v>
      </c>
      <c r="AP321" s="236">
        <v>0</v>
      </c>
      <c r="AQ321" s="236">
        <v>0</v>
      </c>
      <c r="AR321" s="236">
        <v>0</v>
      </c>
      <c r="AS321" s="236">
        <v>0</v>
      </c>
      <c r="AT321" s="236">
        <v>0</v>
      </c>
      <c r="AU321" s="236">
        <v>0</v>
      </c>
      <c r="AV321" s="231"/>
      <c r="AW321" s="236">
        <v>12.44</v>
      </c>
      <c r="AX321" s="242">
        <v>7.65</v>
      </c>
      <c r="AY321" s="242">
        <v>0</v>
      </c>
      <c r="AZ321" s="242">
        <v>4.2</v>
      </c>
      <c r="BA321" s="242">
        <v>0</v>
      </c>
      <c r="BB321" s="242">
        <v>0</v>
      </c>
      <c r="BC321" s="242">
        <v>0</v>
      </c>
      <c r="BD321" s="242">
        <v>15.93</v>
      </c>
      <c r="BE321" s="231">
        <v>0</v>
      </c>
      <c r="BF321" s="242">
        <v>0.99</v>
      </c>
      <c r="BG321" s="242">
        <v>14.66</v>
      </c>
      <c r="BH321" s="242">
        <v>3.8</v>
      </c>
      <c r="BI321" s="242">
        <v>3.3</v>
      </c>
      <c r="BJ321" s="242">
        <v>0.28999999999999998</v>
      </c>
      <c r="BK321" s="242">
        <v>0.11</v>
      </c>
      <c r="BL321" s="242">
        <v>0</v>
      </c>
      <c r="BM321" s="242">
        <v>0</v>
      </c>
      <c r="BN321" s="242"/>
      <c r="BO321" s="231">
        <v>74</v>
      </c>
      <c r="BP321" s="231"/>
      <c r="BQ321" s="231">
        <v>1230</v>
      </c>
      <c r="BR321" s="231">
        <v>347</v>
      </c>
      <c r="BS321" s="231">
        <v>160</v>
      </c>
      <c r="BT321" s="231">
        <v>547</v>
      </c>
      <c r="BU321" s="231">
        <v>610</v>
      </c>
      <c r="BV321" s="231">
        <v>737</v>
      </c>
      <c r="BW321" s="231">
        <v>1088</v>
      </c>
      <c r="BX321" s="231">
        <v>616</v>
      </c>
      <c r="BY321" s="231">
        <v>911</v>
      </c>
      <c r="BZ321" s="231">
        <v>509</v>
      </c>
      <c r="CA321" s="231">
        <v>169</v>
      </c>
      <c r="CB321" s="231">
        <v>454</v>
      </c>
      <c r="CC321" s="231">
        <v>832</v>
      </c>
      <c r="CD321" s="231">
        <v>1249</v>
      </c>
      <c r="CE321" s="231">
        <v>2062</v>
      </c>
      <c r="CF321" s="231">
        <v>868</v>
      </c>
      <c r="CG321" s="231">
        <v>672</v>
      </c>
      <c r="CH321" s="231">
        <v>574</v>
      </c>
      <c r="CI321" s="231"/>
    </row>
    <row r="322" spans="1:102" ht="25.2" customHeight="1" outlineLevel="1">
      <c r="A322" s="204">
        <v>300</v>
      </c>
      <c r="B322" s="207">
        <v>7017</v>
      </c>
      <c r="C322" s="208" t="s">
        <v>497</v>
      </c>
      <c r="D322" s="194" t="s">
        <v>468</v>
      </c>
      <c r="E322" s="209">
        <f t="shared" si="36"/>
        <v>139</v>
      </c>
      <c r="F322" s="216">
        <v>73</v>
      </c>
      <c r="G322" s="217">
        <v>19</v>
      </c>
      <c r="H322" s="218">
        <v>7</v>
      </c>
      <c r="I322" s="230">
        <f t="shared" si="37"/>
        <v>0</v>
      </c>
      <c r="J322" s="216">
        <v>0</v>
      </c>
      <c r="K322" s="216">
        <v>1</v>
      </c>
      <c r="L322" s="233">
        <v>0</v>
      </c>
      <c r="M322" s="216">
        <v>6.7</v>
      </c>
      <c r="N322" s="216">
        <v>190</v>
      </c>
      <c r="O322" s="216">
        <v>0.96</v>
      </c>
      <c r="P322" s="216">
        <v>0.8</v>
      </c>
      <c r="Q322" s="216">
        <v>0.9</v>
      </c>
      <c r="R322" s="216">
        <v>0.18</v>
      </c>
      <c r="S322" s="216">
        <v>4.4000000000000004</v>
      </c>
      <c r="T322" s="240">
        <v>76</v>
      </c>
      <c r="U322" s="240">
        <v>341</v>
      </c>
      <c r="V322" s="240">
        <v>32</v>
      </c>
      <c r="W322" s="241">
        <v>1.2E-2</v>
      </c>
      <c r="X322" s="233">
        <v>2.5</v>
      </c>
      <c r="Y322" s="240">
        <v>190</v>
      </c>
      <c r="Z322" s="216">
        <v>23.9</v>
      </c>
      <c r="AA322" s="241">
        <v>0.82199999999999995</v>
      </c>
      <c r="AB322" s="241">
        <v>0.41499999999999998</v>
      </c>
      <c r="AC322" s="240">
        <v>5</v>
      </c>
      <c r="AD322" s="240">
        <v>0</v>
      </c>
      <c r="AE322" s="233">
        <v>2.6</v>
      </c>
      <c r="AF322" s="233">
        <v>0.84</v>
      </c>
      <c r="AG322" s="240">
        <v>2</v>
      </c>
      <c r="AH322" s="240">
        <f t="shared" si="38"/>
        <v>6.66</v>
      </c>
      <c r="AI322" s="236">
        <f t="shared" si="39"/>
        <v>2</v>
      </c>
      <c r="AJ322" s="252"/>
      <c r="AK322" s="233"/>
      <c r="AL322" s="216"/>
      <c r="AM322" s="236">
        <v>0</v>
      </c>
      <c r="AN322" s="236">
        <v>0</v>
      </c>
      <c r="AO322" s="236">
        <v>0</v>
      </c>
      <c r="AP322" s="236">
        <v>0</v>
      </c>
      <c r="AQ322" s="236">
        <v>0</v>
      </c>
      <c r="AR322" s="236">
        <v>0</v>
      </c>
      <c r="AS322" s="236">
        <v>0</v>
      </c>
      <c r="AT322" s="236">
        <v>0</v>
      </c>
      <c r="AU322" s="236">
        <v>0</v>
      </c>
      <c r="AV322" s="231">
        <v>166</v>
      </c>
      <c r="AW322" s="236">
        <v>2.4700000000000002</v>
      </c>
      <c r="AX322" s="244">
        <v>1.57</v>
      </c>
      <c r="AY322" s="242">
        <v>0</v>
      </c>
      <c r="AZ322" s="244">
        <v>0.77</v>
      </c>
      <c r="BA322" s="242">
        <v>0</v>
      </c>
      <c r="BB322" s="242">
        <v>0</v>
      </c>
      <c r="BC322" s="242">
        <v>0</v>
      </c>
      <c r="BD322" s="244">
        <v>3.23</v>
      </c>
      <c r="BE322" s="231">
        <v>0</v>
      </c>
      <c r="BF322" s="244">
        <v>0.23</v>
      </c>
      <c r="BG322" s="244">
        <v>2.93</v>
      </c>
      <c r="BH322" s="244">
        <v>0.77</v>
      </c>
      <c r="BI322" s="244">
        <v>0.62</v>
      </c>
      <c r="BJ322" s="244">
        <v>0.03</v>
      </c>
      <c r="BK322" s="244">
        <v>0.09</v>
      </c>
      <c r="BL322" s="242">
        <v>0</v>
      </c>
      <c r="BM322" s="242">
        <v>0</v>
      </c>
      <c r="BN322" s="244"/>
      <c r="BO322" s="204">
        <v>67</v>
      </c>
      <c r="BP322" s="204"/>
      <c r="BQ322" s="204">
        <v>1440</v>
      </c>
      <c r="BR322" s="204">
        <v>400</v>
      </c>
      <c r="BS322" s="204">
        <v>230</v>
      </c>
      <c r="BT322" s="204">
        <v>690</v>
      </c>
      <c r="BU322" s="204">
        <v>740</v>
      </c>
      <c r="BV322" s="204">
        <v>910</v>
      </c>
      <c r="BW322" s="204">
        <v>1190</v>
      </c>
      <c r="BX322" s="204">
        <v>940</v>
      </c>
      <c r="BY322" s="204">
        <v>1010</v>
      </c>
      <c r="BZ322" s="204">
        <v>510</v>
      </c>
      <c r="CA322" s="204">
        <v>202</v>
      </c>
      <c r="CB322" s="204">
        <v>644</v>
      </c>
      <c r="CC322" s="204">
        <v>990</v>
      </c>
      <c r="CD322" s="204">
        <v>1607</v>
      </c>
      <c r="CE322" s="204">
        <v>2603</v>
      </c>
      <c r="CF322" s="204">
        <v>1023</v>
      </c>
      <c r="CG322" s="204">
        <v>821</v>
      </c>
      <c r="CH322" s="204">
        <v>752</v>
      </c>
      <c r="CI322" s="231"/>
    </row>
    <row r="323" spans="1:102" s="172" customFormat="1" ht="25.2" customHeight="1">
      <c r="A323" s="204">
        <v>301</v>
      </c>
      <c r="B323" s="207">
        <v>7018</v>
      </c>
      <c r="C323" s="208" t="s">
        <v>498</v>
      </c>
      <c r="D323" s="194" t="s">
        <v>468</v>
      </c>
      <c r="E323" s="209">
        <f t="shared" si="36"/>
        <v>259.5</v>
      </c>
      <c r="F323" s="216">
        <v>60.9</v>
      </c>
      <c r="G323" s="217">
        <v>16.5</v>
      </c>
      <c r="H323" s="218">
        <v>21.5</v>
      </c>
      <c r="I323" s="230">
        <f t="shared" si="37"/>
        <v>0</v>
      </c>
      <c r="J323" s="216">
        <v>0</v>
      </c>
      <c r="K323" s="216">
        <v>1.1000000000000001</v>
      </c>
      <c r="L323" s="233">
        <v>0</v>
      </c>
      <c r="M323" s="216">
        <v>9</v>
      </c>
      <c r="N323" s="216">
        <v>178</v>
      </c>
      <c r="O323" s="216">
        <v>1.5</v>
      </c>
      <c r="P323" s="216">
        <v>2</v>
      </c>
      <c r="Q323" s="216">
        <v>0.53</v>
      </c>
      <c r="R323" s="216">
        <v>0.16</v>
      </c>
      <c r="S323" s="216">
        <v>2.7</v>
      </c>
      <c r="T323" s="231">
        <v>55</v>
      </c>
      <c r="U323" s="231">
        <v>285</v>
      </c>
      <c r="V323" s="231">
        <v>19</v>
      </c>
      <c r="W323" s="242">
        <v>1.0999999999999999E-2</v>
      </c>
      <c r="X323" s="232">
        <v>1.91</v>
      </c>
      <c r="Y323" s="231">
        <v>63</v>
      </c>
      <c r="Z323" s="231">
        <v>28.7</v>
      </c>
      <c r="AA323" s="241">
        <v>0.67200000000000004</v>
      </c>
      <c r="AB323" s="241">
        <v>0.39300000000000002</v>
      </c>
      <c r="AC323" s="240">
        <v>4</v>
      </c>
      <c r="AD323" s="240">
        <v>0</v>
      </c>
      <c r="AE323" s="233">
        <v>2.6</v>
      </c>
      <c r="AF323" s="233">
        <v>0.6</v>
      </c>
      <c r="AG323" s="240">
        <v>10</v>
      </c>
      <c r="AH323" s="240">
        <f t="shared" si="38"/>
        <v>33.299999999999997</v>
      </c>
      <c r="AI323" s="236">
        <f t="shared" si="39"/>
        <v>10</v>
      </c>
      <c r="AJ323" s="252"/>
      <c r="AK323" s="233"/>
      <c r="AL323" s="216"/>
      <c r="AM323" s="236">
        <v>0</v>
      </c>
      <c r="AN323" s="236">
        <v>0</v>
      </c>
      <c r="AO323" s="236">
        <v>0</v>
      </c>
      <c r="AP323" s="236">
        <v>0</v>
      </c>
      <c r="AQ323" s="236">
        <v>0</v>
      </c>
      <c r="AR323" s="236">
        <v>0</v>
      </c>
      <c r="AS323" s="236">
        <v>0</v>
      </c>
      <c r="AT323" s="236">
        <v>0</v>
      </c>
      <c r="AU323" s="236">
        <v>0</v>
      </c>
      <c r="AV323" s="231"/>
      <c r="AW323" s="236">
        <v>7.29</v>
      </c>
      <c r="AX323" s="242">
        <v>4.5199999999999996</v>
      </c>
      <c r="AY323" s="242">
        <v>0</v>
      </c>
      <c r="AZ323" s="242">
        <v>2.41</v>
      </c>
      <c r="BA323" s="242">
        <v>0</v>
      </c>
      <c r="BB323" s="242">
        <v>0</v>
      </c>
      <c r="BC323" s="242">
        <v>0</v>
      </c>
      <c r="BD323" s="242">
        <v>9.34</v>
      </c>
      <c r="BE323" s="231">
        <v>0</v>
      </c>
      <c r="BF323" s="242">
        <v>0.57999999999999996</v>
      </c>
      <c r="BG323" s="242">
        <v>8.58</v>
      </c>
      <c r="BH323" s="242">
        <v>2.2400000000000002</v>
      </c>
      <c r="BI323" s="242">
        <v>1.88</v>
      </c>
      <c r="BJ323" s="242">
        <v>0.16</v>
      </c>
      <c r="BK323" s="242">
        <v>0.09</v>
      </c>
      <c r="BL323" s="242">
        <v>0</v>
      </c>
      <c r="BM323" s="242">
        <v>0</v>
      </c>
      <c r="BN323" s="242"/>
      <c r="BO323" s="231">
        <v>68</v>
      </c>
      <c r="BP323" s="231"/>
      <c r="BQ323" s="231">
        <v>1517</v>
      </c>
      <c r="BR323" s="231">
        <v>432</v>
      </c>
      <c r="BS323" s="231">
        <v>202</v>
      </c>
      <c r="BT323" s="231">
        <v>674</v>
      </c>
      <c r="BU323" s="231">
        <v>757</v>
      </c>
      <c r="BV323" s="231">
        <v>911</v>
      </c>
      <c r="BW323" s="231">
        <v>1344</v>
      </c>
      <c r="BX323" s="231">
        <v>767</v>
      </c>
      <c r="BY323" s="231">
        <v>1104</v>
      </c>
      <c r="BZ323" s="231">
        <v>640</v>
      </c>
      <c r="CA323" s="231">
        <v>210</v>
      </c>
      <c r="CB323" s="231">
        <v>567</v>
      </c>
      <c r="CC323" s="231">
        <v>1014</v>
      </c>
      <c r="CD323" s="231">
        <v>1547</v>
      </c>
      <c r="CE323" s="231">
        <v>2568</v>
      </c>
      <c r="CF323" s="231">
        <v>999</v>
      </c>
      <c r="CG323" s="231">
        <v>789</v>
      </c>
      <c r="CH323" s="231">
        <v>705</v>
      </c>
      <c r="CI323" s="231"/>
      <c r="CS323" s="173"/>
      <c r="CT323" s="173"/>
      <c r="CU323" s="173"/>
      <c r="CV323" s="173"/>
      <c r="CW323" s="173"/>
      <c r="CX323" s="173"/>
    </row>
    <row r="324" spans="1:102" ht="25.2" customHeight="1" outlineLevel="1">
      <c r="A324" s="204">
        <v>302</v>
      </c>
      <c r="B324" s="207">
        <v>7019</v>
      </c>
      <c r="C324" s="208" t="s">
        <v>499</v>
      </c>
      <c r="D324" s="194" t="s">
        <v>468</v>
      </c>
      <c r="E324" s="209">
        <f t="shared" si="36"/>
        <v>408.8</v>
      </c>
      <c r="F324" s="216">
        <v>46.1</v>
      </c>
      <c r="G324" s="217">
        <v>14</v>
      </c>
      <c r="H324" s="218">
        <v>39.200000000000003</v>
      </c>
      <c r="I324" s="230">
        <f t="shared" si="37"/>
        <v>0</v>
      </c>
      <c r="J324" s="216">
        <v>0</v>
      </c>
      <c r="K324" s="216">
        <v>0.7</v>
      </c>
      <c r="L324" s="233">
        <v>0</v>
      </c>
      <c r="M324" s="216">
        <v>13</v>
      </c>
      <c r="N324" s="216">
        <v>210</v>
      </c>
      <c r="O324" s="216">
        <v>1.8</v>
      </c>
      <c r="P324" s="216">
        <v>4.2</v>
      </c>
      <c r="Q324" s="216">
        <v>0.2</v>
      </c>
      <c r="R324" s="216">
        <v>0.19</v>
      </c>
      <c r="S324" s="216">
        <v>5.7</v>
      </c>
      <c r="T324" s="231">
        <v>73</v>
      </c>
      <c r="U324" s="231">
        <v>308</v>
      </c>
      <c r="V324" s="231">
        <v>18</v>
      </c>
      <c r="W324" s="242">
        <v>0.02</v>
      </c>
      <c r="X324" s="232">
        <v>1.72</v>
      </c>
      <c r="Y324" s="231">
        <v>270</v>
      </c>
      <c r="Z324" s="231">
        <v>14.4</v>
      </c>
      <c r="AA324" s="241">
        <v>1.294</v>
      </c>
      <c r="AB324" s="241">
        <v>0.39</v>
      </c>
      <c r="AC324" s="240">
        <v>4</v>
      </c>
      <c r="AD324" s="240">
        <v>0</v>
      </c>
      <c r="AE324" s="233"/>
      <c r="AF324" s="233">
        <v>0.34</v>
      </c>
      <c r="AG324" s="240">
        <v>17</v>
      </c>
      <c r="AH324" s="240">
        <f t="shared" si="38"/>
        <v>56.61</v>
      </c>
      <c r="AI324" s="236">
        <f t="shared" si="39"/>
        <v>17</v>
      </c>
      <c r="AJ324" s="252"/>
      <c r="AK324" s="233"/>
      <c r="AL324" s="216"/>
      <c r="AM324" s="236">
        <v>0</v>
      </c>
      <c r="AN324" s="236">
        <v>0</v>
      </c>
      <c r="AO324" s="236">
        <v>0</v>
      </c>
      <c r="AP324" s="236">
        <v>0</v>
      </c>
      <c r="AQ324" s="236">
        <v>0</v>
      </c>
      <c r="AR324" s="236">
        <v>0</v>
      </c>
      <c r="AS324" s="236">
        <v>0</v>
      </c>
      <c r="AT324" s="236">
        <v>0</v>
      </c>
      <c r="AU324" s="236">
        <v>0</v>
      </c>
      <c r="AV324" s="231">
        <v>165</v>
      </c>
      <c r="AW324" s="236">
        <v>9.7799999999999994</v>
      </c>
      <c r="AX324" s="242">
        <v>6.95</v>
      </c>
      <c r="AY324" s="242">
        <v>0</v>
      </c>
      <c r="AZ324" s="242">
        <v>2.33</v>
      </c>
      <c r="BA324" s="242">
        <v>0</v>
      </c>
      <c r="BB324" s="242">
        <v>0</v>
      </c>
      <c r="BC324" s="242">
        <v>0</v>
      </c>
      <c r="BD324" s="242">
        <v>17.77</v>
      </c>
      <c r="BE324" s="231">
        <v>0</v>
      </c>
      <c r="BF324" s="242">
        <v>0.98</v>
      </c>
      <c r="BG324" s="242">
        <v>16.68</v>
      </c>
      <c r="BH324" s="242">
        <v>3.76</v>
      </c>
      <c r="BI324" s="242">
        <v>3.34</v>
      </c>
      <c r="BJ324" s="242">
        <v>0.21</v>
      </c>
      <c r="BK324" s="242">
        <v>0</v>
      </c>
      <c r="BL324" s="242">
        <v>0</v>
      </c>
      <c r="BM324" s="242">
        <v>0</v>
      </c>
      <c r="BN324" s="242"/>
      <c r="BO324" s="231">
        <v>80</v>
      </c>
      <c r="BP324" s="231"/>
      <c r="BQ324" s="204">
        <v>1252</v>
      </c>
      <c r="BR324" s="204">
        <v>350</v>
      </c>
      <c r="BS324" s="204">
        <v>204</v>
      </c>
      <c r="BT324" s="204">
        <v>618</v>
      </c>
      <c r="BU324" s="204">
        <v>651</v>
      </c>
      <c r="BV324" s="204">
        <v>699</v>
      </c>
      <c r="BW324" s="204">
        <v>1199</v>
      </c>
      <c r="BX324" s="204">
        <v>641</v>
      </c>
      <c r="BY324" s="204">
        <v>948</v>
      </c>
      <c r="BZ324" s="204">
        <v>395</v>
      </c>
      <c r="CA324" s="204">
        <v>99</v>
      </c>
      <c r="CB324" s="204">
        <v>501</v>
      </c>
      <c r="CC324" s="204">
        <v>888</v>
      </c>
      <c r="CD324" s="204">
        <v>1330</v>
      </c>
      <c r="CE324" s="204">
        <v>2231</v>
      </c>
      <c r="CF324" s="204">
        <v>869</v>
      </c>
      <c r="CG324" s="204">
        <v>627</v>
      </c>
      <c r="CH324" s="204">
        <v>565</v>
      </c>
      <c r="CI324" s="231"/>
    </row>
    <row r="325" spans="1:102" ht="25.2" customHeight="1" outlineLevel="1">
      <c r="A325" s="204">
        <v>303</v>
      </c>
      <c r="B325" s="207">
        <v>7020</v>
      </c>
      <c r="C325" s="208" t="s">
        <v>500</v>
      </c>
      <c r="D325" s="194" t="s">
        <v>468</v>
      </c>
      <c r="E325" s="209">
        <f t="shared" si="36"/>
        <v>176</v>
      </c>
      <c r="F325" s="216">
        <v>66.8</v>
      </c>
      <c r="G325" s="217">
        <v>21.5</v>
      </c>
      <c r="H325" s="218">
        <v>10</v>
      </c>
      <c r="I325" s="230">
        <f t="shared" si="37"/>
        <v>0</v>
      </c>
      <c r="J325" s="216">
        <v>0</v>
      </c>
      <c r="K325" s="216">
        <v>1.7</v>
      </c>
      <c r="L325" s="233">
        <v>0</v>
      </c>
      <c r="M325" s="216">
        <v>13</v>
      </c>
      <c r="N325" s="216">
        <v>200</v>
      </c>
      <c r="O325" s="216">
        <v>3.1</v>
      </c>
      <c r="P325" s="216">
        <v>0.6</v>
      </c>
      <c r="Q325" s="216">
        <v>7.0000000000000007E-2</v>
      </c>
      <c r="R325" s="216">
        <v>0.1</v>
      </c>
      <c r="S325" s="216">
        <v>4.2</v>
      </c>
      <c r="T325" s="231">
        <v>62</v>
      </c>
      <c r="U325" s="231">
        <v>291</v>
      </c>
      <c r="V325" s="231">
        <v>20</v>
      </c>
      <c r="W325" s="242">
        <v>0.02</v>
      </c>
      <c r="X325" s="232">
        <v>4.6100000000000003</v>
      </c>
      <c r="Y325" s="231">
        <v>140</v>
      </c>
      <c r="Z325" s="231">
        <v>6</v>
      </c>
      <c r="AA325" s="241">
        <v>0.6</v>
      </c>
      <c r="AB325" s="241">
        <v>0.5</v>
      </c>
      <c r="AC325" s="240">
        <v>8</v>
      </c>
      <c r="AD325" s="240">
        <v>0</v>
      </c>
      <c r="AE325" s="233">
        <v>2.6</v>
      </c>
      <c r="AF325" s="233">
        <v>3.1</v>
      </c>
      <c r="AG325" s="240">
        <v>37</v>
      </c>
      <c r="AH325" s="240">
        <f t="shared" si="38"/>
        <v>123.21</v>
      </c>
      <c r="AI325" s="236">
        <f t="shared" si="39"/>
        <v>37</v>
      </c>
      <c r="AJ325" s="252">
        <v>0.3</v>
      </c>
      <c r="AK325" s="233">
        <v>0.23</v>
      </c>
      <c r="AL325" s="216">
        <v>0</v>
      </c>
      <c r="AM325" s="236">
        <v>0</v>
      </c>
      <c r="AN325" s="236">
        <v>0</v>
      </c>
      <c r="AO325" s="236">
        <v>0</v>
      </c>
      <c r="AP325" s="236">
        <v>0</v>
      </c>
      <c r="AQ325" s="236">
        <v>0</v>
      </c>
      <c r="AR325" s="236">
        <v>0</v>
      </c>
      <c r="AS325" s="236">
        <v>0</v>
      </c>
      <c r="AT325" s="236">
        <v>0</v>
      </c>
      <c r="AU325" s="236">
        <v>0</v>
      </c>
      <c r="AV325" s="231">
        <v>200</v>
      </c>
      <c r="AW325" s="236">
        <v>3.48</v>
      </c>
      <c r="AX325" s="242">
        <v>2.67</v>
      </c>
      <c r="AY325" s="242">
        <v>0.05</v>
      </c>
      <c r="AZ325" s="242">
        <v>0.76</v>
      </c>
      <c r="BA325" s="242">
        <v>0</v>
      </c>
      <c r="BB325" s="242">
        <v>0</v>
      </c>
      <c r="BC325" s="242">
        <v>0</v>
      </c>
      <c r="BD325" s="242">
        <v>3.2</v>
      </c>
      <c r="BE325" s="231">
        <v>0</v>
      </c>
      <c r="BF325" s="242">
        <v>0.48</v>
      </c>
      <c r="BG325" s="242">
        <v>2.67</v>
      </c>
      <c r="BH325" s="242">
        <v>2.25</v>
      </c>
      <c r="BI325" s="242">
        <v>1.1000000000000001</v>
      </c>
      <c r="BJ325" s="242">
        <v>0.96</v>
      </c>
      <c r="BK325" s="242">
        <v>0.19</v>
      </c>
      <c r="BL325" s="242">
        <v>0</v>
      </c>
      <c r="BM325" s="242">
        <v>0</v>
      </c>
      <c r="BN325" s="242"/>
      <c r="BO325" s="231">
        <v>75</v>
      </c>
      <c r="BP325" s="231"/>
      <c r="BQ325" s="204">
        <v>2150</v>
      </c>
      <c r="BR325" s="204">
        <v>602</v>
      </c>
      <c r="BS325" s="204">
        <v>217</v>
      </c>
      <c r="BT325" s="204">
        <v>819</v>
      </c>
      <c r="BU325" s="204">
        <v>839</v>
      </c>
      <c r="BV325" s="204">
        <v>1077</v>
      </c>
      <c r="BW325" s="204">
        <v>2043</v>
      </c>
      <c r="BX325" s="204">
        <v>1398</v>
      </c>
      <c r="BY325" s="204">
        <v>1548</v>
      </c>
      <c r="BZ325" s="204">
        <v>602</v>
      </c>
      <c r="CA325" s="204">
        <v>280</v>
      </c>
      <c r="CB325" s="204">
        <v>796</v>
      </c>
      <c r="CC325" s="204">
        <v>1163</v>
      </c>
      <c r="CD325" s="204">
        <v>1785</v>
      </c>
      <c r="CE325" s="204">
        <v>2625</v>
      </c>
      <c r="CF325" s="204">
        <v>925</v>
      </c>
      <c r="CG325" s="204">
        <v>860</v>
      </c>
      <c r="CH325" s="204">
        <v>908</v>
      </c>
      <c r="CI325" s="231"/>
      <c r="CT325" s="172"/>
      <c r="CU325" s="172"/>
      <c r="CV325" s="172"/>
      <c r="CW325" s="172"/>
      <c r="CX325" s="172"/>
    </row>
    <row r="326" spans="1:102" ht="25.2" customHeight="1" outlineLevel="1">
      <c r="A326" s="204">
        <v>304</v>
      </c>
      <c r="B326" s="207">
        <v>7021</v>
      </c>
      <c r="C326" s="208" t="s">
        <v>501</v>
      </c>
      <c r="D326" s="194" t="s">
        <v>468</v>
      </c>
      <c r="E326" s="209">
        <f t="shared" si="36"/>
        <v>158</v>
      </c>
      <c r="F326" s="216">
        <v>69.3</v>
      </c>
      <c r="G326" s="217">
        <v>21.5</v>
      </c>
      <c r="H326" s="218">
        <v>8</v>
      </c>
      <c r="I326" s="230">
        <f t="shared" si="37"/>
        <v>0</v>
      </c>
      <c r="J326" s="216">
        <v>0</v>
      </c>
      <c r="K326" s="216">
        <v>1.2</v>
      </c>
      <c r="L326" s="233"/>
      <c r="M326" s="216">
        <v>21</v>
      </c>
      <c r="N326" s="216">
        <v>224</v>
      </c>
      <c r="O326" s="216">
        <v>1.6</v>
      </c>
      <c r="P326" s="216">
        <v>0</v>
      </c>
      <c r="Q326" s="216">
        <v>0.08</v>
      </c>
      <c r="R326" s="216">
        <v>0.06</v>
      </c>
      <c r="S326" s="216">
        <v>7.6</v>
      </c>
      <c r="T326" s="231">
        <v>41</v>
      </c>
      <c r="U326" s="231">
        <v>330</v>
      </c>
      <c r="V326" s="231">
        <v>19</v>
      </c>
      <c r="W326" s="242">
        <v>2.5999999999999999E-2</v>
      </c>
      <c r="X326" s="232">
        <v>1.57</v>
      </c>
      <c r="Y326" s="231">
        <v>145</v>
      </c>
      <c r="Z326" s="231">
        <v>23.7</v>
      </c>
      <c r="AA326" s="241">
        <v>0.8</v>
      </c>
      <c r="AB326" s="241">
        <v>0.5</v>
      </c>
      <c r="AC326" s="240">
        <v>8</v>
      </c>
      <c r="AD326" s="240">
        <v>0</v>
      </c>
      <c r="AE326" s="233">
        <v>1</v>
      </c>
      <c r="AF326" s="233">
        <v>7.16</v>
      </c>
      <c r="AG326" s="240">
        <v>10</v>
      </c>
      <c r="AH326" s="240">
        <f t="shared" si="38"/>
        <v>33.299999999999997</v>
      </c>
      <c r="AI326" s="236">
        <f t="shared" si="39"/>
        <v>10</v>
      </c>
      <c r="AJ326" s="252"/>
      <c r="AK326" s="233">
        <v>0.4</v>
      </c>
      <c r="AL326" s="216">
        <v>0</v>
      </c>
      <c r="AM326" s="236">
        <v>0</v>
      </c>
      <c r="AN326" s="236">
        <v>0</v>
      </c>
      <c r="AO326" s="236">
        <v>0</v>
      </c>
      <c r="AP326" s="236">
        <v>0</v>
      </c>
      <c r="AQ326" s="236">
        <v>0</v>
      </c>
      <c r="AR326" s="236">
        <v>0</v>
      </c>
      <c r="AS326" s="236">
        <v>0</v>
      </c>
      <c r="AT326" s="236">
        <v>0</v>
      </c>
      <c r="AU326" s="236">
        <v>0</v>
      </c>
      <c r="AV326" s="231">
        <v>132</v>
      </c>
      <c r="AW326" s="236">
        <v>1.66</v>
      </c>
      <c r="AX326" s="242">
        <v>1.25</v>
      </c>
      <c r="AY326" s="242">
        <v>0</v>
      </c>
      <c r="AZ326" s="242">
        <v>0.26</v>
      </c>
      <c r="BA326" s="242">
        <v>0</v>
      </c>
      <c r="BB326" s="242">
        <v>0</v>
      </c>
      <c r="BC326" s="242">
        <v>0</v>
      </c>
      <c r="BD326" s="242">
        <v>1.5</v>
      </c>
      <c r="BE326" s="231">
        <v>0</v>
      </c>
      <c r="BF326" s="242">
        <v>0.18</v>
      </c>
      <c r="BG326" s="242">
        <v>1.28</v>
      </c>
      <c r="BH326" s="242">
        <v>1.08</v>
      </c>
      <c r="BI326" s="242">
        <v>0.86</v>
      </c>
      <c r="BJ326" s="242">
        <v>0.22</v>
      </c>
      <c r="BK326" s="242">
        <v>0</v>
      </c>
      <c r="BL326" s="242">
        <v>0</v>
      </c>
      <c r="BM326" s="242">
        <v>0</v>
      </c>
      <c r="BN326" s="242"/>
      <c r="BO326" s="231">
        <v>57</v>
      </c>
      <c r="BP326" s="231"/>
      <c r="BQ326" s="204">
        <v>1811</v>
      </c>
      <c r="BR326" s="204">
        <v>675</v>
      </c>
      <c r="BS326" s="204">
        <v>337</v>
      </c>
      <c r="BT326" s="204">
        <v>781</v>
      </c>
      <c r="BU326" s="204">
        <v>1136</v>
      </c>
      <c r="BV326" s="204">
        <v>1420</v>
      </c>
      <c r="BW326" s="204">
        <v>1456</v>
      </c>
      <c r="BX326" s="204">
        <v>1207</v>
      </c>
      <c r="BY326" s="204">
        <v>1243</v>
      </c>
      <c r="BZ326" s="204">
        <v>568</v>
      </c>
      <c r="CA326" s="204">
        <v>273</v>
      </c>
      <c r="CB326" s="204">
        <v>746</v>
      </c>
      <c r="CC326" s="204">
        <v>1314</v>
      </c>
      <c r="CD326" s="204">
        <v>2201</v>
      </c>
      <c r="CE326" s="204">
        <v>3550</v>
      </c>
      <c r="CF326" s="204">
        <v>1136</v>
      </c>
      <c r="CG326" s="204">
        <v>1101</v>
      </c>
      <c r="CH326" s="204">
        <v>1139</v>
      </c>
      <c r="CI326" s="231"/>
    </row>
    <row r="327" spans="1:102" ht="25.2" customHeight="1" outlineLevel="1">
      <c r="A327" s="204">
        <v>305</v>
      </c>
      <c r="B327" s="207">
        <v>7022</v>
      </c>
      <c r="C327" s="208" t="s">
        <v>502</v>
      </c>
      <c r="D327" s="194" t="s">
        <v>468</v>
      </c>
      <c r="E327" s="209">
        <f t="shared" si="36"/>
        <v>103</v>
      </c>
      <c r="F327" s="216">
        <v>74.3</v>
      </c>
      <c r="G327" s="217">
        <v>23.5</v>
      </c>
      <c r="H327" s="218">
        <v>1</v>
      </c>
      <c r="I327" s="230">
        <f t="shared" si="37"/>
        <v>0</v>
      </c>
      <c r="J327" s="216">
        <v>0</v>
      </c>
      <c r="K327" s="216">
        <v>1.2</v>
      </c>
      <c r="L327" s="233"/>
      <c r="M327" s="216">
        <v>17</v>
      </c>
      <c r="N327" s="216">
        <v>226</v>
      </c>
      <c r="O327" s="216">
        <v>4.8</v>
      </c>
      <c r="P327" s="216"/>
      <c r="Q327" s="216">
        <v>0.09</v>
      </c>
      <c r="R327" s="216">
        <v>0.06</v>
      </c>
      <c r="S327" s="216">
        <v>8.07</v>
      </c>
      <c r="T327" s="231">
        <v>50</v>
      </c>
      <c r="U327" s="231">
        <v>378</v>
      </c>
      <c r="V327" s="231">
        <v>29</v>
      </c>
      <c r="W327" s="242"/>
      <c r="X327" s="232"/>
      <c r="Y327" s="231"/>
      <c r="Z327" s="231">
        <v>9.4</v>
      </c>
      <c r="AA327" s="241"/>
      <c r="AB327" s="241"/>
      <c r="AC327" s="240"/>
      <c r="AD327" s="240"/>
      <c r="AE327" s="233"/>
      <c r="AF327" s="233"/>
      <c r="AG327" s="240"/>
      <c r="AH327" s="240">
        <f t="shared" si="38"/>
        <v>0</v>
      </c>
      <c r="AI327" s="236">
        <f t="shared" si="39"/>
        <v>0</v>
      </c>
      <c r="AJ327" s="252"/>
      <c r="AK327" s="233"/>
      <c r="AL327" s="216"/>
      <c r="AM327" s="236">
        <v>0</v>
      </c>
      <c r="AN327" s="236">
        <v>0</v>
      </c>
      <c r="AO327" s="236">
        <v>0</v>
      </c>
      <c r="AP327" s="236">
        <v>0</v>
      </c>
      <c r="AQ327" s="236">
        <v>0</v>
      </c>
      <c r="AR327" s="236">
        <v>0</v>
      </c>
      <c r="AS327" s="236">
        <v>0</v>
      </c>
      <c r="AT327" s="236">
        <v>0</v>
      </c>
      <c r="AU327" s="236">
        <v>0</v>
      </c>
      <c r="AV327" s="231"/>
      <c r="AW327" s="236">
        <v>0.69</v>
      </c>
      <c r="AX327" s="242">
        <v>0.52</v>
      </c>
      <c r="AY327" s="242">
        <v>0</v>
      </c>
      <c r="AZ327" s="242">
        <v>0.11</v>
      </c>
      <c r="BA327" s="242">
        <v>0</v>
      </c>
      <c r="BB327" s="242">
        <v>0</v>
      </c>
      <c r="BC327" s="242">
        <v>0</v>
      </c>
      <c r="BD327" s="242">
        <v>0.63</v>
      </c>
      <c r="BE327" s="231">
        <v>0</v>
      </c>
      <c r="BF327" s="242">
        <v>0.08</v>
      </c>
      <c r="BG327" s="242">
        <v>0.54</v>
      </c>
      <c r="BH327" s="242">
        <v>0.45</v>
      </c>
      <c r="BI327" s="242">
        <v>0.36</v>
      </c>
      <c r="BJ327" s="242">
        <v>0.09</v>
      </c>
      <c r="BK327" s="242">
        <v>0</v>
      </c>
      <c r="BL327" s="242">
        <v>0</v>
      </c>
      <c r="BM327" s="242">
        <v>0</v>
      </c>
      <c r="BN327" s="242"/>
      <c r="BO327" s="231">
        <v>81</v>
      </c>
      <c r="BP327" s="231"/>
      <c r="BQ327" s="231">
        <v>1908</v>
      </c>
      <c r="BR327" s="231">
        <v>545</v>
      </c>
      <c r="BS327" s="231">
        <v>288</v>
      </c>
      <c r="BT327" s="231">
        <v>895</v>
      </c>
      <c r="BU327" s="231">
        <v>975</v>
      </c>
      <c r="BV327" s="231">
        <v>1108</v>
      </c>
      <c r="BW327" s="231">
        <v>1698</v>
      </c>
      <c r="BX327" s="231">
        <v>1034</v>
      </c>
      <c r="BY327" s="231">
        <v>1346</v>
      </c>
      <c r="BZ327" s="231">
        <v>611</v>
      </c>
      <c r="CA327" s="231">
        <v>274</v>
      </c>
      <c r="CB327" s="231">
        <v>776</v>
      </c>
      <c r="CC327" s="231">
        <v>1315</v>
      </c>
      <c r="CD327" s="231">
        <v>2129</v>
      </c>
      <c r="CE327" s="231">
        <v>3496</v>
      </c>
      <c r="CF327" s="231">
        <v>1183</v>
      </c>
      <c r="CG327" s="231">
        <v>1065</v>
      </c>
      <c r="CH327" s="231">
        <v>966</v>
      </c>
      <c r="CI327" s="231"/>
      <c r="CR327" s="172"/>
    </row>
    <row r="328" spans="1:102" ht="25.2" customHeight="1" outlineLevel="1">
      <c r="A328" s="204">
        <v>306</v>
      </c>
      <c r="B328" s="207">
        <v>7023</v>
      </c>
      <c r="C328" s="208" t="s">
        <v>503</v>
      </c>
      <c r="D328" s="194" t="s">
        <v>468</v>
      </c>
      <c r="E328" s="209">
        <f t="shared" si="36"/>
        <v>97.45</v>
      </c>
      <c r="F328" s="216">
        <v>76.3</v>
      </c>
      <c r="G328" s="217">
        <v>20.39</v>
      </c>
      <c r="H328" s="271">
        <v>1.37</v>
      </c>
      <c r="I328" s="230">
        <f t="shared" si="37"/>
        <v>0.89000000000000101</v>
      </c>
      <c r="J328" s="216">
        <v>0</v>
      </c>
      <c r="K328" s="216">
        <v>1.05</v>
      </c>
      <c r="L328" s="233"/>
      <c r="M328" s="216">
        <v>12</v>
      </c>
      <c r="N328" s="216">
        <v>197</v>
      </c>
      <c r="O328" s="216">
        <v>1.61</v>
      </c>
      <c r="P328" s="216">
        <v>0</v>
      </c>
      <c r="Q328" s="216">
        <v>0.04</v>
      </c>
      <c r="R328" s="216">
        <v>0.2</v>
      </c>
      <c r="S328" s="216">
        <v>5.97</v>
      </c>
      <c r="T328" s="231">
        <v>53</v>
      </c>
      <c r="U328" s="231">
        <v>297</v>
      </c>
      <c r="V328" s="231">
        <v>32</v>
      </c>
      <c r="W328" s="242"/>
      <c r="X328" s="232">
        <v>1.93</v>
      </c>
      <c r="Y328" s="231">
        <v>151</v>
      </c>
      <c r="Z328" s="210">
        <v>9</v>
      </c>
      <c r="AA328" s="241">
        <v>0.16</v>
      </c>
      <c r="AB328" s="241">
        <v>0.53</v>
      </c>
      <c r="AC328" s="240">
        <v>8</v>
      </c>
      <c r="AD328" s="240">
        <v>0</v>
      </c>
      <c r="AE328" s="233"/>
      <c r="AF328" s="233"/>
      <c r="AG328" s="240"/>
      <c r="AH328" s="240">
        <f t="shared" si="38"/>
        <v>0</v>
      </c>
      <c r="AI328" s="236">
        <f t="shared" si="39"/>
        <v>0</v>
      </c>
      <c r="AJ328" s="252"/>
      <c r="AK328" s="233"/>
      <c r="AL328" s="216"/>
      <c r="AM328" s="236">
        <v>0</v>
      </c>
      <c r="AN328" s="236">
        <v>0</v>
      </c>
      <c r="AO328" s="236">
        <v>0</v>
      </c>
      <c r="AP328" s="236">
        <v>0</v>
      </c>
      <c r="AQ328" s="236">
        <v>0</v>
      </c>
      <c r="AR328" s="236">
        <v>0</v>
      </c>
      <c r="AS328" s="236">
        <v>0</v>
      </c>
      <c r="AT328" s="236">
        <v>0</v>
      </c>
      <c r="AU328" s="236">
        <v>0</v>
      </c>
      <c r="AV328" s="231"/>
      <c r="AW328" s="236">
        <v>0.46</v>
      </c>
      <c r="AX328" s="242">
        <v>0.25</v>
      </c>
      <c r="AY328" s="242">
        <v>0</v>
      </c>
      <c r="AZ328" s="242">
        <v>0.19</v>
      </c>
      <c r="BA328" s="242">
        <v>0</v>
      </c>
      <c r="BB328" s="242">
        <v>0</v>
      </c>
      <c r="BC328" s="242">
        <v>0</v>
      </c>
      <c r="BD328" s="242">
        <v>0.42</v>
      </c>
      <c r="BE328" s="231">
        <v>0</v>
      </c>
      <c r="BF328" s="242">
        <v>0.03</v>
      </c>
      <c r="BG328" s="242">
        <v>0.37</v>
      </c>
      <c r="BH328" s="242">
        <v>0.27</v>
      </c>
      <c r="BI328" s="242">
        <v>0.16</v>
      </c>
      <c r="BJ328" s="242">
        <v>0.04</v>
      </c>
      <c r="BK328" s="242">
        <v>7.0000000000000007E-2</v>
      </c>
      <c r="BL328" s="242">
        <v>0</v>
      </c>
      <c r="BM328" s="242">
        <v>0</v>
      </c>
      <c r="BN328" s="242"/>
      <c r="BO328" s="231">
        <v>46</v>
      </c>
      <c r="BP328" s="231"/>
      <c r="BQ328" s="231">
        <v>1610</v>
      </c>
      <c r="BR328" s="231">
        <v>511</v>
      </c>
      <c r="BS328" s="231">
        <v>249</v>
      </c>
      <c r="BT328" s="231">
        <v>817</v>
      </c>
      <c r="BU328" s="231">
        <v>976</v>
      </c>
      <c r="BV328" s="231">
        <v>1084</v>
      </c>
      <c r="BW328" s="231">
        <v>1755</v>
      </c>
      <c r="BX328" s="231">
        <v>1023</v>
      </c>
      <c r="BY328" s="231">
        <v>1278</v>
      </c>
      <c r="BZ328" s="231">
        <v>675</v>
      </c>
      <c r="CA328" s="231">
        <v>326</v>
      </c>
      <c r="CB328" s="231">
        <v>818</v>
      </c>
      <c r="CC328" s="231"/>
      <c r="CD328" s="231">
        <v>2034</v>
      </c>
      <c r="CE328" s="231">
        <v>2956</v>
      </c>
      <c r="CF328" s="231">
        <v>795</v>
      </c>
      <c r="CG328" s="231">
        <v>780</v>
      </c>
      <c r="CH328" s="231">
        <v>875</v>
      </c>
      <c r="CI328" s="231"/>
    </row>
    <row r="329" spans="1:102" ht="25.2" customHeight="1" outlineLevel="1">
      <c r="A329" s="204">
        <v>307</v>
      </c>
      <c r="B329" s="207">
        <v>7024</v>
      </c>
      <c r="C329" s="208" t="s">
        <v>504</v>
      </c>
      <c r="D329" s="194" t="s">
        <v>468</v>
      </c>
      <c r="E329" s="209">
        <f t="shared" si="36"/>
        <v>114.6</v>
      </c>
      <c r="F329" s="216">
        <v>74.2</v>
      </c>
      <c r="G329" s="217">
        <v>21.9</v>
      </c>
      <c r="H329" s="218">
        <v>3</v>
      </c>
      <c r="I329" s="230">
        <f t="shared" si="37"/>
        <v>0</v>
      </c>
      <c r="J329" s="216">
        <v>0</v>
      </c>
      <c r="K329" s="216">
        <v>0.9</v>
      </c>
      <c r="L329" s="233">
        <v>0</v>
      </c>
      <c r="M329" s="236">
        <v>30</v>
      </c>
      <c r="N329" s="236">
        <v>150</v>
      </c>
      <c r="O329" s="236"/>
      <c r="P329" s="236"/>
      <c r="Q329" s="236"/>
      <c r="R329" s="236"/>
      <c r="S329" s="236"/>
      <c r="T329" s="231"/>
      <c r="U329" s="231"/>
      <c r="V329" s="231"/>
      <c r="W329" s="242"/>
      <c r="X329" s="232"/>
      <c r="Y329" s="231"/>
      <c r="Z329" s="231"/>
      <c r="AA329" s="241"/>
      <c r="AB329" s="241"/>
      <c r="AC329" s="240"/>
      <c r="AD329" s="240"/>
      <c r="AE329" s="236"/>
      <c r="AF329" s="236"/>
      <c r="AG329" s="240"/>
      <c r="AH329" s="240">
        <f t="shared" si="38"/>
        <v>0</v>
      </c>
      <c r="AI329" s="236">
        <f t="shared" si="39"/>
        <v>0</v>
      </c>
      <c r="AJ329" s="261"/>
      <c r="AK329" s="233"/>
      <c r="AL329" s="216"/>
      <c r="AM329" s="236">
        <v>0</v>
      </c>
      <c r="AN329" s="236">
        <v>0</v>
      </c>
      <c r="AO329" s="236">
        <v>0</v>
      </c>
      <c r="AP329" s="236">
        <v>0</v>
      </c>
      <c r="AQ329" s="236">
        <v>0</v>
      </c>
      <c r="AR329" s="236">
        <v>0</v>
      </c>
      <c r="AS329" s="236">
        <v>0</v>
      </c>
      <c r="AT329" s="236">
        <v>0</v>
      </c>
      <c r="AU329" s="236">
        <v>0</v>
      </c>
      <c r="AV329" s="231"/>
      <c r="AW329" s="236"/>
      <c r="AX329" s="242"/>
      <c r="AY329" s="242"/>
      <c r="AZ329" s="242"/>
      <c r="BA329" s="242"/>
      <c r="BB329" s="242"/>
      <c r="BC329" s="242"/>
      <c r="BD329" s="242"/>
      <c r="BE329" s="231"/>
      <c r="BF329" s="242"/>
      <c r="BG329" s="242"/>
      <c r="BH329" s="242"/>
      <c r="BI329" s="242"/>
      <c r="BJ329" s="242"/>
      <c r="BK329" s="242"/>
      <c r="BL329" s="242"/>
      <c r="BM329" s="242"/>
      <c r="BN329" s="242"/>
      <c r="BO329" s="231"/>
      <c r="BP329" s="231"/>
      <c r="BQ329" s="231"/>
      <c r="BR329" s="231"/>
      <c r="BS329" s="231"/>
      <c r="BT329" s="231"/>
      <c r="BU329" s="231"/>
      <c r="BV329" s="231"/>
      <c r="BW329" s="231"/>
      <c r="BX329" s="231"/>
      <c r="BY329" s="231"/>
      <c r="BZ329" s="231"/>
      <c r="CA329" s="231"/>
      <c r="CB329" s="231"/>
      <c r="CC329" s="231"/>
      <c r="CD329" s="231"/>
      <c r="CE329" s="231"/>
      <c r="CF329" s="231"/>
      <c r="CG329" s="231"/>
      <c r="CH329" s="231"/>
      <c r="CI329" s="231"/>
    </row>
    <row r="330" spans="1:102" ht="25.2" customHeight="1" outlineLevel="1">
      <c r="A330" s="204">
        <v>308</v>
      </c>
      <c r="B330" s="207">
        <v>7025</v>
      </c>
      <c r="C330" s="208" t="s">
        <v>505</v>
      </c>
      <c r="D330" s="194" t="s">
        <v>468</v>
      </c>
      <c r="E330" s="209">
        <f t="shared" si="36"/>
        <v>111.5</v>
      </c>
      <c r="F330" s="216">
        <v>74.900000000000006</v>
      </c>
      <c r="G330" s="217">
        <v>20.9</v>
      </c>
      <c r="H330" s="218">
        <v>3.1</v>
      </c>
      <c r="I330" s="230">
        <f t="shared" si="37"/>
        <v>0</v>
      </c>
      <c r="J330" s="216">
        <v>0</v>
      </c>
      <c r="K330" s="216">
        <v>1.1000000000000001</v>
      </c>
      <c r="L330" s="233">
        <v>0</v>
      </c>
      <c r="M330" s="236">
        <v>20</v>
      </c>
      <c r="N330" s="236">
        <v>160</v>
      </c>
      <c r="O330" s="236"/>
      <c r="P330" s="236"/>
      <c r="Q330" s="236"/>
      <c r="R330" s="236"/>
      <c r="S330" s="236"/>
      <c r="T330" s="231"/>
      <c r="U330" s="231"/>
      <c r="V330" s="231"/>
      <c r="W330" s="242"/>
      <c r="X330" s="232"/>
      <c r="Y330" s="231"/>
      <c r="Z330" s="231"/>
      <c r="AA330" s="241"/>
      <c r="AB330" s="241"/>
      <c r="AC330" s="240"/>
      <c r="AD330" s="240"/>
      <c r="AE330" s="236"/>
      <c r="AF330" s="236"/>
      <c r="AG330" s="240"/>
      <c r="AH330" s="240">
        <f t="shared" si="38"/>
        <v>0</v>
      </c>
      <c r="AI330" s="236">
        <f t="shared" si="39"/>
        <v>0</v>
      </c>
      <c r="AJ330" s="261"/>
      <c r="AK330" s="233"/>
      <c r="AL330" s="216"/>
      <c r="AM330" s="236">
        <v>0</v>
      </c>
      <c r="AN330" s="236">
        <v>0</v>
      </c>
      <c r="AO330" s="236">
        <v>0</v>
      </c>
      <c r="AP330" s="236">
        <v>0</v>
      </c>
      <c r="AQ330" s="236">
        <v>0</v>
      </c>
      <c r="AR330" s="236">
        <v>0</v>
      </c>
      <c r="AS330" s="236">
        <v>0</v>
      </c>
      <c r="AT330" s="236">
        <v>0</v>
      </c>
      <c r="AU330" s="236">
        <v>0</v>
      </c>
      <c r="AV330" s="231"/>
      <c r="AW330" s="236"/>
      <c r="AX330" s="242"/>
      <c r="AY330" s="242"/>
      <c r="AZ330" s="242"/>
      <c r="BA330" s="242"/>
      <c r="BB330" s="242"/>
      <c r="BC330" s="242"/>
      <c r="BD330" s="242"/>
      <c r="BE330" s="231"/>
      <c r="BF330" s="242"/>
      <c r="BG330" s="242"/>
      <c r="BH330" s="242"/>
      <c r="BI330" s="242"/>
      <c r="BJ330" s="242"/>
      <c r="BK330" s="242"/>
      <c r="BL330" s="242"/>
      <c r="BM330" s="242"/>
      <c r="BN330" s="242"/>
      <c r="BO330" s="231"/>
      <c r="BP330" s="231"/>
      <c r="BQ330" s="231"/>
      <c r="BR330" s="231"/>
      <c r="BS330" s="231"/>
      <c r="BT330" s="231"/>
      <c r="BU330" s="231"/>
      <c r="BV330" s="231"/>
      <c r="BW330" s="231"/>
      <c r="BX330" s="231"/>
      <c r="BY330" s="231"/>
      <c r="BZ330" s="231"/>
      <c r="CA330" s="231"/>
      <c r="CB330" s="231"/>
      <c r="CC330" s="231"/>
      <c r="CD330" s="231"/>
      <c r="CE330" s="231"/>
      <c r="CF330" s="231"/>
      <c r="CG330" s="231"/>
      <c r="CH330" s="231"/>
      <c r="CI330" s="231"/>
    </row>
    <row r="331" spans="1:102" ht="25.2" customHeight="1" outlineLevel="1">
      <c r="A331" s="204">
        <v>309</v>
      </c>
      <c r="B331" s="207">
        <v>7026</v>
      </c>
      <c r="C331" s="208" t="s">
        <v>506</v>
      </c>
      <c r="D331" s="194" t="s">
        <v>468</v>
      </c>
      <c r="E331" s="209">
        <f t="shared" si="36"/>
        <v>111.8</v>
      </c>
      <c r="F331" s="216">
        <v>74.900000000000006</v>
      </c>
      <c r="G331" s="217">
        <v>21.2</v>
      </c>
      <c r="H331" s="218">
        <v>3</v>
      </c>
      <c r="I331" s="230">
        <f t="shared" si="37"/>
        <v>0</v>
      </c>
      <c r="J331" s="216">
        <v>0</v>
      </c>
      <c r="K331" s="216">
        <v>0.9</v>
      </c>
      <c r="L331" s="233">
        <v>0</v>
      </c>
      <c r="M331" s="236">
        <v>20</v>
      </c>
      <c r="N331" s="236">
        <v>215</v>
      </c>
      <c r="O331" s="236"/>
      <c r="P331" s="236"/>
      <c r="Q331" s="236"/>
      <c r="R331" s="236"/>
      <c r="S331" s="236"/>
      <c r="T331" s="231"/>
      <c r="U331" s="231"/>
      <c r="V331" s="231"/>
      <c r="W331" s="242"/>
      <c r="X331" s="232"/>
      <c r="Y331" s="231"/>
      <c r="Z331" s="231"/>
      <c r="AA331" s="241"/>
      <c r="AB331" s="241"/>
      <c r="AC331" s="240"/>
      <c r="AD331" s="240"/>
      <c r="AE331" s="236"/>
      <c r="AF331" s="236"/>
      <c r="AG331" s="240"/>
      <c r="AH331" s="240">
        <f t="shared" si="38"/>
        <v>0</v>
      </c>
      <c r="AI331" s="236">
        <f t="shared" si="39"/>
        <v>0</v>
      </c>
      <c r="AJ331" s="261"/>
      <c r="AK331" s="233"/>
      <c r="AL331" s="216"/>
      <c r="AM331" s="236">
        <v>0</v>
      </c>
      <c r="AN331" s="236">
        <v>0</v>
      </c>
      <c r="AO331" s="236">
        <v>0</v>
      </c>
      <c r="AP331" s="236">
        <v>0</v>
      </c>
      <c r="AQ331" s="236">
        <v>0</v>
      </c>
      <c r="AR331" s="236">
        <v>0</v>
      </c>
      <c r="AS331" s="236">
        <v>0</v>
      </c>
      <c r="AT331" s="236">
        <v>0</v>
      </c>
      <c r="AU331" s="236">
        <v>0</v>
      </c>
      <c r="AV331" s="231"/>
      <c r="AW331" s="236"/>
      <c r="AX331" s="242"/>
      <c r="AY331" s="242"/>
      <c r="AZ331" s="242"/>
      <c r="BA331" s="242"/>
      <c r="BB331" s="242"/>
      <c r="BC331" s="242"/>
      <c r="BD331" s="242"/>
      <c r="BE331" s="231"/>
      <c r="BF331" s="242"/>
      <c r="BG331" s="242"/>
      <c r="BH331" s="242"/>
      <c r="BI331" s="242"/>
      <c r="BJ331" s="242"/>
      <c r="BK331" s="242"/>
      <c r="BL331" s="242"/>
      <c r="BM331" s="242"/>
      <c r="BN331" s="242"/>
      <c r="BO331" s="231"/>
      <c r="BP331" s="231"/>
      <c r="BQ331" s="231"/>
      <c r="BR331" s="231"/>
      <c r="BS331" s="231"/>
      <c r="BT331" s="231"/>
      <c r="BU331" s="231"/>
      <c r="BV331" s="231"/>
      <c r="BW331" s="231"/>
      <c r="BX331" s="231"/>
      <c r="BY331" s="231"/>
      <c r="BZ331" s="231"/>
      <c r="CA331" s="231"/>
      <c r="CB331" s="231"/>
      <c r="CC331" s="231"/>
      <c r="CD331" s="231"/>
      <c r="CE331" s="231"/>
      <c r="CF331" s="231"/>
      <c r="CG331" s="231"/>
      <c r="CH331" s="231"/>
      <c r="CI331" s="231"/>
    </row>
    <row r="332" spans="1:102" ht="25.2" customHeight="1" outlineLevel="1">
      <c r="A332" s="204">
        <v>310</v>
      </c>
      <c r="B332" s="207">
        <v>7027</v>
      </c>
      <c r="C332" s="208" t="s">
        <v>507</v>
      </c>
      <c r="D332" s="194" t="s">
        <v>468</v>
      </c>
      <c r="E332" s="209">
        <f t="shared" si="36"/>
        <v>120.9</v>
      </c>
      <c r="F332" s="216">
        <v>73</v>
      </c>
      <c r="G332" s="217">
        <v>22.8</v>
      </c>
      <c r="H332" s="218">
        <v>3.3</v>
      </c>
      <c r="I332" s="230">
        <f t="shared" si="37"/>
        <v>0</v>
      </c>
      <c r="J332" s="216">
        <v>0</v>
      </c>
      <c r="K332" s="216">
        <v>0.9</v>
      </c>
      <c r="L332" s="233">
        <v>0</v>
      </c>
      <c r="M332" s="216">
        <v>26</v>
      </c>
      <c r="N332" s="216">
        <v>165</v>
      </c>
      <c r="O332" s="216">
        <v>3.3</v>
      </c>
      <c r="P332" s="216"/>
      <c r="Q332" s="216">
        <v>0.06</v>
      </c>
      <c r="R332" s="216">
        <v>0.155</v>
      </c>
      <c r="S332" s="216">
        <v>3.5</v>
      </c>
      <c r="T332" s="231"/>
      <c r="U332" s="231"/>
      <c r="V332" s="231"/>
      <c r="W332" s="242"/>
      <c r="X332" s="232"/>
      <c r="Y332" s="231"/>
      <c r="Z332" s="231"/>
      <c r="AA332" s="241"/>
      <c r="AB332" s="241"/>
      <c r="AC332" s="240"/>
      <c r="AD332" s="240"/>
      <c r="AE332" s="233"/>
      <c r="AF332" s="233"/>
      <c r="AG332" s="240">
        <v>5.17</v>
      </c>
      <c r="AH332" s="240">
        <f t="shared" si="38"/>
        <v>17.216100000000001</v>
      </c>
      <c r="AI332" s="236">
        <f t="shared" si="39"/>
        <v>5.17</v>
      </c>
      <c r="AJ332" s="261"/>
      <c r="AK332" s="233"/>
      <c r="AL332" s="216"/>
      <c r="AM332" s="236">
        <v>0</v>
      </c>
      <c r="AN332" s="236">
        <v>0</v>
      </c>
      <c r="AO332" s="236">
        <v>0</v>
      </c>
      <c r="AP332" s="236">
        <v>0</v>
      </c>
      <c r="AQ332" s="236">
        <v>0</v>
      </c>
      <c r="AR332" s="236">
        <v>0</v>
      </c>
      <c r="AS332" s="236">
        <v>0</v>
      </c>
      <c r="AT332" s="236">
        <v>0</v>
      </c>
      <c r="AU332" s="236">
        <v>0</v>
      </c>
      <c r="AV332" s="231"/>
      <c r="AW332" s="236"/>
      <c r="AX332" s="242"/>
      <c r="AY332" s="242"/>
      <c r="AZ332" s="242"/>
      <c r="BA332" s="242"/>
      <c r="BB332" s="242"/>
      <c r="BC332" s="242"/>
      <c r="BD332" s="242"/>
      <c r="BE332" s="231"/>
      <c r="BF332" s="242"/>
      <c r="BG332" s="242"/>
      <c r="BH332" s="242"/>
      <c r="BI332" s="242"/>
      <c r="BJ332" s="242"/>
      <c r="BK332" s="242"/>
      <c r="BL332" s="242"/>
      <c r="BM332" s="242"/>
      <c r="BN332" s="242"/>
      <c r="BO332" s="231"/>
      <c r="BP332" s="231"/>
      <c r="BQ332" s="231"/>
      <c r="BR332" s="231"/>
      <c r="BS332" s="231"/>
      <c r="BT332" s="231"/>
      <c r="BU332" s="231"/>
      <c r="BV332" s="231"/>
      <c r="BW332" s="231"/>
      <c r="BX332" s="231"/>
      <c r="BY332" s="231"/>
      <c r="BZ332" s="231"/>
      <c r="CA332" s="231"/>
      <c r="CB332" s="231"/>
      <c r="CC332" s="231"/>
      <c r="CD332" s="231"/>
      <c r="CE332" s="231"/>
      <c r="CF332" s="231"/>
      <c r="CG332" s="231"/>
      <c r="CH332" s="231"/>
      <c r="CI332" s="231"/>
    </row>
    <row r="333" spans="1:102" ht="25.2" customHeight="1" outlineLevel="1">
      <c r="A333" s="204">
        <v>311</v>
      </c>
      <c r="B333" s="207">
        <v>7028</v>
      </c>
      <c r="C333" s="208" t="s">
        <v>508</v>
      </c>
      <c r="D333" s="194" t="s">
        <v>468</v>
      </c>
      <c r="E333" s="209">
        <f t="shared" si="36"/>
        <v>267.39999999999998</v>
      </c>
      <c r="F333" s="216">
        <v>59.5</v>
      </c>
      <c r="G333" s="217">
        <v>17.8</v>
      </c>
      <c r="H333" s="218">
        <v>21.8</v>
      </c>
      <c r="I333" s="230">
        <f t="shared" si="37"/>
        <v>0</v>
      </c>
      <c r="J333" s="216">
        <v>0</v>
      </c>
      <c r="K333" s="216">
        <v>0.9</v>
      </c>
      <c r="L333" s="233">
        <v>0</v>
      </c>
      <c r="M333" s="216">
        <v>13</v>
      </c>
      <c r="N333" s="216">
        <v>145</v>
      </c>
      <c r="O333" s="216">
        <v>1.8</v>
      </c>
      <c r="P333" s="216">
        <v>2.8</v>
      </c>
      <c r="Q333" s="216">
        <v>7.0000000000000007E-2</v>
      </c>
      <c r="R333" s="216">
        <v>0.15</v>
      </c>
      <c r="S333" s="216">
        <v>4.7</v>
      </c>
      <c r="T333" s="231">
        <v>63</v>
      </c>
      <c r="U333" s="231">
        <v>209</v>
      </c>
      <c r="V333" s="231">
        <v>15</v>
      </c>
      <c r="W333" s="242">
        <v>1.7000000000000001E-2</v>
      </c>
      <c r="X333" s="232">
        <v>1.36</v>
      </c>
      <c r="Y333" s="231">
        <v>236</v>
      </c>
      <c r="Z333" s="231">
        <v>12.4</v>
      </c>
      <c r="AA333" s="241">
        <v>0.95099999999999996</v>
      </c>
      <c r="AB333" s="241">
        <v>0.19</v>
      </c>
      <c r="AC333" s="240">
        <v>13</v>
      </c>
      <c r="AD333" s="240">
        <v>0</v>
      </c>
      <c r="AE333" s="233"/>
      <c r="AF333" s="233">
        <v>0.25</v>
      </c>
      <c r="AG333" s="240">
        <v>270</v>
      </c>
      <c r="AH333" s="240">
        <f t="shared" si="38"/>
        <v>899.1</v>
      </c>
      <c r="AI333" s="236">
        <f t="shared" si="39"/>
        <v>270</v>
      </c>
      <c r="AJ333" s="261"/>
      <c r="AK333" s="233">
        <v>0.7</v>
      </c>
      <c r="AL333" s="216">
        <v>5.5</v>
      </c>
      <c r="AM333" s="236">
        <v>0</v>
      </c>
      <c r="AN333" s="236">
        <v>0</v>
      </c>
      <c r="AO333" s="236">
        <v>0</v>
      </c>
      <c r="AP333" s="236">
        <v>0</v>
      </c>
      <c r="AQ333" s="236">
        <v>0</v>
      </c>
      <c r="AR333" s="236">
        <v>0</v>
      </c>
      <c r="AS333" s="236">
        <v>0</v>
      </c>
      <c r="AT333" s="236">
        <v>0</v>
      </c>
      <c r="AU333" s="236">
        <v>0</v>
      </c>
      <c r="AV333" s="231">
        <v>138</v>
      </c>
      <c r="AW333" s="236">
        <v>13.22</v>
      </c>
      <c r="AX333" s="242">
        <v>9.58</v>
      </c>
      <c r="AY333" s="242">
        <v>0</v>
      </c>
      <c r="AZ333" s="242">
        <v>3.2</v>
      </c>
      <c r="BA333" s="242">
        <v>0</v>
      </c>
      <c r="BB333" s="242">
        <v>0</v>
      </c>
      <c r="BC333" s="242">
        <v>0</v>
      </c>
      <c r="BD333" s="242">
        <v>18.690000000000001</v>
      </c>
      <c r="BE333" s="231">
        <v>0</v>
      </c>
      <c r="BF333" s="231">
        <v>1.54</v>
      </c>
      <c r="BG333" s="242">
        <v>16.73</v>
      </c>
      <c r="BH333" s="242">
        <v>5.08</v>
      </c>
      <c r="BI333" s="242">
        <v>4.6900000000000004</v>
      </c>
      <c r="BJ333" s="242">
        <v>0.39</v>
      </c>
      <c r="BK333" s="242">
        <v>0</v>
      </c>
      <c r="BL333" s="242">
        <v>0</v>
      </c>
      <c r="BM333" s="242">
        <v>0</v>
      </c>
      <c r="BN333" s="242"/>
      <c r="BO333" s="231">
        <v>76</v>
      </c>
      <c r="BP333" s="231"/>
      <c r="BQ333" s="204">
        <v>912</v>
      </c>
      <c r="BR333" s="204">
        <v>291</v>
      </c>
      <c r="BS333" s="204">
        <v>144</v>
      </c>
      <c r="BT333" s="204">
        <v>459</v>
      </c>
      <c r="BU333" s="204">
        <v>471</v>
      </c>
      <c r="BV333" s="204">
        <v>573</v>
      </c>
      <c r="BW333" s="204">
        <v>900</v>
      </c>
      <c r="BX333" s="204">
        <v>537</v>
      </c>
      <c r="BY333" s="204">
        <v>770</v>
      </c>
      <c r="BZ333" s="204">
        <v>283</v>
      </c>
      <c r="CA333" s="204">
        <v>180</v>
      </c>
      <c r="CB333" s="204">
        <v>395</v>
      </c>
      <c r="CC333" s="204">
        <v>777</v>
      </c>
      <c r="CD333" s="204">
        <v>1102</v>
      </c>
      <c r="CE333" s="204">
        <v>1709</v>
      </c>
      <c r="CF333" s="204">
        <v>928</v>
      </c>
      <c r="CG333" s="204">
        <v>686</v>
      </c>
      <c r="CH333" s="204">
        <v>488</v>
      </c>
      <c r="CI333" s="231"/>
    </row>
    <row r="334" spans="1:102" ht="25.2" customHeight="1" outlineLevel="1">
      <c r="A334" s="204">
        <v>312</v>
      </c>
      <c r="B334" s="207">
        <v>7029</v>
      </c>
      <c r="C334" s="208" t="s">
        <v>509</v>
      </c>
      <c r="D334" s="194" t="s">
        <v>468</v>
      </c>
      <c r="E334" s="209">
        <f t="shared" si="36"/>
        <v>67.400000000000006</v>
      </c>
      <c r="F334" s="216">
        <v>84.3</v>
      </c>
      <c r="G334" s="217">
        <v>12.5</v>
      </c>
      <c r="H334" s="218">
        <v>1.8</v>
      </c>
      <c r="I334" s="230">
        <f t="shared" si="37"/>
        <v>0.30000000000001098</v>
      </c>
      <c r="J334" s="216">
        <v>0</v>
      </c>
      <c r="K334" s="216">
        <v>1.1000000000000001</v>
      </c>
      <c r="L334" s="233"/>
      <c r="M334" s="216">
        <v>9</v>
      </c>
      <c r="N334" s="216">
        <v>219</v>
      </c>
      <c r="O334" s="216">
        <v>7.1</v>
      </c>
      <c r="P334" s="216">
        <v>6</v>
      </c>
      <c r="Q334" s="216">
        <v>0.4</v>
      </c>
      <c r="R334" s="216">
        <v>1.75</v>
      </c>
      <c r="S334" s="216">
        <v>5.0999999999999996</v>
      </c>
      <c r="T334" s="240">
        <v>200</v>
      </c>
      <c r="U334" s="240">
        <v>262</v>
      </c>
      <c r="V334" s="240">
        <v>13</v>
      </c>
      <c r="W334" s="241">
        <v>0.1</v>
      </c>
      <c r="X334" s="233">
        <v>1.92</v>
      </c>
      <c r="Y334" s="240">
        <v>323</v>
      </c>
      <c r="Z334" s="216">
        <v>141</v>
      </c>
      <c r="AA334" s="241">
        <v>3.97</v>
      </c>
      <c r="AB334" s="241">
        <v>0.66500000000000004</v>
      </c>
      <c r="AC334" s="240">
        <v>98</v>
      </c>
      <c r="AD334" s="240">
        <v>0</v>
      </c>
      <c r="AE334" s="233"/>
      <c r="AF334" s="233">
        <v>27.5</v>
      </c>
      <c r="AG334" s="240">
        <v>330</v>
      </c>
      <c r="AH334" s="240">
        <f t="shared" si="38"/>
        <v>1098.9000000000001</v>
      </c>
      <c r="AI334" s="236">
        <f t="shared" si="39"/>
        <v>330</v>
      </c>
      <c r="AJ334" s="252">
        <v>0.8</v>
      </c>
      <c r="AK334" s="233">
        <v>0.22</v>
      </c>
      <c r="AL334" s="216">
        <v>0</v>
      </c>
      <c r="AM334" s="236">
        <v>0</v>
      </c>
      <c r="AN334" s="236">
        <v>0</v>
      </c>
      <c r="AO334" s="236">
        <v>0</v>
      </c>
      <c r="AP334" s="231">
        <v>20</v>
      </c>
      <c r="AQ334" s="236">
        <v>0</v>
      </c>
      <c r="AR334" s="236">
        <v>0</v>
      </c>
      <c r="AS334" s="236">
        <v>0</v>
      </c>
      <c r="AT334" s="236">
        <v>0</v>
      </c>
      <c r="AU334" s="236">
        <v>0</v>
      </c>
      <c r="AV334" s="231"/>
      <c r="AW334" s="236">
        <v>0.86799999999999999</v>
      </c>
      <c r="AX334" s="244">
        <v>0.39300000000000002</v>
      </c>
      <c r="AY334" s="244">
        <v>2.3E-2</v>
      </c>
      <c r="AZ334" s="244">
        <v>0.374</v>
      </c>
      <c r="BA334" s="244">
        <v>1.2E-2</v>
      </c>
      <c r="BB334" s="244">
        <v>3.5000000000000003E-2</v>
      </c>
      <c r="BC334" s="244">
        <v>0</v>
      </c>
      <c r="BD334" s="244">
        <v>0.58599999999999997</v>
      </c>
      <c r="BE334" s="237">
        <v>0</v>
      </c>
      <c r="BF334" s="244">
        <v>3.9E-2</v>
      </c>
      <c r="BG334" s="244">
        <v>0.53500000000000003</v>
      </c>
      <c r="BH334" s="244">
        <v>0.54500000000000004</v>
      </c>
      <c r="BI334" s="244">
        <v>0.29199999999999998</v>
      </c>
      <c r="BJ334" s="244">
        <v>6.0000000000000001E-3</v>
      </c>
      <c r="BK334" s="244">
        <v>0.22800000000000001</v>
      </c>
      <c r="BL334" s="244">
        <v>0</v>
      </c>
      <c r="BM334" s="244">
        <v>0</v>
      </c>
      <c r="BN334" s="244">
        <v>0.1</v>
      </c>
      <c r="BO334" s="204">
        <v>411</v>
      </c>
      <c r="BP334" s="204"/>
      <c r="BQ334" s="204">
        <v>1138</v>
      </c>
      <c r="BR334" s="204">
        <v>451</v>
      </c>
      <c r="BS334" s="204">
        <v>172</v>
      </c>
      <c r="BT334" s="204">
        <v>809</v>
      </c>
      <c r="BU334" s="204">
        <v>667</v>
      </c>
      <c r="BV334" s="204">
        <v>919</v>
      </c>
      <c r="BW334" s="204">
        <v>1514</v>
      </c>
      <c r="BX334" s="204">
        <v>1011</v>
      </c>
      <c r="BY334" s="204">
        <v>971</v>
      </c>
      <c r="BZ334" s="204">
        <v>446</v>
      </c>
      <c r="CA334" s="204">
        <v>286</v>
      </c>
      <c r="CB334" s="204">
        <v>575</v>
      </c>
      <c r="CC334" s="204">
        <v>824</v>
      </c>
      <c r="CD334" s="204">
        <v>1183</v>
      </c>
      <c r="CE334" s="204">
        <v>2241</v>
      </c>
      <c r="CF334" s="204">
        <v>1106</v>
      </c>
      <c r="CG334" s="204">
        <v>779</v>
      </c>
      <c r="CH334" s="204">
        <v>732</v>
      </c>
      <c r="CI334" s="231"/>
    </row>
    <row r="335" spans="1:102" ht="25.2" customHeight="1" outlineLevel="1">
      <c r="A335" s="204">
        <v>313</v>
      </c>
      <c r="B335" s="207">
        <v>7030</v>
      </c>
      <c r="C335" s="208" t="s">
        <v>510</v>
      </c>
      <c r="D335" s="194" t="s">
        <v>468</v>
      </c>
      <c r="E335" s="209">
        <f t="shared" si="36"/>
        <v>81.100000000000094</v>
      </c>
      <c r="F335" s="216">
        <v>82.5</v>
      </c>
      <c r="G335" s="217">
        <v>13</v>
      </c>
      <c r="H335" s="218">
        <v>3.1</v>
      </c>
      <c r="I335" s="230">
        <f t="shared" si="37"/>
        <v>0.30000000000001098</v>
      </c>
      <c r="J335" s="216">
        <v>0</v>
      </c>
      <c r="K335" s="216">
        <v>1.1000000000000001</v>
      </c>
      <c r="L335" s="233">
        <v>0</v>
      </c>
      <c r="M335" s="216">
        <v>8</v>
      </c>
      <c r="N335" s="216">
        <v>223</v>
      </c>
      <c r="O335" s="216">
        <v>8</v>
      </c>
      <c r="P335" s="216">
        <v>5</v>
      </c>
      <c r="Q335" s="216">
        <v>0.38</v>
      </c>
      <c r="R335" s="216">
        <v>1.1200000000000001</v>
      </c>
      <c r="S335" s="216">
        <v>4.8</v>
      </c>
      <c r="T335" s="240">
        <v>121</v>
      </c>
      <c r="U335" s="240">
        <v>390</v>
      </c>
      <c r="V335" s="240">
        <v>17</v>
      </c>
      <c r="W335" s="241">
        <v>0.1</v>
      </c>
      <c r="X335" s="233">
        <v>2.75</v>
      </c>
      <c r="Y335" s="240">
        <v>445</v>
      </c>
      <c r="Z335" s="216">
        <v>190</v>
      </c>
      <c r="AA335" s="241">
        <v>3.13</v>
      </c>
      <c r="AB335" s="241">
        <v>0.44</v>
      </c>
      <c r="AC335" s="240">
        <v>42</v>
      </c>
      <c r="AD335" s="240">
        <v>0</v>
      </c>
      <c r="AE335" s="233"/>
      <c r="AF335" s="233">
        <v>8.49</v>
      </c>
      <c r="AG335" s="240">
        <v>150</v>
      </c>
      <c r="AH335" s="240">
        <f t="shared" si="38"/>
        <v>499.5</v>
      </c>
      <c r="AI335" s="236">
        <f t="shared" si="39"/>
        <v>150</v>
      </c>
      <c r="AJ335" s="252"/>
      <c r="AK335" s="233"/>
      <c r="AL335" s="216"/>
      <c r="AM335" s="236">
        <v>0</v>
      </c>
      <c r="AN335" s="236">
        <v>0</v>
      </c>
      <c r="AO335" s="236">
        <v>0</v>
      </c>
      <c r="AP335" s="236">
        <v>0</v>
      </c>
      <c r="AQ335" s="236">
        <v>0</v>
      </c>
      <c r="AR335" s="236">
        <v>0</v>
      </c>
      <c r="AS335" s="236">
        <v>0</v>
      </c>
      <c r="AT335" s="236">
        <v>0</v>
      </c>
      <c r="AU335" s="236">
        <v>0</v>
      </c>
      <c r="AV335" s="231">
        <v>334</v>
      </c>
      <c r="AW335" s="236">
        <v>1.04</v>
      </c>
      <c r="AX335" s="242">
        <v>0.57999999999999996</v>
      </c>
      <c r="AY335" s="242">
        <v>0</v>
      </c>
      <c r="AZ335" s="242">
        <v>0.41</v>
      </c>
      <c r="BA335" s="242">
        <v>0</v>
      </c>
      <c r="BB335" s="242">
        <v>0</v>
      </c>
      <c r="BC335" s="242">
        <v>0</v>
      </c>
      <c r="BD335" s="242">
        <v>1.07</v>
      </c>
      <c r="BE335" s="237">
        <v>0</v>
      </c>
      <c r="BF335" s="242">
        <v>0.09</v>
      </c>
      <c r="BG335" s="242">
        <v>0.97</v>
      </c>
      <c r="BH335" s="242">
        <v>0.26</v>
      </c>
      <c r="BI335" s="242">
        <v>0.17</v>
      </c>
      <c r="BJ335" s="242">
        <v>0.01</v>
      </c>
      <c r="BK335" s="242">
        <v>0.08</v>
      </c>
      <c r="BL335" s="242">
        <v>0</v>
      </c>
      <c r="BM335" s="242">
        <v>0</v>
      </c>
      <c r="BN335" s="242"/>
      <c r="BO335" s="231">
        <v>319</v>
      </c>
      <c r="BP335" s="231"/>
      <c r="BQ335" s="204">
        <v>1330</v>
      </c>
      <c r="BR335" s="204">
        <v>339</v>
      </c>
      <c r="BS335" s="204">
        <v>209</v>
      </c>
      <c r="BT335" s="204">
        <v>548</v>
      </c>
      <c r="BU335" s="204">
        <v>704</v>
      </c>
      <c r="BV335" s="204">
        <v>913</v>
      </c>
      <c r="BW335" s="204">
        <v>1728</v>
      </c>
      <c r="BX335" s="204">
        <v>678</v>
      </c>
      <c r="BY335" s="204">
        <v>913</v>
      </c>
      <c r="BZ335" s="204">
        <v>574</v>
      </c>
      <c r="CA335" s="204">
        <v>235</v>
      </c>
      <c r="CB335" s="204">
        <v>522</v>
      </c>
      <c r="CC335" s="204">
        <v>861</v>
      </c>
      <c r="CD335" s="204">
        <v>1434</v>
      </c>
      <c r="CE335" s="204">
        <v>2008</v>
      </c>
      <c r="CF335" s="204">
        <v>965</v>
      </c>
      <c r="CG335" s="204">
        <v>913</v>
      </c>
      <c r="CH335" s="204">
        <v>782</v>
      </c>
      <c r="CI335" s="231"/>
    </row>
    <row r="336" spans="1:102" ht="25.2" customHeight="1" outlineLevel="1">
      <c r="A336" s="204">
        <v>314</v>
      </c>
      <c r="B336" s="207">
        <v>7031</v>
      </c>
      <c r="C336" s="208" t="s">
        <v>511</v>
      </c>
      <c r="D336" s="194" t="s">
        <v>468</v>
      </c>
      <c r="E336" s="209">
        <f t="shared" si="36"/>
        <v>117.5</v>
      </c>
      <c r="F336" s="216">
        <v>73.3</v>
      </c>
      <c r="G336" s="217">
        <v>23.3</v>
      </c>
      <c r="H336" s="218">
        <v>2.7</v>
      </c>
      <c r="I336" s="230">
        <f t="shared" si="37"/>
        <v>0</v>
      </c>
      <c r="J336" s="216">
        <v>0</v>
      </c>
      <c r="K336" s="216">
        <v>0.7</v>
      </c>
      <c r="L336" s="233">
        <v>0</v>
      </c>
      <c r="M336" s="216">
        <v>11</v>
      </c>
      <c r="N336" s="216">
        <v>8</v>
      </c>
      <c r="O336" s="216">
        <v>0.4</v>
      </c>
      <c r="P336" s="216"/>
      <c r="Q336" s="216">
        <v>0.28999999999999998</v>
      </c>
      <c r="R336" s="216">
        <v>0.05</v>
      </c>
      <c r="S336" s="216"/>
      <c r="T336" s="231"/>
      <c r="U336" s="231"/>
      <c r="V336" s="231"/>
      <c r="W336" s="242"/>
      <c r="X336" s="232"/>
      <c r="Y336" s="231"/>
      <c r="Z336" s="231"/>
      <c r="AA336" s="241"/>
      <c r="AB336" s="241"/>
      <c r="AC336" s="240"/>
      <c r="AD336" s="240"/>
      <c r="AE336" s="233"/>
      <c r="AF336" s="233"/>
      <c r="AG336" s="240"/>
      <c r="AH336" s="240">
        <f t="shared" si="38"/>
        <v>0</v>
      </c>
      <c r="AI336" s="236">
        <f t="shared" si="39"/>
        <v>0</v>
      </c>
      <c r="AJ336" s="252"/>
      <c r="AK336" s="233"/>
      <c r="AL336" s="216"/>
      <c r="AM336" s="236">
        <v>0</v>
      </c>
      <c r="AN336" s="236">
        <v>0</v>
      </c>
      <c r="AO336" s="236">
        <v>0</v>
      </c>
      <c r="AP336" s="236">
        <v>0</v>
      </c>
      <c r="AQ336" s="236">
        <v>0</v>
      </c>
      <c r="AR336" s="236">
        <v>0</v>
      </c>
      <c r="AS336" s="236">
        <v>0</v>
      </c>
      <c r="AT336" s="236">
        <v>0</v>
      </c>
      <c r="AU336" s="236">
        <v>0</v>
      </c>
      <c r="AV336" s="231"/>
      <c r="AW336" s="236"/>
      <c r="AX336" s="242"/>
      <c r="AY336" s="242"/>
      <c r="AZ336" s="242"/>
      <c r="BA336" s="242"/>
      <c r="BB336" s="242"/>
      <c r="BC336" s="242"/>
      <c r="BD336" s="242"/>
      <c r="BE336" s="231"/>
      <c r="BF336" s="242"/>
      <c r="BG336" s="242"/>
      <c r="BH336" s="242"/>
      <c r="BI336" s="242"/>
      <c r="BJ336" s="242"/>
      <c r="BK336" s="242"/>
      <c r="BL336" s="242"/>
      <c r="BM336" s="242"/>
      <c r="BN336" s="242"/>
      <c r="BO336" s="231"/>
      <c r="BP336" s="231"/>
      <c r="BQ336" s="231"/>
      <c r="BR336" s="231"/>
      <c r="BS336" s="231"/>
      <c r="BT336" s="231"/>
      <c r="BU336" s="231"/>
      <c r="BV336" s="231"/>
      <c r="BW336" s="231"/>
      <c r="BX336" s="231"/>
      <c r="BY336" s="231"/>
      <c r="BZ336" s="231"/>
      <c r="CA336" s="231"/>
      <c r="CB336" s="231"/>
      <c r="CC336" s="231"/>
      <c r="CD336" s="231"/>
      <c r="CE336" s="231"/>
      <c r="CF336" s="231"/>
      <c r="CG336" s="231"/>
      <c r="CH336" s="231"/>
      <c r="CI336" s="231"/>
    </row>
    <row r="337" spans="1:87" ht="25.2" customHeight="1" outlineLevel="1">
      <c r="A337" s="204">
        <v>315</v>
      </c>
      <c r="B337" s="207">
        <v>7032</v>
      </c>
      <c r="C337" s="208" t="s">
        <v>512</v>
      </c>
      <c r="D337" s="194" t="s">
        <v>468</v>
      </c>
      <c r="E337" s="209">
        <f t="shared" si="36"/>
        <v>230.2</v>
      </c>
      <c r="F337" s="216">
        <v>64.7</v>
      </c>
      <c r="G337" s="217">
        <v>15.7</v>
      </c>
      <c r="H337" s="218">
        <v>18.600000000000001</v>
      </c>
      <c r="I337" s="230">
        <f t="shared" si="37"/>
        <v>0</v>
      </c>
      <c r="J337" s="216">
        <v>0</v>
      </c>
      <c r="K337" s="216">
        <v>1</v>
      </c>
      <c r="L337" s="233"/>
      <c r="M337" s="216">
        <v>24</v>
      </c>
      <c r="N337" s="216">
        <v>106</v>
      </c>
      <c r="O337" s="216">
        <v>2.1</v>
      </c>
      <c r="P337" s="216">
        <v>0.7</v>
      </c>
      <c r="Q337" s="216">
        <v>1.2999999999999999E-2</v>
      </c>
      <c r="R337" s="216">
        <v>6.5000000000000002E-2</v>
      </c>
      <c r="S337" s="216">
        <v>1.6</v>
      </c>
      <c r="T337" s="231">
        <v>47</v>
      </c>
      <c r="U337" s="231">
        <v>315</v>
      </c>
      <c r="V337" s="231">
        <v>20</v>
      </c>
      <c r="W337" s="242">
        <v>2.3E-2</v>
      </c>
      <c r="X337" s="232">
        <v>1.93</v>
      </c>
      <c r="Y337" s="231">
        <v>65</v>
      </c>
      <c r="Z337" s="231">
        <v>29.4</v>
      </c>
      <c r="AA337" s="241">
        <v>0.68500000000000005</v>
      </c>
      <c r="AB337" s="241">
        <v>0.40100000000000002</v>
      </c>
      <c r="AC337" s="240">
        <v>7</v>
      </c>
      <c r="AD337" s="240">
        <v>0</v>
      </c>
      <c r="AE337" s="233">
        <v>2.6</v>
      </c>
      <c r="AF337" s="233">
        <v>0.63</v>
      </c>
      <c r="AG337" s="240">
        <v>30</v>
      </c>
      <c r="AH337" s="240">
        <f t="shared" si="38"/>
        <v>99.9</v>
      </c>
      <c r="AI337" s="236">
        <f t="shared" si="39"/>
        <v>30</v>
      </c>
      <c r="AJ337" s="252"/>
      <c r="AK337" s="233"/>
      <c r="AL337" s="216"/>
      <c r="AM337" s="236">
        <v>0</v>
      </c>
      <c r="AN337" s="236">
        <v>0</v>
      </c>
      <c r="AO337" s="236">
        <v>0</v>
      </c>
      <c r="AP337" s="236">
        <v>0</v>
      </c>
      <c r="AQ337" s="236">
        <v>0</v>
      </c>
      <c r="AR337" s="236">
        <v>0</v>
      </c>
      <c r="AS337" s="236">
        <v>0</v>
      </c>
      <c r="AT337" s="236">
        <v>0</v>
      </c>
      <c r="AU337" s="236">
        <v>0</v>
      </c>
      <c r="AV337" s="231">
        <v>160</v>
      </c>
      <c r="AW337" s="236">
        <v>6.54</v>
      </c>
      <c r="AX337" s="242">
        <v>4.0599999999999996</v>
      </c>
      <c r="AY337" s="242">
        <v>0</v>
      </c>
      <c r="AZ337" s="242">
        <v>2.16</v>
      </c>
      <c r="BA337" s="242">
        <v>0</v>
      </c>
      <c r="BB337" s="242">
        <v>0</v>
      </c>
      <c r="BC337" s="242">
        <v>0</v>
      </c>
      <c r="BD337" s="242">
        <v>8.3800000000000008</v>
      </c>
      <c r="BE337" s="231">
        <v>0</v>
      </c>
      <c r="BF337" s="242">
        <v>0.53</v>
      </c>
      <c r="BG337" s="242">
        <v>7.7</v>
      </c>
      <c r="BH337" s="242">
        <v>2.0099999999999998</v>
      </c>
      <c r="BI337" s="242">
        <v>1.69</v>
      </c>
      <c r="BJ337" s="242">
        <v>0.14000000000000001</v>
      </c>
      <c r="BK337" s="242">
        <v>0.09</v>
      </c>
      <c r="BL337" s="242">
        <v>0</v>
      </c>
      <c r="BM337" s="242">
        <v>0</v>
      </c>
      <c r="BN337" s="242"/>
      <c r="BO337" s="231">
        <v>73</v>
      </c>
      <c r="BP337" s="231"/>
      <c r="BQ337" s="204">
        <v>1550</v>
      </c>
      <c r="BR337" s="204">
        <v>444</v>
      </c>
      <c r="BS337" s="204">
        <v>208</v>
      </c>
      <c r="BT337" s="204">
        <v>689</v>
      </c>
      <c r="BU337" s="204">
        <v>776</v>
      </c>
      <c r="BV337" s="204">
        <v>931</v>
      </c>
      <c r="BW337" s="204">
        <v>1376</v>
      </c>
      <c r="BX337" s="204">
        <v>787</v>
      </c>
      <c r="BY337" s="204">
        <v>1120</v>
      </c>
      <c r="BZ337" s="204">
        <v>659</v>
      </c>
      <c r="CA337" s="204">
        <v>216</v>
      </c>
      <c r="CB337" s="204">
        <v>583</v>
      </c>
      <c r="CC337" s="204">
        <v>1032</v>
      </c>
      <c r="CD337" s="204">
        <v>1584</v>
      </c>
      <c r="CE337" s="204">
        <v>2636</v>
      </c>
      <c r="CF337" s="204">
        <v>992</v>
      </c>
      <c r="CG337" s="204">
        <v>790</v>
      </c>
      <c r="CH337" s="204">
        <v>720</v>
      </c>
      <c r="CI337" s="231"/>
    </row>
    <row r="338" spans="1:87" ht="25.2" customHeight="1" outlineLevel="1">
      <c r="A338" s="204">
        <v>316</v>
      </c>
      <c r="B338" s="207">
        <v>7033</v>
      </c>
      <c r="C338" s="208" t="s">
        <v>513</v>
      </c>
      <c r="D338" s="194" t="s">
        <v>468</v>
      </c>
      <c r="E338" s="209">
        <f t="shared" si="36"/>
        <v>97</v>
      </c>
      <c r="F338" s="216">
        <v>80.5</v>
      </c>
      <c r="G338" s="217">
        <v>14.8</v>
      </c>
      <c r="H338" s="218">
        <v>4.2</v>
      </c>
      <c r="I338" s="230">
        <f t="shared" si="37"/>
        <v>0</v>
      </c>
      <c r="J338" s="216">
        <v>0</v>
      </c>
      <c r="K338" s="216">
        <v>0.5</v>
      </c>
      <c r="L338" s="233">
        <v>0</v>
      </c>
      <c r="M338" s="216">
        <v>150</v>
      </c>
      <c r="N338" s="216">
        <v>85</v>
      </c>
      <c r="O338" s="216">
        <v>0.9</v>
      </c>
      <c r="P338" s="216">
        <v>0</v>
      </c>
      <c r="Q338" s="216">
        <v>0.04</v>
      </c>
      <c r="R338" s="216">
        <v>0.2</v>
      </c>
      <c r="S338" s="216">
        <v>3.6</v>
      </c>
      <c r="T338" s="231">
        <v>97</v>
      </c>
      <c r="U338" s="231">
        <v>67</v>
      </c>
      <c r="V338" s="231">
        <v>13</v>
      </c>
      <c r="W338" s="242">
        <v>8.5000000000000006E-2</v>
      </c>
      <c r="X338" s="232">
        <v>1.42</v>
      </c>
      <c r="Y338" s="231">
        <v>70</v>
      </c>
      <c r="Z338" s="231">
        <v>12.5</v>
      </c>
      <c r="AA338" s="241">
        <v>0.22700000000000001</v>
      </c>
      <c r="AB338" s="241">
        <v>1.4E-2</v>
      </c>
      <c r="AC338" s="240">
        <v>5</v>
      </c>
      <c r="AD338" s="240">
        <v>0</v>
      </c>
      <c r="AE338" s="233"/>
      <c r="AF338" s="233">
        <v>1.39</v>
      </c>
      <c r="AG338" s="240">
        <v>0</v>
      </c>
      <c r="AH338" s="240">
        <f t="shared" si="38"/>
        <v>0</v>
      </c>
      <c r="AI338" s="236">
        <f t="shared" si="39"/>
        <v>0</v>
      </c>
      <c r="AJ338" s="252"/>
      <c r="AK338" s="233">
        <v>0.09</v>
      </c>
      <c r="AL338" s="216">
        <v>0</v>
      </c>
      <c r="AM338" s="236">
        <v>0</v>
      </c>
      <c r="AN338" s="236">
        <v>0</v>
      </c>
      <c r="AO338" s="236">
        <v>0</v>
      </c>
      <c r="AP338" s="236">
        <v>0</v>
      </c>
      <c r="AQ338" s="236">
        <v>0</v>
      </c>
      <c r="AR338" s="236">
        <v>0</v>
      </c>
      <c r="AS338" s="236">
        <v>0</v>
      </c>
      <c r="AT338" s="236">
        <v>0</v>
      </c>
      <c r="AU338" s="236">
        <v>0</v>
      </c>
      <c r="AV338" s="231"/>
      <c r="AW338" s="236">
        <v>1.2909999999999999</v>
      </c>
      <c r="AX338" s="242">
        <v>0.64300000000000002</v>
      </c>
      <c r="AY338" s="242">
        <v>8.1000000000000003E-2</v>
      </c>
      <c r="AZ338" s="242">
        <v>0.46300000000000002</v>
      </c>
      <c r="BA338" s="242">
        <v>4.0000000000000001E-3</v>
      </c>
      <c r="BB338" s="242">
        <v>6.0000000000000001E-3</v>
      </c>
      <c r="BC338" s="242">
        <v>0</v>
      </c>
      <c r="BD338" s="242">
        <v>1.5329999999999999</v>
      </c>
      <c r="BE338" s="231">
        <v>0</v>
      </c>
      <c r="BF338" s="242">
        <v>8.7999999999999995E-2</v>
      </c>
      <c r="BG338" s="242">
        <v>1.413</v>
      </c>
      <c r="BH338" s="242">
        <v>0.18</v>
      </c>
      <c r="BI338" s="242">
        <v>0.11600000000000001</v>
      </c>
      <c r="BJ338" s="242">
        <v>1.0999999999999999E-2</v>
      </c>
      <c r="BK338" s="242">
        <v>4.8000000000000001E-2</v>
      </c>
      <c r="BL338" s="242">
        <v>0</v>
      </c>
      <c r="BM338" s="242">
        <v>0</v>
      </c>
      <c r="BN338" s="242">
        <v>0.15</v>
      </c>
      <c r="BO338" s="231">
        <v>122</v>
      </c>
      <c r="BP338" s="231"/>
      <c r="BQ338" s="209">
        <v>933</v>
      </c>
      <c r="BR338" s="209">
        <v>280</v>
      </c>
      <c r="BS338" s="209">
        <v>149</v>
      </c>
      <c r="BT338" s="209">
        <v>448</v>
      </c>
      <c r="BU338" s="209">
        <v>504</v>
      </c>
      <c r="BV338" s="209">
        <v>579</v>
      </c>
      <c r="BW338" s="209">
        <v>784</v>
      </c>
      <c r="BX338" s="209">
        <v>467</v>
      </c>
      <c r="BY338" s="209">
        <v>821</v>
      </c>
      <c r="BZ338" s="209">
        <v>336</v>
      </c>
      <c r="CA338" s="209">
        <v>149</v>
      </c>
      <c r="CB338" s="209">
        <v>336</v>
      </c>
      <c r="CC338" s="209">
        <v>784</v>
      </c>
      <c r="CD338" s="209">
        <v>989</v>
      </c>
      <c r="CE338" s="209">
        <v>1754</v>
      </c>
      <c r="CF338" s="209">
        <v>1213</v>
      </c>
      <c r="CG338" s="209">
        <v>989</v>
      </c>
      <c r="CH338" s="209">
        <v>579</v>
      </c>
      <c r="CI338" s="231"/>
    </row>
    <row r="339" spans="1:87" ht="25.2" customHeight="1" outlineLevel="1">
      <c r="A339" s="204">
        <v>317</v>
      </c>
      <c r="B339" s="207">
        <v>7034</v>
      </c>
      <c r="C339" s="208" t="s">
        <v>514</v>
      </c>
      <c r="D339" s="194" t="s">
        <v>468</v>
      </c>
      <c r="E339" s="209">
        <f t="shared" si="36"/>
        <v>84.5</v>
      </c>
      <c r="F339" s="216">
        <v>81.7</v>
      </c>
      <c r="G339" s="217">
        <v>14.6</v>
      </c>
      <c r="H339" s="218">
        <v>2.9</v>
      </c>
      <c r="I339" s="230">
        <f t="shared" si="37"/>
        <v>0</v>
      </c>
      <c r="J339" s="216">
        <v>0</v>
      </c>
      <c r="K339" s="216">
        <v>0.8</v>
      </c>
      <c r="L339" s="233">
        <v>0</v>
      </c>
      <c r="M339" s="216">
        <v>8</v>
      </c>
      <c r="N339" s="216">
        <v>144</v>
      </c>
      <c r="O339" s="216">
        <v>1.4</v>
      </c>
      <c r="P339" s="216">
        <v>0</v>
      </c>
      <c r="Q339" s="216">
        <v>0.05</v>
      </c>
      <c r="R339" s="216">
        <v>0.18</v>
      </c>
      <c r="S339" s="216">
        <v>2.5</v>
      </c>
      <c r="T339" s="231">
        <v>75</v>
      </c>
      <c r="U339" s="231">
        <v>140</v>
      </c>
      <c r="V339" s="231">
        <v>11</v>
      </c>
      <c r="W339" s="242">
        <v>3.7999999999999999E-2</v>
      </c>
      <c r="X339" s="232">
        <v>1.85</v>
      </c>
      <c r="Y339" s="231">
        <v>169</v>
      </c>
      <c r="Z339" s="231">
        <v>31.1</v>
      </c>
      <c r="AA339" s="241">
        <v>1.22</v>
      </c>
      <c r="AB339" s="241">
        <v>3.4000000000000002E-2</v>
      </c>
      <c r="AC339" s="240">
        <v>3</v>
      </c>
      <c r="AD339" s="240">
        <v>0</v>
      </c>
      <c r="AE339" s="233"/>
      <c r="AF339" s="233">
        <v>0.3</v>
      </c>
      <c r="AG339" s="240">
        <v>0</v>
      </c>
      <c r="AH339" s="240">
        <f t="shared" si="38"/>
        <v>0</v>
      </c>
      <c r="AI339" s="236">
        <f t="shared" si="39"/>
        <v>0</v>
      </c>
      <c r="AJ339" s="252"/>
      <c r="AK339" s="233">
        <v>0.04</v>
      </c>
      <c r="AL339" s="216">
        <v>0</v>
      </c>
      <c r="AM339" s="236">
        <v>0</v>
      </c>
      <c r="AN339" s="236">
        <v>0</v>
      </c>
      <c r="AO339" s="236">
        <v>0</v>
      </c>
      <c r="AP339" s="236">
        <v>0</v>
      </c>
      <c r="AQ339" s="236">
        <v>0</v>
      </c>
      <c r="AR339" s="236">
        <v>0</v>
      </c>
      <c r="AS339" s="236">
        <v>0</v>
      </c>
      <c r="AT339" s="236">
        <v>0</v>
      </c>
      <c r="AU339" s="236">
        <v>0</v>
      </c>
      <c r="AV339" s="231"/>
      <c r="AW339" s="236">
        <v>4.0250000000000004</v>
      </c>
      <c r="AX339" s="242">
        <v>2.2639999999999998</v>
      </c>
      <c r="AY339" s="242">
        <v>2.5000000000000001E-2</v>
      </c>
      <c r="AZ339" s="242">
        <v>1.591</v>
      </c>
      <c r="BA339" s="242">
        <v>0.02</v>
      </c>
      <c r="BB339" s="242">
        <v>0</v>
      </c>
      <c r="BC339" s="242">
        <v>0</v>
      </c>
      <c r="BD339" s="242">
        <v>3.59</v>
      </c>
      <c r="BE339" s="231">
        <v>0</v>
      </c>
      <c r="BF339" s="231">
        <v>0</v>
      </c>
      <c r="BG339" s="231">
        <v>0</v>
      </c>
      <c r="BH339" s="242">
        <v>0.89200000000000002</v>
      </c>
      <c r="BI339" s="242">
        <v>0.72399999999999998</v>
      </c>
      <c r="BJ339" s="242">
        <v>2.1000000000000001E-2</v>
      </c>
      <c r="BK339" s="242">
        <v>0.11</v>
      </c>
      <c r="BL339" s="242">
        <v>0</v>
      </c>
      <c r="BM339" s="242">
        <v>0</v>
      </c>
      <c r="BN339" s="242">
        <v>0.13</v>
      </c>
      <c r="BO339" s="231">
        <v>223</v>
      </c>
      <c r="BP339" s="231"/>
      <c r="BQ339" s="231"/>
      <c r="BR339" s="231"/>
      <c r="BS339" s="231"/>
      <c r="BT339" s="231"/>
      <c r="BU339" s="231"/>
      <c r="BV339" s="231"/>
      <c r="BW339" s="231"/>
      <c r="BX339" s="231"/>
      <c r="BY339" s="231"/>
      <c r="BZ339" s="231"/>
      <c r="CA339" s="231"/>
      <c r="CB339" s="231"/>
      <c r="CC339" s="231"/>
      <c r="CD339" s="231"/>
      <c r="CE339" s="231"/>
      <c r="CF339" s="231"/>
      <c r="CG339" s="231"/>
      <c r="CH339" s="231"/>
      <c r="CI339" s="231"/>
    </row>
    <row r="340" spans="1:87" ht="25.2" customHeight="1" outlineLevel="1">
      <c r="A340" s="204">
        <v>318</v>
      </c>
      <c r="B340" s="207">
        <v>7035</v>
      </c>
      <c r="C340" s="208" t="s">
        <v>515</v>
      </c>
      <c r="D340" s="194" t="s">
        <v>468</v>
      </c>
      <c r="E340" s="209">
        <f t="shared" si="36"/>
        <v>184.9</v>
      </c>
      <c r="F340" s="216">
        <v>68.7</v>
      </c>
      <c r="G340" s="217">
        <v>18.100000000000001</v>
      </c>
      <c r="H340" s="218">
        <v>12.5</v>
      </c>
      <c r="I340" s="230">
        <f t="shared" si="37"/>
        <v>0</v>
      </c>
      <c r="J340" s="216">
        <v>0</v>
      </c>
      <c r="K340" s="216">
        <v>0.7</v>
      </c>
      <c r="L340" s="233">
        <v>0</v>
      </c>
      <c r="M340" s="236"/>
      <c r="N340" s="236"/>
      <c r="O340" s="236"/>
      <c r="P340" s="236"/>
      <c r="Q340" s="236"/>
      <c r="R340" s="236"/>
      <c r="S340" s="236"/>
      <c r="T340" s="231"/>
      <c r="U340" s="231"/>
      <c r="V340" s="231"/>
      <c r="W340" s="242"/>
      <c r="X340" s="232"/>
      <c r="Y340" s="231"/>
      <c r="Z340" s="231"/>
      <c r="AA340" s="241"/>
      <c r="AB340" s="241"/>
      <c r="AC340" s="240"/>
      <c r="AD340" s="240"/>
      <c r="AE340" s="236"/>
      <c r="AF340" s="236"/>
      <c r="AG340" s="240"/>
      <c r="AH340" s="240">
        <f t="shared" si="38"/>
        <v>0</v>
      </c>
      <c r="AI340" s="236">
        <f t="shared" si="39"/>
        <v>0</v>
      </c>
      <c r="AJ340" s="252"/>
      <c r="AK340" s="233"/>
      <c r="AL340" s="216"/>
      <c r="AM340" s="236">
        <v>0</v>
      </c>
      <c r="AN340" s="236">
        <v>0</v>
      </c>
      <c r="AO340" s="236">
        <v>0</v>
      </c>
      <c r="AP340" s="236">
        <v>0</v>
      </c>
      <c r="AQ340" s="236">
        <v>0</v>
      </c>
      <c r="AR340" s="236">
        <v>0</v>
      </c>
      <c r="AS340" s="236">
        <v>0</v>
      </c>
      <c r="AT340" s="236">
        <v>0</v>
      </c>
      <c r="AU340" s="236">
        <v>0</v>
      </c>
      <c r="AV340" s="231"/>
      <c r="AW340" s="236"/>
      <c r="AX340" s="242"/>
      <c r="AY340" s="242"/>
      <c r="AZ340" s="242"/>
      <c r="BA340" s="242"/>
      <c r="BB340" s="242"/>
      <c r="BC340" s="242"/>
      <c r="BD340" s="242"/>
      <c r="BE340" s="231"/>
      <c r="BF340" s="242"/>
      <c r="BG340" s="242"/>
      <c r="BH340" s="242"/>
      <c r="BI340" s="242"/>
      <c r="BJ340" s="242"/>
      <c r="BK340" s="242"/>
      <c r="BL340" s="242"/>
      <c r="BM340" s="242"/>
      <c r="BN340" s="242"/>
      <c r="BO340" s="231"/>
      <c r="BP340" s="231"/>
      <c r="BQ340" s="204"/>
      <c r="BR340" s="204"/>
      <c r="BS340" s="204"/>
      <c r="BT340" s="204"/>
      <c r="BU340" s="204"/>
      <c r="BV340" s="204"/>
      <c r="BW340" s="204"/>
      <c r="BX340" s="204"/>
      <c r="BY340" s="204"/>
      <c r="BZ340" s="204"/>
      <c r="CA340" s="204"/>
      <c r="CB340" s="204"/>
      <c r="CC340" s="204"/>
      <c r="CD340" s="204"/>
      <c r="CE340" s="204"/>
      <c r="CF340" s="204"/>
      <c r="CG340" s="204"/>
      <c r="CH340" s="204"/>
      <c r="CI340" s="231"/>
    </row>
    <row r="341" spans="1:87" ht="25.2" customHeight="1" outlineLevel="1">
      <c r="A341" s="204">
        <v>319</v>
      </c>
      <c r="B341" s="207">
        <v>7036</v>
      </c>
      <c r="C341" s="208" t="s">
        <v>516</v>
      </c>
      <c r="D341" s="194" t="s">
        <v>468</v>
      </c>
      <c r="E341" s="209">
        <f t="shared" si="36"/>
        <v>335.3</v>
      </c>
      <c r="F341" s="216">
        <v>54.6</v>
      </c>
      <c r="G341" s="217">
        <v>13.4</v>
      </c>
      <c r="H341" s="218">
        <v>31.3</v>
      </c>
      <c r="I341" s="230">
        <f t="shared" si="37"/>
        <v>0</v>
      </c>
      <c r="J341" s="216">
        <v>0</v>
      </c>
      <c r="K341" s="216">
        <v>0.7</v>
      </c>
      <c r="L341" s="233">
        <v>0</v>
      </c>
      <c r="M341" s="236"/>
      <c r="N341" s="236"/>
      <c r="O341" s="236"/>
      <c r="P341" s="236"/>
      <c r="Q341" s="236"/>
      <c r="R341" s="236"/>
      <c r="S341" s="236"/>
      <c r="T341" s="231"/>
      <c r="U341" s="231"/>
      <c r="V341" s="231"/>
      <c r="W341" s="242"/>
      <c r="X341" s="232"/>
      <c r="Y341" s="231"/>
      <c r="Z341" s="231"/>
      <c r="AA341" s="241"/>
      <c r="AB341" s="241"/>
      <c r="AC341" s="240"/>
      <c r="AD341" s="240"/>
      <c r="AE341" s="236"/>
      <c r="AF341" s="236"/>
      <c r="AG341" s="240"/>
      <c r="AH341" s="240">
        <f t="shared" si="38"/>
        <v>0</v>
      </c>
      <c r="AI341" s="236">
        <f t="shared" si="39"/>
        <v>0</v>
      </c>
      <c r="AJ341" s="252"/>
      <c r="AK341" s="233"/>
      <c r="AL341" s="216"/>
      <c r="AM341" s="236">
        <v>0</v>
      </c>
      <c r="AN341" s="236">
        <v>0</v>
      </c>
      <c r="AO341" s="236">
        <v>0</v>
      </c>
      <c r="AP341" s="236">
        <v>0</v>
      </c>
      <c r="AQ341" s="236">
        <v>0</v>
      </c>
      <c r="AR341" s="236">
        <v>0</v>
      </c>
      <c r="AS341" s="236">
        <v>0</v>
      </c>
      <c r="AT341" s="236">
        <v>0</v>
      </c>
      <c r="AU341" s="236">
        <v>0</v>
      </c>
      <c r="AV341" s="231"/>
      <c r="AW341" s="236"/>
      <c r="AX341" s="242"/>
      <c r="AY341" s="242"/>
      <c r="AZ341" s="242"/>
      <c r="BA341" s="242"/>
      <c r="BB341" s="242"/>
      <c r="BC341" s="242"/>
      <c r="BD341" s="242"/>
      <c r="BE341" s="231"/>
      <c r="BF341" s="242"/>
      <c r="BG341" s="242"/>
      <c r="BH341" s="242"/>
      <c r="BI341" s="242"/>
      <c r="BJ341" s="242"/>
      <c r="BK341" s="242"/>
      <c r="BL341" s="242"/>
      <c r="BM341" s="242"/>
      <c r="BN341" s="242"/>
      <c r="BO341" s="231"/>
      <c r="BP341" s="231"/>
      <c r="BQ341" s="231"/>
      <c r="BR341" s="231"/>
      <c r="BS341" s="231"/>
      <c r="BT341" s="231"/>
      <c r="BU341" s="231"/>
      <c r="BV341" s="231"/>
      <c r="BW341" s="231"/>
      <c r="BX341" s="231"/>
      <c r="BY341" s="231"/>
      <c r="BZ341" s="231"/>
      <c r="CA341" s="231"/>
      <c r="CB341" s="231"/>
      <c r="CC341" s="231"/>
      <c r="CD341" s="231"/>
      <c r="CE341" s="231"/>
      <c r="CF341" s="231"/>
      <c r="CG341" s="231"/>
      <c r="CH341" s="231"/>
      <c r="CI341" s="231"/>
    </row>
    <row r="342" spans="1:87" ht="25.2" customHeight="1" outlineLevel="1">
      <c r="A342" s="204">
        <v>320</v>
      </c>
      <c r="B342" s="207">
        <v>7037</v>
      </c>
      <c r="C342" s="208" t="s">
        <v>517</v>
      </c>
      <c r="D342" s="194" t="s">
        <v>468</v>
      </c>
      <c r="E342" s="209">
        <f t="shared" si="36"/>
        <v>137.30000000000001</v>
      </c>
      <c r="F342" s="216">
        <v>73</v>
      </c>
      <c r="G342" s="217">
        <v>19.7</v>
      </c>
      <c r="H342" s="218">
        <v>6.5</v>
      </c>
      <c r="I342" s="230">
        <f t="shared" si="37"/>
        <v>0</v>
      </c>
      <c r="J342" s="216">
        <v>0</v>
      </c>
      <c r="K342" s="216">
        <v>0.8</v>
      </c>
      <c r="L342" s="233">
        <v>0</v>
      </c>
      <c r="M342" s="216">
        <v>7</v>
      </c>
      <c r="N342" s="216">
        <v>162</v>
      </c>
      <c r="O342" s="216">
        <v>2.5</v>
      </c>
      <c r="P342" s="216"/>
      <c r="Q342" s="216">
        <v>0.03</v>
      </c>
      <c r="R342" s="216">
        <v>0.03</v>
      </c>
      <c r="S342" s="216">
        <v>5.4</v>
      </c>
      <c r="T342" s="231"/>
      <c r="U342" s="231"/>
      <c r="V342" s="231"/>
      <c r="W342" s="242"/>
      <c r="X342" s="232"/>
      <c r="Y342" s="231"/>
      <c r="Z342" s="231"/>
      <c r="AA342" s="241"/>
      <c r="AB342" s="241"/>
      <c r="AC342" s="240"/>
      <c r="AD342" s="240"/>
      <c r="AE342" s="233"/>
      <c r="AF342" s="233"/>
      <c r="AG342" s="240"/>
      <c r="AH342" s="240">
        <f t="shared" si="38"/>
        <v>0</v>
      </c>
      <c r="AI342" s="236">
        <f t="shared" si="39"/>
        <v>0</v>
      </c>
      <c r="AJ342" s="252"/>
      <c r="AK342" s="233"/>
      <c r="AL342" s="216"/>
      <c r="AM342" s="236">
        <v>0</v>
      </c>
      <c r="AN342" s="236">
        <v>0</v>
      </c>
      <c r="AO342" s="236">
        <v>0</v>
      </c>
      <c r="AP342" s="236">
        <v>0</v>
      </c>
      <c r="AQ342" s="236">
        <v>0</v>
      </c>
      <c r="AR342" s="236">
        <v>0</v>
      </c>
      <c r="AS342" s="236">
        <v>0</v>
      </c>
      <c r="AT342" s="236">
        <v>0</v>
      </c>
      <c r="AU342" s="236">
        <v>0</v>
      </c>
      <c r="AV342" s="231"/>
      <c r="AW342" s="236"/>
      <c r="AX342" s="244"/>
      <c r="AY342" s="244"/>
      <c r="AZ342" s="244"/>
      <c r="BA342" s="244"/>
      <c r="BB342" s="244"/>
      <c r="BC342" s="244"/>
      <c r="BD342" s="244"/>
      <c r="BE342" s="237"/>
      <c r="BF342" s="244"/>
      <c r="BG342" s="244"/>
      <c r="BH342" s="244"/>
      <c r="BI342" s="244"/>
      <c r="BJ342" s="244"/>
      <c r="BK342" s="244"/>
      <c r="BL342" s="244"/>
      <c r="BM342" s="244"/>
      <c r="BN342" s="244"/>
      <c r="BO342" s="204"/>
      <c r="BP342" s="204"/>
      <c r="BQ342" s="231"/>
      <c r="BR342" s="231"/>
      <c r="BS342" s="231"/>
      <c r="BT342" s="231"/>
      <c r="BU342" s="231"/>
      <c r="BV342" s="231"/>
      <c r="BW342" s="231"/>
      <c r="BX342" s="231"/>
      <c r="BY342" s="231"/>
      <c r="BZ342" s="231"/>
      <c r="CA342" s="231"/>
      <c r="CB342" s="231"/>
      <c r="CC342" s="231"/>
      <c r="CD342" s="231"/>
      <c r="CE342" s="231"/>
      <c r="CF342" s="231"/>
      <c r="CG342" s="231"/>
      <c r="CH342" s="231"/>
      <c r="CI342" s="231"/>
    </row>
    <row r="343" spans="1:87" ht="25.2" customHeight="1" outlineLevel="1">
      <c r="A343" s="204">
        <v>321</v>
      </c>
      <c r="B343" s="207">
        <v>7038</v>
      </c>
      <c r="C343" s="208" t="s">
        <v>518</v>
      </c>
      <c r="D343" s="194" t="s">
        <v>468</v>
      </c>
      <c r="E343" s="209">
        <f t="shared" si="36"/>
        <v>467.1</v>
      </c>
      <c r="F343" s="216">
        <v>41.8</v>
      </c>
      <c r="G343" s="217">
        <v>10.8</v>
      </c>
      <c r="H343" s="218">
        <v>47.1</v>
      </c>
      <c r="I343" s="230">
        <f t="shared" si="37"/>
        <v>0</v>
      </c>
      <c r="J343" s="216">
        <v>0</v>
      </c>
      <c r="K343" s="216">
        <v>0.3</v>
      </c>
      <c r="L343" s="233"/>
      <c r="M343" s="236">
        <v>18</v>
      </c>
      <c r="N343" s="236">
        <v>50</v>
      </c>
      <c r="O343" s="236">
        <v>0.99</v>
      </c>
      <c r="P343" s="236">
        <v>0</v>
      </c>
      <c r="Q343" s="236">
        <v>0.21</v>
      </c>
      <c r="R343" s="236">
        <v>0.11</v>
      </c>
      <c r="S343" s="236">
        <v>2.06</v>
      </c>
      <c r="T343" s="231">
        <v>21</v>
      </c>
      <c r="U343" s="231">
        <v>114</v>
      </c>
      <c r="V343" s="231">
        <v>56</v>
      </c>
      <c r="W343" s="242">
        <v>1.0999999999999999E-2</v>
      </c>
      <c r="X343" s="232">
        <v>2.31</v>
      </c>
      <c r="Y343" s="231">
        <v>84</v>
      </c>
      <c r="Z343" s="231">
        <v>2.7</v>
      </c>
      <c r="AA343" s="241">
        <v>0.67300000000000004</v>
      </c>
      <c r="AB343" s="241">
        <v>0.37</v>
      </c>
      <c r="AC343" s="240">
        <v>5</v>
      </c>
      <c r="AD343" s="240">
        <v>0</v>
      </c>
      <c r="AE343" s="236"/>
      <c r="AF343" s="236">
        <v>0.88</v>
      </c>
      <c r="AG343" s="240">
        <v>0</v>
      </c>
      <c r="AH343" s="240">
        <f t="shared" si="38"/>
        <v>0</v>
      </c>
      <c r="AI343" s="236">
        <f t="shared" si="39"/>
        <v>0</v>
      </c>
      <c r="AJ343" s="252"/>
      <c r="AK343" s="233"/>
      <c r="AL343" s="216"/>
      <c r="AM343" s="236">
        <v>0</v>
      </c>
      <c r="AN343" s="236">
        <v>0</v>
      </c>
      <c r="AO343" s="236">
        <v>0</v>
      </c>
      <c r="AP343" s="236">
        <v>0</v>
      </c>
      <c r="AQ343" s="236">
        <v>0</v>
      </c>
      <c r="AR343" s="236">
        <v>0</v>
      </c>
      <c r="AS343" s="236">
        <v>0</v>
      </c>
      <c r="AT343" s="236">
        <v>0</v>
      </c>
      <c r="AU343" s="236">
        <v>0</v>
      </c>
      <c r="AV343" s="231"/>
      <c r="AW343" s="236">
        <v>11.64</v>
      </c>
      <c r="AX343" s="244">
        <v>7.6</v>
      </c>
      <c r="AY343" s="244">
        <v>0</v>
      </c>
      <c r="AZ343" s="244">
        <v>3.51</v>
      </c>
      <c r="BA343" s="244">
        <v>0</v>
      </c>
      <c r="BB343" s="244">
        <v>0</v>
      </c>
      <c r="BC343" s="244">
        <v>0</v>
      </c>
      <c r="BD343" s="244">
        <v>15.8</v>
      </c>
      <c r="BE343" s="237">
        <v>0</v>
      </c>
      <c r="BF343" s="244">
        <v>1.22</v>
      </c>
      <c r="BG343" s="244">
        <v>14.58</v>
      </c>
      <c r="BH343" s="244">
        <v>3.68</v>
      </c>
      <c r="BI343" s="244">
        <v>3.19</v>
      </c>
      <c r="BJ343" s="244">
        <v>0.28000000000000003</v>
      </c>
      <c r="BK343" s="244">
        <v>0.21</v>
      </c>
      <c r="BL343" s="244">
        <v>0</v>
      </c>
      <c r="BM343" s="244">
        <v>0</v>
      </c>
      <c r="BN343" s="244"/>
      <c r="BO343" s="204">
        <v>97</v>
      </c>
      <c r="BP343" s="204"/>
      <c r="BQ343" s="231">
        <v>1012</v>
      </c>
      <c r="BR343" s="231">
        <v>320</v>
      </c>
      <c r="BS343" s="231">
        <v>89</v>
      </c>
      <c r="BT343" s="231">
        <v>479</v>
      </c>
      <c r="BU343" s="231">
        <v>550</v>
      </c>
      <c r="BV343" s="231">
        <v>515</v>
      </c>
      <c r="BW343" s="231">
        <v>905</v>
      </c>
      <c r="BX343" s="231">
        <v>408</v>
      </c>
      <c r="BY343" s="231">
        <v>1189</v>
      </c>
      <c r="BZ343" s="231">
        <v>302</v>
      </c>
      <c r="CA343" s="231">
        <v>230</v>
      </c>
      <c r="CB343" s="231">
        <v>320</v>
      </c>
      <c r="CC343" s="231">
        <v>1278</v>
      </c>
      <c r="CD343" s="231">
        <v>1384</v>
      </c>
      <c r="CE343" s="231">
        <v>2130</v>
      </c>
      <c r="CF343" s="231">
        <v>2361</v>
      </c>
      <c r="CG343" s="231">
        <v>1509</v>
      </c>
      <c r="CH343" s="231">
        <v>692</v>
      </c>
      <c r="CI343" s="231"/>
    </row>
    <row r="344" spans="1:87" ht="25.2" customHeight="1" outlineLevel="1">
      <c r="A344" s="204">
        <v>322</v>
      </c>
      <c r="B344" s="207">
        <v>7039</v>
      </c>
      <c r="C344" s="208" t="s">
        <v>519</v>
      </c>
      <c r="D344" s="194" t="s">
        <v>468</v>
      </c>
      <c r="E344" s="209">
        <f t="shared" si="36"/>
        <v>109.5</v>
      </c>
      <c r="F344" s="216">
        <v>75.2</v>
      </c>
      <c r="G344" s="217">
        <v>17.399999999999999</v>
      </c>
      <c r="H344" s="218">
        <v>3.1</v>
      </c>
      <c r="I344" s="230">
        <f t="shared" si="37"/>
        <v>3.0000000000000102</v>
      </c>
      <c r="J344" s="216">
        <v>0</v>
      </c>
      <c r="K344" s="216">
        <v>1.3</v>
      </c>
      <c r="L344" s="233"/>
      <c r="M344" s="216">
        <v>5</v>
      </c>
      <c r="N344" s="216">
        <v>340</v>
      </c>
      <c r="O344" s="216">
        <v>9</v>
      </c>
      <c r="P344" s="216">
        <v>30</v>
      </c>
      <c r="Q344" s="216">
        <v>0.4</v>
      </c>
      <c r="R344" s="216">
        <v>3</v>
      </c>
      <c r="S344" s="216">
        <v>17</v>
      </c>
      <c r="T344" s="240">
        <v>110</v>
      </c>
      <c r="U344" s="240">
        <v>213</v>
      </c>
      <c r="V344" s="240">
        <v>13</v>
      </c>
      <c r="W344" s="241">
        <v>0.3</v>
      </c>
      <c r="X344" s="233">
        <v>4</v>
      </c>
      <c r="Y344" s="240">
        <v>1500</v>
      </c>
      <c r="Z344" s="216">
        <v>39.700000000000003</v>
      </c>
      <c r="AA344" s="241">
        <v>7.7130000000000001</v>
      </c>
      <c r="AB344" s="241">
        <v>1.083</v>
      </c>
      <c r="AC344" s="240">
        <v>290</v>
      </c>
      <c r="AD344" s="240">
        <v>0</v>
      </c>
      <c r="AE344" s="233"/>
      <c r="AF344" s="233">
        <v>59.3</v>
      </c>
      <c r="AG344" s="240">
        <v>5000</v>
      </c>
      <c r="AH344" s="240">
        <f t="shared" si="38"/>
        <v>16650</v>
      </c>
      <c r="AI344" s="236">
        <f t="shared" si="39"/>
        <v>5061.875</v>
      </c>
      <c r="AJ344" s="252">
        <v>0.4</v>
      </c>
      <c r="AK344" s="233">
        <v>0.38</v>
      </c>
      <c r="AL344" s="216">
        <v>3.1</v>
      </c>
      <c r="AM344" s="236">
        <v>621</v>
      </c>
      <c r="AN344" s="204">
        <v>232</v>
      </c>
      <c r="AO344" s="204">
        <v>11</v>
      </c>
      <c r="AP344" s="204">
        <v>13</v>
      </c>
      <c r="AQ344" s="236">
        <v>0</v>
      </c>
      <c r="AR344" s="236">
        <v>0</v>
      </c>
      <c r="AS344" s="236">
        <v>0</v>
      </c>
      <c r="AT344" s="236">
        <v>0</v>
      </c>
      <c r="AU344" s="236">
        <v>0</v>
      </c>
      <c r="AV344" s="204"/>
      <c r="AW344" s="236">
        <v>1.2330000000000001</v>
      </c>
      <c r="AX344" s="244">
        <v>0.312</v>
      </c>
      <c r="AY344" s="244">
        <v>0.03</v>
      </c>
      <c r="AZ344" s="244">
        <v>0.86199999999999999</v>
      </c>
      <c r="BA344" s="244">
        <v>0</v>
      </c>
      <c r="BB344" s="244">
        <v>8.9999999999999993E-3</v>
      </c>
      <c r="BC344" s="244">
        <v>0</v>
      </c>
      <c r="BD344" s="244">
        <v>0.47899999999999998</v>
      </c>
      <c r="BE344" s="204">
        <v>0</v>
      </c>
      <c r="BF344" s="244">
        <v>3.5999999999999997E-2</v>
      </c>
      <c r="BG344" s="244">
        <v>0.42299999999999999</v>
      </c>
      <c r="BH344" s="244">
        <v>0.46500000000000002</v>
      </c>
      <c r="BI344" s="244">
        <v>0.29899999999999999</v>
      </c>
      <c r="BJ344" s="244">
        <v>1.6E-2</v>
      </c>
      <c r="BK344" s="244">
        <v>0.14099999999999999</v>
      </c>
      <c r="BL344" s="244">
        <v>0</v>
      </c>
      <c r="BM344" s="244">
        <v>0</v>
      </c>
      <c r="BN344" s="244">
        <v>0.17</v>
      </c>
      <c r="BO344" s="204">
        <v>275</v>
      </c>
      <c r="BP344" s="204"/>
      <c r="BQ344" s="204">
        <v>1523</v>
      </c>
      <c r="BR344" s="204">
        <v>641</v>
      </c>
      <c r="BS344" s="204">
        <v>280</v>
      </c>
      <c r="BT344" s="204">
        <v>1122</v>
      </c>
      <c r="BU344" s="204">
        <v>754</v>
      </c>
      <c r="BV344" s="204">
        <v>1388</v>
      </c>
      <c r="BW344" s="204">
        <v>1818</v>
      </c>
      <c r="BX344" s="204">
        <v>1119</v>
      </c>
      <c r="BY344" s="204">
        <v>1283</v>
      </c>
      <c r="BZ344" s="204">
        <v>562</v>
      </c>
      <c r="CA344" s="204">
        <v>243</v>
      </c>
      <c r="CB344" s="204">
        <v>690</v>
      </c>
      <c r="CC344" s="204">
        <v>1097</v>
      </c>
      <c r="CD344" s="204">
        <v>1742</v>
      </c>
      <c r="CE344" s="204">
        <v>2675</v>
      </c>
      <c r="CF344" s="204">
        <v>1180</v>
      </c>
      <c r="CG344" s="204">
        <v>948</v>
      </c>
      <c r="CH344" s="204">
        <v>793</v>
      </c>
      <c r="CI344" s="204"/>
    </row>
    <row r="345" spans="1:87" ht="25.2" customHeight="1" outlineLevel="1">
      <c r="A345" s="204">
        <v>323</v>
      </c>
      <c r="B345" s="207">
        <v>7040</v>
      </c>
      <c r="C345" s="208" t="s">
        <v>520</v>
      </c>
      <c r="D345" s="194" t="s">
        <v>468</v>
      </c>
      <c r="E345" s="209">
        <f t="shared" si="36"/>
        <v>111.4</v>
      </c>
      <c r="F345" s="216">
        <v>75</v>
      </c>
      <c r="G345" s="217">
        <v>18.2</v>
      </c>
      <c r="H345" s="218">
        <v>3.4</v>
      </c>
      <c r="I345" s="230">
        <f t="shared" si="37"/>
        <v>1.99999999999999</v>
      </c>
      <c r="J345" s="216">
        <v>0</v>
      </c>
      <c r="K345" s="216">
        <v>1.4</v>
      </c>
      <c r="L345" s="233"/>
      <c r="M345" s="216">
        <v>21</v>
      </c>
      <c r="N345" s="216">
        <v>260</v>
      </c>
      <c r="O345" s="216">
        <v>8.1999999999999993</v>
      </c>
      <c r="P345" s="216">
        <v>7</v>
      </c>
      <c r="Q345" s="216">
        <v>0.38</v>
      </c>
      <c r="R345" s="216">
        <v>1.63</v>
      </c>
      <c r="S345" s="216">
        <v>10.4</v>
      </c>
      <c r="T345" s="240">
        <v>71</v>
      </c>
      <c r="U345" s="240">
        <v>335</v>
      </c>
      <c r="V345" s="240">
        <v>17</v>
      </c>
      <c r="W345" s="241">
        <v>0.2</v>
      </c>
      <c r="X345" s="233">
        <v>2.67</v>
      </c>
      <c r="Y345" s="240">
        <v>300</v>
      </c>
      <c r="Z345" s="216">
        <v>54.6</v>
      </c>
      <c r="AA345" s="241">
        <v>6.2329999999999997</v>
      </c>
      <c r="AB345" s="241">
        <v>0.85299999999999998</v>
      </c>
      <c r="AC345" s="240">
        <v>588</v>
      </c>
      <c r="AD345" s="240">
        <v>0</v>
      </c>
      <c r="AE345" s="233">
        <v>210</v>
      </c>
      <c r="AF345" s="233">
        <v>16.579999999999998</v>
      </c>
      <c r="AG345" s="240">
        <v>3290</v>
      </c>
      <c r="AH345" s="240">
        <f t="shared" si="38"/>
        <v>10955.7</v>
      </c>
      <c r="AI345" s="236">
        <f t="shared" si="39"/>
        <v>3295.5833333333298</v>
      </c>
      <c r="AJ345" s="252"/>
      <c r="AK345" s="233">
        <v>0.7</v>
      </c>
      <c r="AL345" s="216">
        <v>0</v>
      </c>
      <c r="AM345" s="236">
        <v>56</v>
      </c>
      <c r="AN345" s="231">
        <v>11</v>
      </c>
      <c r="AO345" s="231">
        <v>11</v>
      </c>
      <c r="AP345" s="231">
        <v>40</v>
      </c>
      <c r="AQ345" s="236">
        <v>0</v>
      </c>
      <c r="AR345" s="236">
        <v>0</v>
      </c>
      <c r="AS345" s="236">
        <v>0</v>
      </c>
      <c r="AT345" s="236">
        <v>0</v>
      </c>
      <c r="AU345" s="236">
        <v>0</v>
      </c>
      <c r="AV345" s="231">
        <v>243</v>
      </c>
      <c r="AW345" s="236">
        <v>1.5629999999999999</v>
      </c>
      <c r="AX345" s="242">
        <v>0.88300000000000001</v>
      </c>
      <c r="AY345" s="242">
        <v>2E-3</v>
      </c>
      <c r="AZ345" s="242">
        <v>0.65900000000000003</v>
      </c>
      <c r="BA345" s="242">
        <v>0</v>
      </c>
      <c r="BB345" s="242">
        <v>7.0000000000000001E-3</v>
      </c>
      <c r="BC345" s="242">
        <v>0</v>
      </c>
      <c r="BD345" s="242">
        <v>1.2490000000000001</v>
      </c>
      <c r="BE345" s="204">
        <v>0</v>
      </c>
      <c r="BF345" s="242">
        <v>0.106</v>
      </c>
      <c r="BG345" s="242">
        <v>1.127</v>
      </c>
      <c r="BH345" s="242">
        <v>0.81899999999999995</v>
      </c>
      <c r="BI345" s="242">
        <v>0.47499999999999998</v>
      </c>
      <c r="BJ345" s="242">
        <v>6.0000000000000001E-3</v>
      </c>
      <c r="BK345" s="242">
        <v>0.32600000000000001</v>
      </c>
      <c r="BL345" s="244">
        <v>0</v>
      </c>
      <c r="BM345" s="244">
        <v>0</v>
      </c>
      <c r="BN345" s="242">
        <v>6.5000000000000002E-2</v>
      </c>
      <c r="BO345" s="231">
        <v>345</v>
      </c>
      <c r="BP345" s="231"/>
      <c r="BQ345" s="204">
        <v>1244</v>
      </c>
      <c r="BR345" s="204">
        <v>463</v>
      </c>
      <c r="BS345" s="204">
        <v>179</v>
      </c>
      <c r="BT345" s="204">
        <v>764</v>
      </c>
      <c r="BU345" s="204">
        <v>676</v>
      </c>
      <c r="BV345" s="204">
        <v>889</v>
      </c>
      <c r="BW345" s="204">
        <v>1633</v>
      </c>
      <c r="BX345" s="204">
        <v>1295</v>
      </c>
      <c r="BY345" s="204">
        <v>960</v>
      </c>
      <c r="BZ345" s="204">
        <v>338</v>
      </c>
      <c r="CA345" s="204">
        <v>213</v>
      </c>
      <c r="CB345" s="204">
        <v>534</v>
      </c>
      <c r="CC345" s="204">
        <v>940</v>
      </c>
      <c r="CD345" s="204">
        <v>1437</v>
      </c>
      <c r="CE345" s="204">
        <v>2417</v>
      </c>
      <c r="CF345" s="204">
        <v>798</v>
      </c>
      <c r="CG345" s="204">
        <v>747</v>
      </c>
      <c r="CH345" s="204">
        <v>710</v>
      </c>
      <c r="CI345" s="231"/>
    </row>
    <row r="346" spans="1:87" ht="25.2" customHeight="1" outlineLevel="1">
      <c r="A346" s="204">
        <v>324</v>
      </c>
      <c r="B346" s="207">
        <v>7041</v>
      </c>
      <c r="C346" s="208" t="s">
        <v>521</v>
      </c>
      <c r="D346" s="194" t="s">
        <v>468</v>
      </c>
      <c r="E346" s="209">
        <f t="shared" si="36"/>
        <v>115.6</v>
      </c>
      <c r="F346" s="216">
        <v>74.099999999999994</v>
      </c>
      <c r="G346" s="217">
        <v>18.8</v>
      </c>
      <c r="H346" s="218">
        <v>3.6</v>
      </c>
      <c r="I346" s="230">
        <f t="shared" si="37"/>
        <v>2.0000000000000102</v>
      </c>
      <c r="J346" s="216">
        <v>0</v>
      </c>
      <c r="K346" s="216">
        <v>1.5</v>
      </c>
      <c r="L346" s="233"/>
      <c r="M346" s="216">
        <v>7</v>
      </c>
      <c r="N346" s="216">
        <v>353</v>
      </c>
      <c r="O346" s="216">
        <v>12</v>
      </c>
      <c r="P346" s="216">
        <v>18</v>
      </c>
      <c r="Q346" s="216">
        <v>0.4</v>
      </c>
      <c r="R346" s="216">
        <v>2.11</v>
      </c>
      <c r="S346" s="216">
        <v>16.2</v>
      </c>
      <c r="T346" s="240">
        <v>110</v>
      </c>
      <c r="U346" s="240">
        <v>447</v>
      </c>
      <c r="V346" s="240">
        <v>17</v>
      </c>
      <c r="W346" s="241">
        <v>0.3</v>
      </c>
      <c r="X346" s="233">
        <v>5.76</v>
      </c>
      <c r="Y346" s="240">
        <v>510</v>
      </c>
      <c r="Z346" s="216">
        <v>52.7</v>
      </c>
      <c r="AA346" s="241">
        <v>6.65</v>
      </c>
      <c r="AB346" s="241">
        <v>0.69</v>
      </c>
      <c r="AC346" s="240">
        <v>211</v>
      </c>
      <c r="AD346" s="240">
        <v>0</v>
      </c>
      <c r="AE346" s="233"/>
      <c r="AF346" s="233">
        <v>26</v>
      </c>
      <c r="AG346" s="240">
        <v>6000</v>
      </c>
      <c r="AH346" s="240">
        <f t="shared" si="38"/>
        <v>19980</v>
      </c>
      <c r="AI346" s="236">
        <f t="shared" si="39"/>
        <v>6000</v>
      </c>
      <c r="AJ346" s="252"/>
      <c r="AK346" s="233"/>
      <c r="AL346" s="216"/>
      <c r="AM346" s="236"/>
      <c r="AN346" s="231"/>
      <c r="AO346" s="231"/>
      <c r="AP346" s="231"/>
      <c r="AQ346" s="236">
        <v>0</v>
      </c>
      <c r="AR346" s="236">
        <v>0</v>
      </c>
      <c r="AS346" s="236">
        <v>0</v>
      </c>
      <c r="AT346" s="236">
        <v>0</v>
      </c>
      <c r="AU346" s="236">
        <v>0</v>
      </c>
      <c r="AV346" s="231">
        <v>515</v>
      </c>
      <c r="AW346" s="236">
        <v>1.17</v>
      </c>
      <c r="AX346" s="242">
        <v>0.44</v>
      </c>
      <c r="AY346" s="242">
        <v>0</v>
      </c>
      <c r="AZ346" s="242">
        <v>0.7</v>
      </c>
      <c r="BA346" s="242">
        <v>0</v>
      </c>
      <c r="BB346" s="242">
        <v>0</v>
      </c>
      <c r="BC346" s="242">
        <v>0</v>
      </c>
      <c r="BD346" s="242">
        <v>0.52</v>
      </c>
      <c r="BE346" s="204">
        <v>0</v>
      </c>
      <c r="BF346" s="242">
        <v>0.03</v>
      </c>
      <c r="BG346" s="242">
        <v>0.46</v>
      </c>
      <c r="BH346" s="242">
        <v>0.87</v>
      </c>
      <c r="BI346" s="242">
        <v>0.35</v>
      </c>
      <c r="BJ346" s="242">
        <v>0.03</v>
      </c>
      <c r="BK346" s="242">
        <v>0.44</v>
      </c>
      <c r="BL346" s="242">
        <v>0</v>
      </c>
      <c r="BM346" s="242">
        <v>0.02</v>
      </c>
      <c r="BN346" s="242"/>
      <c r="BO346" s="231">
        <v>301</v>
      </c>
      <c r="BP346" s="231"/>
      <c r="BQ346" s="204">
        <v>1260</v>
      </c>
      <c r="BR346" s="204">
        <v>600</v>
      </c>
      <c r="BS346" s="204">
        <v>340</v>
      </c>
      <c r="BT346" s="204">
        <v>1150</v>
      </c>
      <c r="BU346" s="204">
        <v>900</v>
      </c>
      <c r="BV346" s="204">
        <v>1170</v>
      </c>
      <c r="BW346" s="204">
        <v>1580</v>
      </c>
      <c r="BX346" s="204">
        <v>1020</v>
      </c>
      <c r="BY346" s="204">
        <v>1080</v>
      </c>
      <c r="BZ346" s="204">
        <v>490</v>
      </c>
      <c r="CA346" s="204">
        <v>236</v>
      </c>
      <c r="CB346" s="204">
        <v>709</v>
      </c>
      <c r="CC346" s="204">
        <v>1223</v>
      </c>
      <c r="CD346" s="204">
        <v>1992</v>
      </c>
      <c r="CE346" s="204">
        <v>2622</v>
      </c>
      <c r="CF346" s="204">
        <v>1160</v>
      </c>
      <c r="CG346" s="204">
        <v>986</v>
      </c>
      <c r="CH346" s="204">
        <v>1005</v>
      </c>
      <c r="CI346" s="231"/>
    </row>
    <row r="347" spans="1:87" ht="25.2" customHeight="1" outlineLevel="1">
      <c r="A347" s="204">
        <v>325</v>
      </c>
      <c r="B347" s="207">
        <v>7042</v>
      </c>
      <c r="C347" s="208" t="s">
        <v>522</v>
      </c>
      <c r="D347" s="194" t="s">
        <v>468</v>
      </c>
      <c r="E347" s="209">
        <f t="shared" si="36"/>
        <v>121.9</v>
      </c>
      <c r="F347" s="216">
        <v>74.099999999999994</v>
      </c>
      <c r="G347" s="217">
        <v>17.100000000000001</v>
      </c>
      <c r="H347" s="218">
        <v>4.7</v>
      </c>
      <c r="I347" s="230">
        <f t="shared" si="37"/>
        <v>2.80000000000001</v>
      </c>
      <c r="J347" s="216">
        <v>0</v>
      </c>
      <c r="K347" s="216">
        <v>1.3</v>
      </c>
      <c r="L347" s="233"/>
      <c r="M347" s="216">
        <v>17</v>
      </c>
      <c r="N347" s="216">
        <v>177</v>
      </c>
      <c r="O347" s="216">
        <v>4.8</v>
      </c>
      <c r="P347" s="216">
        <v>7</v>
      </c>
      <c r="Q347" s="216">
        <v>0.44</v>
      </c>
      <c r="R347" s="216">
        <v>1.28</v>
      </c>
      <c r="S347" s="216">
        <v>9.1</v>
      </c>
      <c r="T347" s="240">
        <v>140</v>
      </c>
      <c r="U347" s="240">
        <v>230</v>
      </c>
      <c r="V347" s="240">
        <v>24</v>
      </c>
      <c r="W347" s="241">
        <v>0.25800000000000001</v>
      </c>
      <c r="X347" s="233">
        <v>3.07</v>
      </c>
      <c r="Y347" s="240">
        <v>5962</v>
      </c>
      <c r="Z347" s="216">
        <v>67</v>
      </c>
      <c r="AA347" s="241">
        <v>6.1840000000000002</v>
      </c>
      <c r="AB347" s="241">
        <v>0.76</v>
      </c>
      <c r="AC347" s="240">
        <v>738</v>
      </c>
      <c r="AD347" s="240">
        <v>0</v>
      </c>
      <c r="AE347" s="233"/>
      <c r="AF347" s="233">
        <v>54</v>
      </c>
      <c r="AG347" s="240">
        <v>11984</v>
      </c>
      <c r="AH347" s="240">
        <f t="shared" si="38"/>
        <v>39906.720000000001</v>
      </c>
      <c r="AI347" s="236">
        <f t="shared" si="39"/>
        <v>11984</v>
      </c>
      <c r="AJ347" s="252"/>
      <c r="AK347" s="233"/>
      <c r="AL347" s="216"/>
      <c r="AM347" s="236"/>
      <c r="AN347" s="231"/>
      <c r="AO347" s="231"/>
      <c r="AP347" s="231"/>
      <c r="AQ347" s="236">
        <v>0</v>
      </c>
      <c r="AR347" s="236">
        <v>0</v>
      </c>
      <c r="AS347" s="236">
        <v>0</v>
      </c>
      <c r="AT347" s="236">
        <v>0</v>
      </c>
      <c r="AU347" s="236">
        <v>0</v>
      </c>
      <c r="AV347" s="231"/>
      <c r="AW347" s="236">
        <v>1.1399999999999999</v>
      </c>
      <c r="AX347" s="242">
        <v>0.8</v>
      </c>
      <c r="AY347" s="242">
        <v>0</v>
      </c>
      <c r="AZ347" s="242">
        <v>0.63</v>
      </c>
      <c r="BA347" s="242">
        <v>0</v>
      </c>
      <c r="BB347" s="242">
        <v>0</v>
      </c>
      <c r="BC347" s="242">
        <v>0</v>
      </c>
      <c r="BD347" s="242">
        <v>0.71</v>
      </c>
      <c r="BE347" s="204">
        <v>0</v>
      </c>
      <c r="BF347" s="242">
        <v>0.05</v>
      </c>
      <c r="BG347" s="242">
        <v>0.65</v>
      </c>
      <c r="BH347" s="242">
        <v>0.63</v>
      </c>
      <c r="BI347" s="242">
        <v>0.37</v>
      </c>
      <c r="BJ347" s="242">
        <v>0</v>
      </c>
      <c r="BK347" s="242">
        <v>0.26</v>
      </c>
      <c r="BL347" s="242">
        <v>0</v>
      </c>
      <c r="BM347" s="242">
        <v>0</v>
      </c>
      <c r="BN347" s="242"/>
      <c r="BO347" s="231">
        <v>515</v>
      </c>
      <c r="BP347" s="231"/>
      <c r="BQ347" s="231">
        <v>1418</v>
      </c>
      <c r="BR347" s="231">
        <v>444</v>
      </c>
      <c r="BS347" s="231">
        <v>264</v>
      </c>
      <c r="BT347" s="231">
        <v>932</v>
      </c>
      <c r="BU347" s="231">
        <v>833</v>
      </c>
      <c r="BV347" s="231">
        <v>1181</v>
      </c>
      <c r="BW347" s="231">
        <v>1691</v>
      </c>
      <c r="BX347" s="231">
        <v>995</v>
      </c>
      <c r="BY347" s="231">
        <v>1148</v>
      </c>
      <c r="BZ347" s="231">
        <v>498</v>
      </c>
      <c r="CA347" s="231">
        <v>252</v>
      </c>
      <c r="CB347" s="231">
        <v>660</v>
      </c>
      <c r="CC347" s="231">
        <v>1088</v>
      </c>
      <c r="CD347" s="231">
        <v>1781</v>
      </c>
      <c r="CE347" s="231">
        <v>2428</v>
      </c>
      <c r="CF347" s="231">
        <v>1088</v>
      </c>
      <c r="CG347" s="231">
        <v>929</v>
      </c>
      <c r="CH347" s="231">
        <v>806</v>
      </c>
      <c r="CI347" s="231"/>
    </row>
    <row r="348" spans="1:87" ht="25.2" customHeight="1" outlineLevel="1">
      <c r="A348" s="204">
        <v>326</v>
      </c>
      <c r="B348" s="207">
        <v>7043</v>
      </c>
      <c r="C348" s="208" t="s">
        <v>523</v>
      </c>
      <c r="D348" s="194" t="s">
        <v>468</v>
      </c>
      <c r="E348" s="209">
        <f t="shared" si="36"/>
        <v>123.5</v>
      </c>
      <c r="F348" s="216">
        <v>69.2</v>
      </c>
      <c r="G348" s="217">
        <v>30.2</v>
      </c>
      <c r="H348" s="218">
        <v>0.3</v>
      </c>
      <c r="I348" s="230">
        <f t="shared" si="37"/>
        <v>0</v>
      </c>
      <c r="J348" s="216">
        <v>0</v>
      </c>
      <c r="K348" s="216">
        <v>0.3</v>
      </c>
      <c r="L348" s="233">
        <v>0</v>
      </c>
      <c r="M348" s="236"/>
      <c r="N348" s="236"/>
      <c r="O348" s="236"/>
      <c r="P348" s="236"/>
      <c r="Q348" s="236"/>
      <c r="R348" s="236"/>
      <c r="S348" s="236"/>
      <c r="T348" s="274"/>
      <c r="U348" s="274"/>
      <c r="V348" s="274"/>
      <c r="W348" s="266"/>
      <c r="X348" s="267"/>
      <c r="Y348" s="265"/>
      <c r="Z348" s="193"/>
      <c r="AA348" s="241"/>
      <c r="AB348" s="241"/>
      <c r="AC348" s="240"/>
      <c r="AD348" s="240"/>
      <c r="AE348" s="236"/>
      <c r="AF348" s="236"/>
      <c r="AG348" s="240"/>
      <c r="AH348" s="240">
        <f t="shared" si="38"/>
        <v>0</v>
      </c>
      <c r="AI348" s="236">
        <f t="shared" si="39"/>
        <v>0</v>
      </c>
      <c r="AJ348" s="252"/>
      <c r="AK348" s="233"/>
      <c r="AL348" s="216"/>
      <c r="AM348" s="236">
        <v>0</v>
      </c>
      <c r="AN348" s="236">
        <v>0</v>
      </c>
      <c r="AO348" s="236">
        <v>0</v>
      </c>
      <c r="AP348" s="236">
        <v>0</v>
      </c>
      <c r="AQ348" s="236">
        <v>0</v>
      </c>
      <c r="AR348" s="236">
        <v>0</v>
      </c>
      <c r="AS348" s="236">
        <v>0</v>
      </c>
      <c r="AT348" s="236">
        <v>0</v>
      </c>
      <c r="AU348" s="236">
        <v>0</v>
      </c>
      <c r="AV348" s="231"/>
      <c r="AW348" s="236"/>
      <c r="AX348" s="242"/>
      <c r="AY348" s="242"/>
      <c r="AZ348" s="242"/>
      <c r="BA348" s="242"/>
      <c r="BB348" s="242"/>
      <c r="BC348" s="242"/>
      <c r="BD348" s="242"/>
      <c r="BE348" s="231"/>
      <c r="BF348" s="242"/>
      <c r="BG348" s="242"/>
      <c r="BH348" s="242"/>
      <c r="BI348" s="242"/>
      <c r="BJ348" s="242"/>
      <c r="BK348" s="242"/>
      <c r="BL348" s="242"/>
      <c r="BM348" s="242"/>
      <c r="BN348" s="242"/>
      <c r="BO348" s="231"/>
      <c r="BP348" s="231"/>
      <c r="BQ348" s="231"/>
      <c r="BR348" s="231"/>
      <c r="BS348" s="231"/>
      <c r="BT348" s="231"/>
      <c r="BU348" s="231"/>
      <c r="BV348" s="231"/>
      <c r="BW348" s="231"/>
      <c r="BX348" s="231"/>
      <c r="BY348" s="231"/>
      <c r="BZ348" s="231"/>
      <c r="CA348" s="231"/>
      <c r="CB348" s="231"/>
      <c r="CC348" s="231"/>
      <c r="CD348" s="231"/>
      <c r="CE348" s="231"/>
      <c r="CF348" s="231"/>
      <c r="CG348" s="231"/>
      <c r="CH348" s="231"/>
      <c r="CI348" s="231"/>
    </row>
    <row r="349" spans="1:87" ht="25.2" customHeight="1" outlineLevel="1">
      <c r="A349" s="204">
        <v>327</v>
      </c>
      <c r="B349" s="207">
        <v>7044</v>
      </c>
      <c r="C349" s="208" t="s">
        <v>524</v>
      </c>
      <c r="D349" s="194" t="s">
        <v>468</v>
      </c>
      <c r="E349" s="209">
        <f t="shared" si="36"/>
        <v>164.1</v>
      </c>
      <c r="F349" s="216">
        <v>73.2</v>
      </c>
      <c r="G349" s="217">
        <v>13.6</v>
      </c>
      <c r="H349" s="218">
        <v>12.1</v>
      </c>
      <c r="I349" s="230">
        <f t="shared" si="37"/>
        <v>0.20000000000000301</v>
      </c>
      <c r="J349" s="216">
        <v>0</v>
      </c>
      <c r="K349" s="216">
        <v>0.9</v>
      </c>
      <c r="L349" s="233"/>
      <c r="M349" s="216">
        <v>7</v>
      </c>
      <c r="N349" s="216">
        <v>162</v>
      </c>
      <c r="O349" s="216">
        <v>3</v>
      </c>
      <c r="P349" s="216">
        <v>3</v>
      </c>
      <c r="Q349" s="216">
        <v>7.0000000000000007E-2</v>
      </c>
      <c r="R349" s="216">
        <v>0.15</v>
      </c>
      <c r="S349" s="216">
        <v>4.8</v>
      </c>
      <c r="T349" s="231">
        <v>69</v>
      </c>
      <c r="U349" s="231">
        <v>315</v>
      </c>
      <c r="V349" s="231">
        <v>16</v>
      </c>
      <c r="W349" s="242">
        <v>2.5999999999999999E-2</v>
      </c>
      <c r="X349" s="232">
        <v>2.87</v>
      </c>
      <c r="Y349" s="231">
        <v>170</v>
      </c>
      <c r="Z349" s="231">
        <v>9.4</v>
      </c>
      <c r="AA349" s="241">
        <v>0.65300000000000002</v>
      </c>
      <c r="AB349" s="241">
        <v>0.31</v>
      </c>
      <c r="AC349" s="240">
        <v>7</v>
      </c>
      <c r="AD349" s="240">
        <v>0</v>
      </c>
      <c r="AE349" s="233"/>
      <c r="AF349" s="233">
        <v>3.79</v>
      </c>
      <c r="AG349" s="240">
        <v>0</v>
      </c>
      <c r="AH349" s="240">
        <f t="shared" si="38"/>
        <v>0</v>
      </c>
      <c r="AI349" s="236">
        <f t="shared" si="39"/>
        <v>0</v>
      </c>
      <c r="AJ349" s="252"/>
      <c r="AK349" s="233"/>
      <c r="AL349" s="216"/>
      <c r="AM349" s="236">
        <v>0</v>
      </c>
      <c r="AN349" s="236">
        <v>0</v>
      </c>
      <c r="AO349" s="236">
        <v>0</v>
      </c>
      <c r="AP349" s="236">
        <v>0</v>
      </c>
      <c r="AQ349" s="236">
        <v>0</v>
      </c>
      <c r="AR349" s="236">
        <v>0</v>
      </c>
      <c r="AS349" s="236">
        <v>0</v>
      </c>
      <c r="AT349" s="236">
        <v>0</v>
      </c>
      <c r="AU349" s="236">
        <v>0</v>
      </c>
      <c r="AV349" s="231"/>
      <c r="AW349" s="236">
        <v>7</v>
      </c>
      <c r="AX349" s="242">
        <v>4.22</v>
      </c>
      <c r="AY349" s="242">
        <v>0</v>
      </c>
      <c r="AZ349" s="242">
        <v>2.1</v>
      </c>
      <c r="BA349" s="242">
        <v>0</v>
      </c>
      <c r="BB349" s="242">
        <v>0</v>
      </c>
      <c r="BC349" s="242">
        <v>0</v>
      </c>
      <c r="BD349" s="242">
        <v>7.24</v>
      </c>
      <c r="BE349" s="231">
        <v>0</v>
      </c>
      <c r="BF349" s="242">
        <v>0.55000000000000004</v>
      </c>
      <c r="BG349" s="242">
        <v>6.55</v>
      </c>
      <c r="BH349" s="242">
        <v>0.9</v>
      </c>
      <c r="BI349" s="242">
        <v>0.57999999999999996</v>
      </c>
      <c r="BJ349" s="242">
        <v>0</v>
      </c>
      <c r="BK349" s="242">
        <v>0.31</v>
      </c>
      <c r="BL349" s="242">
        <v>0</v>
      </c>
      <c r="BM349" s="242">
        <v>0</v>
      </c>
      <c r="BN349" s="242"/>
      <c r="BO349" s="231">
        <v>87</v>
      </c>
      <c r="BP349" s="231"/>
      <c r="BQ349" s="231">
        <v>1149</v>
      </c>
      <c r="BR349" s="231">
        <v>315</v>
      </c>
      <c r="BS349" s="231">
        <v>114</v>
      </c>
      <c r="BT349" s="231">
        <v>615</v>
      </c>
      <c r="BU349" s="231">
        <v>648</v>
      </c>
      <c r="BV349" s="231">
        <v>713</v>
      </c>
      <c r="BW349" s="231">
        <v>1113</v>
      </c>
      <c r="BX349" s="231">
        <v>641</v>
      </c>
      <c r="BY349" s="231">
        <v>949</v>
      </c>
      <c r="BZ349" s="231">
        <v>386</v>
      </c>
      <c r="CA349" s="231">
        <v>195</v>
      </c>
      <c r="CB349" s="231">
        <v>482</v>
      </c>
      <c r="CC349" s="231">
        <v>858</v>
      </c>
      <c r="CD349" s="231">
        <v>1361</v>
      </c>
      <c r="CE349" s="231">
        <v>2053</v>
      </c>
      <c r="CF349" s="231">
        <v>894</v>
      </c>
      <c r="CG349" s="231">
        <v>696</v>
      </c>
      <c r="CH349" s="231">
        <v>601</v>
      </c>
      <c r="CI349" s="231"/>
    </row>
    <row r="350" spans="1:87" ht="25.2" customHeight="1" outlineLevel="1">
      <c r="A350" s="204">
        <v>328</v>
      </c>
      <c r="B350" s="207">
        <v>7045</v>
      </c>
      <c r="C350" s="208" t="s">
        <v>525</v>
      </c>
      <c r="D350" s="194" t="s">
        <v>468</v>
      </c>
      <c r="E350" s="209">
        <f t="shared" si="36"/>
        <v>177.6</v>
      </c>
      <c r="F350" s="216">
        <v>70.8</v>
      </c>
      <c r="G350" s="217">
        <v>14.2</v>
      </c>
      <c r="H350" s="218">
        <v>12.8</v>
      </c>
      <c r="I350" s="230">
        <f t="shared" si="37"/>
        <v>1.4000000000000099</v>
      </c>
      <c r="J350" s="216">
        <v>0</v>
      </c>
      <c r="K350" s="216">
        <v>0.8</v>
      </c>
      <c r="L350" s="233">
        <v>0</v>
      </c>
      <c r="M350" s="216">
        <v>7</v>
      </c>
      <c r="N350" s="216">
        <v>118</v>
      </c>
      <c r="O350" s="216">
        <v>2.4</v>
      </c>
      <c r="P350" s="216">
        <v>4.4000000000000004</v>
      </c>
      <c r="Q350" s="216">
        <v>0.08</v>
      </c>
      <c r="R350" s="216">
        <v>0.23</v>
      </c>
      <c r="S350" s="216">
        <v>3</v>
      </c>
      <c r="T350" s="231">
        <v>110</v>
      </c>
      <c r="U350" s="231">
        <v>243</v>
      </c>
      <c r="V350" s="231">
        <v>18</v>
      </c>
      <c r="W350" s="242">
        <v>1.0999999999999999E-2</v>
      </c>
      <c r="X350" s="232">
        <v>3.01</v>
      </c>
      <c r="Y350" s="231">
        <v>70</v>
      </c>
      <c r="Z350" s="231">
        <v>10.4</v>
      </c>
      <c r="AA350" s="241">
        <v>0.64100000000000001</v>
      </c>
      <c r="AB350" s="241">
        <v>0.24</v>
      </c>
      <c r="AC350" s="240">
        <v>4</v>
      </c>
      <c r="AD350" s="240">
        <v>0</v>
      </c>
      <c r="AE350" s="233"/>
      <c r="AF350" s="233">
        <v>2.84</v>
      </c>
      <c r="AG350" s="240">
        <v>0</v>
      </c>
      <c r="AH350" s="240">
        <f t="shared" si="38"/>
        <v>0</v>
      </c>
      <c r="AI350" s="236">
        <f t="shared" si="39"/>
        <v>0</v>
      </c>
      <c r="AJ350" s="252"/>
      <c r="AK350" s="233"/>
      <c r="AL350" s="216"/>
      <c r="AM350" s="236">
        <v>0</v>
      </c>
      <c r="AN350" s="236">
        <v>0</v>
      </c>
      <c r="AO350" s="236">
        <v>0</v>
      </c>
      <c r="AP350" s="236">
        <v>0</v>
      </c>
      <c r="AQ350" s="236">
        <v>0</v>
      </c>
      <c r="AR350" s="236">
        <v>0</v>
      </c>
      <c r="AS350" s="236">
        <v>0</v>
      </c>
      <c r="AT350" s="236">
        <v>0</v>
      </c>
      <c r="AU350" s="236">
        <v>0</v>
      </c>
      <c r="AV350" s="231">
        <v>136</v>
      </c>
      <c r="AW350" s="236">
        <v>5.96</v>
      </c>
      <c r="AX350" s="242">
        <v>3.82</v>
      </c>
      <c r="AY350" s="242">
        <v>0</v>
      </c>
      <c r="AZ350" s="242">
        <v>1.73</v>
      </c>
      <c r="BA350" s="242">
        <v>0</v>
      </c>
      <c r="BB350" s="242">
        <v>0</v>
      </c>
      <c r="BC350" s="242">
        <v>0</v>
      </c>
      <c r="BD350" s="242">
        <v>8.1300000000000008</v>
      </c>
      <c r="BE350" s="231">
        <v>0</v>
      </c>
      <c r="BF350" s="242">
        <v>0.64</v>
      </c>
      <c r="BG350" s="242">
        <v>7.3</v>
      </c>
      <c r="BH350" s="242">
        <v>1.78</v>
      </c>
      <c r="BI350" s="242">
        <v>1.7</v>
      </c>
      <c r="BJ350" s="242">
        <v>0.08</v>
      </c>
      <c r="BK350" s="242">
        <v>0</v>
      </c>
      <c r="BL350" s="242">
        <v>0</v>
      </c>
      <c r="BM350" s="242">
        <v>0</v>
      </c>
      <c r="BN350" s="242"/>
      <c r="BO350" s="231">
        <v>101</v>
      </c>
      <c r="BP350" s="231"/>
      <c r="BQ350" s="204">
        <v>1333</v>
      </c>
      <c r="BR350" s="204">
        <v>365</v>
      </c>
      <c r="BS350" s="204">
        <v>188</v>
      </c>
      <c r="BT350" s="204">
        <v>675</v>
      </c>
      <c r="BU350" s="204">
        <v>689</v>
      </c>
      <c r="BV350" s="204">
        <v>848</v>
      </c>
      <c r="BW350" s="204">
        <v>1307</v>
      </c>
      <c r="BX350" s="204">
        <v>743</v>
      </c>
      <c r="BY350" s="204">
        <v>1007</v>
      </c>
      <c r="BZ350" s="204">
        <v>409</v>
      </c>
      <c r="CA350" s="204">
        <v>235</v>
      </c>
      <c r="CB350" s="204">
        <v>496</v>
      </c>
      <c r="CC350" s="204">
        <v>861</v>
      </c>
      <c r="CD350" s="204">
        <v>1515</v>
      </c>
      <c r="CE350" s="204">
        <v>2052</v>
      </c>
      <c r="CF350" s="204">
        <v>1205</v>
      </c>
      <c r="CG350" s="204">
        <v>861</v>
      </c>
      <c r="CH350" s="204">
        <v>678</v>
      </c>
      <c r="CI350" s="231"/>
    </row>
    <row r="351" spans="1:87" ht="25.2" customHeight="1" outlineLevel="1">
      <c r="A351" s="204">
        <v>329</v>
      </c>
      <c r="B351" s="207">
        <v>7046</v>
      </c>
      <c r="C351" s="208" t="s">
        <v>526</v>
      </c>
      <c r="D351" s="194" t="s">
        <v>468</v>
      </c>
      <c r="E351" s="209">
        <f t="shared" si="36"/>
        <v>166.7</v>
      </c>
      <c r="F351" s="216">
        <v>76.599999999999994</v>
      </c>
      <c r="G351" s="217">
        <v>6.9</v>
      </c>
      <c r="H351" s="218">
        <v>15.1</v>
      </c>
      <c r="I351" s="230">
        <f t="shared" si="37"/>
        <v>0.80000000000001104</v>
      </c>
      <c r="J351" s="216">
        <v>0</v>
      </c>
      <c r="K351" s="216">
        <v>0.6</v>
      </c>
      <c r="L351" s="233"/>
      <c r="M351" s="216">
        <v>12</v>
      </c>
      <c r="N351" s="216">
        <v>55</v>
      </c>
      <c r="O351" s="216">
        <v>0.5</v>
      </c>
      <c r="P351" s="216"/>
      <c r="Q351" s="216">
        <v>0.09</v>
      </c>
      <c r="R351" s="216">
        <v>0.08</v>
      </c>
      <c r="S351" s="216">
        <v>1.6</v>
      </c>
      <c r="T351" s="231"/>
      <c r="U351" s="231"/>
      <c r="V351" s="231"/>
      <c r="W351" s="242"/>
      <c r="X351" s="232"/>
      <c r="Y351" s="231"/>
      <c r="Z351" s="231"/>
      <c r="AA351" s="241"/>
      <c r="AB351" s="241"/>
      <c r="AC351" s="240"/>
      <c r="AD351" s="240"/>
      <c r="AE351" s="233"/>
      <c r="AF351" s="233"/>
      <c r="AG351" s="240"/>
      <c r="AH351" s="240">
        <f t="shared" si="38"/>
        <v>0</v>
      </c>
      <c r="AI351" s="236">
        <f t="shared" si="39"/>
        <v>0</v>
      </c>
      <c r="AJ351" s="252"/>
      <c r="AK351" s="233"/>
      <c r="AL351" s="216"/>
      <c r="AM351" s="236">
        <v>0</v>
      </c>
      <c r="AN351" s="236">
        <v>0</v>
      </c>
      <c r="AO351" s="236">
        <v>0</v>
      </c>
      <c r="AP351" s="236">
        <v>0</v>
      </c>
      <c r="AQ351" s="236">
        <v>0</v>
      </c>
      <c r="AR351" s="236">
        <v>0</v>
      </c>
      <c r="AS351" s="236">
        <v>0</v>
      </c>
      <c r="AT351" s="236">
        <v>0</v>
      </c>
      <c r="AU351" s="236">
        <v>0</v>
      </c>
      <c r="AV351" s="231"/>
      <c r="AW351" s="236"/>
      <c r="AX351" s="242"/>
      <c r="AY351" s="242"/>
      <c r="AZ351" s="242"/>
      <c r="BA351" s="242"/>
      <c r="BB351" s="242"/>
      <c r="BC351" s="242"/>
      <c r="BD351" s="242"/>
      <c r="BE351" s="231"/>
      <c r="BF351" s="242"/>
      <c r="BG351" s="242"/>
      <c r="BH351" s="242"/>
      <c r="BI351" s="242"/>
      <c r="BJ351" s="242"/>
      <c r="BK351" s="242"/>
      <c r="BL351" s="242"/>
      <c r="BM351" s="242"/>
      <c r="BN351" s="242"/>
      <c r="BO351" s="231"/>
      <c r="BP351" s="231"/>
      <c r="BQ351" s="231"/>
      <c r="BR351" s="231"/>
      <c r="BS351" s="231"/>
      <c r="BT351" s="231"/>
      <c r="BU351" s="231"/>
      <c r="BV351" s="231"/>
      <c r="BW351" s="231"/>
      <c r="BX351" s="231"/>
      <c r="BY351" s="231"/>
      <c r="BZ351" s="231"/>
      <c r="CA351" s="231"/>
      <c r="CB351" s="231"/>
      <c r="CC351" s="231"/>
      <c r="CD351" s="231"/>
      <c r="CE351" s="231"/>
      <c r="CF351" s="231"/>
      <c r="CG351" s="231"/>
      <c r="CH351" s="231"/>
      <c r="CI351" s="231"/>
    </row>
    <row r="352" spans="1:87" ht="25.2" customHeight="1" outlineLevel="1">
      <c r="A352" s="204">
        <v>330</v>
      </c>
      <c r="B352" s="207">
        <v>7047</v>
      </c>
      <c r="C352" s="208" t="s">
        <v>527</v>
      </c>
      <c r="D352" s="194" t="s">
        <v>468</v>
      </c>
      <c r="E352" s="209">
        <f t="shared" si="36"/>
        <v>43.7</v>
      </c>
      <c r="F352" s="216">
        <v>90.5</v>
      </c>
      <c r="G352" s="217">
        <v>7.2</v>
      </c>
      <c r="H352" s="218">
        <v>1.3</v>
      </c>
      <c r="I352" s="230">
        <f t="shared" si="37"/>
        <v>0.79999999999999705</v>
      </c>
      <c r="J352" s="216">
        <v>0</v>
      </c>
      <c r="K352" s="216">
        <v>0.2</v>
      </c>
      <c r="L352" s="233"/>
      <c r="M352" s="216">
        <v>7</v>
      </c>
      <c r="N352" s="216">
        <v>48</v>
      </c>
      <c r="O352" s="216">
        <v>0.8</v>
      </c>
      <c r="P352" s="216"/>
      <c r="Q352" s="216">
        <v>0.09</v>
      </c>
      <c r="R352" s="216">
        <v>0.08</v>
      </c>
      <c r="S352" s="216">
        <v>1.6</v>
      </c>
      <c r="T352" s="231"/>
      <c r="U352" s="231"/>
      <c r="V352" s="231"/>
      <c r="W352" s="242"/>
      <c r="X352" s="232"/>
      <c r="Y352" s="231"/>
      <c r="Z352" s="231"/>
      <c r="AA352" s="241"/>
      <c r="AB352" s="241"/>
      <c r="AC352" s="240"/>
      <c r="AD352" s="240"/>
      <c r="AE352" s="233"/>
      <c r="AF352" s="233"/>
      <c r="AG352" s="240"/>
      <c r="AH352" s="240">
        <f t="shared" si="38"/>
        <v>0</v>
      </c>
      <c r="AI352" s="236">
        <f t="shared" si="39"/>
        <v>0</v>
      </c>
      <c r="AJ352" s="252"/>
      <c r="AK352" s="233"/>
      <c r="AL352" s="216"/>
      <c r="AM352" s="236">
        <v>0</v>
      </c>
      <c r="AN352" s="236">
        <v>0</v>
      </c>
      <c r="AO352" s="236">
        <v>0</v>
      </c>
      <c r="AP352" s="236">
        <v>0</v>
      </c>
      <c r="AQ352" s="236">
        <v>0</v>
      </c>
      <c r="AR352" s="236">
        <v>0</v>
      </c>
      <c r="AS352" s="236">
        <v>0</v>
      </c>
      <c r="AT352" s="236">
        <v>0</v>
      </c>
      <c r="AU352" s="236">
        <v>0</v>
      </c>
      <c r="AV352" s="231"/>
      <c r="AW352" s="236"/>
      <c r="AX352" s="242"/>
      <c r="AY352" s="242"/>
      <c r="AZ352" s="242"/>
      <c r="BA352" s="242"/>
      <c r="BB352" s="242"/>
      <c r="BC352" s="242"/>
      <c r="BD352" s="242"/>
      <c r="BE352" s="231"/>
      <c r="BF352" s="242"/>
      <c r="BG352" s="242"/>
      <c r="BH352" s="242"/>
      <c r="BI352" s="242"/>
      <c r="BJ352" s="242"/>
      <c r="BK352" s="242"/>
      <c r="BL352" s="242"/>
      <c r="BM352" s="242"/>
      <c r="BN352" s="242"/>
      <c r="BO352" s="231"/>
      <c r="BP352" s="231"/>
      <c r="BQ352" s="231"/>
      <c r="BR352" s="231"/>
      <c r="BS352" s="231"/>
      <c r="BT352" s="231"/>
      <c r="BU352" s="231"/>
      <c r="BV352" s="231"/>
      <c r="BW352" s="231"/>
      <c r="BX352" s="231"/>
      <c r="BY352" s="231"/>
      <c r="BZ352" s="231"/>
      <c r="CA352" s="231"/>
      <c r="CB352" s="231"/>
      <c r="CC352" s="231"/>
      <c r="CD352" s="231"/>
      <c r="CE352" s="231"/>
      <c r="CF352" s="231"/>
      <c r="CG352" s="231"/>
      <c r="CH352" s="231"/>
      <c r="CI352" s="231"/>
    </row>
    <row r="353" spans="1:101" ht="25.2" customHeight="1" outlineLevel="1">
      <c r="A353" s="204">
        <v>331</v>
      </c>
      <c r="B353" s="207">
        <v>7048</v>
      </c>
      <c r="C353" s="208" t="s">
        <v>528</v>
      </c>
      <c r="D353" s="194" t="s">
        <v>468</v>
      </c>
      <c r="E353" s="209">
        <f t="shared" si="36"/>
        <v>99.3</v>
      </c>
      <c r="F353" s="216">
        <v>75.599999999999994</v>
      </c>
      <c r="G353" s="217">
        <v>21.3</v>
      </c>
      <c r="H353" s="218">
        <v>1.3</v>
      </c>
      <c r="I353" s="230">
        <f t="shared" si="37"/>
        <v>0.60000000000000897</v>
      </c>
      <c r="J353" s="216">
        <v>0</v>
      </c>
      <c r="K353" s="216">
        <v>1.2</v>
      </c>
      <c r="L353" s="233">
        <v>0</v>
      </c>
      <c r="M353" s="216">
        <v>48</v>
      </c>
      <c r="N353" s="216">
        <v>150</v>
      </c>
      <c r="O353" s="216">
        <v>6.6</v>
      </c>
      <c r="P353" s="216">
        <v>3.7</v>
      </c>
      <c r="Q353" s="216">
        <v>0.04</v>
      </c>
      <c r="R353" s="216">
        <v>0.2</v>
      </c>
      <c r="S353" s="216">
        <v>4.8</v>
      </c>
      <c r="T353" s="231">
        <v>69</v>
      </c>
      <c r="U353" s="231">
        <v>237</v>
      </c>
      <c r="V353" s="231">
        <v>15</v>
      </c>
      <c r="W353" s="242">
        <v>5.5E-2</v>
      </c>
      <c r="X353" s="232">
        <v>2.72</v>
      </c>
      <c r="Y353" s="231">
        <v>116</v>
      </c>
      <c r="Z353" s="231">
        <v>25.5</v>
      </c>
      <c r="AA353" s="241">
        <v>0.63100000000000001</v>
      </c>
      <c r="AB353" s="241">
        <v>0.112</v>
      </c>
      <c r="AC353" s="240">
        <v>5</v>
      </c>
      <c r="AD353" s="240">
        <v>0</v>
      </c>
      <c r="AE353" s="233">
        <v>1</v>
      </c>
      <c r="AF353" s="233">
        <v>1.21</v>
      </c>
      <c r="AG353" s="240">
        <v>19</v>
      </c>
      <c r="AH353" s="240">
        <f t="shared" si="38"/>
        <v>63.27</v>
      </c>
      <c r="AI353" s="236">
        <f t="shared" si="39"/>
        <v>19</v>
      </c>
      <c r="AJ353" s="252"/>
      <c r="AK353" s="233">
        <v>0.33</v>
      </c>
      <c r="AL353" s="216">
        <v>0</v>
      </c>
      <c r="AM353" s="236">
        <v>0</v>
      </c>
      <c r="AN353" s="236">
        <v>0</v>
      </c>
      <c r="AO353" s="236">
        <v>0</v>
      </c>
      <c r="AP353" s="236">
        <v>0</v>
      </c>
      <c r="AQ353" s="236">
        <v>0</v>
      </c>
      <c r="AR353" s="236">
        <v>0</v>
      </c>
      <c r="AS353" s="236">
        <v>0</v>
      </c>
      <c r="AT353" s="236">
        <v>0</v>
      </c>
      <c r="AU353" s="236">
        <v>0</v>
      </c>
      <c r="AV353" s="231"/>
      <c r="AW353" s="236">
        <v>0.52900000000000003</v>
      </c>
      <c r="AX353" s="242">
        <v>0.34699999999999998</v>
      </c>
      <c r="AY353" s="242">
        <v>3.0000000000000001E-3</v>
      </c>
      <c r="AZ353" s="242">
        <v>0.16500000000000001</v>
      </c>
      <c r="BA353" s="242">
        <v>3.0000000000000001E-3</v>
      </c>
      <c r="BB353" s="242">
        <v>4.0000000000000001E-3</v>
      </c>
      <c r="BC353" s="242">
        <v>0</v>
      </c>
      <c r="BD353" s="242">
        <v>0.51200000000000001</v>
      </c>
      <c r="BE353" s="231">
        <v>0</v>
      </c>
      <c r="BF353" s="242">
        <v>7.2999999999999995E-2</v>
      </c>
      <c r="BG353" s="242">
        <v>0.43</v>
      </c>
      <c r="BH353" s="242">
        <v>0.35699999999999998</v>
      </c>
      <c r="BI353" s="242">
        <v>0.246</v>
      </c>
      <c r="BJ353" s="242">
        <v>3.0000000000000001E-3</v>
      </c>
      <c r="BK353" s="242">
        <v>8.5999999999999993E-2</v>
      </c>
      <c r="BL353" s="242">
        <v>0</v>
      </c>
      <c r="BM353" s="242">
        <v>0</v>
      </c>
      <c r="BN353" s="242">
        <v>0.06</v>
      </c>
      <c r="BO353" s="231">
        <v>240</v>
      </c>
      <c r="BP353" s="231"/>
      <c r="BQ353" s="231">
        <v>1300</v>
      </c>
      <c r="BR353" s="231">
        <v>470</v>
      </c>
      <c r="BS353" s="231">
        <v>180</v>
      </c>
      <c r="BT353" s="231">
        <v>760</v>
      </c>
      <c r="BU353" s="231">
        <v>840</v>
      </c>
      <c r="BV353" s="231">
        <v>820</v>
      </c>
      <c r="BW353" s="231">
        <v>1300</v>
      </c>
      <c r="BX353" s="231">
        <v>840</v>
      </c>
      <c r="BY353" s="231">
        <v>1300</v>
      </c>
      <c r="BZ353" s="231">
        <v>380</v>
      </c>
      <c r="CA353" s="231">
        <v>240</v>
      </c>
      <c r="CB353" s="231">
        <v>550</v>
      </c>
      <c r="CC353" s="231">
        <v>730</v>
      </c>
      <c r="CD353" s="231">
        <v>1700</v>
      </c>
      <c r="CE353" s="231">
        <v>3100</v>
      </c>
      <c r="CF353" s="231">
        <v>960</v>
      </c>
      <c r="CG353" s="231">
        <v>930</v>
      </c>
      <c r="CH353" s="231">
        <v>820</v>
      </c>
      <c r="CI353" s="231"/>
    </row>
    <row r="354" spans="1:101" ht="25.2" customHeight="1" outlineLevel="1">
      <c r="A354" s="204">
        <v>332</v>
      </c>
      <c r="B354" s="207">
        <v>7049</v>
      </c>
      <c r="C354" s="208" t="s">
        <v>529</v>
      </c>
      <c r="D354" s="194" t="s">
        <v>468</v>
      </c>
      <c r="E354" s="209">
        <f t="shared" si="36"/>
        <v>123.5</v>
      </c>
      <c r="F354" s="216">
        <v>79.400000000000006</v>
      </c>
      <c r="G354" s="217">
        <v>9</v>
      </c>
      <c r="H354" s="218">
        <v>9.5</v>
      </c>
      <c r="I354" s="230">
        <f t="shared" si="37"/>
        <v>0.5</v>
      </c>
      <c r="J354" s="216">
        <v>0</v>
      </c>
      <c r="K354" s="216">
        <v>1.6</v>
      </c>
      <c r="L354" s="233"/>
      <c r="M354" s="216">
        <v>6</v>
      </c>
      <c r="N354" s="216">
        <v>311</v>
      </c>
      <c r="O354" s="216">
        <v>0.9</v>
      </c>
      <c r="P354" s="216">
        <v>10.7</v>
      </c>
      <c r="Q354" s="216">
        <v>0.13</v>
      </c>
      <c r="R354" s="216">
        <v>0.21</v>
      </c>
      <c r="S354" s="216">
        <v>3.8</v>
      </c>
      <c r="T354" s="231">
        <v>126</v>
      </c>
      <c r="U354" s="231">
        <v>274</v>
      </c>
      <c r="V354" s="231">
        <v>13</v>
      </c>
      <c r="W354" s="242">
        <v>2.5999999999999999E-2</v>
      </c>
      <c r="X354" s="232">
        <v>1.02</v>
      </c>
      <c r="Y354" s="231">
        <v>287</v>
      </c>
      <c r="Z354" s="231">
        <v>21.3</v>
      </c>
      <c r="AA354" s="241">
        <v>2.0099999999999998</v>
      </c>
      <c r="AB354" s="241">
        <v>0.22600000000000001</v>
      </c>
      <c r="AC354" s="240">
        <v>3</v>
      </c>
      <c r="AD354" s="240">
        <v>0</v>
      </c>
      <c r="AE354" s="233"/>
      <c r="AF354" s="233">
        <v>9.51</v>
      </c>
      <c r="AG354" s="240">
        <v>0</v>
      </c>
      <c r="AH354" s="240">
        <f t="shared" si="38"/>
        <v>0</v>
      </c>
      <c r="AI354" s="236">
        <f t="shared" si="39"/>
        <v>7.3333333333333304</v>
      </c>
      <c r="AJ354" s="252"/>
      <c r="AK354" s="233">
        <v>0.99</v>
      </c>
      <c r="AL354" s="216">
        <v>0</v>
      </c>
      <c r="AM354" s="236">
        <v>88</v>
      </c>
      <c r="AN354" s="236">
        <v>0</v>
      </c>
      <c r="AO354" s="236">
        <v>0</v>
      </c>
      <c r="AP354" s="236">
        <v>0</v>
      </c>
      <c r="AQ354" s="236">
        <v>0</v>
      </c>
      <c r="AR354" s="236">
        <v>0</v>
      </c>
      <c r="AS354" s="236">
        <v>0</v>
      </c>
      <c r="AT354" s="236">
        <v>0</v>
      </c>
      <c r="AU354" s="236">
        <v>0</v>
      </c>
      <c r="AV354" s="231"/>
      <c r="AW354" s="236">
        <v>2.2999999999999998</v>
      </c>
      <c r="AX354" s="242">
        <v>0.91900000000000004</v>
      </c>
      <c r="AY354" s="242">
        <v>3.1E-2</v>
      </c>
      <c r="AZ354" s="242">
        <v>1.2729999999999999</v>
      </c>
      <c r="BA354" s="242">
        <v>1.7000000000000001E-2</v>
      </c>
      <c r="BB354" s="242">
        <v>3.4000000000000002E-2</v>
      </c>
      <c r="BC354" s="242">
        <v>0</v>
      </c>
      <c r="BD354" s="242">
        <v>1.89</v>
      </c>
      <c r="BE354" s="231">
        <v>0</v>
      </c>
      <c r="BF354" s="242">
        <v>2.1000000000000001E-2</v>
      </c>
      <c r="BG354" s="242">
        <v>1.6459999999999999</v>
      </c>
      <c r="BH354" s="242">
        <v>1.5860000000000001</v>
      </c>
      <c r="BI354" s="242">
        <v>4.1000000000000002E-2</v>
      </c>
      <c r="BJ354" s="242">
        <v>0</v>
      </c>
      <c r="BK354" s="242">
        <v>0.31900000000000001</v>
      </c>
      <c r="BL354" s="242">
        <v>0.374</v>
      </c>
      <c r="BM354" s="242">
        <v>0.85099999999999998</v>
      </c>
      <c r="BN354" s="242">
        <v>0.61</v>
      </c>
      <c r="BO354" s="231">
        <v>3010</v>
      </c>
      <c r="BP354" s="231"/>
      <c r="BQ354" s="204">
        <v>839</v>
      </c>
      <c r="BR354" s="204">
        <v>482</v>
      </c>
      <c r="BS354" s="204"/>
      <c r="BT354" s="204">
        <v>703</v>
      </c>
      <c r="BU354" s="204">
        <v>678</v>
      </c>
      <c r="BV354" s="204">
        <v>592</v>
      </c>
      <c r="BW354" s="204">
        <v>888</v>
      </c>
      <c r="BX354" s="204">
        <v>965</v>
      </c>
      <c r="BY354" s="204">
        <v>784</v>
      </c>
      <c r="BZ354" s="204">
        <v>320</v>
      </c>
      <c r="CA354" s="204">
        <v>132</v>
      </c>
      <c r="CB354" s="204">
        <v>516</v>
      </c>
      <c r="CC354" s="204"/>
      <c r="CD354" s="204"/>
      <c r="CE354" s="204"/>
      <c r="CF354" s="204"/>
      <c r="CG354" s="204"/>
      <c r="CH354" s="204"/>
      <c r="CI354" s="231"/>
    </row>
    <row r="355" spans="1:101" ht="25.2" customHeight="1" outlineLevel="1">
      <c r="A355" s="204">
        <v>333</v>
      </c>
      <c r="B355" s="207">
        <v>7050</v>
      </c>
      <c r="C355" s="208" t="s">
        <v>530</v>
      </c>
      <c r="D355" s="194" t="s">
        <v>468</v>
      </c>
      <c r="E355" s="209">
        <f t="shared" si="36"/>
        <v>123.1</v>
      </c>
      <c r="F355" s="216">
        <v>80.099999999999994</v>
      </c>
      <c r="G355" s="217">
        <v>9</v>
      </c>
      <c r="H355" s="218">
        <v>9.5</v>
      </c>
      <c r="I355" s="230">
        <f t="shared" si="37"/>
        <v>0.40000000000000602</v>
      </c>
      <c r="J355" s="216">
        <v>0</v>
      </c>
      <c r="K355" s="216">
        <v>1</v>
      </c>
      <c r="L355" s="233"/>
      <c r="M355" s="216">
        <v>7</v>
      </c>
      <c r="N355" s="216">
        <v>311</v>
      </c>
      <c r="O355" s="216">
        <v>1.6</v>
      </c>
      <c r="P355" s="216">
        <v>13.5</v>
      </c>
      <c r="Q355" s="216">
        <v>0.14000000000000001</v>
      </c>
      <c r="R355" s="216">
        <v>0.19</v>
      </c>
      <c r="S355" s="216">
        <v>2.8</v>
      </c>
      <c r="T355" s="231">
        <v>120</v>
      </c>
      <c r="U355" s="231">
        <v>258</v>
      </c>
      <c r="V355" s="231">
        <v>14</v>
      </c>
      <c r="W355" s="242">
        <v>9.4E-2</v>
      </c>
      <c r="X355" s="232">
        <v>1.27</v>
      </c>
      <c r="Y355" s="231">
        <v>240</v>
      </c>
      <c r="Z355" s="231">
        <v>15.9</v>
      </c>
      <c r="AA355" s="241">
        <v>2.8</v>
      </c>
      <c r="AB355" s="241">
        <v>0.19</v>
      </c>
      <c r="AC355" s="240">
        <v>6</v>
      </c>
      <c r="AD355" s="240">
        <v>0</v>
      </c>
      <c r="AE355" s="233"/>
      <c r="AF355" s="233">
        <v>2.19</v>
      </c>
      <c r="AG355" s="240">
        <v>0</v>
      </c>
      <c r="AH355" s="240">
        <f t="shared" si="38"/>
        <v>0</v>
      </c>
      <c r="AI355" s="236">
        <f t="shared" si="39"/>
        <v>0</v>
      </c>
      <c r="AJ355" s="252"/>
      <c r="AK355" s="233"/>
      <c r="AL355" s="216"/>
      <c r="AM355" s="236">
        <v>0</v>
      </c>
      <c r="AN355" s="236">
        <v>0</v>
      </c>
      <c r="AO355" s="236">
        <v>0</v>
      </c>
      <c r="AP355" s="236">
        <v>0</v>
      </c>
      <c r="AQ355" s="236">
        <v>0</v>
      </c>
      <c r="AR355" s="236">
        <v>0</v>
      </c>
      <c r="AS355" s="236">
        <v>0</v>
      </c>
      <c r="AT355" s="236">
        <v>0</v>
      </c>
      <c r="AU355" s="236">
        <v>0</v>
      </c>
      <c r="AV355" s="231">
        <v>83</v>
      </c>
      <c r="AW355" s="236">
        <v>2.0790000000000002</v>
      </c>
      <c r="AX355" s="242">
        <v>1.0289999999999999</v>
      </c>
      <c r="AY355" s="242">
        <v>0</v>
      </c>
      <c r="AZ355" s="242">
        <v>0.999</v>
      </c>
      <c r="BA355" s="242">
        <v>0</v>
      </c>
      <c r="BB355" s="242">
        <v>0</v>
      </c>
      <c r="BC355" s="242">
        <v>0</v>
      </c>
      <c r="BD355" s="242">
        <v>1.659</v>
      </c>
      <c r="BE355" s="231">
        <v>0</v>
      </c>
      <c r="BF355" s="231">
        <v>0.12</v>
      </c>
      <c r="BG355" s="242">
        <v>1.069</v>
      </c>
      <c r="BH355" s="242">
        <v>1.429</v>
      </c>
      <c r="BI355" s="242">
        <v>0.09</v>
      </c>
      <c r="BJ355" s="242">
        <v>0.12</v>
      </c>
      <c r="BK355" s="242">
        <v>0.47</v>
      </c>
      <c r="BL355" s="242">
        <v>0</v>
      </c>
      <c r="BM355" s="242">
        <v>0.45</v>
      </c>
      <c r="BN355" s="242"/>
      <c r="BO355" s="231">
        <v>2195</v>
      </c>
      <c r="BP355" s="231"/>
      <c r="BQ355" s="204">
        <v>748</v>
      </c>
      <c r="BR355" s="204">
        <v>354</v>
      </c>
      <c r="BS355" s="204">
        <v>132</v>
      </c>
      <c r="BT355" s="204">
        <v>704</v>
      </c>
      <c r="BU355" s="204">
        <v>385</v>
      </c>
      <c r="BV355" s="204">
        <v>531</v>
      </c>
      <c r="BW355" s="204">
        <v>771</v>
      </c>
      <c r="BX355" s="204">
        <v>605</v>
      </c>
      <c r="BY355" s="204">
        <v>712</v>
      </c>
      <c r="BZ355" s="204">
        <v>245</v>
      </c>
      <c r="CA355" s="204">
        <v>165</v>
      </c>
      <c r="CB355" s="204">
        <v>316</v>
      </c>
      <c r="CC355" s="204"/>
      <c r="CD355" s="204">
        <v>1028</v>
      </c>
      <c r="CE355" s="204">
        <v>1202</v>
      </c>
      <c r="CF355" s="204">
        <v>493</v>
      </c>
      <c r="CG355" s="204"/>
      <c r="CH355" s="204"/>
      <c r="CI355" s="231"/>
    </row>
    <row r="356" spans="1:101" s="172" customFormat="1" ht="25.2" customHeight="1">
      <c r="A356" s="204">
        <v>334</v>
      </c>
      <c r="B356" s="207">
        <v>7051</v>
      </c>
      <c r="C356" s="208" t="s">
        <v>531</v>
      </c>
      <c r="D356" s="194" t="s">
        <v>468</v>
      </c>
      <c r="E356" s="209">
        <f t="shared" si="36"/>
        <v>103.1</v>
      </c>
      <c r="F356" s="216">
        <v>79.099999999999994</v>
      </c>
      <c r="G356" s="217">
        <v>15.2</v>
      </c>
      <c r="H356" s="218">
        <v>4.7</v>
      </c>
      <c r="I356" s="230">
        <f t="shared" si="37"/>
        <v>0</v>
      </c>
      <c r="J356" s="216">
        <v>0</v>
      </c>
      <c r="K356" s="216">
        <v>1</v>
      </c>
      <c r="L356" s="233"/>
      <c r="M356" s="216">
        <v>10</v>
      </c>
      <c r="N356" s="216">
        <v>195</v>
      </c>
      <c r="O356" s="216">
        <v>6.7</v>
      </c>
      <c r="P356" s="216">
        <v>38.5</v>
      </c>
      <c r="Q356" s="216">
        <v>0.1</v>
      </c>
      <c r="R356" s="216">
        <v>0.14000000000000001</v>
      </c>
      <c r="S356" s="216">
        <v>1.1000000000000001</v>
      </c>
      <c r="T356" s="231">
        <v>198</v>
      </c>
      <c r="U356" s="231">
        <v>340</v>
      </c>
      <c r="V356" s="231">
        <v>14</v>
      </c>
      <c r="W356" s="242">
        <v>1.9E-2</v>
      </c>
      <c r="X356" s="232">
        <v>1.61</v>
      </c>
      <c r="Y356" s="231">
        <v>260</v>
      </c>
      <c r="Z356" s="231">
        <v>44.3</v>
      </c>
      <c r="AA356" s="241">
        <v>1</v>
      </c>
      <c r="AB356" s="241">
        <v>0.04</v>
      </c>
      <c r="AC356" s="240">
        <v>11</v>
      </c>
      <c r="AD356" s="240">
        <v>0</v>
      </c>
      <c r="AE356" s="233"/>
      <c r="AF356" s="233">
        <v>3.81</v>
      </c>
      <c r="AG356" s="240">
        <v>14</v>
      </c>
      <c r="AH356" s="240">
        <f t="shared" si="38"/>
        <v>46.62</v>
      </c>
      <c r="AI356" s="236">
        <f t="shared" si="39"/>
        <v>14</v>
      </c>
      <c r="AJ356" s="252"/>
      <c r="AK356" s="233"/>
      <c r="AL356" s="216"/>
      <c r="AM356" s="236">
        <v>0</v>
      </c>
      <c r="AN356" s="236">
        <v>0</v>
      </c>
      <c r="AO356" s="236">
        <v>0</v>
      </c>
      <c r="AP356" s="236">
        <v>0</v>
      </c>
      <c r="AQ356" s="236">
        <v>0</v>
      </c>
      <c r="AR356" s="236">
        <v>0</v>
      </c>
      <c r="AS356" s="236">
        <v>0</v>
      </c>
      <c r="AT356" s="236">
        <v>0</v>
      </c>
      <c r="AU356" s="236">
        <v>0</v>
      </c>
      <c r="AV356" s="231"/>
      <c r="AW356" s="236">
        <v>0.86</v>
      </c>
      <c r="AX356" s="242">
        <v>0.45</v>
      </c>
      <c r="AY356" s="242">
        <v>0</v>
      </c>
      <c r="AZ356" s="242">
        <v>0.23</v>
      </c>
      <c r="BA356" s="242">
        <v>0</v>
      </c>
      <c r="BB356" s="242">
        <v>0</v>
      </c>
      <c r="BC356" s="242">
        <v>0</v>
      </c>
      <c r="BD356" s="242">
        <v>0.64</v>
      </c>
      <c r="BE356" s="231">
        <v>0</v>
      </c>
      <c r="BF356" s="242">
        <v>0.09</v>
      </c>
      <c r="BG356" s="242">
        <v>0.47</v>
      </c>
      <c r="BH356" s="242">
        <v>0.34</v>
      </c>
      <c r="BI356" s="242">
        <v>0.17</v>
      </c>
      <c r="BJ356" s="242">
        <v>0.02</v>
      </c>
      <c r="BK356" s="242">
        <v>0.14000000000000001</v>
      </c>
      <c r="BL356" s="242">
        <v>0</v>
      </c>
      <c r="BM356" s="242">
        <v>0</v>
      </c>
      <c r="BN356" s="242"/>
      <c r="BO356" s="231">
        <v>242</v>
      </c>
      <c r="BP356" s="231"/>
      <c r="BQ356" s="204">
        <v>1137</v>
      </c>
      <c r="BR356" s="204">
        <v>406</v>
      </c>
      <c r="BS356" s="204">
        <v>148</v>
      </c>
      <c r="BT356" s="204">
        <v>526</v>
      </c>
      <c r="BU356" s="204">
        <v>575</v>
      </c>
      <c r="BV356" s="204">
        <v>731</v>
      </c>
      <c r="BW356" s="204">
        <v>1008</v>
      </c>
      <c r="BX356" s="204">
        <v>754</v>
      </c>
      <c r="BY356" s="204">
        <v>880</v>
      </c>
      <c r="BZ356" s="204">
        <v>393</v>
      </c>
      <c r="CA356" s="204">
        <v>120</v>
      </c>
      <c r="CB356" s="204">
        <v>385</v>
      </c>
      <c r="CC356" s="204">
        <v>1001</v>
      </c>
      <c r="CD356" s="204">
        <v>977</v>
      </c>
      <c r="CE356" s="204">
        <v>1726</v>
      </c>
      <c r="CF356" s="204">
        <v>734</v>
      </c>
      <c r="CG356" s="204">
        <v>1659</v>
      </c>
      <c r="CH356" s="204">
        <v>816</v>
      </c>
      <c r="CI356" s="231"/>
      <c r="CM356" s="173"/>
      <c r="CN356" s="173"/>
      <c r="CO356" s="173"/>
      <c r="CP356" s="173"/>
      <c r="CQ356" s="173"/>
      <c r="CR356" s="173"/>
      <c r="CS356" s="173"/>
      <c r="CT356" s="173"/>
      <c r="CU356" s="173"/>
      <c r="CV356" s="173"/>
      <c r="CW356" s="173"/>
    </row>
    <row r="357" spans="1:101" ht="25.2" customHeight="1" outlineLevel="1">
      <c r="A357" s="204">
        <v>335</v>
      </c>
      <c r="B357" s="207">
        <v>7052</v>
      </c>
      <c r="C357" s="208" t="s">
        <v>532</v>
      </c>
      <c r="D357" s="194" t="s">
        <v>468</v>
      </c>
      <c r="E357" s="209">
        <f t="shared" si="36"/>
        <v>91.6</v>
      </c>
      <c r="F357" s="216">
        <v>80.599999999999994</v>
      </c>
      <c r="G357" s="217">
        <v>14.8</v>
      </c>
      <c r="H357" s="218">
        <v>3.6</v>
      </c>
      <c r="I357" s="230">
        <f t="shared" si="37"/>
        <v>0</v>
      </c>
      <c r="J357" s="216">
        <v>0</v>
      </c>
      <c r="K357" s="216">
        <v>1</v>
      </c>
      <c r="L357" s="233"/>
      <c r="M357" s="216">
        <v>9</v>
      </c>
      <c r="N357" s="216">
        <v>230</v>
      </c>
      <c r="O357" s="216">
        <v>6.4</v>
      </c>
      <c r="P357" s="216">
        <v>12.3</v>
      </c>
      <c r="Q357" s="216">
        <v>0.02</v>
      </c>
      <c r="R357" s="216">
        <v>0.14000000000000001</v>
      </c>
      <c r="S357" s="216">
        <v>0.6</v>
      </c>
      <c r="T357" s="231">
        <v>153</v>
      </c>
      <c r="U357" s="231">
        <v>303</v>
      </c>
      <c r="V357" s="231">
        <v>14</v>
      </c>
      <c r="W357" s="242">
        <v>1.7000000000000001E-2</v>
      </c>
      <c r="X357" s="232">
        <v>2.0299999999999998</v>
      </c>
      <c r="Y357" s="231">
        <v>83</v>
      </c>
      <c r="Z357" s="231">
        <v>17.8</v>
      </c>
      <c r="AA357" s="241">
        <v>0.9</v>
      </c>
      <c r="AB357" s="241">
        <v>0.1</v>
      </c>
      <c r="AC357" s="240">
        <v>3</v>
      </c>
      <c r="AD357" s="240">
        <v>0</v>
      </c>
      <c r="AE357" s="233"/>
      <c r="AF357" s="233">
        <v>2.75</v>
      </c>
      <c r="AG357" s="240">
        <v>0</v>
      </c>
      <c r="AH357" s="240">
        <f t="shared" si="38"/>
        <v>0</v>
      </c>
      <c r="AI357" s="236">
        <f t="shared" si="39"/>
        <v>0</v>
      </c>
      <c r="AJ357" s="252"/>
      <c r="AK357" s="233"/>
      <c r="AL357" s="216"/>
      <c r="AM357" s="236">
        <v>0</v>
      </c>
      <c r="AN357" s="236">
        <v>0</v>
      </c>
      <c r="AO357" s="236">
        <v>0</v>
      </c>
      <c r="AP357" s="236">
        <v>0</v>
      </c>
      <c r="AQ357" s="236">
        <v>0</v>
      </c>
      <c r="AR357" s="236">
        <v>0</v>
      </c>
      <c r="AS357" s="236">
        <v>0</v>
      </c>
      <c r="AT357" s="236">
        <v>0</v>
      </c>
      <c r="AU357" s="236">
        <v>0</v>
      </c>
      <c r="AV357" s="231"/>
      <c r="AW357" s="236">
        <v>0.96</v>
      </c>
      <c r="AX357" s="242">
        <v>0.63</v>
      </c>
      <c r="AY357" s="242">
        <v>0</v>
      </c>
      <c r="AZ357" s="242">
        <v>0.28999999999999998</v>
      </c>
      <c r="BA357" s="242">
        <v>0</v>
      </c>
      <c r="BB357" s="242">
        <v>0</v>
      </c>
      <c r="BC357" s="242">
        <v>0</v>
      </c>
      <c r="BD357" s="242">
        <v>0.61</v>
      </c>
      <c r="BE357" s="231">
        <v>0</v>
      </c>
      <c r="BF357" s="242">
        <v>0.05</v>
      </c>
      <c r="BG357" s="242">
        <v>0.56000000000000005</v>
      </c>
      <c r="BH357" s="242">
        <v>0.34</v>
      </c>
      <c r="BI357" s="242">
        <v>0.12</v>
      </c>
      <c r="BJ357" s="242">
        <v>0</v>
      </c>
      <c r="BK357" s="242">
        <v>0.18</v>
      </c>
      <c r="BL357" s="242">
        <v>0</v>
      </c>
      <c r="BM357" s="242">
        <v>0.01</v>
      </c>
      <c r="BN357" s="242"/>
      <c r="BO357" s="231">
        <v>320</v>
      </c>
      <c r="BP357" s="231"/>
      <c r="BQ357" s="204">
        <v>1389</v>
      </c>
      <c r="BR357" s="204">
        <v>541</v>
      </c>
      <c r="BS357" s="204">
        <v>124</v>
      </c>
      <c r="BT357" s="204">
        <v>653</v>
      </c>
      <c r="BU357" s="204">
        <v>599</v>
      </c>
      <c r="BV357" s="204">
        <v>872</v>
      </c>
      <c r="BW357" s="204">
        <v>1210</v>
      </c>
      <c r="BX357" s="204">
        <v>1119</v>
      </c>
      <c r="BY357" s="204">
        <v>1189</v>
      </c>
      <c r="BZ357" s="204">
        <v>468</v>
      </c>
      <c r="CA357" s="204">
        <v>141</v>
      </c>
      <c r="CB357" s="204">
        <v>447</v>
      </c>
      <c r="CC357" s="204">
        <v>890</v>
      </c>
      <c r="CD357" s="204">
        <v>1266</v>
      </c>
      <c r="CE357" s="204">
        <v>1464</v>
      </c>
      <c r="CF357" s="204">
        <v>1027</v>
      </c>
      <c r="CG357" s="204">
        <v>901</v>
      </c>
      <c r="CH357" s="204">
        <v>621</v>
      </c>
      <c r="CI357" s="231"/>
    </row>
    <row r="358" spans="1:101" ht="25.2" customHeight="1" outlineLevel="1">
      <c r="A358" s="204">
        <v>336</v>
      </c>
      <c r="B358" s="207">
        <v>7053</v>
      </c>
      <c r="C358" s="208" t="s">
        <v>533</v>
      </c>
      <c r="D358" s="194" t="s">
        <v>468</v>
      </c>
      <c r="E358" s="209">
        <f t="shared" si="36"/>
        <v>186.8</v>
      </c>
      <c r="F358" s="216">
        <v>68.2</v>
      </c>
      <c r="G358" s="217">
        <v>17.899999999999999</v>
      </c>
      <c r="H358" s="218">
        <v>12.8</v>
      </c>
      <c r="I358" s="230">
        <f t="shared" si="37"/>
        <v>0</v>
      </c>
      <c r="J358" s="216">
        <v>0</v>
      </c>
      <c r="K358" s="216">
        <v>1.1000000000000001</v>
      </c>
      <c r="L358" s="233">
        <v>0</v>
      </c>
      <c r="M358" s="216">
        <v>7.4</v>
      </c>
      <c r="N358" s="216">
        <v>160</v>
      </c>
      <c r="O358" s="216">
        <v>0.61</v>
      </c>
      <c r="P358" s="216">
        <v>0</v>
      </c>
      <c r="Q358" s="216">
        <v>0.96</v>
      </c>
      <c r="R358" s="216">
        <v>0.23</v>
      </c>
      <c r="S358" s="216">
        <v>5.2</v>
      </c>
      <c r="T358" s="231">
        <v>60</v>
      </c>
      <c r="U358" s="231">
        <v>200</v>
      </c>
      <c r="V358" s="231">
        <v>14</v>
      </c>
      <c r="W358" s="242">
        <v>1.2999999999999999E-2</v>
      </c>
      <c r="X358" s="232">
        <v>3.6</v>
      </c>
      <c r="Y358" s="231">
        <v>100</v>
      </c>
      <c r="Z358" s="231">
        <v>6.9</v>
      </c>
      <c r="AA358" s="241">
        <v>0.6</v>
      </c>
      <c r="AB358" s="241">
        <v>0.26</v>
      </c>
      <c r="AC358" s="240">
        <v>2</v>
      </c>
      <c r="AD358" s="240">
        <v>0</v>
      </c>
      <c r="AE358" s="233">
        <v>2.6</v>
      </c>
      <c r="AF358" s="233">
        <v>0.7</v>
      </c>
      <c r="AG358" s="240">
        <v>0</v>
      </c>
      <c r="AH358" s="240">
        <f t="shared" si="38"/>
        <v>0</v>
      </c>
      <c r="AI358" s="236">
        <f t="shared" si="39"/>
        <v>0</v>
      </c>
      <c r="AJ358" s="275">
        <v>0.69</v>
      </c>
      <c r="AK358" s="233">
        <v>0.1</v>
      </c>
      <c r="AL358" s="216">
        <v>0</v>
      </c>
      <c r="AM358" s="236">
        <v>0</v>
      </c>
      <c r="AN358" s="236">
        <v>0</v>
      </c>
      <c r="AO358" s="236">
        <v>0</v>
      </c>
      <c r="AP358" s="236">
        <v>0</v>
      </c>
      <c r="AQ358" s="236">
        <v>0</v>
      </c>
      <c r="AR358" s="236">
        <v>0</v>
      </c>
      <c r="AS358" s="236">
        <v>0</v>
      </c>
      <c r="AT358" s="236">
        <v>0</v>
      </c>
      <c r="AU358" s="236">
        <v>0</v>
      </c>
      <c r="AV358" s="231"/>
      <c r="AW358" s="236">
        <v>6.45</v>
      </c>
      <c r="AX358" s="242">
        <v>3.97</v>
      </c>
      <c r="AY358" s="242">
        <v>0</v>
      </c>
      <c r="AZ358" s="242">
        <v>2.12</v>
      </c>
      <c r="BA358" s="242">
        <v>4.2999999999999997E-2</v>
      </c>
      <c r="BB358" s="242">
        <v>0</v>
      </c>
      <c r="BC358" s="242">
        <v>0</v>
      </c>
      <c r="BD358" s="242">
        <v>7.45</v>
      </c>
      <c r="BE358" s="231">
        <v>0</v>
      </c>
      <c r="BF358" s="242">
        <v>0.43</v>
      </c>
      <c r="BG358" s="242">
        <v>6.24</v>
      </c>
      <c r="BH358" s="242">
        <v>1.97</v>
      </c>
      <c r="BI358" s="242">
        <v>1.81</v>
      </c>
      <c r="BJ358" s="242">
        <v>0.16</v>
      </c>
      <c r="BK358" s="242">
        <v>0</v>
      </c>
      <c r="BL358" s="242">
        <v>0</v>
      </c>
      <c r="BM358" s="242">
        <v>0</v>
      </c>
      <c r="BN358" s="242">
        <v>0.08</v>
      </c>
      <c r="BO358" s="231">
        <v>65</v>
      </c>
      <c r="BP358" s="231"/>
      <c r="BQ358" s="204">
        <v>1560</v>
      </c>
      <c r="BR358" s="204">
        <v>420</v>
      </c>
      <c r="BS358" s="204">
        <v>190</v>
      </c>
      <c r="BT358" s="204">
        <v>650</v>
      </c>
      <c r="BU358" s="204">
        <v>740</v>
      </c>
      <c r="BV358" s="204">
        <v>930</v>
      </c>
      <c r="BW358" s="204">
        <v>1270</v>
      </c>
      <c r="BX358" s="204">
        <v>850</v>
      </c>
      <c r="BY358" s="204">
        <v>1050</v>
      </c>
      <c r="BZ358" s="204">
        <v>650</v>
      </c>
      <c r="CA358" s="204">
        <v>120</v>
      </c>
      <c r="CB358" s="204">
        <v>590</v>
      </c>
      <c r="CC358" s="204">
        <v>1050</v>
      </c>
      <c r="CD358" s="204">
        <v>1560</v>
      </c>
      <c r="CE358" s="204">
        <v>2290</v>
      </c>
      <c r="CF358" s="204">
        <v>910</v>
      </c>
      <c r="CG358" s="204">
        <v>250</v>
      </c>
      <c r="CH358" s="204">
        <v>680</v>
      </c>
      <c r="CI358" s="231"/>
    </row>
    <row r="359" spans="1:101" ht="25.2" customHeight="1" outlineLevel="1">
      <c r="A359" s="204">
        <v>337</v>
      </c>
      <c r="B359" s="207">
        <v>7054</v>
      </c>
      <c r="C359" s="208" t="s">
        <v>534</v>
      </c>
      <c r="D359" s="194" t="s">
        <v>468</v>
      </c>
      <c r="E359" s="209">
        <f t="shared" si="36"/>
        <v>126.1</v>
      </c>
      <c r="F359" s="216">
        <v>72.900000000000006</v>
      </c>
      <c r="G359" s="217">
        <v>21</v>
      </c>
      <c r="H359" s="218">
        <v>4.0999999999999996</v>
      </c>
      <c r="I359" s="230">
        <f t="shared" si="37"/>
        <v>1.3</v>
      </c>
      <c r="J359" s="216">
        <v>0</v>
      </c>
      <c r="K359" s="216">
        <v>0.7</v>
      </c>
      <c r="L359" s="233"/>
      <c r="M359" s="236">
        <v>21</v>
      </c>
      <c r="N359" s="236">
        <v>41</v>
      </c>
      <c r="O359" s="236">
        <v>2.4</v>
      </c>
      <c r="P359" s="236">
        <v>0</v>
      </c>
      <c r="Q359" s="236">
        <v>0.08</v>
      </c>
      <c r="R359" s="236">
        <v>0.11</v>
      </c>
      <c r="S359" s="236">
        <v>0.78</v>
      </c>
      <c r="T359" s="231">
        <v>191</v>
      </c>
      <c r="U359" s="231">
        <v>55</v>
      </c>
      <c r="V359" s="231">
        <v>7</v>
      </c>
      <c r="W359" s="242">
        <v>0.12</v>
      </c>
      <c r="X359" s="232">
        <v>0.19</v>
      </c>
      <c r="Y359" s="231">
        <v>6</v>
      </c>
      <c r="Z359" s="231">
        <v>4.3</v>
      </c>
      <c r="AA359" s="241">
        <v>6.8000000000000005E-2</v>
      </c>
      <c r="AB359" s="241">
        <v>0.02</v>
      </c>
      <c r="AC359" s="240">
        <v>0</v>
      </c>
      <c r="AD359" s="240">
        <v>0</v>
      </c>
      <c r="AE359" s="236"/>
      <c r="AF359" s="236">
        <v>7.0000000000000007E-2</v>
      </c>
      <c r="AG359" s="240">
        <v>0</v>
      </c>
      <c r="AH359" s="240">
        <f t="shared" si="38"/>
        <v>0</v>
      </c>
      <c r="AI359" s="236">
        <f t="shared" si="39"/>
        <v>0</v>
      </c>
      <c r="AJ359" s="252"/>
      <c r="AK359" s="233"/>
      <c r="AL359" s="216"/>
      <c r="AM359" s="236">
        <v>0</v>
      </c>
      <c r="AN359" s="236">
        <v>0</v>
      </c>
      <c r="AO359" s="236">
        <v>0</v>
      </c>
      <c r="AP359" s="236">
        <v>0</v>
      </c>
      <c r="AQ359" s="236">
        <v>0</v>
      </c>
      <c r="AR359" s="236">
        <v>0</v>
      </c>
      <c r="AS359" s="236">
        <v>0</v>
      </c>
      <c r="AT359" s="236">
        <v>0</v>
      </c>
      <c r="AU359" s="236">
        <v>0</v>
      </c>
      <c r="AV359" s="231"/>
      <c r="AW359" s="236">
        <v>5.39</v>
      </c>
      <c r="AX359" s="242">
        <v>3.38</v>
      </c>
      <c r="AY359" s="242">
        <v>0</v>
      </c>
      <c r="AZ359" s="242">
        <v>1.8</v>
      </c>
      <c r="BA359" s="242">
        <v>0</v>
      </c>
      <c r="BB359" s="242">
        <v>0</v>
      </c>
      <c r="BC359" s="242">
        <v>0</v>
      </c>
      <c r="BD359" s="242">
        <v>6.86</v>
      </c>
      <c r="BE359" s="231">
        <v>0</v>
      </c>
      <c r="BF359" s="242">
        <v>0.43</v>
      </c>
      <c r="BG359" s="242">
        <v>6.43</v>
      </c>
      <c r="BH359" s="242">
        <v>1.61</v>
      </c>
      <c r="BI359" s="242">
        <v>1.41</v>
      </c>
      <c r="BJ359" s="242">
        <v>0.13</v>
      </c>
      <c r="BK359" s="242">
        <v>7.0000000000000007E-2</v>
      </c>
      <c r="BL359" s="242">
        <v>0</v>
      </c>
      <c r="BM359" s="242">
        <v>0</v>
      </c>
      <c r="BN359" s="242"/>
      <c r="BO359" s="231">
        <v>82</v>
      </c>
      <c r="BP359" s="231"/>
      <c r="BQ359" s="231">
        <v>1052</v>
      </c>
      <c r="BR359" s="231">
        <v>133</v>
      </c>
      <c r="BS359" s="231">
        <v>43</v>
      </c>
      <c r="BT359" s="231">
        <v>718</v>
      </c>
      <c r="BU359" s="231">
        <v>629</v>
      </c>
      <c r="BV359" s="231">
        <v>830</v>
      </c>
      <c r="BW359" s="231">
        <v>1167</v>
      </c>
      <c r="BX359" s="231">
        <v>492</v>
      </c>
      <c r="BY359" s="231">
        <v>1861</v>
      </c>
      <c r="BZ359" s="231">
        <v>269</v>
      </c>
      <c r="CA359" s="231">
        <v>200</v>
      </c>
      <c r="CB359" s="231">
        <v>402</v>
      </c>
      <c r="CC359" s="231">
        <v>2220</v>
      </c>
      <c r="CD359" s="231">
        <v>1660</v>
      </c>
      <c r="CE359" s="231">
        <v>2805</v>
      </c>
      <c r="CF359" s="231">
        <v>4400</v>
      </c>
      <c r="CG359" s="231">
        <v>2848</v>
      </c>
      <c r="CH359" s="231">
        <v>941</v>
      </c>
      <c r="CI359" s="231"/>
      <c r="CV359" s="172"/>
      <c r="CW359" s="172"/>
    </row>
    <row r="360" spans="1:101" ht="25.2" customHeight="1" outlineLevel="1">
      <c r="A360" s="204">
        <v>338</v>
      </c>
      <c r="B360" s="207">
        <v>7055</v>
      </c>
      <c r="C360" s="208" t="s">
        <v>535</v>
      </c>
      <c r="D360" s="194" t="s">
        <v>468</v>
      </c>
      <c r="E360" s="209">
        <f t="shared" si="36"/>
        <v>89.4</v>
      </c>
      <c r="F360" s="216">
        <v>80.400000000000006</v>
      </c>
      <c r="G360" s="217">
        <v>15</v>
      </c>
      <c r="H360" s="218">
        <v>3</v>
      </c>
      <c r="I360" s="230">
        <f t="shared" si="37"/>
        <v>0.59999999999999398</v>
      </c>
      <c r="J360" s="216">
        <v>0</v>
      </c>
      <c r="K360" s="216">
        <v>1</v>
      </c>
      <c r="L360" s="233"/>
      <c r="M360" s="216">
        <v>5</v>
      </c>
      <c r="N360" s="216">
        <v>185</v>
      </c>
      <c r="O360" s="216">
        <v>5.4</v>
      </c>
      <c r="P360" s="216">
        <v>7</v>
      </c>
      <c r="Q360" s="216">
        <v>0.31</v>
      </c>
      <c r="R360" s="216">
        <v>0.49</v>
      </c>
      <c r="S360" s="216">
        <v>6.8</v>
      </c>
      <c r="T360" s="231">
        <v>98</v>
      </c>
      <c r="U360" s="231">
        <v>287</v>
      </c>
      <c r="V360" s="231">
        <v>21</v>
      </c>
      <c r="W360" s="242">
        <v>3.5000000000000003E-2</v>
      </c>
      <c r="X360" s="232">
        <v>1.7</v>
      </c>
      <c r="Y360" s="231">
        <v>396</v>
      </c>
      <c r="Z360" s="231">
        <v>21.8</v>
      </c>
      <c r="AA360" s="241">
        <v>1.79</v>
      </c>
      <c r="AB360" s="241">
        <v>0.27900000000000003</v>
      </c>
      <c r="AC360" s="240">
        <v>3</v>
      </c>
      <c r="AD360" s="240">
        <v>0</v>
      </c>
      <c r="AE360" s="233">
        <v>2</v>
      </c>
      <c r="AF360" s="233">
        <v>8.5500000000000007</v>
      </c>
      <c r="AG360" s="240">
        <v>6</v>
      </c>
      <c r="AH360" s="240">
        <f t="shared" si="38"/>
        <v>19.98</v>
      </c>
      <c r="AI360" s="236">
        <f t="shared" si="39"/>
        <v>6</v>
      </c>
      <c r="AJ360" s="252"/>
      <c r="AK360" s="233">
        <v>0.22</v>
      </c>
      <c r="AL360" s="216">
        <v>0</v>
      </c>
      <c r="AM360" s="236">
        <v>0</v>
      </c>
      <c r="AN360" s="236">
        <v>0</v>
      </c>
      <c r="AO360" s="236">
        <v>0</v>
      </c>
      <c r="AP360" s="231">
        <v>17</v>
      </c>
      <c r="AQ360" s="231">
        <v>0</v>
      </c>
      <c r="AR360" s="231">
        <v>0</v>
      </c>
      <c r="AS360" s="231">
        <v>0</v>
      </c>
      <c r="AT360" s="231">
        <v>0</v>
      </c>
      <c r="AU360" s="231">
        <v>0</v>
      </c>
      <c r="AV360" s="231"/>
      <c r="AW360" s="236">
        <v>1.383</v>
      </c>
      <c r="AX360" s="242">
        <v>0.621</v>
      </c>
      <c r="AY360" s="242">
        <v>5.0999999999999997E-2</v>
      </c>
      <c r="AZ360" s="242">
        <v>0.623</v>
      </c>
      <c r="BA360" s="242">
        <v>5.0000000000000001E-3</v>
      </c>
      <c r="BB360" s="242">
        <v>0</v>
      </c>
      <c r="BC360" s="242">
        <v>0</v>
      </c>
      <c r="BD360" s="242">
        <v>1.137</v>
      </c>
      <c r="BE360" s="231">
        <v>0</v>
      </c>
      <c r="BF360" s="231">
        <v>5.8999999999999997E-2</v>
      </c>
      <c r="BG360" s="242">
        <v>1.06</v>
      </c>
      <c r="BH360" s="242">
        <v>0.54600000000000004</v>
      </c>
      <c r="BI360" s="242">
        <v>0.39500000000000002</v>
      </c>
      <c r="BJ360" s="242">
        <v>1.6E-2</v>
      </c>
      <c r="BK360" s="242">
        <v>0.128</v>
      </c>
      <c r="BL360" s="242">
        <v>0</v>
      </c>
      <c r="BM360" s="242">
        <v>0</v>
      </c>
      <c r="BN360" s="242">
        <v>0.18</v>
      </c>
      <c r="BO360" s="231">
        <v>124</v>
      </c>
      <c r="BP360" s="231"/>
      <c r="BQ360" s="204">
        <v>1431</v>
      </c>
      <c r="BR360" s="204">
        <v>506</v>
      </c>
      <c r="BS360" s="204">
        <v>145</v>
      </c>
      <c r="BT360" s="204">
        <v>628</v>
      </c>
      <c r="BU360" s="204">
        <v>626</v>
      </c>
      <c r="BV360" s="204">
        <v>750</v>
      </c>
      <c r="BW360" s="204">
        <v>1336</v>
      </c>
      <c r="BX360" s="204">
        <v>1067</v>
      </c>
      <c r="BY360" s="204">
        <v>911</v>
      </c>
      <c r="BZ360" s="204">
        <v>412</v>
      </c>
      <c r="CA360" s="204">
        <v>182</v>
      </c>
      <c r="CB360" s="204">
        <v>499</v>
      </c>
      <c r="CC360" s="204">
        <v>805</v>
      </c>
      <c r="CD360" s="204">
        <v>1323</v>
      </c>
      <c r="CE360" s="204">
        <v>1410</v>
      </c>
      <c r="CF360" s="204">
        <v>662</v>
      </c>
      <c r="CG360" s="204">
        <v>605</v>
      </c>
      <c r="CH360" s="204">
        <v>633</v>
      </c>
      <c r="CI360" s="231"/>
    </row>
    <row r="361" spans="1:101" ht="25.2" customHeight="1" outlineLevel="1">
      <c r="A361" s="204">
        <v>339</v>
      </c>
      <c r="B361" s="207">
        <v>7056</v>
      </c>
      <c r="C361" s="208" t="s">
        <v>536</v>
      </c>
      <c r="D361" s="194" t="s">
        <v>468</v>
      </c>
      <c r="E361" s="209">
        <f t="shared" si="36"/>
        <v>113.5</v>
      </c>
      <c r="F361" s="216">
        <v>77.5</v>
      </c>
      <c r="G361" s="217">
        <v>16</v>
      </c>
      <c r="H361" s="218">
        <v>5.5</v>
      </c>
      <c r="I361" s="230">
        <f t="shared" si="37"/>
        <v>0</v>
      </c>
      <c r="J361" s="216">
        <v>0</v>
      </c>
      <c r="K361" s="216">
        <v>1</v>
      </c>
      <c r="L361" s="233"/>
      <c r="M361" s="241">
        <v>12</v>
      </c>
      <c r="N361" s="241">
        <v>177</v>
      </c>
      <c r="O361" s="241">
        <v>5.96</v>
      </c>
      <c r="P361" s="241">
        <v>3.2</v>
      </c>
      <c r="Q361" s="241">
        <v>0.152</v>
      </c>
      <c r="R361" s="241">
        <v>0.72799999999999998</v>
      </c>
      <c r="S361" s="241">
        <v>4.883</v>
      </c>
      <c r="T361" s="231">
        <v>74</v>
      </c>
      <c r="U361" s="231">
        <v>176</v>
      </c>
      <c r="V361" s="231">
        <v>15</v>
      </c>
      <c r="W361" s="242">
        <v>8.8999999999999996E-2</v>
      </c>
      <c r="X361" s="232">
        <v>6.59</v>
      </c>
      <c r="Y361" s="231">
        <v>346</v>
      </c>
      <c r="Z361" s="231">
        <v>4.3</v>
      </c>
      <c r="AA361" s="241">
        <v>2.5590000000000002</v>
      </c>
      <c r="AB361" s="241">
        <v>0.36</v>
      </c>
      <c r="AC361" s="240">
        <v>72</v>
      </c>
      <c r="AD361" s="240">
        <v>0</v>
      </c>
      <c r="AE361" s="233"/>
      <c r="AF361" s="233">
        <v>7.29</v>
      </c>
      <c r="AG361" s="240">
        <v>9</v>
      </c>
      <c r="AH361" s="240">
        <f t="shared" si="38"/>
        <v>29.97</v>
      </c>
      <c r="AI361" s="236">
        <f t="shared" si="39"/>
        <v>9</v>
      </c>
      <c r="AJ361" s="252"/>
      <c r="AK361" s="233"/>
      <c r="AL361" s="216"/>
      <c r="AM361" s="236">
        <v>0</v>
      </c>
      <c r="AN361" s="236">
        <v>0</v>
      </c>
      <c r="AO361" s="236">
        <v>0</v>
      </c>
      <c r="AP361" s="236">
        <v>0</v>
      </c>
      <c r="AQ361" s="236">
        <v>0</v>
      </c>
      <c r="AR361" s="236">
        <v>0</v>
      </c>
      <c r="AS361" s="236">
        <v>0</v>
      </c>
      <c r="AT361" s="236">
        <v>0</v>
      </c>
      <c r="AU361" s="236">
        <v>0</v>
      </c>
      <c r="AV361" s="231"/>
      <c r="AW361" s="236">
        <v>2.66</v>
      </c>
      <c r="AX361" s="242">
        <v>1.45</v>
      </c>
      <c r="AY361" s="242">
        <v>0</v>
      </c>
      <c r="AZ361" s="242">
        <v>0.78</v>
      </c>
      <c r="BA361" s="242">
        <v>0</v>
      </c>
      <c r="BB361" s="242">
        <v>0</v>
      </c>
      <c r="BC361" s="242">
        <v>0</v>
      </c>
      <c r="BD361" s="242">
        <v>2.37</v>
      </c>
      <c r="BE361" s="231">
        <v>0</v>
      </c>
      <c r="BF361" s="242">
        <v>0.39</v>
      </c>
      <c r="BG361" s="242">
        <v>1.98</v>
      </c>
      <c r="BH361" s="242">
        <v>2.71</v>
      </c>
      <c r="BI361" s="242">
        <v>1.91</v>
      </c>
      <c r="BJ361" s="242">
        <v>7.0000000000000007E-2</v>
      </c>
      <c r="BK361" s="242">
        <v>0.72</v>
      </c>
      <c r="BL361" s="242">
        <v>0</v>
      </c>
      <c r="BM361" s="242">
        <v>0</v>
      </c>
      <c r="BN361" s="242"/>
      <c r="BO361" s="231">
        <v>136</v>
      </c>
      <c r="BP361" s="231"/>
      <c r="BQ361" s="231">
        <v>1303</v>
      </c>
      <c r="BR361" s="231">
        <v>376</v>
      </c>
      <c r="BS361" s="231">
        <v>199</v>
      </c>
      <c r="BT361" s="231">
        <v>696</v>
      </c>
      <c r="BU361" s="231">
        <v>704</v>
      </c>
      <c r="BV361" s="231">
        <v>880</v>
      </c>
      <c r="BW361" s="231">
        <v>1355</v>
      </c>
      <c r="BX361" s="231">
        <v>833</v>
      </c>
      <c r="BY361" s="231">
        <v>997</v>
      </c>
      <c r="BZ361" s="231">
        <v>408</v>
      </c>
      <c r="CA361" s="231">
        <v>211</v>
      </c>
      <c r="CB361" s="231">
        <v>557</v>
      </c>
      <c r="CC361" s="231">
        <v>980</v>
      </c>
      <c r="CD361" s="231">
        <v>1512</v>
      </c>
      <c r="CE361" s="231">
        <v>2308</v>
      </c>
      <c r="CF361" s="231">
        <v>863</v>
      </c>
      <c r="CG361" s="231">
        <v>793</v>
      </c>
      <c r="CH361" s="231">
        <v>627</v>
      </c>
      <c r="CI361" s="231"/>
    </row>
    <row r="362" spans="1:101" ht="25.2" customHeight="1" outlineLevel="1">
      <c r="A362" s="204">
        <v>340</v>
      </c>
      <c r="B362" s="207">
        <v>7057</v>
      </c>
      <c r="C362" s="208" t="s">
        <v>537</v>
      </c>
      <c r="D362" s="194" t="s">
        <v>468</v>
      </c>
      <c r="E362" s="209">
        <f t="shared" si="36"/>
        <v>94</v>
      </c>
      <c r="F362" s="216">
        <v>79.5</v>
      </c>
      <c r="G362" s="217">
        <v>15.1</v>
      </c>
      <c r="H362" s="218">
        <v>3.2</v>
      </c>
      <c r="I362" s="230">
        <f t="shared" si="37"/>
        <v>1.2</v>
      </c>
      <c r="J362" s="216">
        <v>0</v>
      </c>
      <c r="K362" s="216">
        <v>1</v>
      </c>
      <c r="L362" s="233"/>
      <c r="M362" s="216">
        <v>7</v>
      </c>
      <c r="N362" s="216">
        <v>213</v>
      </c>
      <c r="O362" s="216">
        <v>5.9</v>
      </c>
      <c r="P362" s="216">
        <v>1</v>
      </c>
      <c r="Q362" s="216">
        <v>0.34</v>
      </c>
      <c r="R362" s="216">
        <v>0.49</v>
      </c>
      <c r="S362" s="216">
        <v>5.7</v>
      </c>
      <c r="T362" s="231">
        <v>56</v>
      </c>
      <c r="U362" s="231">
        <v>294</v>
      </c>
      <c r="V362" s="231">
        <v>19</v>
      </c>
      <c r="W362" s="242">
        <v>6.3E-2</v>
      </c>
      <c r="X362" s="232">
        <v>2.8</v>
      </c>
      <c r="Y362" s="231">
        <v>408</v>
      </c>
      <c r="Z362" s="231">
        <v>10.4</v>
      </c>
      <c r="AA362" s="241">
        <v>2.5150000000000001</v>
      </c>
      <c r="AB362" s="241">
        <v>0.39</v>
      </c>
      <c r="AC362" s="240">
        <v>4</v>
      </c>
      <c r="AD362" s="240">
        <v>0</v>
      </c>
      <c r="AE362" s="233">
        <v>18.2</v>
      </c>
      <c r="AF362" s="233">
        <v>3.79</v>
      </c>
      <c r="AG362" s="240">
        <v>8</v>
      </c>
      <c r="AH362" s="240">
        <f t="shared" si="38"/>
        <v>26.64</v>
      </c>
      <c r="AI362" s="236">
        <f t="shared" si="39"/>
        <v>8</v>
      </c>
      <c r="AJ362" s="252"/>
      <c r="AK362" s="233"/>
      <c r="AL362" s="216"/>
      <c r="AM362" s="236">
        <v>0</v>
      </c>
      <c r="AN362" s="236">
        <v>0</v>
      </c>
      <c r="AO362" s="236">
        <v>0</v>
      </c>
      <c r="AP362" s="236">
        <v>0</v>
      </c>
      <c r="AQ362" s="236">
        <v>0</v>
      </c>
      <c r="AR362" s="236">
        <v>0</v>
      </c>
      <c r="AS362" s="236">
        <v>0</v>
      </c>
      <c r="AT362" s="236">
        <v>0</v>
      </c>
      <c r="AU362" s="236">
        <v>0</v>
      </c>
      <c r="AV362" s="231"/>
      <c r="AW362" s="236">
        <v>1.1599999999999999</v>
      </c>
      <c r="AX362" s="242">
        <v>0.59</v>
      </c>
      <c r="AY362" s="242">
        <v>0</v>
      </c>
      <c r="AZ362" s="242">
        <v>0.45</v>
      </c>
      <c r="BA362" s="242">
        <v>0</v>
      </c>
      <c r="BB362" s="242">
        <v>0</v>
      </c>
      <c r="BC362" s="242">
        <v>0</v>
      </c>
      <c r="BD362" s="242">
        <v>1.02</v>
      </c>
      <c r="BE362" s="231">
        <v>0</v>
      </c>
      <c r="BF362" s="242">
        <v>0.1</v>
      </c>
      <c r="BG362" s="242">
        <v>0.9</v>
      </c>
      <c r="BH362" s="242">
        <v>1.1200000000000001</v>
      </c>
      <c r="BI362" s="242">
        <v>0.77</v>
      </c>
      <c r="BJ362" s="242">
        <v>0.08</v>
      </c>
      <c r="BK362" s="242">
        <v>0.27</v>
      </c>
      <c r="BL362" s="242">
        <v>0</v>
      </c>
      <c r="BM362" s="242">
        <v>0</v>
      </c>
      <c r="BN362" s="242"/>
      <c r="BO362" s="231">
        <v>131</v>
      </c>
      <c r="BP362" s="231"/>
      <c r="BQ362" s="204">
        <v>1371</v>
      </c>
      <c r="BR362" s="204">
        <v>406</v>
      </c>
      <c r="BS362" s="204">
        <v>222</v>
      </c>
      <c r="BT362" s="204">
        <v>762</v>
      </c>
      <c r="BU362" s="204">
        <v>762</v>
      </c>
      <c r="BV362" s="204">
        <v>965</v>
      </c>
      <c r="BW362" s="204">
        <v>1490</v>
      </c>
      <c r="BX362" s="204">
        <v>846</v>
      </c>
      <c r="BY362" s="204">
        <v>1049</v>
      </c>
      <c r="BZ362" s="204">
        <v>422</v>
      </c>
      <c r="CA362" s="204">
        <v>170</v>
      </c>
      <c r="CB362" s="204">
        <v>627</v>
      </c>
      <c r="CC362" s="204">
        <v>1100</v>
      </c>
      <c r="CD362" s="204">
        <v>1760</v>
      </c>
      <c r="CE362" s="204">
        <v>2488</v>
      </c>
      <c r="CF362" s="204">
        <v>914</v>
      </c>
      <c r="CG362" s="204">
        <v>811</v>
      </c>
      <c r="CH362" s="204">
        <v>762</v>
      </c>
      <c r="CI362" s="231"/>
    </row>
    <row r="363" spans="1:101" ht="25.2" customHeight="1" outlineLevel="1">
      <c r="A363" s="204">
        <v>341</v>
      </c>
      <c r="B363" s="207">
        <v>7058</v>
      </c>
      <c r="C363" s="208" t="s">
        <v>538</v>
      </c>
      <c r="D363" s="194" t="s">
        <v>468</v>
      </c>
      <c r="E363" s="209">
        <f t="shared" si="36"/>
        <v>75.400000000000006</v>
      </c>
      <c r="F363" s="216">
        <v>80.400000000000006</v>
      </c>
      <c r="G363" s="217">
        <v>18</v>
      </c>
      <c r="H363" s="218">
        <v>0.2</v>
      </c>
      <c r="I363" s="230">
        <f t="shared" si="37"/>
        <v>0.39999999999999097</v>
      </c>
      <c r="J363" s="216">
        <v>0</v>
      </c>
      <c r="K363" s="216">
        <v>1</v>
      </c>
      <c r="L363" s="233"/>
      <c r="M363" s="216">
        <v>8</v>
      </c>
      <c r="N363" s="216">
        <v>31</v>
      </c>
      <c r="O363" s="216">
        <v>52.6</v>
      </c>
      <c r="P363" s="216"/>
      <c r="Q363" s="216">
        <v>0.09</v>
      </c>
      <c r="R363" s="216">
        <v>0.03</v>
      </c>
      <c r="S363" s="216">
        <v>0.6</v>
      </c>
      <c r="T363" s="231"/>
      <c r="U363" s="231"/>
      <c r="V363" s="231"/>
      <c r="W363" s="242"/>
      <c r="X363" s="232"/>
      <c r="Y363" s="231"/>
      <c r="Z363" s="231"/>
      <c r="AA363" s="241"/>
      <c r="AB363" s="241"/>
      <c r="AC363" s="240"/>
      <c r="AD363" s="240"/>
      <c r="AE363" s="233"/>
      <c r="AF363" s="233"/>
      <c r="AG363" s="240">
        <v>30</v>
      </c>
      <c r="AH363" s="240">
        <f t="shared" si="38"/>
        <v>99.9</v>
      </c>
      <c r="AI363" s="236">
        <f t="shared" si="39"/>
        <v>30</v>
      </c>
      <c r="AJ363" s="252"/>
      <c r="AK363" s="233"/>
      <c r="AL363" s="216"/>
      <c r="AM363" s="236">
        <v>0</v>
      </c>
      <c r="AN363" s="236">
        <v>0</v>
      </c>
      <c r="AO363" s="236">
        <v>0</v>
      </c>
      <c r="AP363" s="236">
        <v>0</v>
      </c>
      <c r="AQ363" s="236">
        <v>0</v>
      </c>
      <c r="AR363" s="236">
        <v>0</v>
      </c>
      <c r="AS363" s="236">
        <v>0</v>
      </c>
      <c r="AT363" s="236">
        <v>0</v>
      </c>
      <c r="AU363" s="236">
        <v>0</v>
      </c>
      <c r="AV363" s="231"/>
      <c r="AW363" s="236"/>
      <c r="AX363" s="242"/>
      <c r="AY363" s="242"/>
      <c r="AZ363" s="242"/>
      <c r="BA363" s="242"/>
      <c r="BB363" s="242"/>
      <c r="BC363" s="242"/>
      <c r="BD363" s="242"/>
      <c r="BE363" s="231"/>
      <c r="BF363" s="242"/>
      <c r="BG363" s="242"/>
      <c r="BH363" s="242"/>
      <c r="BI363" s="242"/>
      <c r="BJ363" s="242"/>
      <c r="BK363" s="242"/>
      <c r="BL363" s="242"/>
      <c r="BM363" s="242"/>
      <c r="BN363" s="242"/>
      <c r="BO363" s="231"/>
      <c r="BP363" s="231"/>
      <c r="BQ363" s="204">
        <v>3269</v>
      </c>
      <c r="BR363" s="204">
        <v>781</v>
      </c>
      <c r="BS363" s="204"/>
      <c r="BT363" s="204">
        <v>1438</v>
      </c>
      <c r="BU363" s="204">
        <v>1281</v>
      </c>
      <c r="BV363" s="204">
        <v>2125</v>
      </c>
      <c r="BW363" s="204">
        <v>2800</v>
      </c>
      <c r="BX363" s="204">
        <v>403</v>
      </c>
      <c r="BY363" s="204">
        <v>1246</v>
      </c>
      <c r="BZ363" s="204">
        <v>1932</v>
      </c>
      <c r="CA363" s="204">
        <v>1735</v>
      </c>
      <c r="CB363" s="204">
        <v>774</v>
      </c>
      <c r="CC363" s="204"/>
      <c r="CD363" s="204"/>
      <c r="CE363" s="204"/>
      <c r="CF363" s="204"/>
      <c r="CG363" s="204"/>
      <c r="CH363" s="204"/>
      <c r="CI363" s="231"/>
    </row>
    <row r="364" spans="1:101" ht="25.2" customHeight="1" outlineLevel="1">
      <c r="A364" s="204">
        <v>342</v>
      </c>
      <c r="B364" s="207">
        <v>7059</v>
      </c>
      <c r="C364" s="208" t="s">
        <v>539</v>
      </c>
      <c r="D364" s="194" t="s">
        <v>468</v>
      </c>
      <c r="E364" s="209">
        <f t="shared" si="36"/>
        <v>43.7</v>
      </c>
      <c r="F364" s="216">
        <v>86.8</v>
      </c>
      <c r="G364" s="217">
        <v>10.7</v>
      </c>
      <c r="H364" s="218">
        <v>0.1</v>
      </c>
      <c r="I364" s="230">
        <f t="shared" si="37"/>
        <v>0</v>
      </c>
      <c r="J364" s="216">
        <v>0</v>
      </c>
      <c r="K364" s="216">
        <v>2.4</v>
      </c>
      <c r="L364" s="233">
        <v>0</v>
      </c>
      <c r="M364" s="216">
        <v>7</v>
      </c>
      <c r="N364" s="216">
        <v>12</v>
      </c>
      <c r="O364" s="216">
        <v>25.9</v>
      </c>
      <c r="P364" s="216"/>
      <c r="Q364" s="216">
        <v>0</v>
      </c>
      <c r="R364" s="216">
        <v>0.1</v>
      </c>
      <c r="S364" s="216">
        <v>0.6</v>
      </c>
      <c r="T364" s="231">
        <v>343</v>
      </c>
      <c r="U364" s="231">
        <v>131</v>
      </c>
      <c r="V364" s="231">
        <v>65</v>
      </c>
      <c r="W364" s="242"/>
      <c r="X364" s="232"/>
      <c r="Y364" s="231"/>
      <c r="Z364" s="231"/>
      <c r="AA364" s="241"/>
      <c r="AB364" s="241"/>
      <c r="AC364" s="240"/>
      <c r="AD364" s="240"/>
      <c r="AE364" s="233"/>
      <c r="AF364" s="233"/>
      <c r="AG364" s="240">
        <v>93</v>
      </c>
      <c r="AH364" s="240">
        <f t="shared" si="38"/>
        <v>309.69</v>
      </c>
      <c r="AI364" s="236">
        <f t="shared" si="39"/>
        <v>93</v>
      </c>
      <c r="AJ364" s="252"/>
      <c r="AK364" s="233"/>
      <c r="AL364" s="216"/>
      <c r="AM364" s="236">
        <v>0</v>
      </c>
      <c r="AN364" s="236">
        <v>0</v>
      </c>
      <c r="AO364" s="236">
        <v>0</v>
      </c>
      <c r="AP364" s="236">
        <v>0</v>
      </c>
      <c r="AQ364" s="236">
        <v>0</v>
      </c>
      <c r="AR364" s="236">
        <v>0</v>
      </c>
      <c r="AS364" s="236">
        <v>0</v>
      </c>
      <c r="AT364" s="236">
        <v>0</v>
      </c>
      <c r="AU364" s="236">
        <v>0</v>
      </c>
      <c r="AV364" s="231"/>
      <c r="AW364" s="236"/>
      <c r="AX364" s="242"/>
      <c r="AY364" s="242"/>
      <c r="AZ364" s="242"/>
      <c r="BA364" s="242"/>
      <c r="BB364" s="242"/>
      <c r="BC364" s="242"/>
      <c r="BD364" s="242"/>
      <c r="BE364" s="231"/>
      <c r="BF364" s="242"/>
      <c r="BG364" s="242"/>
      <c r="BH364" s="242"/>
      <c r="BI364" s="242"/>
      <c r="BJ364" s="242"/>
      <c r="BK364" s="242"/>
      <c r="BL364" s="242"/>
      <c r="BM364" s="242"/>
      <c r="BN364" s="242"/>
      <c r="BO364" s="231"/>
      <c r="BP364" s="231"/>
      <c r="BQ364" s="231"/>
      <c r="BR364" s="231"/>
      <c r="BS364" s="231"/>
      <c r="BT364" s="231"/>
      <c r="BU364" s="231"/>
      <c r="BV364" s="231"/>
      <c r="BW364" s="231"/>
      <c r="BX364" s="231"/>
      <c r="BY364" s="231"/>
      <c r="BZ364" s="231"/>
      <c r="CA364" s="231"/>
      <c r="CB364" s="231"/>
      <c r="CC364" s="231"/>
      <c r="CD364" s="231"/>
      <c r="CE364" s="231"/>
      <c r="CF364" s="231"/>
      <c r="CG364" s="231"/>
      <c r="CH364" s="231"/>
      <c r="CI364" s="231"/>
      <c r="CS364" s="172"/>
    </row>
    <row r="365" spans="1:101" ht="25.2" customHeight="1" outlineLevel="1">
      <c r="A365" s="204">
        <v>343</v>
      </c>
      <c r="B365" s="207">
        <v>7060</v>
      </c>
      <c r="C365" s="208" t="s">
        <v>540</v>
      </c>
      <c r="D365" s="194" t="s">
        <v>468</v>
      </c>
      <c r="E365" s="209">
        <f t="shared" si="36"/>
        <v>24.5</v>
      </c>
      <c r="F365" s="216">
        <v>91.9</v>
      </c>
      <c r="G365" s="217">
        <v>5.7</v>
      </c>
      <c r="H365" s="218">
        <v>0.1</v>
      </c>
      <c r="I365" s="230">
        <f t="shared" si="37"/>
        <v>0.20000000000000301</v>
      </c>
      <c r="J365" s="216">
        <v>0</v>
      </c>
      <c r="K365" s="216">
        <v>2.1</v>
      </c>
      <c r="L365" s="233"/>
      <c r="M365" s="216">
        <v>7</v>
      </c>
      <c r="N365" s="216">
        <v>7</v>
      </c>
      <c r="O365" s="216">
        <v>20.399999999999999</v>
      </c>
      <c r="P365" s="216"/>
      <c r="Q365" s="216"/>
      <c r="R365" s="216">
        <v>0.1</v>
      </c>
      <c r="S365" s="216">
        <v>0.6</v>
      </c>
      <c r="T365" s="231"/>
      <c r="U365" s="231"/>
      <c r="V365" s="231"/>
      <c r="W365" s="242"/>
      <c r="X365" s="232"/>
      <c r="Y365" s="231"/>
      <c r="Z365" s="231"/>
      <c r="AA365" s="241"/>
      <c r="AB365" s="241"/>
      <c r="AC365" s="240"/>
      <c r="AD365" s="240"/>
      <c r="AE365" s="233"/>
      <c r="AF365" s="233"/>
      <c r="AG365" s="240">
        <v>25.83</v>
      </c>
      <c r="AH365" s="240">
        <f t="shared" si="38"/>
        <v>86.013900000000007</v>
      </c>
      <c r="AI365" s="236">
        <f t="shared" si="39"/>
        <v>25.83</v>
      </c>
      <c r="AJ365" s="252"/>
      <c r="AK365" s="233"/>
      <c r="AL365" s="216"/>
      <c r="AM365" s="236">
        <v>0</v>
      </c>
      <c r="AN365" s="236">
        <v>0</v>
      </c>
      <c r="AO365" s="236">
        <v>0</v>
      </c>
      <c r="AP365" s="236">
        <v>0</v>
      </c>
      <c r="AQ365" s="236">
        <v>0</v>
      </c>
      <c r="AR365" s="236">
        <v>0</v>
      </c>
      <c r="AS365" s="236">
        <v>0</v>
      </c>
      <c r="AT365" s="236">
        <v>0</v>
      </c>
      <c r="AU365" s="236">
        <v>0</v>
      </c>
      <c r="AV365" s="231"/>
      <c r="AW365" s="236"/>
      <c r="AX365" s="242"/>
      <c r="AY365" s="242"/>
      <c r="AZ365" s="242"/>
      <c r="BA365" s="242"/>
      <c r="BB365" s="242"/>
      <c r="BC365" s="242"/>
      <c r="BD365" s="242"/>
      <c r="BE365" s="231"/>
      <c r="BF365" s="242"/>
      <c r="BG365" s="242"/>
      <c r="BH365" s="242"/>
      <c r="BI365" s="242"/>
      <c r="BJ365" s="242"/>
      <c r="BK365" s="242"/>
      <c r="BL365" s="242"/>
      <c r="BM365" s="242"/>
      <c r="BN365" s="242"/>
      <c r="BO365" s="231"/>
      <c r="BP365" s="231"/>
      <c r="BQ365" s="204">
        <v>800</v>
      </c>
      <c r="BR365" s="204">
        <v>134</v>
      </c>
      <c r="BS365" s="204"/>
      <c r="BT365" s="204">
        <v>410</v>
      </c>
      <c r="BU365" s="204">
        <v>268</v>
      </c>
      <c r="BV365" s="204">
        <v>608</v>
      </c>
      <c r="BW365" s="204">
        <v>473</v>
      </c>
      <c r="BX365" s="204">
        <v>173</v>
      </c>
      <c r="BY365" s="204">
        <v>383</v>
      </c>
      <c r="BZ365" s="204">
        <v>593</v>
      </c>
      <c r="CA365" s="204">
        <v>50</v>
      </c>
      <c r="CB365" s="204">
        <v>716</v>
      </c>
      <c r="CC365" s="204"/>
      <c r="CD365" s="204"/>
      <c r="CE365" s="204"/>
      <c r="CF365" s="204"/>
      <c r="CG365" s="204"/>
      <c r="CH365" s="204"/>
      <c r="CI365" s="231"/>
    </row>
    <row r="366" spans="1:101" ht="25.2" customHeight="1" outlineLevel="1">
      <c r="A366" s="204">
        <v>344</v>
      </c>
      <c r="B366" s="207">
        <v>7061</v>
      </c>
      <c r="C366" s="208" t="s">
        <v>541</v>
      </c>
      <c r="D366" s="194" t="s">
        <v>468</v>
      </c>
      <c r="E366" s="209">
        <f t="shared" si="36"/>
        <v>813.5</v>
      </c>
      <c r="F366" s="216">
        <v>8.6999999999999993</v>
      </c>
      <c r="G366" s="217">
        <v>1.1000000000000001</v>
      </c>
      <c r="H366" s="218">
        <v>89.9</v>
      </c>
      <c r="I366" s="230">
        <f t="shared" si="37"/>
        <v>0</v>
      </c>
      <c r="J366" s="216">
        <v>0</v>
      </c>
      <c r="K366" s="216">
        <v>0.3</v>
      </c>
      <c r="L366" s="233">
        <v>0</v>
      </c>
      <c r="M366" s="216">
        <v>89</v>
      </c>
      <c r="N366" s="216"/>
      <c r="O366" s="216"/>
      <c r="P366" s="216"/>
      <c r="Q366" s="216"/>
      <c r="R366" s="216">
        <v>0.01</v>
      </c>
      <c r="S366" s="216">
        <v>0.1</v>
      </c>
      <c r="T366" s="231"/>
      <c r="U366" s="231"/>
      <c r="V366" s="231"/>
      <c r="W366" s="242"/>
      <c r="X366" s="232"/>
      <c r="Y366" s="231"/>
      <c r="Z366" s="231"/>
      <c r="AA366" s="241"/>
      <c r="AB366" s="241"/>
      <c r="AC366" s="240"/>
      <c r="AD366" s="240"/>
      <c r="AE366" s="233"/>
      <c r="AF366" s="233"/>
      <c r="AG366" s="240"/>
      <c r="AH366" s="240">
        <f t="shared" si="38"/>
        <v>0</v>
      </c>
      <c r="AI366" s="236">
        <f t="shared" si="39"/>
        <v>0</v>
      </c>
      <c r="AJ366" s="252"/>
      <c r="AK366" s="233"/>
      <c r="AL366" s="216"/>
      <c r="AM366" s="236">
        <v>0</v>
      </c>
      <c r="AN366" s="236">
        <v>0</v>
      </c>
      <c r="AO366" s="236">
        <v>0</v>
      </c>
      <c r="AP366" s="236">
        <v>0</v>
      </c>
      <c r="AQ366" s="236">
        <v>0</v>
      </c>
      <c r="AR366" s="236">
        <v>0</v>
      </c>
      <c r="AS366" s="236">
        <v>0</v>
      </c>
      <c r="AT366" s="236">
        <v>0</v>
      </c>
      <c r="AU366" s="236">
        <v>0</v>
      </c>
      <c r="AV366" s="231"/>
      <c r="AW366" s="236"/>
      <c r="AX366" s="242"/>
      <c r="AY366" s="242"/>
      <c r="AZ366" s="242"/>
      <c r="BA366" s="242"/>
      <c r="BB366" s="242"/>
      <c r="BC366" s="242"/>
      <c r="BD366" s="242"/>
      <c r="BE366" s="231"/>
      <c r="BF366" s="242"/>
      <c r="BG366" s="242"/>
      <c r="BH366" s="242"/>
      <c r="BI366" s="242"/>
      <c r="BJ366" s="242"/>
      <c r="BK366" s="242"/>
      <c r="BL366" s="242"/>
      <c r="BM366" s="242"/>
      <c r="BN366" s="242"/>
      <c r="BO366" s="231"/>
      <c r="BP366" s="231"/>
      <c r="BQ366" s="231"/>
      <c r="BR366" s="231"/>
      <c r="BS366" s="231"/>
      <c r="BT366" s="231"/>
      <c r="BU366" s="231"/>
      <c r="BV366" s="231"/>
      <c r="BW366" s="231"/>
      <c r="BX366" s="231"/>
      <c r="BY366" s="231"/>
      <c r="BZ366" s="231"/>
      <c r="CA366" s="231"/>
      <c r="CB366" s="231"/>
      <c r="CC366" s="231"/>
      <c r="CD366" s="231"/>
      <c r="CE366" s="231"/>
      <c r="CF366" s="231"/>
      <c r="CG366" s="231"/>
      <c r="CH366" s="231"/>
      <c r="CI366" s="231"/>
    </row>
    <row r="367" spans="1:101" ht="25.2" customHeight="1" outlineLevel="1">
      <c r="A367" s="204">
        <v>345</v>
      </c>
      <c r="B367" s="207">
        <v>7062</v>
      </c>
      <c r="C367" s="208" t="s">
        <v>542</v>
      </c>
      <c r="D367" s="194" t="s">
        <v>468</v>
      </c>
      <c r="E367" s="209">
        <f t="shared" si="36"/>
        <v>749</v>
      </c>
      <c r="F367" s="216">
        <v>15</v>
      </c>
      <c r="G367" s="217">
        <v>2.2999999999999998</v>
      </c>
      <c r="H367" s="218">
        <v>82.2</v>
      </c>
      <c r="I367" s="230">
        <f t="shared" si="37"/>
        <v>0</v>
      </c>
      <c r="J367" s="216">
        <v>0</v>
      </c>
      <c r="K367" s="216">
        <v>0.5</v>
      </c>
      <c r="L367" s="233">
        <v>0</v>
      </c>
      <c r="M367" s="233"/>
      <c r="N367" s="233"/>
      <c r="O367" s="233"/>
      <c r="P367" s="233"/>
      <c r="Q367" s="233"/>
      <c r="R367" s="233"/>
      <c r="S367" s="233"/>
      <c r="T367" s="231"/>
      <c r="U367" s="231"/>
      <c r="V367" s="231"/>
      <c r="W367" s="242"/>
      <c r="X367" s="232"/>
      <c r="Y367" s="231"/>
      <c r="Z367" s="231"/>
      <c r="AA367" s="241"/>
      <c r="AB367" s="241"/>
      <c r="AC367" s="240"/>
      <c r="AD367" s="240"/>
      <c r="AE367" s="233"/>
      <c r="AF367" s="233"/>
      <c r="AG367" s="240"/>
      <c r="AH367" s="240">
        <f t="shared" si="38"/>
        <v>0</v>
      </c>
      <c r="AI367" s="236">
        <f t="shared" si="39"/>
        <v>0</v>
      </c>
      <c r="AJ367" s="252"/>
      <c r="AK367" s="233"/>
      <c r="AL367" s="216"/>
      <c r="AM367" s="236">
        <v>0</v>
      </c>
      <c r="AN367" s="236">
        <v>0</v>
      </c>
      <c r="AO367" s="236">
        <v>0</v>
      </c>
      <c r="AP367" s="236">
        <v>0</v>
      </c>
      <c r="AQ367" s="236">
        <v>0</v>
      </c>
      <c r="AR367" s="236">
        <v>0</v>
      </c>
      <c r="AS367" s="236">
        <v>0</v>
      </c>
      <c r="AT367" s="236">
        <v>0</v>
      </c>
      <c r="AU367" s="236">
        <v>0</v>
      </c>
      <c r="AV367" s="231"/>
      <c r="AW367" s="236"/>
      <c r="AX367" s="242"/>
      <c r="AY367" s="242"/>
      <c r="AZ367" s="242"/>
      <c r="BA367" s="242"/>
      <c r="BB367" s="242"/>
      <c r="BC367" s="242"/>
      <c r="BD367" s="242"/>
      <c r="BE367" s="231"/>
      <c r="BF367" s="242"/>
      <c r="BG367" s="242"/>
      <c r="BH367" s="242"/>
      <c r="BI367" s="242"/>
      <c r="BJ367" s="242"/>
      <c r="BK367" s="242"/>
      <c r="BL367" s="242"/>
      <c r="BM367" s="242"/>
      <c r="BN367" s="242"/>
      <c r="BO367" s="231"/>
      <c r="BP367" s="231"/>
      <c r="BQ367" s="231"/>
      <c r="BR367" s="231"/>
      <c r="BS367" s="231"/>
      <c r="BT367" s="231"/>
      <c r="BU367" s="231"/>
      <c r="BV367" s="231"/>
      <c r="BW367" s="231"/>
      <c r="BX367" s="231"/>
      <c r="BY367" s="231"/>
      <c r="BZ367" s="231"/>
      <c r="CA367" s="231"/>
      <c r="CB367" s="231"/>
      <c r="CC367" s="231"/>
      <c r="CD367" s="231"/>
      <c r="CE367" s="231"/>
      <c r="CF367" s="231"/>
      <c r="CG367" s="231"/>
      <c r="CH367" s="231"/>
      <c r="CI367" s="231"/>
    </row>
    <row r="368" spans="1:101" ht="25.2" customHeight="1" outlineLevel="1">
      <c r="A368" s="204">
        <v>346</v>
      </c>
      <c r="B368" s="207">
        <v>7063</v>
      </c>
      <c r="C368" s="208" t="s">
        <v>543</v>
      </c>
      <c r="D368" s="194" t="s">
        <v>468</v>
      </c>
      <c r="E368" s="209">
        <f t="shared" si="36"/>
        <v>326.2</v>
      </c>
      <c r="F368" s="216">
        <v>47.5</v>
      </c>
      <c r="G368" s="217">
        <v>10.8</v>
      </c>
      <c r="H368" s="218">
        <v>24.6</v>
      </c>
      <c r="I368" s="230">
        <f t="shared" si="37"/>
        <v>15.4</v>
      </c>
      <c r="J368" s="216">
        <v>0</v>
      </c>
      <c r="K368" s="216">
        <v>1.7</v>
      </c>
      <c r="L368" s="233"/>
      <c r="M368" s="233">
        <v>25.7</v>
      </c>
      <c r="N368" s="233">
        <v>88</v>
      </c>
      <c r="O368" s="233">
        <v>4.2</v>
      </c>
      <c r="P368" s="233">
        <v>0</v>
      </c>
      <c r="Q368" s="233"/>
      <c r="R368" s="233"/>
      <c r="S368" s="233"/>
      <c r="T368" s="231">
        <v>95</v>
      </c>
      <c r="U368" s="231">
        <v>166</v>
      </c>
      <c r="V368" s="231">
        <v>100</v>
      </c>
      <c r="W368" s="242"/>
      <c r="X368" s="232"/>
      <c r="Y368" s="231"/>
      <c r="Z368" s="231"/>
      <c r="AA368" s="241"/>
      <c r="AB368" s="241"/>
      <c r="AC368" s="240"/>
      <c r="AD368" s="240"/>
      <c r="AE368" s="233"/>
      <c r="AF368" s="233"/>
      <c r="AG368" s="240">
        <v>1128</v>
      </c>
      <c r="AH368" s="240">
        <f t="shared" si="38"/>
        <v>3756.24</v>
      </c>
      <c r="AI368" s="236">
        <f t="shared" si="39"/>
        <v>1128</v>
      </c>
      <c r="AJ368" s="252"/>
      <c r="AK368" s="233"/>
      <c r="AL368" s="216"/>
      <c r="AM368" s="236">
        <v>0</v>
      </c>
      <c r="AN368" s="236">
        <v>0</v>
      </c>
      <c r="AO368" s="236">
        <v>0</v>
      </c>
      <c r="AP368" s="236">
        <v>0</v>
      </c>
      <c r="AQ368" s="236">
        <v>0</v>
      </c>
      <c r="AR368" s="236">
        <v>0</v>
      </c>
      <c r="AS368" s="236">
        <v>0</v>
      </c>
      <c r="AT368" s="236">
        <v>0</v>
      </c>
      <c r="AU368" s="236">
        <v>0</v>
      </c>
      <c r="AV368" s="231"/>
      <c r="AW368" s="236"/>
      <c r="AX368" s="242"/>
      <c r="AY368" s="242"/>
      <c r="AZ368" s="242"/>
      <c r="BA368" s="242"/>
      <c r="BB368" s="242"/>
      <c r="BC368" s="242"/>
      <c r="BD368" s="242"/>
      <c r="BE368" s="231"/>
      <c r="BF368" s="242"/>
      <c r="BG368" s="242"/>
      <c r="BH368" s="242"/>
      <c r="BI368" s="242"/>
      <c r="BJ368" s="242"/>
      <c r="BK368" s="242"/>
      <c r="BL368" s="242"/>
      <c r="BM368" s="242"/>
      <c r="BN368" s="242"/>
      <c r="BO368" s="231"/>
      <c r="BP368" s="231"/>
      <c r="BQ368" s="231"/>
      <c r="BR368" s="231"/>
      <c r="BS368" s="231"/>
      <c r="BT368" s="231"/>
      <c r="BU368" s="231"/>
      <c r="BV368" s="231"/>
      <c r="BW368" s="231"/>
      <c r="BX368" s="231"/>
      <c r="BY368" s="231"/>
      <c r="BZ368" s="231"/>
      <c r="CA368" s="231"/>
      <c r="CB368" s="231"/>
      <c r="CC368" s="231"/>
      <c r="CD368" s="231"/>
      <c r="CE368" s="231"/>
      <c r="CF368" s="231"/>
      <c r="CG368" s="231"/>
      <c r="CH368" s="231"/>
      <c r="CI368" s="231"/>
    </row>
    <row r="369" spans="1:99" ht="25.2" customHeight="1" outlineLevel="1">
      <c r="A369" s="204">
        <v>347</v>
      </c>
      <c r="B369" s="207">
        <v>7064</v>
      </c>
      <c r="C369" s="208" t="s">
        <v>544</v>
      </c>
      <c r="D369" s="194" t="s">
        <v>468</v>
      </c>
      <c r="E369" s="209">
        <f t="shared" si="36"/>
        <v>517.20000000000005</v>
      </c>
      <c r="F369" s="216">
        <v>32.6</v>
      </c>
      <c r="G369" s="217">
        <v>10.8</v>
      </c>
      <c r="H369" s="218">
        <v>50.4</v>
      </c>
      <c r="I369" s="230">
        <f t="shared" si="37"/>
        <v>5.0999999999999899</v>
      </c>
      <c r="J369" s="216">
        <v>0</v>
      </c>
      <c r="K369" s="216">
        <v>1.1000000000000001</v>
      </c>
      <c r="L369" s="233"/>
      <c r="M369" s="233">
        <v>20</v>
      </c>
      <c r="N369" s="233">
        <v>100</v>
      </c>
      <c r="O369" s="233">
        <v>1.8</v>
      </c>
      <c r="P369" s="233">
        <v>0</v>
      </c>
      <c r="Q369" s="233">
        <v>1</v>
      </c>
      <c r="R369" s="233">
        <v>0.31</v>
      </c>
      <c r="S369" s="233">
        <v>6</v>
      </c>
      <c r="T369" s="231">
        <v>339</v>
      </c>
      <c r="U369" s="231">
        <v>407</v>
      </c>
      <c r="V369" s="231">
        <v>192</v>
      </c>
      <c r="W369" s="242"/>
      <c r="X369" s="232">
        <v>4.5999999999999996</v>
      </c>
      <c r="Y369" s="231"/>
      <c r="Z369" s="231"/>
      <c r="AA369" s="241"/>
      <c r="AB369" s="241">
        <v>0.56000000000000005</v>
      </c>
      <c r="AC369" s="240"/>
      <c r="AD369" s="240"/>
      <c r="AE369" s="233"/>
      <c r="AF369" s="233">
        <v>0.77</v>
      </c>
      <c r="AG369" s="240"/>
      <c r="AH369" s="240">
        <f t="shared" si="38"/>
        <v>0</v>
      </c>
      <c r="AI369" s="236">
        <f t="shared" si="39"/>
        <v>0</v>
      </c>
      <c r="AJ369" s="252"/>
      <c r="AK369" s="233"/>
      <c r="AL369" s="216"/>
      <c r="AM369" s="236">
        <v>0</v>
      </c>
      <c r="AN369" s="236">
        <v>0</v>
      </c>
      <c r="AO369" s="236">
        <v>0</v>
      </c>
      <c r="AP369" s="236">
        <v>0</v>
      </c>
      <c r="AQ369" s="236">
        <v>0</v>
      </c>
      <c r="AR369" s="236">
        <v>0</v>
      </c>
      <c r="AS369" s="236">
        <v>0</v>
      </c>
      <c r="AT369" s="236">
        <v>0</v>
      </c>
      <c r="AU369" s="236">
        <v>0</v>
      </c>
      <c r="AV369" s="231"/>
      <c r="AW369" s="236"/>
      <c r="AX369" s="242"/>
      <c r="AY369" s="242"/>
      <c r="AZ369" s="242"/>
      <c r="BA369" s="242"/>
      <c r="BB369" s="242"/>
      <c r="BC369" s="242"/>
      <c r="BD369" s="242"/>
      <c r="BE369" s="231"/>
      <c r="BF369" s="242"/>
      <c r="BG369" s="242"/>
      <c r="BH369" s="242"/>
      <c r="BI369" s="242"/>
      <c r="BJ369" s="242"/>
      <c r="BK369" s="242"/>
      <c r="BL369" s="242"/>
      <c r="BM369" s="242"/>
      <c r="BN369" s="242"/>
      <c r="BO369" s="231"/>
      <c r="BP369" s="231"/>
      <c r="BQ369" s="231"/>
      <c r="BR369" s="231"/>
      <c r="BS369" s="231"/>
      <c r="BT369" s="231"/>
      <c r="BU369" s="231"/>
      <c r="BV369" s="231"/>
      <c r="BW369" s="231"/>
      <c r="BX369" s="231"/>
      <c r="BY369" s="231"/>
      <c r="BZ369" s="231"/>
      <c r="CA369" s="231"/>
      <c r="CB369" s="231"/>
      <c r="CC369" s="231"/>
      <c r="CD369" s="231"/>
      <c r="CE369" s="231"/>
      <c r="CF369" s="231"/>
      <c r="CG369" s="231"/>
      <c r="CH369" s="231"/>
      <c r="CI369" s="231"/>
      <c r="CT369" s="172"/>
      <c r="CU369" s="172"/>
    </row>
    <row r="370" spans="1:99" ht="25.2" customHeight="1" outlineLevel="1">
      <c r="A370" s="204">
        <v>348</v>
      </c>
      <c r="B370" s="207">
        <v>7065</v>
      </c>
      <c r="C370" s="208" t="s">
        <v>545</v>
      </c>
      <c r="D370" s="194" t="s">
        <v>468</v>
      </c>
      <c r="E370" s="209">
        <f t="shared" ref="E370:E396" si="40">G370*4+H370*9+I370*4</f>
        <v>415.8</v>
      </c>
      <c r="F370" s="216">
        <v>42.5</v>
      </c>
      <c r="G370" s="217">
        <v>16.2</v>
      </c>
      <c r="H370" s="218">
        <v>39</v>
      </c>
      <c r="I370" s="230">
        <f t="shared" ref="I370:I388" si="41">100-SUM(F370,G370,H370,K370)</f>
        <v>0</v>
      </c>
      <c r="J370" s="216">
        <v>0</v>
      </c>
      <c r="K370" s="216">
        <v>2.2999999999999998</v>
      </c>
      <c r="L370" s="233">
        <v>0</v>
      </c>
      <c r="M370" s="233">
        <v>16.399999999999999</v>
      </c>
      <c r="N370" s="233">
        <v>44.8</v>
      </c>
      <c r="O370" s="233">
        <v>2.1</v>
      </c>
      <c r="P370" s="233">
        <v>0</v>
      </c>
      <c r="Q370" s="233"/>
      <c r="R370" s="233"/>
      <c r="S370" s="233"/>
      <c r="T370" s="231"/>
      <c r="U370" s="231"/>
      <c r="V370" s="231"/>
      <c r="W370" s="242"/>
      <c r="X370" s="232"/>
      <c r="Y370" s="231"/>
      <c r="Z370" s="231"/>
      <c r="AA370" s="241"/>
      <c r="AB370" s="241"/>
      <c r="AC370" s="240"/>
      <c r="AD370" s="240"/>
      <c r="AE370" s="233"/>
      <c r="AF370" s="233"/>
      <c r="AG370" s="240"/>
      <c r="AH370" s="240">
        <f t="shared" ref="AH370:AH381" si="42">AG370*3.33</f>
        <v>0</v>
      </c>
      <c r="AI370" s="236">
        <f t="shared" ref="AI370:AI396" si="43">AG370+AM370/12+AN370/24+AO370/24</f>
        <v>0</v>
      </c>
      <c r="AJ370" s="252"/>
      <c r="AK370" s="233"/>
      <c r="AL370" s="216"/>
      <c r="AM370" s="236">
        <v>0</v>
      </c>
      <c r="AN370" s="236">
        <v>0</v>
      </c>
      <c r="AO370" s="236">
        <v>0</v>
      </c>
      <c r="AP370" s="236">
        <v>0</v>
      </c>
      <c r="AQ370" s="236">
        <v>0</v>
      </c>
      <c r="AR370" s="236">
        <v>0</v>
      </c>
      <c r="AS370" s="236">
        <v>0</v>
      </c>
      <c r="AT370" s="236">
        <v>0</v>
      </c>
      <c r="AU370" s="236">
        <v>0</v>
      </c>
      <c r="AV370" s="231"/>
      <c r="AW370" s="236"/>
      <c r="AX370" s="242"/>
      <c r="AY370" s="242"/>
      <c r="AZ370" s="242"/>
      <c r="BA370" s="242"/>
      <c r="BB370" s="242"/>
      <c r="BC370" s="242"/>
      <c r="BD370" s="242"/>
      <c r="BE370" s="231"/>
      <c r="BF370" s="242"/>
      <c r="BG370" s="242"/>
      <c r="BH370" s="242"/>
      <c r="BI370" s="242"/>
      <c r="BJ370" s="242"/>
      <c r="BK370" s="242"/>
      <c r="BL370" s="242"/>
      <c r="BM370" s="242"/>
      <c r="BN370" s="242"/>
      <c r="BO370" s="231"/>
      <c r="BP370" s="231"/>
      <c r="BQ370" s="231"/>
      <c r="BR370" s="231"/>
      <c r="BS370" s="231"/>
      <c r="BT370" s="231"/>
      <c r="BU370" s="231"/>
      <c r="BV370" s="231"/>
      <c r="BW370" s="231"/>
      <c r="BX370" s="231"/>
      <c r="BY370" s="231"/>
      <c r="BZ370" s="231"/>
      <c r="CA370" s="231"/>
      <c r="CB370" s="231"/>
      <c r="CC370" s="231"/>
      <c r="CD370" s="231"/>
      <c r="CE370" s="231"/>
      <c r="CF370" s="231"/>
      <c r="CG370" s="231"/>
      <c r="CH370" s="231"/>
      <c r="CI370" s="231"/>
    </row>
    <row r="371" spans="1:99" ht="25.2" customHeight="1" outlineLevel="1">
      <c r="A371" s="204">
        <v>349</v>
      </c>
      <c r="B371" s="207">
        <v>7066</v>
      </c>
      <c r="C371" s="208" t="s">
        <v>546</v>
      </c>
      <c r="D371" s="194" t="s">
        <v>468</v>
      </c>
      <c r="E371" s="209">
        <f t="shared" si="40"/>
        <v>318.2</v>
      </c>
      <c r="F371" s="216">
        <v>48.7</v>
      </c>
      <c r="G371" s="217">
        <v>23</v>
      </c>
      <c r="H371" s="218">
        <v>25</v>
      </c>
      <c r="I371" s="230">
        <f t="shared" si="41"/>
        <v>0.29999999999999699</v>
      </c>
      <c r="J371" s="216">
        <v>0</v>
      </c>
      <c r="K371" s="216">
        <v>3</v>
      </c>
      <c r="L371" s="233"/>
      <c r="M371" s="216">
        <v>10</v>
      </c>
      <c r="N371" s="216">
        <v>110</v>
      </c>
      <c r="O371" s="216">
        <v>2.1</v>
      </c>
      <c r="P371" s="216">
        <v>0</v>
      </c>
      <c r="Q371" s="216">
        <v>0.4</v>
      </c>
      <c r="R371" s="216">
        <v>0.19</v>
      </c>
      <c r="S371" s="216">
        <v>3.8</v>
      </c>
      <c r="T371" s="231"/>
      <c r="U371" s="231"/>
      <c r="V371" s="231"/>
      <c r="W371" s="242"/>
      <c r="X371" s="232"/>
      <c r="Y371" s="231"/>
      <c r="Z371" s="231"/>
      <c r="AA371" s="241"/>
      <c r="AB371" s="241"/>
      <c r="AC371" s="240"/>
      <c r="AD371" s="240"/>
      <c r="AE371" s="233"/>
      <c r="AF371" s="233"/>
      <c r="AG371" s="240"/>
      <c r="AH371" s="240">
        <f t="shared" si="42"/>
        <v>0</v>
      </c>
      <c r="AI371" s="236">
        <f t="shared" si="43"/>
        <v>0</v>
      </c>
      <c r="AJ371" s="252"/>
      <c r="AK371" s="233"/>
      <c r="AL371" s="216"/>
      <c r="AM371" s="236">
        <v>0</v>
      </c>
      <c r="AN371" s="236">
        <v>0</v>
      </c>
      <c r="AO371" s="236">
        <v>0</v>
      </c>
      <c r="AP371" s="236">
        <v>0</v>
      </c>
      <c r="AQ371" s="236">
        <v>0</v>
      </c>
      <c r="AR371" s="236">
        <v>0</v>
      </c>
      <c r="AS371" s="236">
        <v>0</v>
      </c>
      <c r="AT371" s="236">
        <v>0</v>
      </c>
      <c r="AU371" s="236">
        <v>0</v>
      </c>
      <c r="AV371" s="231"/>
      <c r="AW371" s="236"/>
      <c r="AX371" s="242"/>
      <c r="AY371" s="242"/>
      <c r="AZ371" s="242"/>
      <c r="BA371" s="242"/>
      <c r="BB371" s="242"/>
      <c r="BC371" s="242"/>
      <c r="BD371" s="242"/>
      <c r="BE371" s="231"/>
      <c r="BF371" s="242"/>
      <c r="BG371" s="242"/>
      <c r="BH371" s="242"/>
      <c r="BI371" s="242"/>
      <c r="BJ371" s="242"/>
      <c r="BK371" s="242"/>
      <c r="BL371" s="242"/>
      <c r="BM371" s="242"/>
      <c r="BN371" s="242"/>
      <c r="BO371" s="231"/>
      <c r="BP371" s="231"/>
      <c r="BQ371" s="204">
        <v>1864</v>
      </c>
      <c r="BR371" s="204">
        <v>621</v>
      </c>
      <c r="BS371" s="204">
        <v>313</v>
      </c>
      <c r="BT371" s="204">
        <v>961</v>
      </c>
      <c r="BU371" s="204">
        <v>1129</v>
      </c>
      <c r="BV371" s="204">
        <v>1194</v>
      </c>
      <c r="BW371" s="204">
        <v>1737</v>
      </c>
      <c r="BX371" s="204">
        <v>1178</v>
      </c>
      <c r="BY371" s="204">
        <v>1465</v>
      </c>
      <c r="BZ371" s="204">
        <v>759</v>
      </c>
      <c r="CA371" s="204">
        <v>258</v>
      </c>
      <c r="CB371" s="204">
        <v>826</v>
      </c>
      <c r="CC371" s="204">
        <v>1265</v>
      </c>
      <c r="CD371" s="204">
        <v>2054</v>
      </c>
      <c r="CE371" s="204">
        <v>3326</v>
      </c>
      <c r="CF371" s="204">
        <v>1311</v>
      </c>
      <c r="CG371" s="204">
        <v>1049</v>
      </c>
      <c r="CH371" s="204">
        <v>961</v>
      </c>
      <c r="CI371" s="231"/>
    </row>
    <row r="372" spans="1:99" ht="25.2" customHeight="1" outlineLevel="1">
      <c r="A372" s="204">
        <v>350</v>
      </c>
      <c r="B372" s="207">
        <v>7067</v>
      </c>
      <c r="C372" s="208" t="s">
        <v>547</v>
      </c>
      <c r="D372" s="194" t="s">
        <v>468</v>
      </c>
      <c r="E372" s="209">
        <f t="shared" si="40"/>
        <v>113.5</v>
      </c>
      <c r="F372" s="216">
        <v>78.900000000000006</v>
      </c>
      <c r="G372" s="217">
        <v>12.4</v>
      </c>
      <c r="H372" s="218">
        <v>7.1</v>
      </c>
      <c r="I372" s="230">
        <f t="shared" si="41"/>
        <v>0</v>
      </c>
      <c r="J372" s="216">
        <v>0</v>
      </c>
      <c r="K372" s="216">
        <v>1.6</v>
      </c>
      <c r="L372" s="233">
        <v>0</v>
      </c>
      <c r="M372" s="233">
        <v>28</v>
      </c>
      <c r="N372" s="233">
        <v>23</v>
      </c>
      <c r="O372" s="233"/>
      <c r="P372" s="233">
        <v>0</v>
      </c>
      <c r="Q372" s="233"/>
      <c r="R372" s="233"/>
      <c r="S372" s="233"/>
      <c r="T372" s="231"/>
      <c r="U372" s="231"/>
      <c r="V372" s="231"/>
      <c r="W372" s="242"/>
      <c r="X372" s="232"/>
      <c r="Y372" s="231"/>
      <c r="Z372" s="231"/>
      <c r="AA372" s="241"/>
      <c r="AB372" s="241"/>
      <c r="AC372" s="240"/>
      <c r="AD372" s="240"/>
      <c r="AE372" s="233"/>
      <c r="AF372" s="233"/>
      <c r="AG372" s="240"/>
      <c r="AH372" s="240">
        <f t="shared" si="42"/>
        <v>0</v>
      </c>
      <c r="AI372" s="236">
        <f t="shared" si="43"/>
        <v>0</v>
      </c>
      <c r="AJ372" s="252"/>
      <c r="AK372" s="233"/>
      <c r="AL372" s="216"/>
      <c r="AM372" s="236">
        <v>0</v>
      </c>
      <c r="AN372" s="236">
        <v>0</v>
      </c>
      <c r="AO372" s="236">
        <v>0</v>
      </c>
      <c r="AP372" s="236">
        <v>0</v>
      </c>
      <c r="AQ372" s="236">
        <v>0</v>
      </c>
      <c r="AR372" s="236">
        <v>0</v>
      </c>
      <c r="AS372" s="236">
        <v>0</v>
      </c>
      <c r="AT372" s="236">
        <v>0</v>
      </c>
      <c r="AU372" s="236">
        <v>0</v>
      </c>
      <c r="AV372" s="231"/>
      <c r="AW372" s="236"/>
      <c r="AX372" s="242"/>
      <c r="AY372" s="242"/>
      <c r="AZ372" s="242"/>
      <c r="BA372" s="242"/>
      <c r="BB372" s="242"/>
      <c r="BC372" s="242"/>
      <c r="BD372" s="242"/>
      <c r="BE372" s="231"/>
      <c r="BF372" s="242"/>
      <c r="BG372" s="242"/>
      <c r="BH372" s="242"/>
      <c r="BI372" s="242"/>
      <c r="BJ372" s="242"/>
      <c r="BK372" s="242"/>
      <c r="BL372" s="242"/>
      <c r="BM372" s="242"/>
      <c r="BN372" s="242"/>
      <c r="BO372" s="231"/>
      <c r="BP372" s="231"/>
      <c r="BQ372" s="204"/>
      <c r="BR372" s="204"/>
      <c r="BS372" s="204"/>
      <c r="BT372" s="204"/>
      <c r="BU372" s="204"/>
      <c r="BV372" s="204"/>
      <c r="BW372" s="204"/>
      <c r="BX372" s="204"/>
      <c r="BY372" s="204"/>
      <c r="BZ372" s="204"/>
      <c r="CA372" s="204"/>
      <c r="CB372" s="204"/>
      <c r="CC372" s="204"/>
      <c r="CD372" s="204"/>
      <c r="CE372" s="204"/>
      <c r="CF372" s="204"/>
      <c r="CG372" s="204"/>
      <c r="CH372" s="204"/>
      <c r="CI372" s="231"/>
    </row>
    <row r="373" spans="1:99" ht="25.2" customHeight="1" outlineLevel="1">
      <c r="A373" s="204">
        <v>351</v>
      </c>
      <c r="B373" s="207">
        <v>7068</v>
      </c>
      <c r="C373" s="208" t="s">
        <v>548</v>
      </c>
      <c r="D373" s="194" t="s">
        <v>468</v>
      </c>
      <c r="E373" s="240">
        <f t="shared" si="40"/>
        <v>335.4</v>
      </c>
      <c r="F373" s="222">
        <v>50.3</v>
      </c>
      <c r="G373" s="220">
        <v>18.2</v>
      </c>
      <c r="H373" s="221">
        <v>29</v>
      </c>
      <c r="I373" s="234">
        <f t="shared" si="41"/>
        <v>0.40000000000000602</v>
      </c>
      <c r="J373" s="235">
        <v>0.05</v>
      </c>
      <c r="K373" s="222">
        <v>2.1</v>
      </c>
      <c r="L373" s="232"/>
      <c r="M373" s="233">
        <v>33.1</v>
      </c>
      <c r="N373" s="233">
        <v>59.3</v>
      </c>
      <c r="O373" s="233">
        <v>2.81</v>
      </c>
      <c r="P373" s="233">
        <v>0</v>
      </c>
      <c r="Q373" s="233"/>
      <c r="R373" s="233"/>
      <c r="S373" s="233"/>
      <c r="T373" s="231"/>
      <c r="U373" s="231"/>
      <c r="V373" s="231"/>
      <c r="W373" s="242"/>
      <c r="X373" s="235">
        <v>1.06</v>
      </c>
      <c r="Y373" s="231"/>
      <c r="Z373" s="231"/>
      <c r="AA373" s="241"/>
      <c r="AB373" s="241"/>
      <c r="AC373" s="240"/>
      <c r="AD373" s="240"/>
      <c r="AE373" s="233"/>
      <c r="AF373" s="233"/>
      <c r="AG373" s="240"/>
      <c r="AH373" s="240">
        <f t="shared" si="42"/>
        <v>0</v>
      </c>
      <c r="AI373" s="236">
        <f t="shared" si="43"/>
        <v>0</v>
      </c>
      <c r="AJ373" s="252"/>
      <c r="AK373" s="233"/>
      <c r="AL373" s="216"/>
      <c r="AM373" s="236">
        <v>0</v>
      </c>
      <c r="AN373" s="236">
        <v>0</v>
      </c>
      <c r="AO373" s="236">
        <v>0</v>
      </c>
      <c r="AP373" s="236">
        <v>0</v>
      </c>
      <c r="AQ373" s="236">
        <v>0</v>
      </c>
      <c r="AR373" s="236">
        <v>0</v>
      </c>
      <c r="AS373" s="236">
        <v>0</v>
      </c>
      <c r="AT373" s="236">
        <v>0</v>
      </c>
      <c r="AU373" s="236">
        <v>0</v>
      </c>
      <c r="AV373" s="231"/>
      <c r="AW373" s="236"/>
      <c r="AX373" s="242"/>
      <c r="AY373" s="242"/>
      <c r="AZ373" s="242"/>
      <c r="BA373" s="242"/>
      <c r="BB373" s="242"/>
      <c r="BC373" s="242"/>
      <c r="BD373" s="242"/>
      <c r="BE373" s="231"/>
      <c r="BF373" s="242"/>
      <c r="BG373" s="242"/>
      <c r="BH373" s="242"/>
      <c r="BI373" s="242"/>
      <c r="BJ373" s="242"/>
      <c r="BK373" s="242"/>
      <c r="BL373" s="242"/>
      <c r="BM373" s="242"/>
      <c r="BN373" s="242"/>
      <c r="BO373" s="231"/>
      <c r="BP373" s="231"/>
      <c r="BQ373" s="193"/>
      <c r="BR373" s="204"/>
      <c r="BS373" s="204"/>
      <c r="BT373" s="204"/>
      <c r="BU373" s="204"/>
      <c r="BV373" s="204"/>
      <c r="BW373" s="204"/>
      <c r="BX373" s="204"/>
      <c r="BY373" s="204"/>
      <c r="BZ373" s="204"/>
      <c r="CA373" s="204"/>
      <c r="CB373" s="204"/>
      <c r="CC373" s="204"/>
      <c r="CD373" s="204"/>
      <c r="CE373" s="204"/>
      <c r="CF373" s="204"/>
      <c r="CG373" s="204"/>
      <c r="CH373" s="204"/>
      <c r="CI373" s="231"/>
    </row>
    <row r="374" spans="1:99" ht="25.2" customHeight="1" outlineLevel="1">
      <c r="A374" s="204">
        <v>352</v>
      </c>
      <c r="B374" s="207">
        <v>7069</v>
      </c>
      <c r="C374" s="208" t="s">
        <v>549</v>
      </c>
      <c r="D374" s="194" t="s">
        <v>468</v>
      </c>
      <c r="E374" s="240">
        <f t="shared" si="40"/>
        <v>204.6</v>
      </c>
      <c r="F374" s="222">
        <v>65.3</v>
      </c>
      <c r="G374" s="223">
        <v>16.899999999999999</v>
      </c>
      <c r="H374" s="224">
        <v>15</v>
      </c>
      <c r="I374" s="234">
        <f t="shared" si="41"/>
        <v>0.50000000000001399</v>
      </c>
      <c r="J374" s="235">
        <v>0.1</v>
      </c>
      <c r="K374" s="222">
        <v>2.2999999999999998</v>
      </c>
      <c r="L374" s="232"/>
      <c r="M374" s="233">
        <v>23.7</v>
      </c>
      <c r="N374" s="233">
        <v>249</v>
      </c>
      <c r="O374" s="233">
        <v>0.87</v>
      </c>
      <c r="P374" s="233">
        <v>0</v>
      </c>
      <c r="Q374" s="233"/>
      <c r="R374" s="233"/>
      <c r="S374" s="233"/>
      <c r="T374" s="231"/>
      <c r="U374" s="231"/>
      <c r="V374" s="231"/>
      <c r="W374" s="242"/>
      <c r="X374" s="235">
        <v>2.41</v>
      </c>
      <c r="Y374" s="231"/>
      <c r="Z374" s="231"/>
      <c r="AA374" s="241"/>
      <c r="AB374" s="241"/>
      <c r="AC374" s="240"/>
      <c r="AD374" s="240"/>
      <c r="AE374" s="233"/>
      <c r="AF374" s="233">
        <v>0.68</v>
      </c>
      <c r="AG374" s="240"/>
      <c r="AH374" s="240">
        <f t="shared" si="42"/>
        <v>0</v>
      </c>
      <c r="AI374" s="236">
        <f t="shared" si="43"/>
        <v>0</v>
      </c>
      <c r="AJ374" s="252"/>
      <c r="AK374" s="233"/>
      <c r="AL374" s="216"/>
      <c r="AM374" s="236">
        <v>0</v>
      </c>
      <c r="AN374" s="236">
        <v>0</v>
      </c>
      <c r="AO374" s="236">
        <v>0</v>
      </c>
      <c r="AP374" s="236">
        <v>0</v>
      </c>
      <c r="AQ374" s="236">
        <v>0</v>
      </c>
      <c r="AR374" s="236">
        <v>0</v>
      </c>
      <c r="AS374" s="236">
        <v>0</v>
      </c>
      <c r="AT374" s="236">
        <v>0</v>
      </c>
      <c r="AU374" s="236">
        <v>0</v>
      </c>
      <c r="AV374" s="231"/>
      <c r="AW374" s="236"/>
      <c r="AX374" s="242"/>
      <c r="AY374" s="242"/>
      <c r="AZ374" s="242"/>
      <c r="BA374" s="242"/>
      <c r="BB374" s="242"/>
      <c r="BC374" s="242"/>
      <c r="BD374" s="242"/>
      <c r="BE374" s="231"/>
      <c r="BF374" s="242"/>
      <c r="BG374" s="242"/>
      <c r="BH374" s="242"/>
      <c r="BI374" s="242"/>
      <c r="BJ374" s="242"/>
      <c r="BK374" s="242"/>
      <c r="BL374" s="242"/>
      <c r="BM374" s="242"/>
      <c r="BN374" s="242"/>
      <c r="BO374" s="231"/>
      <c r="BP374" s="231"/>
      <c r="BQ374" s="231"/>
      <c r="BR374" s="231"/>
      <c r="BS374" s="231"/>
      <c r="BT374" s="231"/>
      <c r="BU374" s="231"/>
      <c r="BV374" s="231"/>
      <c r="BW374" s="231"/>
      <c r="BX374" s="231"/>
      <c r="BY374" s="231"/>
      <c r="BZ374" s="231"/>
      <c r="CA374" s="231"/>
      <c r="CB374" s="231"/>
      <c r="CC374" s="231"/>
      <c r="CD374" s="231"/>
      <c r="CE374" s="231"/>
      <c r="CF374" s="231"/>
      <c r="CG374" s="231"/>
      <c r="CH374" s="231"/>
      <c r="CI374" s="231"/>
      <c r="CR374" s="172"/>
    </row>
    <row r="375" spans="1:99" ht="25.2" customHeight="1" outlineLevel="1">
      <c r="A375" s="204">
        <v>353</v>
      </c>
      <c r="B375" s="207">
        <v>7070</v>
      </c>
      <c r="C375" s="208" t="s">
        <v>550</v>
      </c>
      <c r="D375" s="194" t="s">
        <v>468</v>
      </c>
      <c r="E375" s="209">
        <f t="shared" si="40"/>
        <v>552.70000000000005</v>
      </c>
      <c r="F375" s="216">
        <v>29</v>
      </c>
      <c r="G375" s="217">
        <v>16</v>
      </c>
      <c r="H375" s="218">
        <v>54.3</v>
      </c>
      <c r="I375" s="230">
        <f t="shared" si="41"/>
        <v>0</v>
      </c>
      <c r="J375" s="216">
        <v>0</v>
      </c>
      <c r="K375" s="216">
        <v>0.7</v>
      </c>
      <c r="L375" s="233">
        <v>0</v>
      </c>
      <c r="M375" s="233"/>
      <c r="N375" s="233"/>
      <c r="O375" s="233"/>
      <c r="P375" s="233">
        <v>0</v>
      </c>
      <c r="Q375" s="233"/>
      <c r="R375" s="233"/>
      <c r="S375" s="233"/>
      <c r="T375" s="231"/>
      <c r="U375" s="231"/>
      <c r="V375" s="231"/>
      <c r="W375" s="242"/>
      <c r="X375" s="232"/>
      <c r="Y375" s="231"/>
      <c r="Z375" s="231"/>
      <c r="AA375" s="241"/>
      <c r="AB375" s="241"/>
      <c r="AC375" s="240"/>
      <c r="AD375" s="240"/>
      <c r="AE375" s="233"/>
      <c r="AF375" s="233"/>
      <c r="AG375" s="240"/>
      <c r="AH375" s="240">
        <f t="shared" si="42"/>
        <v>0</v>
      </c>
      <c r="AI375" s="236">
        <f t="shared" si="43"/>
        <v>0</v>
      </c>
      <c r="AJ375" s="252"/>
      <c r="AK375" s="233"/>
      <c r="AL375" s="216"/>
      <c r="AM375" s="236">
        <v>0</v>
      </c>
      <c r="AN375" s="236">
        <v>0</v>
      </c>
      <c r="AO375" s="236">
        <v>0</v>
      </c>
      <c r="AP375" s="236">
        <v>0</v>
      </c>
      <c r="AQ375" s="236">
        <v>0</v>
      </c>
      <c r="AR375" s="236">
        <v>0</v>
      </c>
      <c r="AS375" s="236">
        <v>0</v>
      </c>
      <c r="AT375" s="236">
        <v>0</v>
      </c>
      <c r="AU375" s="236">
        <v>0</v>
      </c>
      <c r="AV375" s="231"/>
      <c r="AW375" s="236"/>
      <c r="AX375" s="242"/>
      <c r="AY375" s="242"/>
      <c r="AZ375" s="242"/>
      <c r="BA375" s="242"/>
      <c r="BB375" s="242"/>
      <c r="BC375" s="242"/>
      <c r="BD375" s="242"/>
      <c r="BE375" s="231"/>
      <c r="BF375" s="242"/>
      <c r="BG375" s="242"/>
      <c r="BH375" s="242"/>
      <c r="BI375" s="242"/>
      <c r="BJ375" s="242"/>
      <c r="BK375" s="242"/>
      <c r="BL375" s="242"/>
      <c r="BM375" s="242"/>
      <c r="BN375" s="242"/>
      <c r="BO375" s="231"/>
      <c r="BP375" s="231"/>
      <c r="BQ375" s="231"/>
      <c r="BR375" s="231"/>
      <c r="BS375" s="231"/>
      <c r="BT375" s="231"/>
      <c r="BU375" s="231"/>
      <c r="BV375" s="231"/>
      <c r="BW375" s="231"/>
      <c r="BX375" s="231"/>
      <c r="BY375" s="231"/>
      <c r="BZ375" s="231"/>
      <c r="CA375" s="231"/>
      <c r="CB375" s="231"/>
      <c r="CC375" s="231"/>
      <c r="CD375" s="231"/>
      <c r="CE375" s="231"/>
      <c r="CF375" s="231"/>
      <c r="CG375" s="231"/>
      <c r="CH375" s="231"/>
      <c r="CI375" s="231"/>
    </row>
    <row r="376" spans="1:99" ht="25.2" customHeight="1" outlineLevel="1">
      <c r="A376" s="204">
        <v>354</v>
      </c>
      <c r="B376" s="207">
        <v>7071</v>
      </c>
      <c r="C376" s="208" t="s">
        <v>551</v>
      </c>
      <c r="D376" s="194" t="s">
        <v>468</v>
      </c>
      <c r="E376" s="209">
        <f t="shared" si="40"/>
        <v>585</v>
      </c>
      <c r="F376" s="216">
        <v>18.8</v>
      </c>
      <c r="G376" s="217">
        <v>20.8</v>
      </c>
      <c r="H376" s="218">
        <v>55</v>
      </c>
      <c r="I376" s="230">
        <f t="shared" si="41"/>
        <v>1.7</v>
      </c>
      <c r="J376" s="216">
        <v>0</v>
      </c>
      <c r="K376" s="216">
        <v>3.7</v>
      </c>
      <c r="L376" s="233"/>
      <c r="M376" s="216">
        <v>52</v>
      </c>
      <c r="N376" s="216">
        <v>175</v>
      </c>
      <c r="O376" s="216">
        <v>3</v>
      </c>
      <c r="P376" s="216">
        <v>0</v>
      </c>
      <c r="Q376" s="216">
        <v>0.46</v>
      </c>
      <c r="R376" s="216">
        <v>0.24</v>
      </c>
      <c r="S376" s="216">
        <v>4.7</v>
      </c>
      <c r="T376" s="231"/>
      <c r="U376" s="231"/>
      <c r="V376" s="231"/>
      <c r="W376" s="242"/>
      <c r="X376" s="232"/>
      <c r="Y376" s="231"/>
      <c r="Z376" s="231"/>
      <c r="AA376" s="241"/>
      <c r="AB376" s="241"/>
      <c r="AC376" s="240"/>
      <c r="AD376" s="240"/>
      <c r="AE376" s="233"/>
      <c r="AF376" s="233"/>
      <c r="AG376" s="240"/>
      <c r="AH376" s="240">
        <f t="shared" si="42"/>
        <v>0</v>
      </c>
      <c r="AI376" s="236">
        <f t="shared" si="43"/>
        <v>0</v>
      </c>
      <c r="AJ376" s="252"/>
      <c r="AK376" s="233"/>
      <c r="AL376" s="216"/>
      <c r="AM376" s="236">
        <v>0</v>
      </c>
      <c r="AN376" s="236">
        <v>0</v>
      </c>
      <c r="AO376" s="236">
        <v>0</v>
      </c>
      <c r="AP376" s="236">
        <v>0</v>
      </c>
      <c r="AQ376" s="236">
        <v>0</v>
      </c>
      <c r="AR376" s="236">
        <v>0</v>
      </c>
      <c r="AS376" s="236">
        <v>0</v>
      </c>
      <c r="AT376" s="236">
        <v>0</v>
      </c>
      <c r="AU376" s="236">
        <v>0</v>
      </c>
      <c r="AV376" s="231"/>
      <c r="AW376" s="236"/>
      <c r="AX376" s="242"/>
      <c r="AY376" s="242"/>
      <c r="AZ376" s="242"/>
      <c r="BA376" s="242"/>
      <c r="BB376" s="242"/>
      <c r="BC376" s="242"/>
      <c r="BD376" s="242"/>
      <c r="BE376" s="231"/>
      <c r="BF376" s="242"/>
      <c r="BG376" s="242"/>
      <c r="BH376" s="242"/>
      <c r="BI376" s="242"/>
      <c r="BJ376" s="242"/>
      <c r="BK376" s="242"/>
      <c r="BL376" s="242"/>
      <c r="BM376" s="242"/>
      <c r="BN376" s="242"/>
      <c r="BO376" s="231"/>
      <c r="BP376" s="231"/>
      <c r="BQ376" s="231"/>
      <c r="BR376" s="231"/>
      <c r="BS376" s="231"/>
      <c r="BT376" s="231"/>
      <c r="BU376" s="231"/>
      <c r="BV376" s="231"/>
      <c r="BW376" s="231"/>
      <c r="BX376" s="231"/>
      <c r="BY376" s="231"/>
      <c r="BZ376" s="231"/>
      <c r="CA376" s="231"/>
      <c r="CB376" s="231"/>
      <c r="CC376" s="231"/>
      <c r="CD376" s="231"/>
      <c r="CE376" s="231"/>
      <c r="CF376" s="231"/>
      <c r="CG376" s="231"/>
      <c r="CH376" s="231"/>
      <c r="CI376" s="231"/>
    </row>
    <row r="377" spans="1:99" ht="25.2" customHeight="1" outlineLevel="1">
      <c r="A377" s="204">
        <v>355</v>
      </c>
      <c r="B377" s="207">
        <v>7072</v>
      </c>
      <c r="C377" s="208" t="s">
        <v>552</v>
      </c>
      <c r="D377" s="194" t="s">
        <v>468</v>
      </c>
      <c r="E377" s="240">
        <f t="shared" si="40"/>
        <v>116.2</v>
      </c>
      <c r="F377" s="222">
        <v>71.5</v>
      </c>
      <c r="G377" s="223">
        <v>12.1</v>
      </c>
      <c r="H377" s="224">
        <v>1.6</v>
      </c>
      <c r="I377" s="234">
        <f t="shared" si="41"/>
        <v>13.35</v>
      </c>
      <c r="J377" s="235">
        <v>0.31665150136487802</v>
      </c>
      <c r="K377" s="222">
        <v>1.45</v>
      </c>
      <c r="L377" s="232"/>
      <c r="M377" s="233">
        <v>100.84</v>
      </c>
      <c r="N377" s="233">
        <v>25.32</v>
      </c>
      <c r="O377" s="233">
        <v>2.74</v>
      </c>
      <c r="P377" s="233">
        <v>0</v>
      </c>
      <c r="Q377" s="233"/>
      <c r="R377" s="233"/>
      <c r="S377" s="233"/>
      <c r="T377" s="231">
        <v>70</v>
      </c>
      <c r="U377" s="231">
        <v>38</v>
      </c>
      <c r="V377" s="231">
        <v>65</v>
      </c>
      <c r="W377" s="242"/>
      <c r="X377" s="222">
        <v>0.03</v>
      </c>
      <c r="Y377" s="231"/>
      <c r="Z377" s="231"/>
      <c r="AA377" s="241"/>
      <c r="AB377" s="241"/>
      <c r="AC377" s="240"/>
      <c r="AD377" s="240"/>
      <c r="AE377" s="233"/>
      <c r="AF377" s="233"/>
      <c r="AG377" s="240"/>
      <c r="AH377" s="240">
        <f t="shared" si="42"/>
        <v>0</v>
      </c>
      <c r="AI377" s="236">
        <f t="shared" si="43"/>
        <v>0</v>
      </c>
      <c r="AJ377" s="252"/>
      <c r="AK377" s="233"/>
      <c r="AL377" s="216"/>
      <c r="AM377" s="236">
        <v>0</v>
      </c>
      <c r="AN377" s="236">
        <v>0</v>
      </c>
      <c r="AO377" s="236">
        <v>0</v>
      </c>
      <c r="AP377" s="236">
        <v>0</v>
      </c>
      <c r="AQ377" s="236">
        <v>0</v>
      </c>
      <c r="AR377" s="236">
        <v>0</v>
      </c>
      <c r="AS377" s="236">
        <v>0</v>
      </c>
      <c r="AT377" s="236">
        <v>0</v>
      </c>
      <c r="AU377" s="236">
        <v>0</v>
      </c>
      <c r="AV377" s="231"/>
      <c r="AW377" s="236"/>
      <c r="AX377" s="242"/>
      <c r="AY377" s="242"/>
      <c r="AZ377" s="242"/>
      <c r="BA377" s="242"/>
      <c r="BB377" s="242"/>
      <c r="BC377" s="242"/>
      <c r="BD377" s="242"/>
      <c r="BE377" s="231"/>
      <c r="BF377" s="242"/>
      <c r="BG377" s="242"/>
      <c r="BH377" s="242"/>
      <c r="BI377" s="242"/>
      <c r="BJ377" s="242"/>
      <c r="BK377" s="242"/>
      <c r="BL377" s="242"/>
      <c r="BM377" s="242"/>
      <c r="BN377" s="242"/>
      <c r="BO377" s="231"/>
      <c r="BP377" s="231"/>
      <c r="BQ377" s="231"/>
      <c r="BR377" s="231"/>
      <c r="BS377" s="231"/>
      <c r="BT377" s="231"/>
      <c r="BU377" s="231"/>
      <c r="BV377" s="231"/>
      <c r="BW377" s="231"/>
      <c r="BX377" s="231"/>
      <c r="BY377" s="231"/>
      <c r="BZ377" s="231"/>
      <c r="CA377" s="231"/>
      <c r="CB377" s="231"/>
      <c r="CC377" s="231"/>
      <c r="CD377" s="231"/>
      <c r="CE377" s="231"/>
      <c r="CF377" s="231"/>
      <c r="CG377" s="231"/>
      <c r="CH377" s="231"/>
      <c r="CI377" s="231"/>
    </row>
    <row r="378" spans="1:99" ht="25.2" customHeight="1" outlineLevel="1">
      <c r="A378" s="204">
        <v>356</v>
      </c>
      <c r="B378" s="207">
        <v>7073</v>
      </c>
      <c r="C378" s="208" t="s">
        <v>553</v>
      </c>
      <c r="D378" s="194" t="s">
        <v>468</v>
      </c>
      <c r="E378" s="240">
        <f t="shared" si="40"/>
        <v>124.9</v>
      </c>
      <c r="F378" s="222">
        <v>70.5</v>
      </c>
      <c r="G378" s="223">
        <v>20.7</v>
      </c>
      <c r="H378" s="224">
        <v>3.3</v>
      </c>
      <c r="I378" s="234">
        <f t="shared" si="41"/>
        <v>3.0999999999999899</v>
      </c>
      <c r="J378" s="235">
        <v>0.5</v>
      </c>
      <c r="K378" s="222">
        <v>2.4</v>
      </c>
      <c r="L378" s="232"/>
      <c r="M378" s="233">
        <v>30.1</v>
      </c>
      <c r="N378" s="233">
        <v>138.1</v>
      </c>
      <c r="O378" s="233">
        <v>1.64</v>
      </c>
      <c r="P378" s="233">
        <v>0</v>
      </c>
      <c r="Q378" s="233"/>
      <c r="R378" s="233"/>
      <c r="S378" s="233"/>
      <c r="T378" s="231">
        <v>476</v>
      </c>
      <c r="U378" s="231">
        <v>194</v>
      </c>
      <c r="V378" s="231">
        <v>86</v>
      </c>
      <c r="W378" s="242"/>
      <c r="X378" s="235">
        <v>2.2400000000000002</v>
      </c>
      <c r="Y378" s="231"/>
      <c r="Z378" s="231"/>
      <c r="AA378" s="241"/>
      <c r="AB378" s="241"/>
      <c r="AC378" s="240"/>
      <c r="AD378" s="240"/>
      <c r="AE378" s="233"/>
      <c r="AF378" s="233"/>
      <c r="AG378" s="240"/>
      <c r="AH378" s="240">
        <f t="shared" si="42"/>
        <v>0</v>
      </c>
      <c r="AI378" s="236">
        <f t="shared" si="43"/>
        <v>0</v>
      </c>
      <c r="AJ378" s="252"/>
      <c r="AK378" s="233"/>
      <c r="AL378" s="216"/>
      <c r="AM378" s="236">
        <v>0</v>
      </c>
      <c r="AN378" s="236">
        <v>0</v>
      </c>
      <c r="AO378" s="236">
        <v>0</v>
      </c>
      <c r="AP378" s="236">
        <v>0</v>
      </c>
      <c r="AQ378" s="236">
        <v>0</v>
      </c>
      <c r="AR378" s="236">
        <v>0</v>
      </c>
      <c r="AS378" s="236">
        <v>0</v>
      </c>
      <c r="AT378" s="236">
        <v>0</v>
      </c>
      <c r="AU378" s="236">
        <v>0</v>
      </c>
      <c r="AV378" s="231"/>
      <c r="AW378" s="236"/>
      <c r="AX378" s="242"/>
      <c r="AY378" s="242"/>
      <c r="AZ378" s="242"/>
      <c r="BA378" s="242"/>
      <c r="BB378" s="242"/>
      <c r="BC378" s="242"/>
      <c r="BD378" s="242"/>
      <c r="BE378" s="231"/>
      <c r="BF378" s="242"/>
      <c r="BG378" s="242"/>
      <c r="BH378" s="242"/>
      <c r="BI378" s="242"/>
      <c r="BJ378" s="242"/>
      <c r="BK378" s="242"/>
      <c r="BL378" s="242"/>
      <c r="BM378" s="242"/>
      <c r="BN378" s="242"/>
      <c r="BO378" s="231"/>
      <c r="BP378" s="231"/>
      <c r="BQ378" s="231"/>
      <c r="BR378" s="231"/>
      <c r="BS378" s="231"/>
      <c r="BT378" s="231"/>
      <c r="BU378" s="231"/>
      <c r="BV378" s="231"/>
      <c r="BW378" s="231"/>
      <c r="BX378" s="231"/>
      <c r="BY378" s="231"/>
      <c r="BZ378" s="231"/>
      <c r="CA378" s="231"/>
      <c r="CB378" s="231"/>
      <c r="CC378" s="231"/>
      <c r="CD378" s="231"/>
      <c r="CE378" s="231"/>
      <c r="CF378" s="231"/>
      <c r="CG378" s="231"/>
      <c r="CH378" s="231"/>
      <c r="CI378" s="231"/>
    </row>
    <row r="379" spans="1:99" ht="25.2" customHeight="1" outlineLevel="1">
      <c r="A379" s="204">
        <v>357</v>
      </c>
      <c r="B379" s="207">
        <v>7074</v>
      </c>
      <c r="C379" s="208" t="s">
        <v>554</v>
      </c>
      <c r="D379" s="194" t="s">
        <v>468</v>
      </c>
      <c r="E379" s="209">
        <f t="shared" si="40"/>
        <v>369.1</v>
      </c>
      <c r="F379" s="216">
        <v>25.8</v>
      </c>
      <c r="G379" s="217">
        <v>46.6</v>
      </c>
      <c r="H379" s="218">
        <v>20.3</v>
      </c>
      <c r="I379" s="230">
        <f t="shared" si="41"/>
        <v>0</v>
      </c>
      <c r="J379" s="216">
        <v>0</v>
      </c>
      <c r="K379" s="216">
        <v>7.3</v>
      </c>
      <c r="L379" s="233">
        <v>0</v>
      </c>
      <c r="M379" s="233">
        <v>28.5</v>
      </c>
      <c r="N379" s="233">
        <v>15.5</v>
      </c>
      <c r="O379" s="233">
        <v>0.3</v>
      </c>
      <c r="P379" s="233">
        <v>0</v>
      </c>
      <c r="Q379" s="233"/>
      <c r="R379" s="233"/>
      <c r="S379" s="233"/>
      <c r="T379" s="231">
        <v>1472</v>
      </c>
      <c r="U379" s="231">
        <v>371</v>
      </c>
      <c r="V379" s="231">
        <v>64</v>
      </c>
      <c r="W379" s="242"/>
      <c r="X379" s="232"/>
      <c r="Y379" s="231"/>
      <c r="Z379" s="231"/>
      <c r="AA379" s="241"/>
      <c r="AB379" s="241"/>
      <c r="AC379" s="240"/>
      <c r="AD379" s="240"/>
      <c r="AE379" s="233"/>
      <c r="AF379" s="233"/>
      <c r="AG379" s="240"/>
      <c r="AH379" s="240">
        <f t="shared" si="42"/>
        <v>0</v>
      </c>
      <c r="AI379" s="236">
        <f t="shared" si="43"/>
        <v>0</v>
      </c>
      <c r="AJ379" s="252"/>
      <c r="AK379" s="233"/>
      <c r="AL379" s="216"/>
      <c r="AM379" s="236">
        <v>0</v>
      </c>
      <c r="AN379" s="236">
        <v>0</v>
      </c>
      <c r="AO379" s="236">
        <v>0</v>
      </c>
      <c r="AP379" s="236">
        <v>0</v>
      </c>
      <c r="AQ379" s="236">
        <v>0</v>
      </c>
      <c r="AR379" s="236">
        <v>0</v>
      </c>
      <c r="AS379" s="236">
        <v>0</v>
      </c>
      <c r="AT379" s="236">
        <v>0</v>
      </c>
      <c r="AU379" s="236">
        <v>0</v>
      </c>
      <c r="AV379" s="231"/>
      <c r="AW379" s="236"/>
      <c r="AX379" s="242"/>
      <c r="AY379" s="242"/>
      <c r="AZ379" s="242"/>
      <c r="BA379" s="242"/>
      <c r="BB379" s="242"/>
      <c r="BC379" s="242"/>
      <c r="BD379" s="242"/>
      <c r="BE379" s="231"/>
      <c r="BF379" s="242"/>
      <c r="BG379" s="242"/>
      <c r="BH379" s="242"/>
      <c r="BI379" s="242"/>
      <c r="BJ379" s="242"/>
      <c r="BK379" s="242"/>
      <c r="BL379" s="242"/>
      <c r="BM379" s="242"/>
      <c r="BN379" s="242"/>
      <c r="BO379" s="231"/>
      <c r="BP379" s="231"/>
      <c r="BQ379" s="231"/>
      <c r="BR379" s="231"/>
      <c r="BS379" s="231"/>
      <c r="BT379" s="231"/>
      <c r="BU379" s="231"/>
      <c r="BV379" s="231"/>
      <c r="BW379" s="231"/>
      <c r="BX379" s="231"/>
      <c r="BY379" s="231"/>
      <c r="BZ379" s="231"/>
      <c r="CA379" s="231"/>
      <c r="CB379" s="231"/>
      <c r="CC379" s="231"/>
      <c r="CD379" s="231"/>
      <c r="CE379" s="231"/>
      <c r="CF379" s="231"/>
      <c r="CG379" s="231"/>
      <c r="CH379" s="231"/>
      <c r="CI379" s="231"/>
    </row>
    <row r="380" spans="1:99" ht="25.2" customHeight="1" outlineLevel="1">
      <c r="A380" s="204">
        <v>358</v>
      </c>
      <c r="B380" s="207">
        <v>7075</v>
      </c>
      <c r="C380" s="208" t="s">
        <v>555</v>
      </c>
      <c r="D380" s="194" t="s">
        <v>468</v>
      </c>
      <c r="E380" s="209">
        <f t="shared" si="40"/>
        <v>239.2</v>
      </c>
      <c r="F380" s="216">
        <v>32.4</v>
      </c>
      <c r="G380" s="217">
        <v>51</v>
      </c>
      <c r="H380" s="218">
        <v>1.6</v>
      </c>
      <c r="I380" s="230">
        <f t="shared" si="41"/>
        <v>5.2</v>
      </c>
      <c r="J380" s="216">
        <v>0</v>
      </c>
      <c r="K380" s="216">
        <v>9.8000000000000007</v>
      </c>
      <c r="L380" s="233"/>
      <c r="M380" s="216">
        <v>31</v>
      </c>
      <c r="N380" s="216">
        <v>476</v>
      </c>
      <c r="O380" s="216">
        <v>8.1</v>
      </c>
      <c r="P380" s="216">
        <v>0</v>
      </c>
      <c r="Q380" s="216">
        <v>0.13</v>
      </c>
      <c r="R380" s="216">
        <v>0.19</v>
      </c>
      <c r="S380" s="216">
        <v>30.3</v>
      </c>
      <c r="T380" s="231">
        <v>312</v>
      </c>
      <c r="U380" s="231">
        <v>135</v>
      </c>
      <c r="V380" s="231">
        <v>80</v>
      </c>
      <c r="W380" s="242"/>
      <c r="X380" s="232"/>
      <c r="Y380" s="204"/>
      <c r="Z380" s="231"/>
      <c r="AA380" s="241"/>
      <c r="AB380" s="241"/>
      <c r="AC380" s="240"/>
      <c r="AD380" s="240"/>
      <c r="AE380" s="233"/>
      <c r="AF380" s="233"/>
      <c r="AG380" s="240"/>
      <c r="AH380" s="240">
        <f t="shared" si="42"/>
        <v>0</v>
      </c>
      <c r="AI380" s="236">
        <f t="shared" si="43"/>
        <v>0</v>
      </c>
      <c r="AJ380" s="252"/>
      <c r="AK380" s="233"/>
      <c r="AL380" s="216"/>
      <c r="AM380" s="236">
        <v>0</v>
      </c>
      <c r="AN380" s="236">
        <v>0</v>
      </c>
      <c r="AO380" s="236">
        <v>0</v>
      </c>
      <c r="AP380" s="236">
        <v>0</v>
      </c>
      <c r="AQ380" s="236">
        <v>0</v>
      </c>
      <c r="AR380" s="236">
        <v>0</v>
      </c>
      <c r="AS380" s="236">
        <v>0</v>
      </c>
      <c r="AT380" s="236">
        <v>0</v>
      </c>
      <c r="AU380" s="236">
        <v>0</v>
      </c>
      <c r="AV380" s="231"/>
      <c r="AW380" s="236"/>
      <c r="AX380" s="242"/>
      <c r="AY380" s="242"/>
      <c r="AZ380" s="242"/>
      <c r="BA380" s="242"/>
      <c r="BB380" s="242"/>
      <c r="BC380" s="242"/>
      <c r="BD380" s="242"/>
      <c r="BE380" s="231"/>
      <c r="BF380" s="242"/>
      <c r="BG380" s="242"/>
      <c r="BH380" s="242"/>
      <c r="BI380" s="242"/>
      <c r="BJ380" s="242"/>
      <c r="BK380" s="242"/>
      <c r="BL380" s="242"/>
      <c r="BM380" s="242"/>
      <c r="BN380" s="242"/>
      <c r="BO380" s="231"/>
      <c r="BP380" s="231"/>
      <c r="BQ380" s="231"/>
      <c r="BR380" s="231"/>
      <c r="BS380" s="231"/>
      <c r="BT380" s="231"/>
      <c r="BU380" s="231"/>
      <c r="BV380" s="231"/>
      <c r="BW380" s="231"/>
      <c r="BX380" s="231"/>
      <c r="BY380" s="231"/>
      <c r="BZ380" s="231"/>
      <c r="CA380" s="231"/>
      <c r="CB380" s="231"/>
      <c r="CC380" s="231"/>
      <c r="CD380" s="231"/>
      <c r="CE380" s="231"/>
      <c r="CF380" s="231"/>
      <c r="CG380" s="231"/>
      <c r="CH380" s="231"/>
      <c r="CI380" s="231"/>
    </row>
    <row r="381" spans="1:99" ht="25.2" customHeight="1" outlineLevel="1">
      <c r="A381" s="204">
        <v>359</v>
      </c>
      <c r="B381" s="207">
        <v>7076</v>
      </c>
      <c r="C381" s="208" t="s">
        <v>556</v>
      </c>
      <c r="D381" s="194" t="s">
        <v>468</v>
      </c>
      <c r="E381" s="209">
        <f t="shared" si="40"/>
        <v>225.9</v>
      </c>
      <c r="F381" s="216">
        <v>36.4</v>
      </c>
      <c r="G381" s="217">
        <v>50.4</v>
      </c>
      <c r="H381" s="218">
        <v>2.7</v>
      </c>
      <c r="I381" s="230">
        <f t="shared" si="41"/>
        <v>0</v>
      </c>
      <c r="J381" s="216">
        <v>0</v>
      </c>
      <c r="K381" s="216">
        <v>10.5</v>
      </c>
      <c r="L381" s="233">
        <v>0</v>
      </c>
      <c r="M381" s="233"/>
      <c r="N381" s="233"/>
      <c r="O381" s="233"/>
      <c r="P381" s="233">
        <v>0</v>
      </c>
      <c r="Q381" s="233"/>
      <c r="R381" s="233"/>
      <c r="S381" s="233"/>
      <c r="T381" s="231"/>
      <c r="U381" s="231"/>
      <c r="V381" s="231"/>
      <c r="W381" s="242"/>
      <c r="X381" s="232"/>
      <c r="Y381" s="231"/>
      <c r="Z381" s="231"/>
      <c r="AA381" s="241"/>
      <c r="AB381" s="241"/>
      <c r="AC381" s="240"/>
      <c r="AD381" s="240"/>
      <c r="AE381" s="233"/>
      <c r="AF381" s="233"/>
      <c r="AG381" s="240"/>
      <c r="AH381" s="240">
        <f t="shared" si="42"/>
        <v>0</v>
      </c>
      <c r="AI381" s="236">
        <f t="shared" si="43"/>
        <v>0</v>
      </c>
      <c r="AJ381" s="252"/>
      <c r="AK381" s="233"/>
      <c r="AL381" s="216"/>
      <c r="AM381" s="236">
        <v>0</v>
      </c>
      <c r="AN381" s="236">
        <v>0</v>
      </c>
      <c r="AO381" s="236">
        <v>0</v>
      </c>
      <c r="AP381" s="236">
        <v>0</v>
      </c>
      <c r="AQ381" s="236">
        <v>0</v>
      </c>
      <c r="AR381" s="236">
        <v>0</v>
      </c>
      <c r="AS381" s="236">
        <v>0</v>
      </c>
      <c r="AT381" s="236">
        <v>0</v>
      </c>
      <c r="AU381" s="236">
        <v>0</v>
      </c>
      <c r="AV381" s="231"/>
      <c r="AW381" s="236"/>
      <c r="AX381" s="242"/>
      <c r="AY381" s="242"/>
      <c r="AZ381" s="242"/>
      <c r="BA381" s="242"/>
      <c r="BB381" s="242"/>
      <c r="BC381" s="242"/>
      <c r="BD381" s="242"/>
      <c r="BE381" s="231"/>
      <c r="BF381" s="242"/>
      <c r="BG381" s="242"/>
      <c r="BH381" s="242"/>
      <c r="BI381" s="242"/>
      <c r="BJ381" s="242"/>
      <c r="BK381" s="242"/>
      <c r="BL381" s="242"/>
      <c r="BM381" s="242"/>
      <c r="BN381" s="242"/>
      <c r="BO381" s="231"/>
      <c r="BP381" s="231"/>
      <c r="BQ381" s="231"/>
      <c r="BR381" s="231"/>
      <c r="BS381" s="231"/>
      <c r="BT381" s="231"/>
      <c r="BU381" s="231"/>
      <c r="BV381" s="231"/>
      <c r="BW381" s="231"/>
      <c r="BX381" s="231"/>
      <c r="BY381" s="231"/>
      <c r="BZ381" s="231"/>
      <c r="CA381" s="231"/>
      <c r="CB381" s="231"/>
      <c r="CC381" s="231"/>
      <c r="CD381" s="231"/>
      <c r="CE381" s="231"/>
      <c r="CF381" s="231"/>
      <c r="CG381" s="231"/>
      <c r="CH381" s="231"/>
      <c r="CI381" s="231"/>
    </row>
    <row r="382" spans="1:99" ht="25.2" customHeight="1" outlineLevel="1">
      <c r="A382" s="204">
        <v>360</v>
      </c>
      <c r="B382" s="207">
        <v>7077</v>
      </c>
      <c r="C382" s="208" t="s">
        <v>557</v>
      </c>
      <c r="D382" s="194" t="s">
        <v>468</v>
      </c>
      <c r="E382" s="209">
        <f t="shared" si="40"/>
        <v>325.05</v>
      </c>
      <c r="F382" s="216">
        <v>49.89</v>
      </c>
      <c r="G382" s="217">
        <v>18.53</v>
      </c>
      <c r="H382" s="218">
        <v>27.25</v>
      </c>
      <c r="I382" s="230">
        <f t="shared" si="41"/>
        <v>1.42</v>
      </c>
      <c r="J382" s="216">
        <v>0</v>
      </c>
      <c r="K382" s="216">
        <v>2.91</v>
      </c>
      <c r="L382" s="233">
        <v>1.0900000000000001</v>
      </c>
      <c r="M382" s="233">
        <v>9</v>
      </c>
      <c r="N382" s="233">
        <v>149</v>
      </c>
      <c r="O382" s="233">
        <v>1.2</v>
      </c>
      <c r="P382" s="233">
        <v>0</v>
      </c>
      <c r="Q382" s="233">
        <v>0.25600000000000001</v>
      </c>
      <c r="R382" s="233">
        <v>0.17599999999999999</v>
      </c>
      <c r="S382" s="233">
        <v>6.1189999999999998</v>
      </c>
      <c r="T382" s="231">
        <v>287</v>
      </c>
      <c r="U382" s="231">
        <v>342</v>
      </c>
      <c r="V382" s="231">
        <v>16</v>
      </c>
      <c r="W382" s="242"/>
      <c r="X382" s="213">
        <v>2.4500000000000002</v>
      </c>
      <c r="Y382" s="231">
        <v>7.0999999999999994E-2</v>
      </c>
      <c r="Z382" s="231">
        <v>20.7</v>
      </c>
      <c r="AA382" s="241"/>
      <c r="AB382" s="241">
        <v>0.19500000000000001</v>
      </c>
      <c r="AC382" s="240">
        <v>1</v>
      </c>
      <c r="AD382" s="240">
        <v>0</v>
      </c>
      <c r="AE382" s="233"/>
      <c r="AF382" s="233">
        <v>0.98</v>
      </c>
      <c r="AG382" s="240">
        <v>28</v>
      </c>
      <c r="AH382" s="240">
        <v>28</v>
      </c>
      <c r="AI382" s="236">
        <f t="shared" si="43"/>
        <v>28</v>
      </c>
      <c r="AJ382" s="252"/>
      <c r="AK382" s="233"/>
      <c r="AL382" s="216"/>
      <c r="AM382" s="236">
        <v>0</v>
      </c>
      <c r="AN382" s="236">
        <v>0</v>
      </c>
      <c r="AO382" s="236">
        <v>0</v>
      </c>
      <c r="AP382" s="236">
        <v>0</v>
      </c>
      <c r="AQ382" s="236">
        <v>0</v>
      </c>
      <c r="AR382" s="236">
        <v>0</v>
      </c>
      <c r="AS382" s="236">
        <v>0</v>
      </c>
      <c r="AT382" s="236">
        <v>0</v>
      </c>
      <c r="AU382" s="236">
        <v>0</v>
      </c>
      <c r="AV382" s="231"/>
      <c r="AW382" s="236">
        <v>8.8260000000000005</v>
      </c>
      <c r="AX382" s="242">
        <v>5.5449999999999999</v>
      </c>
      <c r="AY382" s="242"/>
      <c r="AZ382" s="242">
        <v>2.7490000000000001</v>
      </c>
      <c r="BA382" s="242"/>
      <c r="BB382" s="242"/>
      <c r="BC382" s="242"/>
      <c r="BD382" s="242">
        <v>11.541</v>
      </c>
      <c r="BE382" s="231"/>
      <c r="BF382" s="242">
        <v>0.55700000000000005</v>
      </c>
      <c r="BG382" s="242">
        <v>10.577999999999999</v>
      </c>
      <c r="BH382" s="242">
        <v>5.1150000000000002</v>
      </c>
      <c r="BI382" s="242">
        <v>4.4459999999999997</v>
      </c>
      <c r="BJ382" s="242">
        <v>0.14599999999999999</v>
      </c>
      <c r="BK382" s="242">
        <v>0.123</v>
      </c>
      <c r="BL382" s="242">
        <v>2E-3</v>
      </c>
      <c r="BM382" s="242">
        <v>3.0000000000000001E-3</v>
      </c>
      <c r="BN382" s="242"/>
      <c r="BO382" s="231">
        <v>86</v>
      </c>
      <c r="BP382" s="231"/>
      <c r="BQ382" s="231"/>
      <c r="BR382" s="231"/>
      <c r="BS382" s="231"/>
      <c r="BT382" s="231"/>
      <c r="BU382" s="231"/>
      <c r="BV382" s="231"/>
      <c r="BW382" s="231"/>
      <c r="BX382" s="231"/>
      <c r="BY382" s="231"/>
      <c r="BZ382" s="231"/>
      <c r="CA382" s="231"/>
      <c r="CB382" s="231"/>
      <c r="CC382" s="231"/>
      <c r="CD382" s="231"/>
      <c r="CE382" s="231"/>
      <c r="CF382" s="231"/>
      <c r="CG382" s="231"/>
      <c r="CH382" s="231"/>
      <c r="CI382" s="231"/>
    </row>
    <row r="383" spans="1:99" ht="25.2" customHeight="1" outlineLevel="1">
      <c r="A383" s="204">
        <v>361</v>
      </c>
      <c r="B383" s="207">
        <v>7078</v>
      </c>
      <c r="C383" s="208" t="s">
        <v>558</v>
      </c>
      <c r="D383" s="194" t="s">
        <v>468</v>
      </c>
      <c r="E383" s="209">
        <f t="shared" si="40"/>
        <v>342.2</v>
      </c>
      <c r="F383" s="216">
        <v>7.2</v>
      </c>
      <c r="G383" s="217">
        <v>55.4</v>
      </c>
      <c r="H383" s="218">
        <v>13.4</v>
      </c>
      <c r="I383" s="230">
        <f t="shared" si="41"/>
        <v>0</v>
      </c>
      <c r="J383" s="216">
        <v>0</v>
      </c>
      <c r="K383" s="216">
        <v>24</v>
      </c>
      <c r="L383" s="233">
        <v>0</v>
      </c>
      <c r="M383" s="233"/>
      <c r="N383" s="233"/>
      <c r="O383" s="233">
        <v>7.7</v>
      </c>
      <c r="P383" s="233">
        <v>0</v>
      </c>
      <c r="Q383" s="233">
        <v>0.7</v>
      </c>
      <c r="R383" s="233">
        <v>1.3</v>
      </c>
      <c r="S383" s="233">
        <v>6.1</v>
      </c>
      <c r="T383" s="231"/>
      <c r="U383" s="231"/>
      <c r="V383" s="231"/>
      <c r="W383" s="242"/>
      <c r="X383" s="232"/>
      <c r="Y383" s="231"/>
      <c r="Z383" s="231"/>
      <c r="AA383" s="241"/>
      <c r="AB383" s="241">
        <v>0.6</v>
      </c>
      <c r="AC383" s="240">
        <v>77</v>
      </c>
      <c r="AD383" s="240"/>
      <c r="AE383" s="233"/>
      <c r="AF383" s="233">
        <v>2</v>
      </c>
      <c r="AG383" s="240">
        <v>0</v>
      </c>
      <c r="AH383" s="240">
        <f t="shared" ref="AH383:AH390" si="44">AG383*3.33</f>
        <v>0</v>
      </c>
      <c r="AI383" s="236">
        <f t="shared" si="43"/>
        <v>0</v>
      </c>
      <c r="AJ383" s="252"/>
      <c r="AK383" s="233"/>
      <c r="AL383" s="216"/>
      <c r="AM383" s="236">
        <v>0</v>
      </c>
      <c r="AN383" s="236">
        <v>0</v>
      </c>
      <c r="AO383" s="236">
        <v>0</v>
      </c>
      <c r="AP383" s="236">
        <v>0</v>
      </c>
      <c r="AQ383" s="236">
        <v>0</v>
      </c>
      <c r="AR383" s="236">
        <v>0</v>
      </c>
      <c r="AS383" s="236">
        <v>0</v>
      </c>
      <c r="AT383" s="236">
        <v>0</v>
      </c>
      <c r="AU383" s="236">
        <v>0</v>
      </c>
      <c r="AV383" s="231"/>
      <c r="AW383" s="236"/>
      <c r="AX383" s="242"/>
      <c r="AY383" s="242"/>
      <c r="AZ383" s="242"/>
      <c r="BA383" s="242"/>
      <c r="BB383" s="242"/>
      <c r="BC383" s="242"/>
      <c r="BD383" s="242"/>
      <c r="BE383" s="231"/>
      <c r="BF383" s="242"/>
      <c r="BG383" s="242"/>
      <c r="BH383" s="242"/>
      <c r="BI383" s="242"/>
      <c r="BJ383" s="242"/>
      <c r="BK383" s="242"/>
      <c r="BL383" s="242"/>
      <c r="BM383" s="242"/>
      <c r="BN383" s="242"/>
      <c r="BO383" s="231"/>
      <c r="BP383" s="231"/>
      <c r="BQ383" s="231"/>
      <c r="BR383" s="231"/>
      <c r="BS383" s="231"/>
      <c r="BT383" s="231"/>
      <c r="BU383" s="231"/>
      <c r="BV383" s="231"/>
      <c r="BW383" s="231"/>
      <c r="BX383" s="231"/>
      <c r="BY383" s="231"/>
      <c r="BZ383" s="231"/>
      <c r="CA383" s="231"/>
      <c r="CB383" s="231"/>
      <c r="CC383" s="231"/>
      <c r="CD383" s="231"/>
      <c r="CE383" s="231"/>
      <c r="CF383" s="231"/>
      <c r="CG383" s="231"/>
      <c r="CH383" s="231"/>
      <c r="CI383" s="231"/>
    </row>
    <row r="384" spans="1:99" ht="25.2" customHeight="1" outlineLevel="1">
      <c r="A384" s="204">
        <v>362</v>
      </c>
      <c r="B384" s="207">
        <v>7079</v>
      </c>
      <c r="C384" s="208" t="s">
        <v>559</v>
      </c>
      <c r="D384" s="194" t="s">
        <v>468</v>
      </c>
      <c r="E384" s="209">
        <f t="shared" si="40"/>
        <v>129.6</v>
      </c>
      <c r="F384" s="216">
        <v>71.099999999999994</v>
      </c>
      <c r="G384" s="217">
        <v>24.3</v>
      </c>
      <c r="H384" s="218">
        <v>3.6</v>
      </c>
      <c r="I384" s="230">
        <f t="shared" si="41"/>
        <v>0</v>
      </c>
      <c r="J384" s="216">
        <v>0</v>
      </c>
      <c r="K384" s="216">
        <v>1</v>
      </c>
      <c r="L384" s="233">
        <v>0</v>
      </c>
      <c r="M384" s="233">
        <v>210</v>
      </c>
      <c r="N384" s="233">
        <v>270</v>
      </c>
      <c r="O384" s="233">
        <v>0.4</v>
      </c>
      <c r="P384" s="233">
        <v>0</v>
      </c>
      <c r="Q384" s="233"/>
      <c r="R384" s="233"/>
      <c r="S384" s="233"/>
      <c r="T384" s="231"/>
      <c r="U384" s="231"/>
      <c r="V384" s="231"/>
      <c r="W384" s="242"/>
      <c r="X384" s="232"/>
      <c r="Y384" s="231"/>
      <c r="Z384" s="231"/>
      <c r="AA384" s="241"/>
      <c r="AB384" s="241"/>
      <c r="AC384" s="240"/>
      <c r="AD384" s="240"/>
      <c r="AE384" s="233"/>
      <c r="AF384" s="233"/>
      <c r="AG384" s="240"/>
      <c r="AH384" s="240">
        <f t="shared" si="44"/>
        <v>0</v>
      </c>
      <c r="AI384" s="236">
        <f t="shared" si="43"/>
        <v>0</v>
      </c>
      <c r="AJ384" s="252"/>
      <c r="AK384" s="233"/>
      <c r="AL384" s="216"/>
      <c r="AM384" s="236">
        <v>0</v>
      </c>
      <c r="AN384" s="236">
        <v>0</v>
      </c>
      <c r="AO384" s="236">
        <v>0</v>
      </c>
      <c r="AP384" s="236">
        <v>0</v>
      </c>
      <c r="AQ384" s="236">
        <v>0</v>
      </c>
      <c r="AR384" s="236">
        <v>0</v>
      </c>
      <c r="AS384" s="236">
        <v>0</v>
      </c>
      <c r="AT384" s="236">
        <v>0</v>
      </c>
      <c r="AU384" s="236">
        <v>0</v>
      </c>
      <c r="AV384" s="231"/>
      <c r="AW384" s="236"/>
      <c r="AX384" s="242"/>
      <c r="AY384" s="242"/>
      <c r="AZ384" s="242"/>
      <c r="BA384" s="242"/>
      <c r="BB384" s="242"/>
      <c r="BC384" s="242"/>
      <c r="BD384" s="242"/>
      <c r="BE384" s="231"/>
      <c r="BF384" s="242"/>
      <c r="BG384" s="242"/>
      <c r="BH384" s="242"/>
      <c r="BI384" s="242"/>
      <c r="BJ384" s="242"/>
      <c r="BK384" s="242"/>
      <c r="BL384" s="242"/>
      <c r="BM384" s="242"/>
      <c r="BN384" s="242"/>
      <c r="BO384" s="231"/>
      <c r="BP384" s="231"/>
      <c r="BQ384" s="231"/>
      <c r="BR384" s="231"/>
      <c r="BS384" s="231"/>
      <c r="BT384" s="231"/>
      <c r="BU384" s="231"/>
      <c r="BV384" s="231"/>
      <c r="BW384" s="231"/>
      <c r="BX384" s="231"/>
      <c r="BY384" s="231"/>
      <c r="BZ384" s="231"/>
      <c r="CA384" s="231"/>
      <c r="CB384" s="231"/>
      <c r="CC384" s="231"/>
      <c r="CD384" s="231"/>
      <c r="CE384" s="231"/>
      <c r="CF384" s="231"/>
      <c r="CG384" s="231"/>
      <c r="CH384" s="231"/>
      <c r="CI384" s="231"/>
    </row>
    <row r="385" spans="1:87" ht="25.2" customHeight="1" outlineLevel="1">
      <c r="A385" s="204">
        <v>363</v>
      </c>
      <c r="B385" s="207">
        <v>7080</v>
      </c>
      <c r="C385" s="208" t="s">
        <v>560</v>
      </c>
      <c r="D385" s="194" t="s">
        <v>468</v>
      </c>
      <c r="E385" s="209">
        <f t="shared" si="40"/>
        <v>89.9</v>
      </c>
      <c r="F385" s="216">
        <v>75</v>
      </c>
      <c r="G385" s="217">
        <v>20</v>
      </c>
      <c r="H385" s="218">
        <v>1.1000000000000001</v>
      </c>
      <c r="I385" s="230">
        <f t="shared" si="41"/>
        <v>0</v>
      </c>
      <c r="J385" s="216">
        <v>0</v>
      </c>
      <c r="K385" s="216">
        <v>3.9</v>
      </c>
      <c r="L385" s="233">
        <v>0</v>
      </c>
      <c r="M385" s="216">
        <v>18</v>
      </c>
      <c r="N385" s="216">
        <v>147</v>
      </c>
      <c r="O385" s="216">
        <v>1.5</v>
      </c>
      <c r="P385" s="216">
        <v>0</v>
      </c>
      <c r="Q385" s="216">
        <v>0.14000000000000001</v>
      </c>
      <c r="R385" s="216">
        <v>0.25</v>
      </c>
      <c r="S385" s="216">
        <v>1.2</v>
      </c>
      <c r="T385" s="231">
        <v>58</v>
      </c>
      <c r="U385" s="231">
        <v>285</v>
      </c>
      <c r="V385" s="231">
        <v>20</v>
      </c>
      <c r="W385" s="242"/>
      <c r="X385" s="232">
        <v>1</v>
      </c>
      <c r="Y385" s="231">
        <v>250</v>
      </c>
      <c r="Z385" s="231">
        <v>14.1</v>
      </c>
      <c r="AA385" s="241"/>
      <c r="AB385" s="241">
        <v>0.12</v>
      </c>
      <c r="AC385" s="240">
        <v>15</v>
      </c>
      <c r="AD385" s="240">
        <v>0</v>
      </c>
      <c r="AE385" s="233"/>
      <c r="AF385" s="233">
        <v>0.4</v>
      </c>
      <c r="AG385" s="240">
        <v>15</v>
      </c>
      <c r="AH385" s="240">
        <f t="shared" si="44"/>
        <v>49.95</v>
      </c>
      <c r="AI385" s="236">
        <f t="shared" si="43"/>
        <v>15</v>
      </c>
      <c r="AJ385" s="252"/>
      <c r="AK385" s="233">
        <v>1</v>
      </c>
      <c r="AL385" s="216">
        <v>0.1</v>
      </c>
      <c r="AM385" s="236">
        <v>0</v>
      </c>
      <c r="AN385" s="236">
        <v>0</v>
      </c>
      <c r="AO385" s="236">
        <v>0</v>
      </c>
      <c r="AP385" s="236">
        <v>0</v>
      </c>
      <c r="AQ385" s="236">
        <v>0</v>
      </c>
      <c r="AR385" s="236">
        <v>0</v>
      </c>
      <c r="AS385" s="236">
        <v>0</v>
      </c>
      <c r="AT385" s="236">
        <v>0</v>
      </c>
      <c r="AU385" s="236">
        <v>0</v>
      </c>
      <c r="AV385" s="231"/>
      <c r="AW385" s="236">
        <v>7.5999999999999998E-2</v>
      </c>
      <c r="AX385" s="242">
        <v>5.3999999999999999E-2</v>
      </c>
      <c r="AY385" s="242">
        <v>0</v>
      </c>
      <c r="AZ385" s="242">
        <v>2.1000000000000001E-2</v>
      </c>
      <c r="BA385" s="242">
        <v>0</v>
      </c>
      <c r="BB385" s="242">
        <v>0</v>
      </c>
      <c r="BC385" s="242">
        <v>0</v>
      </c>
      <c r="BD385" s="242">
        <v>5.2999999999999999E-2</v>
      </c>
      <c r="BE385" s="231">
        <v>0</v>
      </c>
      <c r="BF385" s="242">
        <v>8.9999999999999993E-3</v>
      </c>
      <c r="BG385" s="242">
        <v>4.3999999999999997E-2</v>
      </c>
      <c r="BH385" s="242">
        <v>0.10199999999999999</v>
      </c>
      <c r="BI385" s="242">
        <v>0.02</v>
      </c>
      <c r="BJ385" s="242">
        <v>0.01</v>
      </c>
      <c r="BK385" s="242">
        <v>3.1E-2</v>
      </c>
      <c r="BL385" s="242">
        <v>1.4E-2</v>
      </c>
      <c r="BM385" s="242">
        <v>0.02</v>
      </c>
      <c r="BN385" s="242"/>
      <c r="BO385" s="231">
        <v>50</v>
      </c>
      <c r="BP385" s="231"/>
      <c r="BQ385" s="231"/>
      <c r="BR385" s="231"/>
      <c r="BS385" s="231"/>
      <c r="BT385" s="231"/>
      <c r="BU385" s="231"/>
      <c r="BV385" s="231"/>
      <c r="BW385" s="231"/>
      <c r="BX385" s="231"/>
      <c r="BY385" s="231"/>
      <c r="BZ385" s="231"/>
      <c r="CA385" s="231"/>
      <c r="CB385" s="231"/>
      <c r="CC385" s="231"/>
      <c r="CD385" s="231"/>
      <c r="CE385" s="231"/>
      <c r="CF385" s="231"/>
      <c r="CG385" s="231"/>
      <c r="CH385" s="231"/>
      <c r="CI385" s="231"/>
    </row>
    <row r="386" spans="1:87" ht="25.2" customHeight="1" outlineLevel="1">
      <c r="A386" s="204">
        <v>364</v>
      </c>
      <c r="B386" s="207">
        <v>7081</v>
      </c>
      <c r="C386" s="208" t="s">
        <v>561</v>
      </c>
      <c r="D386" s="194" t="s">
        <v>468</v>
      </c>
      <c r="E386" s="209">
        <f t="shared" si="40"/>
        <v>110.5</v>
      </c>
      <c r="F386" s="216">
        <v>79.7</v>
      </c>
      <c r="G386" s="217">
        <v>13</v>
      </c>
      <c r="H386" s="218">
        <v>6.5</v>
      </c>
      <c r="I386" s="230">
        <f t="shared" si="41"/>
        <v>0</v>
      </c>
      <c r="J386" s="216">
        <v>0</v>
      </c>
      <c r="K386" s="216">
        <v>0.8</v>
      </c>
      <c r="L386" s="233">
        <v>0</v>
      </c>
      <c r="M386" s="233">
        <v>40</v>
      </c>
      <c r="N386" s="233">
        <v>109</v>
      </c>
      <c r="O386" s="233"/>
      <c r="P386" s="233">
        <v>0</v>
      </c>
      <c r="Q386" s="233"/>
      <c r="R386" s="233"/>
      <c r="S386" s="233"/>
      <c r="T386" s="231"/>
      <c r="U386" s="231"/>
      <c r="V386" s="231"/>
      <c r="W386" s="242"/>
      <c r="X386" s="232"/>
      <c r="Y386" s="231"/>
      <c r="Z386" s="231"/>
      <c r="AA386" s="241"/>
      <c r="AB386" s="241"/>
      <c r="AC386" s="240"/>
      <c r="AD386" s="240"/>
      <c r="AE386" s="233"/>
      <c r="AF386" s="233"/>
      <c r="AG386" s="240"/>
      <c r="AH386" s="240">
        <f t="shared" si="44"/>
        <v>0</v>
      </c>
      <c r="AI386" s="236">
        <f t="shared" si="43"/>
        <v>0</v>
      </c>
      <c r="AJ386" s="252"/>
      <c r="AK386" s="233"/>
      <c r="AL386" s="216"/>
      <c r="AM386" s="236">
        <v>0</v>
      </c>
      <c r="AN386" s="236">
        <v>0</v>
      </c>
      <c r="AO386" s="236">
        <v>0</v>
      </c>
      <c r="AP386" s="236">
        <v>0</v>
      </c>
      <c r="AQ386" s="236">
        <v>0</v>
      </c>
      <c r="AR386" s="236">
        <v>0</v>
      </c>
      <c r="AS386" s="236">
        <v>0</v>
      </c>
      <c r="AT386" s="236">
        <v>0</v>
      </c>
      <c r="AU386" s="236">
        <v>0</v>
      </c>
      <c r="AV386" s="231"/>
      <c r="AW386" s="236"/>
      <c r="AX386" s="242"/>
      <c r="AY386" s="242"/>
      <c r="AZ386" s="242"/>
      <c r="BA386" s="242"/>
      <c r="BB386" s="242"/>
      <c r="BC386" s="242"/>
      <c r="BD386" s="242"/>
      <c r="BE386" s="231"/>
      <c r="BF386" s="242"/>
      <c r="BG386" s="242"/>
      <c r="BH386" s="242"/>
      <c r="BI386" s="242"/>
      <c r="BJ386" s="242"/>
      <c r="BK386" s="242"/>
      <c r="BL386" s="242"/>
      <c r="BM386" s="242"/>
      <c r="BN386" s="242"/>
      <c r="BO386" s="231"/>
      <c r="BP386" s="231"/>
      <c r="BQ386" s="231"/>
      <c r="BR386" s="231"/>
      <c r="BS386" s="231"/>
      <c r="BT386" s="231"/>
      <c r="BU386" s="231"/>
      <c r="BV386" s="231"/>
      <c r="BW386" s="231"/>
      <c r="BX386" s="231"/>
      <c r="BY386" s="231"/>
      <c r="BZ386" s="231"/>
      <c r="CA386" s="231"/>
      <c r="CB386" s="231"/>
      <c r="CC386" s="231"/>
      <c r="CD386" s="231"/>
      <c r="CE386" s="231"/>
      <c r="CF386" s="231"/>
      <c r="CG386" s="231"/>
      <c r="CH386" s="231"/>
      <c r="CI386" s="231"/>
    </row>
    <row r="387" spans="1:87" ht="25.2" customHeight="1" outlineLevel="1">
      <c r="A387" s="204">
        <v>365</v>
      </c>
      <c r="B387" s="207">
        <v>7082</v>
      </c>
      <c r="C387" s="208" t="s">
        <v>562</v>
      </c>
      <c r="D387" s="194" t="s">
        <v>468</v>
      </c>
      <c r="E387" s="209">
        <f t="shared" si="40"/>
        <v>118.91</v>
      </c>
      <c r="F387" s="216">
        <v>74.87</v>
      </c>
      <c r="G387" s="270">
        <v>17.88</v>
      </c>
      <c r="H387" s="271">
        <v>4.47</v>
      </c>
      <c r="I387" s="230">
        <f t="shared" si="41"/>
        <v>1.79000000000001</v>
      </c>
      <c r="J387" s="233">
        <v>0</v>
      </c>
      <c r="K387" s="233">
        <v>0.99</v>
      </c>
      <c r="L387" s="233"/>
      <c r="M387" s="233">
        <v>10</v>
      </c>
      <c r="N387" s="233">
        <v>197</v>
      </c>
      <c r="O387" s="233">
        <v>5.86</v>
      </c>
      <c r="P387" s="233">
        <v>16.2</v>
      </c>
      <c r="Q387" s="233">
        <v>8.7999999999999995E-2</v>
      </c>
      <c r="R387" s="233">
        <v>0.98699999999999999</v>
      </c>
      <c r="S387" s="233">
        <v>0.66200000000000003</v>
      </c>
      <c r="T387" s="231">
        <v>77</v>
      </c>
      <c r="U387" s="231">
        <v>228</v>
      </c>
      <c r="V387" s="231">
        <v>18</v>
      </c>
      <c r="W387" s="242">
        <v>0.14899999999999999</v>
      </c>
      <c r="X387" s="232">
        <v>3.32</v>
      </c>
      <c r="Y387" s="231">
        <v>243</v>
      </c>
      <c r="Z387" s="231">
        <v>55.2</v>
      </c>
      <c r="AA387" s="241">
        <v>3.2080000000000002</v>
      </c>
      <c r="AB387" s="241">
        <v>0.42</v>
      </c>
      <c r="AC387" s="240">
        <v>345</v>
      </c>
      <c r="AD387" s="240">
        <v>0</v>
      </c>
      <c r="AE387" s="233"/>
      <c r="AF387" s="233">
        <v>11.41</v>
      </c>
      <c r="AG387" s="240">
        <v>2657</v>
      </c>
      <c r="AH387" s="240">
        <f t="shared" si="44"/>
        <v>8847.81</v>
      </c>
      <c r="AI387" s="236">
        <f t="shared" si="43"/>
        <v>2657</v>
      </c>
      <c r="AJ387" s="252"/>
      <c r="AK387" s="233"/>
      <c r="AL387" s="216"/>
      <c r="AM387" s="236">
        <v>0</v>
      </c>
      <c r="AN387" s="236">
        <v>0</v>
      </c>
      <c r="AO387" s="236">
        <v>0</v>
      </c>
      <c r="AP387" s="236">
        <v>0</v>
      </c>
      <c r="AQ387" s="236">
        <v>0</v>
      </c>
      <c r="AR387" s="236">
        <v>0</v>
      </c>
      <c r="AS387" s="236">
        <v>0</v>
      </c>
      <c r="AT387" s="236">
        <v>0</v>
      </c>
      <c r="AU387" s="236">
        <v>0</v>
      </c>
      <c r="AV387" s="231"/>
      <c r="AW387" s="236">
        <v>1.36</v>
      </c>
      <c r="AX387" s="242">
        <v>0.75</v>
      </c>
      <c r="AY387" s="242">
        <v>0</v>
      </c>
      <c r="AZ387" s="242">
        <v>0.47</v>
      </c>
      <c r="BA387" s="242">
        <v>0</v>
      </c>
      <c r="BB387" s="242">
        <v>0</v>
      </c>
      <c r="BC387" s="242">
        <v>0</v>
      </c>
      <c r="BD387" s="242">
        <v>1.1200000000000001</v>
      </c>
      <c r="BE387" s="231">
        <v>0</v>
      </c>
      <c r="BF387" s="242">
        <v>0.16</v>
      </c>
      <c r="BG387" s="242">
        <v>0.95</v>
      </c>
      <c r="BH387" s="242">
        <v>1.0900000000000001</v>
      </c>
      <c r="BI387" s="242">
        <v>0.75</v>
      </c>
      <c r="BJ387" s="242">
        <v>0.03</v>
      </c>
      <c r="BK387" s="242">
        <v>0.27</v>
      </c>
      <c r="BL387" s="242">
        <v>0.01</v>
      </c>
      <c r="BM387" s="242">
        <v>0.02</v>
      </c>
      <c r="BN387" s="242"/>
      <c r="BO387" s="231">
        <v>262</v>
      </c>
      <c r="BP387" s="231"/>
      <c r="BQ387" s="231">
        <v>1305</v>
      </c>
      <c r="BR387" s="231">
        <v>447</v>
      </c>
      <c r="BS387" s="231">
        <v>204</v>
      </c>
      <c r="BT387" s="231">
        <v>810</v>
      </c>
      <c r="BU387" s="231">
        <v>811</v>
      </c>
      <c r="BV387" s="231">
        <v>955</v>
      </c>
      <c r="BW387" s="231">
        <v>1430</v>
      </c>
      <c r="BX387" s="231">
        <v>897</v>
      </c>
      <c r="BY387" s="231">
        <v>1194</v>
      </c>
      <c r="BZ387" s="231">
        <v>417</v>
      </c>
      <c r="CA387" s="231">
        <v>238</v>
      </c>
      <c r="CB387" s="231">
        <v>587</v>
      </c>
      <c r="CC387" s="231">
        <v>877</v>
      </c>
      <c r="CD387" s="231">
        <v>1675</v>
      </c>
      <c r="CE387" s="231">
        <v>2712</v>
      </c>
      <c r="CF387" s="231">
        <v>985</v>
      </c>
      <c r="CG387" s="231">
        <v>910</v>
      </c>
      <c r="CH387" s="231">
        <v>782</v>
      </c>
      <c r="CI387" s="231"/>
    </row>
    <row r="388" spans="1:87" ht="25.2" customHeight="1" outlineLevel="1">
      <c r="A388" s="204">
        <v>366</v>
      </c>
      <c r="B388" s="207">
        <v>7083</v>
      </c>
      <c r="C388" s="208" t="s">
        <v>563</v>
      </c>
      <c r="D388" s="194" t="s">
        <v>468</v>
      </c>
      <c r="E388" s="209">
        <f t="shared" si="40"/>
        <v>148.81</v>
      </c>
      <c r="F388" s="253">
        <v>70.67</v>
      </c>
      <c r="G388" s="214">
        <v>20.83</v>
      </c>
      <c r="H388" s="215">
        <v>7.29</v>
      </c>
      <c r="I388" s="230">
        <f t="shared" si="41"/>
        <v>-3.0000000000001099E-2</v>
      </c>
      <c r="J388" s="233"/>
      <c r="K388" s="233">
        <v>1.24</v>
      </c>
      <c r="L388" s="233"/>
      <c r="M388" s="233">
        <v>23.7</v>
      </c>
      <c r="N388" s="233">
        <v>432.1</v>
      </c>
      <c r="O388" s="233">
        <v>0.67</v>
      </c>
      <c r="P388" s="233"/>
      <c r="Q388" s="233">
        <v>0.61</v>
      </c>
      <c r="R388" s="233">
        <v>1E-3</v>
      </c>
      <c r="S388" s="233"/>
      <c r="T388" s="231"/>
      <c r="U388" s="231"/>
      <c r="V388" s="231"/>
      <c r="W388" s="242"/>
      <c r="X388" s="232">
        <v>2.38</v>
      </c>
      <c r="Y388" s="231"/>
      <c r="Z388" s="231"/>
      <c r="AA388" s="241"/>
      <c r="AB388" s="241"/>
      <c r="AC388" s="240"/>
      <c r="AD388" s="240"/>
      <c r="AE388" s="233"/>
      <c r="AF388" s="233"/>
      <c r="AG388" s="240">
        <v>1.1000000000000001</v>
      </c>
      <c r="AH388" s="240">
        <f t="shared" si="44"/>
        <v>3.6629999999999998</v>
      </c>
      <c r="AI388" s="236">
        <f t="shared" si="43"/>
        <v>1.1000000000000001</v>
      </c>
      <c r="AJ388" s="252"/>
      <c r="AK388" s="233">
        <v>4.22</v>
      </c>
      <c r="AL388" s="21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1"/>
      <c r="AW388" s="236"/>
      <c r="AX388" s="242"/>
      <c r="AY388" s="242"/>
      <c r="AZ388" s="242"/>
      <c r="BA388" s="242"/>
      <c r="BB388" s="242"/>
      <c r="BC388" s="242"/>
      <c r="BD388" s="242"/>
      <c r="BE388" s="231"/>
      <c r="BF388" s="242"/>
      <c r="BG388" s="242"/>
      <c r="BH388" s="242"/>
      <c r="BI388" s="242"/>
      <c r="BJ388" s="242"/>
      <c r="BK388" s="242"/>
      <c r="BL388" s="242"/>
      <c r="BM388" s="242"/>
      <c r="BN388" s="242"/>
      <c r="BO388" s="231"/>
      <c r="BP388" s="231"/>
      <c r="BQ388" s="269">
        <v>1529.9933521047799</v>
      </c>
      <c r="BR388" s="269">
        <v>562.48688670206798</v>
      </c>
      <c r="BS388" s="269"/>
      <c r="BT388" s="269">
        <v>856.82226096741101</v>
      </c>
      <c r="BU388" s="269">
        <v>1398.84926312881</v>
      </c>
      <c r="BV388" s="269">
        <v>855.83373565591</v>
      </c>
      <c r="BW388" s="269">
        <v>1433.51066272553</v>
      </c>
      <c r="BX388" s="269">
        <v>832.26422913021599</v>
      </c>
      <c r="BY388" s="269">
        <v>1258.1774926446799</v>
      </c>
      <c r="BZ388" s="269">
        <v>1546.21469414945</v>
      </c>
      <c r="CA388" s="269">
        <v>164.390495398864</v>
      </c>
      <c r="CB388" s="269">
        <v>748.61330491414697</v>
      </c>
      <c r="CC388" s="269">
        <v>404.875163569981</v>
      </c>
      <c r="CD388" s="269">
        <v>1567.80398960771</v>
      </c>
      <c r="CE388" s="269">
        <v>987.54460738207695</v>
      </c>
      <c r="CF388" s="269">
        <v>384.67973094388202</v>
      </c>
      <c r="CG388" s="269"/>
      <c r="CH388" s="269">
        <v>1677.4314645295401</v>
      </c>
      <c r="CI388" s="231"/>
    </row>
    <row r="389" spans="1:87" ht="25.2" customHeight="1" outlineLevel="1">
      <c r="A389" s="204">
        <v>367</v>
      </c>
      <c r="B389" s="207">
        <v>7084</v>
      </c>
      <c r="C389" s="208" t="s">
        <v>564</v>
      </c>
      <c r="D389" s="194" t="s">
        <v>468</v>
      </c>
      <c r="E389" s="209">
        <f t="shared" si="40"/>
        <v>141.19999999999999</v>
      </c>
      <c r="F389" s="253">
        <v>69.3</v>
      </c>
      <c r="G389" s="214">
        <v>24.68</v>
      </c>
      <c r="H389" s="215">
        <v>4.72</v>
      </c>
      <c r="I389" s="230">
        <v>0</v>
      </c>
      <c r="J389" s="233"/>
      <c r="K389" s="233">
        <v>1.42</v>
      </c>
      <c r="L389" s="233"/>
      <c r="M389" s="233">
        <v>42.1</v>
      </c>
      <c r="N389" s="233">
        <v>363.4</v>
      </c>
      <c r="O389" s="233">
        <v>0.66</v>
      </c>
      <c r="P389" s="233"/>
      <c r="Q389" s="233"/>
      <c r="R389" s="233">
        <v>2E-3</v>
      </c>
      <c r="S389" s="233"/>
      <c r="T389" s="231"/>
      <c r="U389" s="231"/>
      <c r="V389" s="231"/>
      <c r="W389" s="242"/>
      <c r="X389" s="232">
        <v>2.33</v>
      </c>
      <c r="Y389" s="231"/>
      <c r="Z389" s="231"/>
      <c r="AA389" s="241"/>
      <c r="AB389" s="241"/>
      <c r="AC389" s="240"/>
      <c r="AD389" s="240"/>
      <c r="AE389" s="233"/>
      <c r="AF389" s="233"/>
      <c r="AG389" s="240">
        <v>1.2</v>
      </c>
      <c r="AH389" s="240">
        <f t="shared" si="44"/>
        <v>3.996</v>
      </c>
      <c r="AI389" s="236">
        <f t="shared" si="43"/>
        <v>1.2</v>
      </c>
      <c r="AJ389" s="252"/>
      <c r="AK389" s="233">
        <v>1.28</v>
      </c>
      <c r="AL389" s="21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31"/>
      <c r="AW389" s="236"/>
      <c r="AX389" s="242"/>
      <c r="AY389" s="242"/>
      <c r="AZ389" s="242"/>
      <c r="BA389" s="242"/>
      <c r="BB389" s="242"/>
      <c r="BC389" s="242"/>
      <c r="BD389" s="242"/>
      <c r="BE389" s="231"/>
      <c r="BF389" s="242"/>
      <c r="BG389" s="242"/>
      <c r="BH389" s="242"/>
      <c r="BI389" s="242"/>
      <c r="BJ389" s="242"/>
      <c r="BK389" s="242"/>
      <c r="BL389" s="242"/>
      <c r="BM389" s="242"/>
      <c r="BN389" s="242"/>
      <c r="BO389" s="231"/>
      <c r="BP389" s="231"/>
      <c r="BQ389" s="269">
        <v>2189.04532243516</v>
      </c>
      <c r="BR389" s="269">
        <v>787.55842606667204</v>
      </c>
      <c r="BS389" s="269"/>
      <c r="BT389" s="269">
        <v>1115.6983723809601</v>
      </c>
      <c r="BU389" s="269">
        <v>1894.52671373813</v>
      </c>
      <c r="BV389" s="269">
        <v>1157.8898984556999</v>
      </c>
      <c r="BW389" s="269">
        <v>1975.5802105457601</v>
      </c>
      <c r="BX389" s="269">
        <v>1171.1565618521399</v>
      </c>
      <c r="BY389" s="269">
        <v>1670.28816887322</v>
      </c>
      <c r="BZ389" s="269">
        <v>1918.3114003650201</v>
      </c>
      <c r="CA389" s="269">
        <v>167.447796910932</v>
      </c>
      <c r="CB389" s="269">
        <v>977.05683364102197</v>
      </c>
      <c r="CC389" s="269">
        <v>546.00090374247202</v>
      </c>
      <c r="CD389" s="269">
        <v>2169.20080408587</v>
      </c>
      <c r="CE389" s="269">
        <v>1292.4631568053401</v>
      </c>
      <c r="CF389" s="269">
        <v>538.09803608938296</v>
      </c>
      <c r="CG389" s="269"/>
      <c r="CH389" s="269">
        <v>2266.2220974145898</v>
      </c>
      <c r="CI389" s="231"/>
    </row>
    <row r="390" spans="1:87" ht="25.2" customHeight="1" outlineLevel="1">
      <c r="A390" s="204">
        <v>368</v>
      </c>
      <c r="B390" s="207">
        <v>7085</v>
      </c>
      <c r="C390" s="208" t="s">
        <v>565</v>
      </c>
      <c r="D390" s="194" t="s">
        <v>468</v>
      </c>
      <c r="E390" s="209">
        <f t="shared" si="40"/>
        <v>118.26</v>
      </c>
      <c r="F390" s="253">
        <v>72.900000000000006</v>
      </c>
      <c r="G390" s="214">
        <v>23</v>
      </c>
      <c r="H390" s="215">
        <v>2.9</v>
      </c>
      <c r="I390" s="230">
        <f t="shared" ref="I390:I396" si="45">100-SUM(F390,G390,H390,K390)</f>
        <v>3.9999999999992E-2</v>
      </c>
      <c r="J390" s="233"/>
      <c r="K390" s="233">
        <v>1.1599999999999999</v>
      </c>
      <c r="L390" s="233"/>
      <c r="M390" s="233">
        <v>38.200000000000003</v>
      </c>
      <c r="N390" s="233">
        <v>407.7</v>
      </c>
      <c r="O390" s="233">
        <v>0.72</v>
      </c>
      <c r="P390" s="233"/>
      <c r="Q390" s="233">
        <v>0.42</v>
      </c>
      <c r="R390" s="233">
        <v>2E-3</v>
      </c>
      <c r="S390" s="233"/>
      <c r="T390" s="231"/>
      <c r="U390" s="231"/>
      <c r="V390" s="231"/>
      <c r="W390" s="242"/>
      <c r="X390" s="232">
        <v>1.8</v>
      </c>
      <c r="Y390" s="231"/>
      <c r="Z390" s="231"/>
      <c r="AA390" s="241"/>
      <c r="AB390" s="241"/>
      <c r="AC390" s="240"/>
      <c r="AD390" s="240"/>
      <c r="AE390" s="233"/>
      <c r="AF390" s="233"/>
      <c r="AG390" s="240">
        <v>0</v>
      </c>
      <c r="AH390" s="240">
        <f t="shared" si="44"/>
        <v>0</v>
      </c>
      <c r="AI390" s="236">
        <f t="shared" si="43"/>
        <v>0</v>
      </c>
      <c r="AJ390" s="252"/>
      <c r="AK390" s="233">
        <v>0</v>
      </c>
      <c r="AL390" s="216"/>
      <c r="AM390" s="236"/>
      <c r="AN390" s="236"/>
      <c r="AO390" s="236"/>
      <c r="AP390" s="236"/>
      <c r="AQ390" s="236"/>
      <c r="AR390" s="236"/>
      <c r="AS390" s="236"/>
      <c r="AT390" s="236"/>
      <c r="AU390" s="236"/>
      <c r="AV390" s="231"/>
      <c r="AW390" s="236"/>
      <c r="AX390" s="242"/>
      <c r="AY390" s="242"/>
      <c r="AZ390" s="242"/>
      <c r="BA390" s="242"/>
      <c r="BB390" s="242"/>
      <c r="BC390" s="242"/>
      <c r="BD390" s="242"/>
      <c r="BE390" s="231"/>
      <c r="BF390" s="242"/>
      <c r="BG390" s="242"/>
      <c r="BH390" s="242"/>
      <c r="BI390" s="242"/>
      <c r="BJ390" s="242"/>
      <c r="BK390" s="242"/>
      <c r="BL390" s="242"/>
      <c r="BM390" s="242"/>
      <c r="BN390" s="242"/>
      <c r="BO390" s="231"/>
      <c r="BP390" s="231"/>
      <c r="BQ390" s="269">
        <v>1718.7192373656401</v>
      </c>
      <c r="BR390" s="269">
        <v>703.63903141394701</v>
      </c>
      <c r="BS390" s="269"/>
      <c r="BT390" s="269">
        <v>952.85308596461198</v>
      </c>
      <c r="BU390" s="269">
        <v>1592.20828700324</v>
      </c>
      <c r="BV390" s="269">
        <v>883.12952368589299</v>
      </c>
      <c r="BW390" s="269">
        <v>1629.9906847069999</v>
      </c>
      <c r="BX390" s="269">
        <v>889.01391486017303</v>
      </c>
      <c r="BY390" s="269">
        <v>1427.6798412914</v>
      </c>
      <c r="BZ390" s="269">
        <v>1738.9855260956101</v>
      </c>
      <c r="CA390" s="269">
        <v>281.08295222540602</v>
      </c>
      <c r="CB390" s="269">
        <v>878.934839986013</v>
      </c>
      <c r="CC390" s="269">
        <v>413.30046125146902</v>
      </c>
      <c r="CD390" s="269">
        <v>1956.2403483307401</v>
      </c>
      <c r="CE390" s="269">
        <v>1284.73457622558</v>
      </c>
      <c r="CF390" s="269">
        <v>494.17647790655002</v>
      </c>
      <c r="CG390" s="269"/>
      <c r="CH390" s="269">
        <v>2090.9968498461899</v>
      </c>
      <c r="CI390" s="231"/>
    </row>
    <row r="391" spans="1:87" ht="25.2" customHeight="1" outlineLevel="1">
      <c r="A391" s="204">
        <v>369</v>
      </c>
      <c r="B391" s="207">
        <v>7086</v>
      </c>
      <c r="C391" s="208" t="s">
        <v>566</v>
      </c>
      <c r="D391" s="194" t="s">
        <v>468</v>
      </c>
      <c r="E391" s="209">
        <f t="shared" si="40"/>
        <v>401.04</v>
      </c>
      <c r="F391" s="253">
        <v>42.2</v>
      </c>
      <c r="G391" s="214">
        <v>20.5</v>
      </c>
      <c r="H391" s="215">
        <v>35.200000000000003</v>
      </c>
      <c r="I391" s="230">
        <f t="shared" si="45"/>
        <v>0.55999999999998795</v>
      </c>
      <c r="J391" s="233"/>
      <c r="K391" s="233">
        <v>1.54</v>
      </c>
      <c r="L391" s="233"/>
      <c r="M391" s="233">
        <v>53.1</v>
      </c>
      <c r="N391" s="233">
        <v>521.4</v>
      </c>
      <c r="O391" s="233">
        <v>1.36</v>
      </c>
      <c r="P391" s="233"/>
      <c r="Q391" s="233">
        <v>0.1</v>
      </c>
      <c r="R391" s="233">
        <v>0.02</v>
      </c>
      <c r="S391" s="233"/>
      <c r="T391" s="231"/>
      <c r="U391" s="231"/>
      <c r="V391" s="231"/>
      <c r="W391" s="242"/>
      <c r="X391" s="232">
        <v>2.76</v>
      </c>
      <c r="Y391" s="231"/>
      <c r="Z391" s="231"/>
      <c r="AA391" s="241"/>
      <c r="AB391" s="241"/>
      <c r="AC391" s="240"/>
      <c r="AD391" s="240"/>
      <c r="AE391" s="233"/>
      <c r="AF391" s="233"/>
      <c r="AG391" s="240"/>
      <c r="AH391" s="240"/>
      <c r="AI391" s="236">
        <f t="shared" si="43"/>
        <v>0</v>
      </c>
      <c r="AJ391" s="252"/>
      <c r="AK391" s="233"/>
      <c r="AL391" s="216"/>
      <c r="AM391" s="236"/>
      <c r="AN391" s="236"/>
      <c r="AO391" s="236"/>
      <c r="AP391" s="236"/>
      <c r="AQ391" s="236"/>
      <c r="AR391" s="236"/>
      <c r="AS391" s="236"/>
      <c r="AT391" s="236"/>
      <c r="AU391" s="236"/>
      <c r="AV391" s="231"/>
      <c r="AW391" s="236"/>
      <c r="AX391" s="242"/>
      <c r="AY391" s="242"/>
      <c r="AZ391" s="242"/>
      <c r="BA391" s="242"/>
      <c r="BB391" s="242"/>
      <c r="BC391" s="242"/>
      <c r="BD391" s="242"/>
      <c r="BE391" s="231"/>
      <c r="BF391" s="242"/>
      <c r="BG391" s="242"/>
      <c r="BH391" s="242"/>
      <c r="BI391" s="242"/>
      <c r="BJ391" s="242"/>
      <c r="BK391" s="242"/>
      <c r="BL391" s="242"/>
      <c r="BM391" s="242"/>
      <c r="BN391" s="242"/>
      <c r="BO391" s="231"/>
      <c r="BP391" s="231"/>
      <c r="BQ391" s="269">
        <v>1432.8738024648501</v>
      </c>
      <c r="BR391" s="269">
        <v>592.814240308536</v>
      </c>
      <c r="BS391" s="269"/>
      <c r="BT391" s="269">
        <v>882.40824066908499</v>
      </c>
      <c r="BU391" s="269">
        <v>1467.21630624358</v>
      </c>
      <c r="BV391" s="269">
        <v>797.45331084812904</v>
      </c>
      <c r="BW391" s="269">
        <v>1430.7975073658999</v>
      </c>
      <c r="BX391" s="269">
        <v>778.69136469669195</v>
      </c>
      <c r="BY391" s="269">
        <v>1244.11342530037</v>
      </c>
      <c r="BZ391" s="269">
        <v>1979.4558385256</v>
      </c>
      <c r="CA391" s="269">
        <v>996.15037720895202</v>
      </c>
      <c r="CB391" s="269">
        <v>781.072078842378</v>
      </c>
      <c r="CC391" s="269">
        <v>379.70230910316002</v>
      </c>
      <c r="CD391" s="269">
        <v>1565.12907325528</v>
      </c>
      <c r="CE391" s="269">
        <v>1218.6669214118101</v>
      </c>
      <c r="CF391" s="269">
        <v>374.588719712201</v>
      </c>
      <c r="CG391" s="269"/>
      <c r="CH391" s="269">
        <v>1767.1851670178301</v>
      </c>
      <c r="CI391" s="231"/>
    </row>
    <row r="392" spans="1:87" ht="25.2" customHeight="1" outlineLevel="1">
      <c r="A392" s="204">
        <v>370</v>
      </c>
      <c r="B392" s="207">
        <v>7087</v>
      </c>
      <c r="C392" s="208" t="s">
        <v>567</v>
      </c>
      <c r="D392" s="194" t="s">
        <v>468</v>
      </c>
      <c r="E392" s="209">
        <f t="shared" si="40"/>
        <v>188.23</v>
      </c>
      <c r="F392" s="253">
        <v>67.5</v>
      </c>
      <c r="G392" s="214">
        <v>19.09</v>
      </c>
      <c r="H392" s="215">
        <v>12.43</v>
      </c>
      <c r="I392" s="230">
        <f t="shared" si="45"/>
        <v>0</v>
      </c>
      <c r="J392" s="233"/>
      <c r="K392" s="233">
        <v>0.98</v>
      </c>
      <c r="L392" s="233"/>
      <c r="M392" s="233">
        <v>19.3</v>
      </c>
      <c r="N392" s="233">
        <v>288.2</v>
      </c>
      <c r="O392" s="233">
        <v>1.07</v>
      </c>
      <c r="P392" s="233"/>
      <c r="Q392" s="233"/>
      <c r="R392" s="233">
        <v>3.0000000000000001E-3</v>
      </c>
      <c r="S392" s="233"/>
      <c r="T392" s="231"/>
      <c r="U392" s="231"/>
      <c r="V392" s="231"/>
      <c r="W392" s="242"/>
      <c r="X392" s="232">
        <v>0.94</v>
      </c>
      <c r="Y392" s="231"/>
      <c r="Z392" s="231"/>
      <c r="AA392" s="241"/>
      <c r="AB392" s="241"/>
      <c r="AC392" s="240"/>
      <c r="AD392" s="240"/>
      <c r="AE392" s="233"/>
      <c r="AF392" s="233"/>
      <c r="AG392" s="240">
        <v>6.9</v>
      </c>
      <c r="AH392" s="240">
        <f t="shared" ref="AH392:AH395" si="46">AG392*3.33</f>
        <v>22.977</v>
      </c>
      <c r="AI392" s="236">
        <f t="shared" si="43"/>
        <v>6.9</v>
      </c>
      <c r="AJ392" s="252"/>
      <c r="AK392" s="233">
        <v>9.7799999999999994</v>
      </c>
      <c r="AL392" s="216"/>
      <c r="AM392" s="236"/>
      <c r="AN392" s="236"/>
      <c r="AO392" s="236"/>
      <c r="AP392" s="236"/>
      <c r="AQ392" s="236"/>
      <c r="AR392" s="236"/>
      <c r="AS392" s="236"/>
      <c r="AT392" s="236"/>
      <c r="AU392" s="236"/>
      <c r="AV392" s="231"/>
      <c r="AW392" s="236"/>
      <c r="AX392" s="242"/>
      <c r="AY392" s="242"/>
      <c r="AZ392" s="242"/>
      <c r="BA392" s="242"/>
      <c r="BB392" s="242"/>
      <c r="BC392" s="242"/>
      <c r="BD392" s="242"/>
      <c r="BE392" s="231"/>
      <c r="BF392" s="242"/>
      <c r="BG392" s="242"/>
      <c r="BH392" s="242"/>
      <c r="BI392" s="242"/>
      <c r="BJ392" s="242"/>
      <c r="BK392" s="242"/>
      <c r="BL392" s="242"/>
      <c r="BM392" s="242"/>
      <c r="BN392" s="242"/>
      <c r="BO392" s="231"/>
      <c r="BP392" s="231"/>
      <c r="BQ392" s="269">
        <v>993.29406819027497</v>
      </c>
      <c r="BR392" s="269">
        <v>558.66111810610505</v>
      </c>
      <c r="BS392" s="269"/>
      <c r="BT392" s="269">
        <v>718.11748817313298</v>
      </c>
      <c r="BU392" s="269">
        <v>1130.4120081301801</v>
      </c>
      <c r="BV392" s="269">
        <v>623.87887733390005</v>
      </c>
      <c r="BW392" s="269">
        <v>1041.67552415197</v>
      </c>
      <c r="BX392" s="269">
        <v>622.56943185854698</v>
      </c>
      <c r="BY392" s="269">
        <v>938.93635994937699</v>
      </c>
      <c r="BZ392" s="269">
        <v>1926.5966912819399</v>
      </c>
      <c r="CA392" s="269">
        <v>1615.20851174206</v>
      </c>
      <c r="CB392" s="269">
        <v>601.09497368372502</v>
      </c>
      <c r="CC392" s="269">
        <v>532.64544748874096</v>
      </c>
      <c r="CD392" s="269">
        <v>1197.01926325401</v>
      </c>
      <c r="CE392" s="269">
        <v>1075.0472237082699</v>
      </c>
      <c r="CF392" s="269">
        <v>267.355908972961</v>
      </c>
      <c r="CG392" s="269"/>
      <c r="CH392" s="269">
        <v>1235.2535879111599</v>
      </c>
      <c r="CI392" s="231"/>
    </row>
    <row r="393" spans="1:87" ht="25.2" customHeight="1" outlineLevel="1">
      <c r="A393" s="204">
        <v>371</v>
      </c>
      <c r="B393" s="207">
        <v>7088</v>
      </c>
      <c r="C393" s="208" t="s">
        <v>568</v>
      </c>
      <c r="D393" s="194" t="s">
        <v>468</v>
      </c>
      <c r="E393" s="209">
        <f t="shared" si="40"/>
        <v>136.76</v>
      </c>
      <c r="F393" s="253">
        <v>73.2</v>
      </c>
      <c r="G393" s="214">
        <v>18</v>
      </c>
      <c r="H393" s="215">
        <v>6.8</v>
      </c>
      <c r="I393" s="230">
        <f t="shared" si="45"/>
        <v>0.89000000000000101</v>
      </c>
      <c r="J393" s="233"/>
      <c r="K393" s="233">
        <v>1.1100000000000001</v>
      </c>
      <c r="L393" s="233"/>
      <c r="M393" s="233">
        <v>18</v>
      </c>
      <c r="N393" s="233">
        <v>316.39999999999998</v>
      </c>
      <c r="O393" s="233">
        <v>0.75</v>
      </c>
      <c r="P393" s="233"/>
      <c r="Q393" s="233"/>
      <c r="R393" s="233">
        <v>1.7000000000000001E-2</v>
      </c>
      <c r="S393" s="233"/>
      <c r="T393" s="231"/>
      <c r="U393" s="231"/>
      <c r="V393" s="231"/>
      <c r="W393" s="242"/>
      <c r="X393" s="232">
        <v>1.63</v>
      </c>
      <c r="Y393" s="231"/>
      <c r="Z393" s="231"/>
      <c r="AA393" s="241"/>
      <c r="AB393" s="241"/>
      <c r="AC393" s="240"/>
      <c r="AD393" s="240"/>
      <c r="AE393" s="233"/>
      <c r="AF393" s="233"/>
      <c r="AG393" s="240">
        <v>10</v>
      </c>
      <c r="AH393" s="240">
        <f t="shared" si="46"/>
        <v>33.299999999999997</v>
      </c>
      <c r="AI393" s="236">
        <f t="shared" si="43"/>
        <v>10</v>
      </c>
      <c r="AJ393" s="252"/>
      <c r="AK393" s="233"/>
      <c r="AL393" s="216"/>
      <c r="AM393" s="236"/>
      <c r="AN393" s="236"/>
      <c r="AO393" s="236"/>
      <c r="AP393" s="236"/>
      <c r="AQ393" s="236"/>
      <c r="AR393" s="236"/>
      <c r="AS393" s="236"/>
      <c r="AT393" s="236"/>
      <c r="AU393" s="236"/>
      <c r="AV393" s="231"/>
      <c r="AW393" s="236"/>
      <c r="AX393" s="242"/>
      <c r="AY393" s="242"/>
      <c r="AZ393" s="242"/>
      <c r="BA393" s="242"/>
      <c r="BB393" s="242"/>
      <c r="BC393" s="242"/>
      <c r="BD393" s="242"/>
      <c r="BE393" s="231"/>
      <c r="BF393" s="242"/>
      <c r="BG393" s="242"/>
      <c r="BH393" s="242"/>
      <c r="BI393" s="242"/>
      <c r="BJ393" s="242"/>
      <c r="BK393" s="242"/>
      <c r="BL393" s="242"/>
      <c r="BM393" s="242"/>
      <c r="BN393" s="242"/>
      <c r="BO393" s="231"/>
      <c r="BP393" s="231"/>
      <c r="BQ393" s="269">
        <v>828.27305548785796</v>
      </c>
      <c r="BR393" s="269">
        <v>403.92231369061699</v>
      </c>
      <c r="BS393" s="269"/>
      <c r="BT393" s="269">
        <v>497.93013153729203</v>
      </c>
      <c r="BU393" s="269">
        <v>889.56775678061501</v>
      </c>
      <c r="BV393" s="269">
        <v>443.64774672962199</v>
      </c>
      <c r="BW393" s="269">
        <v>778.94377058879797</v>
      </c>
      <c r="BX393" s="269">
        <v>453.93418594854199</v>
      </c>
      <c r="BY393" s="269">
        <v>687.63559355726397</v>
      </c>
      <c r="BZ393" s="269">
        <v>1245.5713583709301</v>
      </c>
      <c r="CA393" s="269">
        <v>1793.95189798655</v>
      </c>
      <c r="CB393" s="269">
        <v>416.22061377412598</v>
      </c>
      <c r="CC393" s="269">
        <v>483.34317076986298</v>
      </c>
      <c r="CD393" s="269">
        <v>1019.02485730295</v>
      </c>
      <c r="CE393" s="269">
        <v>723.54344693719702</v>
      </c>
      <c r="CF393" s="269">
        <v>165.55835541488599</v>
      </c>
      <c r="CG393" s="269"/>
      <c r="CH393" s="269">
        <v>1006.21914880323</v>
      </c>
      <c r="CI393" s="231"/>
    </row>
    <row r="394" spans="1:87" ht="25.2" customHeight="1" outlineLevel="1">
      <c r="A394" s="204">
        <v>372</v>
      </c>
      <c r="B394" s="207">
        <v>7089</v>
      </c>
      <c r="C394" s="208" t="s">
        <v>569</v>
      </c>
      <c r="D394" s="194" t="s">
        <v>468</v>
      </c>
      <c r="E394" s="209">
        <f t="shared" si="40"/>
        <v>133.52000000000001</v>
      </c>
      <c r="F394" s="253">
        <v>71.2</v>
      </c>
      <c r="G394" s="214">
        <v>22.86</v>
      </c>
      <c r="H394" s="215">
        <v>4.68</v>
      </c>
      <c r="I394" s="230">
        <f t="shared" si="45"/>
        <v>-1.00000000000051E-2</v>
      </c>
      <c r="J394" s="233"/>
      <c r="K394" s="233">
        <v>1.27</v>
      </c>
      <c r="L394" s="233"/>
      <c r="M394" s="233">
        <v>23.3</v>
      </c>
      <c r="N394" s="233">
        <v>347.9</v>
      </c>
      <c r="O394" s="233">
        <v>0.69</v>
      </c>
      <c r="P394" s="233"/>
      <c r="Q394" s="233"/>
      <c r="R394" s="233">
        <v>4.0000000000000001E-3</v>
      </c>
      <c r="S394" s="233"/>
      <c r="T394" s="231"/>
      <c r="U394" s="231"/>
      <c r="V394" s="231"/>
      <c r="W394" s="242"/>
      <c r="X394" s="232">
        <v>1</v>
      </c>
      <c r="Y394" s="231"/>
      <c r="Z394" s="231"/>
      <c r="AA394" s="241"/>
      <c r="AB394" s="241"/>
      <c r="AC394" s="240"/>
      <c r="AD394" s="240"/>
      <c r="AE394" s="233"/>
      <c r="AF394" s="233"/>
      <c r="AG394" s="240">
        <v>9.1</v>
      </c>
      <c r="AH394" s="240">
        <f t="shared" si="46"/>
        <v>30.303000000000001</v>
      </c>
      <c r="AI394" s="236">
        <f t="shared" si="43"/>
        <v>9.1</v>
      </c>
      <c r="AJ394" s="252"/>
      <c r="AK394" s="233">
        <v>156.19999999999999</v>
      </c>
      <c r="AL394" s="216"/>
      <c r="AM394" s="236"/>
      <c r="AN394" s="236"/>
      <c r="AO394" s="236"/>
      <c r="AP394" s="236"/>
      <c r="AQ394" s="236"/>
      <c r="AR394" s="236"/>
      <c r="AS394" s="236"/>
      <c r="AT394" s="236"/>
      <c r="AU394" s="236"/>
      <c r="AV394" s="231"/>
      <c r="AW394" s="236"/>
      <c r="AX394" s="242"/>
      <c r="AY394" s="242"/>
      <c r="AZ394" s="242"/>
      <c r="BA394" s="242"/>
      <c r="BB394" s="242"/>
      <c r="BC394" s="242"/>
      <c r="BD394" s="242"/>
      <c r="BE394" s="231"/>
      <c r="BF394" s="242"/>
      <c r="BG394" s="242"/>
      <c r="BH394" s="242"/>
      <c r="BI394" s="242"/>
      <c r="BJ394" s="242"/>
      <c r="BK394" s="242"/>
      <c r="BL394" s="242"/>
      <c r="BM394" s="242"/>
      <c r="BN394" s="242"/>
      <c r="BO394" s="231"/>
      <c r="BP394" s="231"/>
      <c r="BQ394" s="269">
        <v>1261.9431871925201</v>
      </c>
      <c r="BR394" s="269">
        <v>505.690046365944</v>
      </c>
      <c r="BS394" s="269"/>
      <c r="BT394" s="269">
        <v>769.60972926294801</v>
      </c>
      <c r="BU394" s="269">
        <v>1439.28094947763</v>
      </c>
      <c r="BV394" s="269">
        <v>675.61544885073204</v>
      </c>
      <c r="BW394" s="269">
        <v>1315.2903033754901</v>
      </c>
      <c r="BX394" s="269">
        <v>628.33899379815603</v>
      </c>
      <c r="BY394" s="269">
        <v>997.42939424472002</v>
      </c>
      <c r="BZ394" s="269">
        <v>2163.7842606406098</v>
      </c>
      <c r="CA394" s="269">
        <v>1592.4667117148699</v>
      </c>
      <c r="CB394" s="269">
        <v>635.51827334072198</v>
      </c>
      <c r="CC394" s="269">
        <v>169.96043182720999</v>
      </c>
      <c r="CD394" s="269">
        <v>1602.5368562994599</v>
      </c>
      <c r="CE394" s="269">
        <v>1089.98774125211</v>
      </c>
      <c r="CF394" s="269">
        <v>308.29773518635</v>
      </c>
      <c r="CG394" s="269"/>
      <c r="CH394" s="269">
        <v>1721.8292558216999</v>
      </c>
      <c r="CI394" s="231"/>
    </row>
    <row r="395" spans="1:87" ht="25.2" customHeight="1" outlineLevel="1">
      <c r="A395" s="204">
        <v>373</v>
      </c>
      <c r="B395" s="207">
        <v>7090</v>
      </c>
      <c r="C395" s="208" t="s">
        <v>570</v>
      </c>
      <c r="D395" s="194" t="s">
        <v>468</v>
      </c>
      <c r="E395" s="209">
        <f t="shared" si="40"/>
        <v>288.17</v>
      </c>
      <c r="F395" s="253">
        <v>57.6</v>
      </c>
      <c r="G395" s="214">
        <v>17.05</v>
      </c>
      <c r="H395" s="215">
        <v>24.45</v>
      </c>
      <c r="I395" s="230">
        <f t="shared" si="45"/>
        <v>-2.0000000000010201E-2</v>
      </c>
      <c r="J395" s="233"/>
      <c r="K395" s="233">
        <v>0.92</v>
      </c>
      <c r="L395" s="233"/>
      <c r="M395" s="233">
        <v>37.4</v>
      </c>
      <c r="N395" s="233">
        <v>388.7</v>
      </c>
      <c r="O395" s="233">
        <v>2.83</v>
      </c>
      <c r="P395" s="233"/>
      <c r="Q395" s="233">
        <v>1.73</v>
      </c>
      <c r="R395" s="233">
        <v>1.7000000000000001E-2</v>
      </c>
      <c r="S395" s="233"/>
      <c r="T395" s="231"/>
      <c r="U395" s="231"/>
      <c r="V395" s="231"/>
      <c r="W395" s="242"/>
      <c r="X395" s="232">
        <v>1.4</v>
      </c>
      <c r="Y395" s="231"/>
      <c r="Z395" s="231"/>
      <c r="AA395" s="241"/>
      <c r="AB395" s="241"/>
      <c r="AC395" s="240"/>
      <c r="AD395" s="240"/>
      <c r="AE395" s="233"/>
      <c r="AF395" s="233"/>
      <c r="AG395" s="240">
        <v>0</v>
      </c>
      <c r="AH395" s="240">
        <f t="shared" si="46"/>
        <v>0</v>
      </c>
      <c r="AI395" s="236">
        <f t="shared" si="43"/>
        <v>0</v>
      </c>
      <c r="AJ395" s="252"/>
      <c r="AK395" s="233">
        <v>5.82</v>
      </c>
      <c r="AL395" s="216"/>
      <c r="AM395" s="236"/>
      <c r="AN395" s="236"/>
      <c r="AO395" s="236"/>
      <c r="AP395" s="236"/>
      <c r="AQ395" s="236"/>
      <c r="AR395" s="236"/>
      <c r="AS395" s="236"/>
      <c r="AT395" s="236"/>
      <c r="AU395" s="236"/>
      <c r="AV395" s="231"/>
      <c r="AW395" s="236"/>
      <c r="AX395" s="242"/>
      <c r="AY395" s="242"/>
      <c r="AZ395" s="242"/>
      <c r="BA395" s="242"/>
      <c r="BB395" s="242"/>
      <c r="BC395" s="242"/>
      <c r="BD395" s="242"/>
      <c r="BE395" s="231"/>
      <c r="BF395" s="242"/>
      <c r="BG395" s="242"/>
      <c r="BH395" s="242"/>
      <c r="BI395" s="242"/>
      <c r="BJ395" s="242"/>
      <c r="BK395" s="242"/>
      <c r="BL395" s="242"/>
      <c r="BM395" s="242"/>
      <c r="BN395" s="242"/>
      <c r="BO395" s="231"/>
      <c r="BP395" s="231"/>
      <c r="BQ395" s="269">
        <v>1433.96258888275</v>
      </c>
      <c r="BR395" s="269">
        <v>544.68466100023602</v>
      </c>
      <c r="BS395" s="269"/>
      <c r="BT395" s="269">
        <v>780.78457124181</v>
      </c>
      <c r="BU395" s="269">
        <v>708.66667875711403</v>
      </c>
      <c r="BV395" s="269">
        <v>723.446843920883</v>
      </c>
      <c r="BW395" s="269">
        <v>1339.2932009046499</v>
      </c>
      <c r="BX395" s="269">
        <v>726.96970825768403</v>
      </c>
      <c r="BY395" s="269">
        <v>1063.2909621733099</v>
      </c>
      <c r="BZ395" s="269">
        <v>1680.9613407208799</v>
      </c>
      <c r="CA395" s="269">
        <v>194.04064446450499</v>
      </c>
      <c r="CB395" s="269">
        <v>693.88806926496602</v>
      </c>
      <c r="CC395" s="269">
        <v>376.617317221024</v>
      </c>
      <c r="CD395" s="269">
        <v>1143.4126113598199</v>
      </c>
      <c r="CE395" s="269">
        <v>968.00672146673605</v>
      </c>
      <c r="CF395" s="269">
        <v>236.092489754723</v>
      </c>
      <c r="CG395" s="269"/>
      <c r="CH395" s="269">
        <v>1460.7893424740801</v>
      </c>
      <c r="CI395" s="231"/>
    </row>
    <row r="396" spans="1:87" ht="25.2" customHeight="1" outlineLevel="1">
      <c r="A396" s="204">
        <v>374</v>
      </c>
      <c r="B396" s="207">
        <v>7091</v>
      </c>
      <c r="C396" s="208" t="s">
        <v>571</v>
      </c>
      <c r="D396" s="194" t="s">
        <v>468</v>
      </c>
      <c r="E396" s="209">
        <f t="shared" si="40"/>
        <v>306.39999999999998</v>
      </c>
      <c r="F396" s="237">
        <v>52.9</v>
      </c>
      <c r="G396" s="214">
        <v>20</v>
      </c>
      <c r="H396" s="215">
        <v>24.8</v>
      </c>
      <c r="I396" s="230">
        <f t="shared" si="45"/>
        <v>0.79999999999999705</v>
      </c>
      <c r="J396" s="216"/>
      <c r="K396" s="213">
        <v>1.5</v>
      </c>
      <c r="L396" s="232"/>
      <c r="M396" s="216">
        <v>84.2</v>
      </c>
      <c r="N396" s="216">
        <v>564</v>
      </c>
      <c r="O396" s="216">
        <v>1.83</v>
      </c>
      <c r="P396" s="216"/>
      <c r="Q396" s="216">
        <v>1.1000000000000001</v>
      </c>
      <c r="R396" s="216">
        <v>6.9000000000000006E-2</v>
      </c>
      <c r="S396" s="216"/>
      <c r="T396" s="231"/>
      <c r="U396" s="231"/>
      <c r="V396" s="231"/>
      <c r="W396" s="242"/>
      <c r="X396" s="232"/>
      <c r="Y396" s="231"/>
      <c r="Z396" s="231"/>
      <c r="AA396" s="241"/>
      <c r="AB396" s="241"/>
      <c r="AC396" s="240"/>
      <c r="AD396" s="240"/>
      <c r="AE396" s="233"/>
      <c r="AF396" s="233"/>
      <c r="AG396" s="240"/>
      <c r="AH396" s="240"/>
      <c r="AI396" s="236">
        <f t="shared" si="43"/>
        <v>0</v>
      </c>
      <c r="AJ396" s="252"/>
      <c r="AK396" s="233"/>
      <c r="AL396" s="216"/>
      <c r="AM396" s="236"/>
      <c r="AN396" s="231"/>
      <c r="AO396" s="231"/>
      <c r="AP396" s="231"/>
      <c r="AQ396" s="231"/>
      <c r="AR396" s="231"/>
      <c r="AS396" s="231"/>
      <c r="AT396" s="231"/>
      <c r="AU396" s="231"/>
      <c r="AV396" s="231"/>
      <c r="AW396" s="236"/>
      <c r="AX396" s="242"/>
      <c r="AY396" s="242"/>
      <c r="AZ396" s="242"/>
      <c r="BA396" s="242"/>
      <c r="BB396" s="242"/>
      <c r="BC396" s="242"/>
      <c r="BD396" s="242"/>
      <c r="BE396" s="231"/>
      <c r="BF396" s="242"/>
      <c r="BG396" s="242"/>
      <c r="BH396" s="242"/>
      <c r="BI396" s="242"/>
      <c r="BJ396" s="242"/>
      <c r="BK396" s="242"/>
      <c r="BL396" s="242"/>
      <c r="BM396" s="242"/>
      <c r="BN396" s="242"/>
      <c r="BO396" s="231"/>
      <c r="BP396" s="231"/>
      <c r="BQ396" s="231"/>
      <c r="BR396" s="231"/>
      <c r="BS396" s="231"/>
      <c r="BT396" s="231"/>
      <c r="BU396" s="231"/>
      <c r="BV396" s="231"/>
      <c r="BW396" s="231"/>
      <c r="BX396" s="231"/>
      <c r="BY396" s="231"/>
      <c r="BZ396" s="231"/>
      <c r="CA396" s="231"/>
      <c r="CB396" s="231"/>
      <c r="CC396" s="231"/>
      <c r="CD396" s="231"/>
      <c r="CE396" s="231"/>
      <c r="CF396" s="231"/>
      <c r="CG396" s="231"/>
      <c r="CH396" s="231"/>
      <c r="CI396" s="231"/>
    </row>
    <row r="397" spans="1:87" s="169" customFormat="1" ht="7.05" customHeight="1">
      <c r="A397" s="196"/>
      <c r="B397" s="196"/>
      <c r="C397" s="197"/>
      <c r="D397" s="198"/>
      <c r="E397" s="199"/>
      <c r="F397" s="199"/>
      <c r="G397" s="200"/>
      <c r="H397" s="201"/>
      <c r="I397" s="228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  <c r="AG397" s="199"/>
      <c r="AH397" s="199"/>
      <c r="AI397" s="199"/>
      <c r="AJ397" s="250"/>
      <c r="AK397" s="199"/>
      <c r="AL397" s="199"/>
      <c r="AM397" s="199"/>
      <c r="AN397" s="199"/>
      <c r="AO397" s="199"/>
      <c r="AP397" s="199"/>
      <c r="AQ397" s="199"/>
      <c r="AR397" s="199"/>
      <c r="AS397" s="199"/>
      <c r="AT397" s="199"/>
      <c r="AU397" s="199"/>
      <c r="AV397" s="199"/>
      <c r="AW397" s="199"/>
      <c r="AX397" s="199"/>
      <c r="AY397" s="199"/>
      <c r="AZ397" s="199"/>
      <c r="BA397" s="199"/>
      <c r="BB397" s="199"/>
      <c r="BC397" s="199"/>
      <c r="BD397" s="199"/>
      <c r="BE397" s="199"/>
      <c r="BF397" s="199"/>
      <c r="BG397" s="199"/>
      <c r="BH397" s="199"/>
      <c r="BI397" s="199"/>
      <c r="BJ397" s="199"/>
      <c r="BK397" s="199"/>
      <c r="BL397" s="199"/>
      <c r="BM397" s="199"/>
      <c r="BN397" s="199"/>
      <c r="BO397" s="199"/>
      <c r="BP397" s="199"/>
      <c r="BQ397" s="199"/>
      <c r="BR397" s="199"/>
      <c r="BS397" s="199"/>
      <c r="BT397" s="199"/>
      <c r="BU397" s="199"/>
      <c r="BV397" s="199"/>
      <c r="BW397" s="199"/>
      <c r="BX397" s="199"/>
      <c r="BY397" s="199"/>
      <c r="BZ397" s="199"/>
      <c r="CA397" s="199"/>
      <c r="CB397" s="199"/>
      <c r="CC397" s="199"/>
      <c r="CD397" s="199"/>
      <c r="CE397" s="199"/>
      <c r="CF397" s="199"/>
      <c r="CG397" s="199"/>
      <c r="CH397" s="199"/>
      <c r="CI397" s="199"/>
    </row>
    <row r="398" spans="1:87" ht="25.2" customHeight="1">
      <c r="A398" s="204"/>
      <c r="B398" s="202"/>
      <c r="C398" s="203" t="s">
        <v>572</v>
      </c>
      <c r="D398" s="194"/>
      <c r="E398" s="209"/>
      <c r="F398" s="204"/>
      <c r="G398" s="205"/>
      <c r="H398" s="206"/>
      <c r="I398" s="230"/>
      <c r="J398" s="204"/>
      <c r="K398" s="204"/>
      <c r="L398" s="213"/>
      <c r="M398" s="237"/>
      <c r="N398" s="237"/>
      <c r="O398" s="237"/>
      <c r="P398" s="237"/>
      <c r="Q398" s="237"/>
      <c r="R398" s="237"/>
      <c r="S398" s="237"/>
      <c r="T398" s="231"/>
      <c r="U398" s="231"/>
      <c r="V398" s="231"/>
      <c r="W398" s="242"/>
      <c r="X398" s="232"/>
      <c r="Y398" s="231"/>
      <c r="Z398" s="231"/>
      <c r="AA398" s="244"/>
      <c r="AB398" s="244"/>
      <c r="AC398" s="243"/>
      <c r="AD398" s="243"/>
      <c r="AE398" s="204"/>
      <c r="AF398" s="204"/>
      <c r="AG398" s="243"/>
      <c r="AH398" s="243"/>
      <c r="AI398" s="204"/>
      <c r="AJ398" s="253"/>
      <c r="AK398" s="213"/>
      <c r="AL398" s="237"/>
      <c r="AM398" s="204"/>
      <c r="AN398" s="231"/>
      <c r="AO398" s="231"/>
      <c r="AP398" s="231"/>
      <c r="AQ398" s="231"/>
      <c r="AR398" s="231"/>
      <c r="AS398" s="231"/>
      <c r="AT398" s="231"/>
      <c r="AU398" s="231"/>
      <c r="AV398" s="231"/>
      <c r="AW398" s="204"/>
      <c r="AX398" s="242"/>
      <c r="AY398" s="242"/>
      <c r="AZ398" s="242"/>
      <c r="BA398" s="242"/>
      <c r="BB398" s="242"/>
      <c r="BC398" s="242"/>
      <c r="BD398" s="242"/>
      <c r="BE398" s="231"/>
      <c r="BF398" s="242"/>
      <c r="BG398" s="242"/>
      <c r="BH398" s="242"/>
      <c r="BI398" s="242"/>
      <c r="BJ398" s="242"/>
      <c r="BK398" s="242"/>
      <c r="BL398" s="242"/>
      <c r="BM398" s="242"/>
      <c r="BN398" s="242"/>
      <c r="BO398" s="231"/>
      <c r="BP398" s="231"/>
      <c r="BQ398" s="231"/>
      <c r="BR398" s="231"/>
      <c r="BS398" s="231"/>
      <c r="BT398" s="231"/>
      <c r="BU398" s="231"/>
      <c r="BV398" s="231"/>
      <c r="BW398" s="231"/>
      <c r="BX398" s="231"/>
      <c r="BY398" s="231"/>
      <c r="BZ398" s="231"/>
      <c r="CA398" s="231"/>
      <c r="CB398" s="231"/>
      <c r="CC398" s="231"/>
      <c r="CD398" s="231"/>
      <c r="CE398" s="231"/>
      <c r="CF398" s="231"/>
      <c r="CG398" s="231"/>
      <c r="CH398" s="231"/>
      <c r="CI398" s="231"/>
    </row>
    <row r="399" spans="1:87" ht="25.2" customHeight="1" outlineLevel="1">
      <c r="A399" s="204">
        <v>375</v>
      </c>
      <c r="B399" s="207">
        <v>8001</v>
      </c>
      <c r="C399" s="208" t="s">
        <v>573</v>
      </c>
      <c r="D399" s="194" t="s">
        <v>468</v>
      </c>
      <c r="E399" s="209">
        <f t="shared" ref="E399:E462" si="47">G399*4+H399*9+I399*4</f>
        <v>70.400000000000006</v>
      </c>
      <c r="F399" s="216">
        <v>81.900000000000006</v>
      </c>
      <c r="G399" s="217">
        <v>15.8</v>
      </c>
      <c r="H399" s="218">
        <v>0.8</v>
      </c>
      <c r="I399" s="230">
        <f t="shared" ref="I399:I462" si="48">100-SUM(F399,G399,H399,K399)</f>
        <v>0</v>
      </c>
      <c r="J399" s="216">
        <v>0</v>
      </c>
      <c r="K399" s="216">
        <v>1.5</v>
      </c>
      <c r="L399" s="233">
        <v>0</v>
      </c>
      <c r="M399" s="216">
        <v>51</v>
      </c>
      <c r="N399" s="216">
        <v>181</v>
      </c>
      <c r="O399" s="216">
        <v>0.9</v>
      </c>
      <c r="P399" s="216">
        <v>0</v>
      </c>
      <c r="Q399" s="216">
        <v>0.02</v>
      </c>
      <c r="R399" s="216">
        <v>0.04</v>
      </c>
      <c r="S399" s="216">
        <v>3.2</v>
      </c>
      <c r="T399" s="231"/>
      <c r="U399" s="231"/>
      <c r="V399" s="231"/>
      <c r="W399" s="242"/>
      <c r="X399" s="232"/>
      <c r="Y399" s="231"/>
      <c r="Z399" s="231"/>
      <c r="AA399" s="241"/>
      <c r="AB399" s="241"/>
      <c r="AC399" s="240"/>
      <c r="AD399" s="240"/>
      <c r="AE399" s="233"/>
      <c r="AF399" s="233"/>
      <c r="AG399" s="240"/>
      <c r="AH399" s="240">
        <f t="shared" ref="AH399:AH462" si="49">AG399*3.33</f>
        <v>0</v>
      </c>
      <c r="AI399" s="236">
        <f t="shared" ref="AI399:AI462" si="50">AG399+AM399/12+AN399/24+AO399/24</f>
        <v>0</v>
      </c>
      <c r="AJ399" s="252"/>
      <c r="AK399" s="233"/>
      <c r="AL399" s="216"/>
      <c r="AM399" s="236">
        <v>0</v>
      </c>
      <c r="AN399" s="236">
        <v>0</v>
      </c>
      <c r="AO399" s="236">
        <v>0</v>
      </c>
      <c r="AP399" s="236">
        <v>0</v>
      </c>
      <c r="AQ399" s="236">
        <v>0</v>
      </c>
      <c r="AR399" s="236">
        <v>0</v>
      </c>
      <c r="AS399" s="236">
        <v>0</v>
      </c>
      <c r="AT399" s="236">
        <v>0</v>
      </c>
      <c r="AU399" s="236">
        <v>0</v>
      </c>
      <c r="AV399" s="231"/>
      <c r="AW399" s="236"/>
      <c r="AX399" s="242"/>
      <c r="AY399" s="242"/>
      <c r="AZ399" s="242"/>
      <c r="BA399" s="242"/>
      <c r="BB399" s="242"/>
      <c r="BC399" s="242"/>
      <c r="BD399" s="242"/>
      <c r="BE399" s="231"/>
      <c r="BF399" s="242"/>
      <c r="BG399" s="242"/>
      <c r="BH399" s="242"/>
      <c r="BI399" s="242"/>
      <c r="BJ399" s="242"/>
      <c r="BK399" s="242"/>
      <c r="BL399" s="242"/>
      <c r="BM399" s="242"/>
      <c r="BN399" s="242"/>
      <c r="BO399" s="231"/>
      <c r="BP399" s="231"/>
      <c r="BQ399" s="204">
        <v>1944</v>
      </c>
      <c r="BR399" s="204">
        <v>598</v>
      </c>
      <c r="BS399" s="204">
        <v>176</v>
      </c>
      <c r="BT399" s="204">
        <v>718</v>
      </c>
      <c r="BU399" s="204">
        <v>927</v>
      </c>
      <c r="BV399" s="204">
        <v>987</v>
      </c>
      <c r="BW399" s="204">
        <v>1555</v>
      </c>
      <c r="BX399" s="204">
        <v>897</v>
      </c>
      <c r="BY399" s="204">
        <v>957</v>
      </c>
      <c r="BZ399" s="204">
        <v>419</v>
      </c>
      <c r="CA399" s="204">
        <v>260</v>
      </c>
      <c r="CB399" s="204">
        <v>718</v>
      </c>
      <c r="CC399" s="204">
        <v>1067</v>
      </c>
      <c r="CD399" s="204">
        <v>2243</v>
      </c>
      <c r="CE399" s="204">
        <v>2781</v>
      </c>
      <c r="CF399" s="204">
        <v>777</v>
      </c>
      <c r="CG399" s="204">
        <v>718</v>
      </c>
      <c r="CH399" s="204">
        <v>718</v>
      </c>
      <c r="CI399" s="231"/>
    </row>
    <row r="400" spans="1:87" ht="25.2" customHeight="1" outlineLevel="1">
      <c r="A400" s="204">
        <v>376</v>
      </c>
      <c r="B400" s="207">
        <v>8002</v>
      </c>
      <c r="C400" s="208" t="s">
        <v>574</v>
      </c>
      <c r="D400" s="194" t="s">
        <v>468</v>
      </c>
      <c r="E400" s="209">
        <f t="shared" si="47"/>
        <v>112.8</v>
      </c>
      <c r="F400" s="216">
        <v>75.099999999999994</v>
      </c>
      <c r="G400" s="217">
        <v>20.100000000000001</v>
      </c>
      <c r="H400" s="218">
        <v>3.6</v>
      </c>
      <c r="I400" s="230">
        <f t="shared" si="48"/>
        <v>0</v>
      </c>
      <c r="J400" s="216">
        <v>0</v>
      </c>
      <c r="K400" s="216">
        <v>1.2</v>
      </c>
      <c r="L400" s="233">
        <v>0</v>
      </c>
      <c r="M400" s="233">
        <v>62.8</v>
      </c>
      <c r="N400" s="233">
        <v>176</v>
      </c>
      <c r="O400" s="233">
        <v>0.2</v>
      </c>
      <c r="P400" s="233">
        <v>0</v>
      </c>
      <c r="Q400" s="233"/>
      <c r="R400" s="233"/>
      <c r="S400" s="233"/>
      <c r="T400" s="204"/>
      <c r="U400" s="204"/>
      <c r="V400" s="204"/>
      <c r="W400" s="244"/>
      <c r="X400" s="213"/>
      <c r="Y400" s="204"/>
      <c r="Z400" s="204"/>
      <c r="AA400" s="241"/>
      <c r="AB400" s="241"/>
      <c r="AC400" s="240"/>
      <c r="AD400" s="240"/>
      <c r="AE400" s="233"/>
      <c r="AF400" s="233"/>
      <c r="AG400" s="240"/>
      <c r="AH400" s="240">
        <f t="shared" si="49"/>
        <v>0</v>
      </c>
      <c r="AI400" s="236">
        <f t="shared" si="50"/>
        <v>0</v>
      </c>
      <c r="AJ400" s="252"/>
      <c r="AK400" s="233"/>
      <c r="AL400" s="216"/>
      <c r="AM400" s="236">
        <v>0</v>
      </c>
      <c r="AN400" s="236">
        <v>0</v>
      </c>
      <c r="AO400" s="236">
        <v>0</v>
      </c>
      <c r="AP400" s="236">
        <v>0</v>
      </c>
      <c r="AQ400" s="236">
        <v>0</v>
      </c>
      <c r="AR400" s="236">
        <v>0</v>
      </c>
      <c r="AS400" s="236">
        <v>0</v>
      </c>
      <c r="AT400" s="236">
        <v>0</v>
      </c>
      <c r="AU400" s="236">
        <v>0</v>
      </c>
      <c r="AV400" s="204"/>
      <c r="AW400" s="236"/>
      <c r="AX400" s="244"/>
      <c r="AY400" s="244"/>
      <c r="AZ400" s="244"/>
      <c r="BA400" s="244"/>
      <c r="BB400" s="244"/>
      <c r="BC400" s="244"/>
      <c r="BD400" s="244"/>
      <c r="BE400" s="204"/>
      <c r="BF400" s="244"/>
      <c r="BG400" s="244"/>
      <c r="BH400" s="244"/>
      <c r="BI400" s="244"/>
      <c r="BJ400" s="244"/>
      <c r="BK400" s="244"/>
      <c r="BL400" s="244"/>
      <c r="BM400" s="244"/>
      <c r="BN400" s="244"/>
      <c r="BO400" s="204"/>
      <c r="BP400" s="204"/>
      <c r="BQ400" s="204"/>
      <c r="BR400" s="204"/>
      <c r="BS400" s="204"/>
      <c r="BT400" s="204"/>
      <c r="BU400" s="204"/>
      <c r="BV400" s="204"/>
      <c r="BW400" s="204"/>
      <c r="BX400" s="204"/>
      <c r="BY400" s="204"/>
      <c r="BZ400" s="204"/>
      <c r="CA400" s="204"/>
      <c r="CB400" s="204"/>
      <c r="CC400" s="204"/>
      <c r="CD400" s="204"/>
      <c r="CE400" s="204"/>
      <c r="CF400" s="204"/>
      <c r="CG400" s="204"/>
      <c r="CH400" s="204"/>
      <c r="CI400" s="204"/>
    </row>
    <row r="401" spans="1:95" ht="25.2" customHeight="1" outlineLevel="1">
      <c r="A401" s="204">
        <v>377</v>
      </c>
      <c r="B401" s="207">
        <v>8003</v>
      </c>
      <c r="C401" s="208" t="s">
        <v>575</v>
      </c>
      <c r="D401" s="194" t="s">
        <v>468</v>
      </c>
      <c r="E401" s="209">
        <f t="shared" si="47"/>
        <v>96.4</v>
      </c>
      <c r="F401" s="216">
        <v>79.099999999999994</v>
      </c>
      <c r="G401" s="217">
        <v>16</v>
      </c>
      <c r="H401" s="218">
        <v>3.6</v>
      </c>
      <c r="I401" s="230">
        <f t="shared" si="48"/>
        <v>0</v>
      </c>
      <c r="J401" s="216">
        <v>0</v>
      </c>
      <c r="K401" s="216">
        <v>1.3</v>
      </c>
      <c r="L401" s="233">
        <v>0</v>
      </c>
      <c r="M401" s="216">
        <v>17</v>
      </c>
      <c r="N401" s="216">
        <v>184</v>
      </c>
      <c r="O401" s="216">
        <v>0.9</v>
      </c>
      <c r="P401" s="216">
        <v>0</v>
      </c>
      <c r="Q401" s="216">
        <v>1.7999999999999999E-2</v>
      </c>
      <c r="R401" s="216">
        <v>0.04</v>
      </c>
      <c r="S401" s="216">
        <v>1.5</v>
      </c>
      <c r="T401" s="240">
        <v>49</v>
      </c>
      <c r="U401" s="240">
        <v>397</v>
      </c>
      <c r="V401" s="240">
        <v>30</v>
      </c>
      <c r="W401" s="241">
        <v>4.2000000000000003E-2</v>
      </c>
      <c r="X401" s="233">
        <v>1.48</v>
      </c>
      <c r="Y401" s="240">
        <v>57</v>
      </c>
      <c r="Z401" s="216">
        <v>12.6</v>
      </c>
      <c r="AA401" s="241">
        <v>0.75</v>
      </c>
      <c r="AB401" s="241">
        <v>0.17</v>
      </c>
      <c r="AC401" s="240">
        <v>13</v>
      </c>
      <c r="AD401" s="240">
        <v>0</v>
      </c>
      <c r="AE401" s="233"/>
      <c r="AF401" s="233">
        <v>1.53</v>
      </c>
      <c r="AG401" s="240">
        <v>8</v>
      </c>
      <c r="AH401" s="240">
        <f t="shared" si="49"/>
        <v>26.64</v>
      </c>
      <c r="AI401" s="236">
        <f t="shared" si="50"/>
        <v>8</v>
      </c>
      <c r="AJ401" s="275">
        <v>24.7</v>
      </c>
      <c r="AK401" s="233">
        <v>0.63</v>
      </c>
      <c r="AL401" s="216">
        <v>0.1</v>
      </c>
      <c r="AM401" s="236">
        <v>0</v>
      </c>
      <c r="AN401" s="236">
        <v>0</v>
      </c>
      <c r="AO401" s="236">
        <v>0</v>
      </c>
      <c r="AP401" s="236">
        <v>0</v>
      </c>
      <c r="AQ401" s="236">
        <v>0</v>
      </c>
      <c r="AR401" s="236">
        <v>0</v>
      </c>
      <c r="AS401" s="236">
        <v>0</v>
      </c>
      <c r="AT401" s="236">
        <v>0</v>
      </c>
      <c r="AU401" s="236">
        <v>0</v>
      </c>
      <c r="AV401" s="231">
        <v>160</v>
      </c>
      <c r="AW401" s="236">
        <v>1.083</v>
      </c>
      <c r="AX401" s="244">
        <v>0.65700000000000003</v>
      </c>
      <c r="AY401" s="244">
        <v>0</v>
      </c>
      <c r="AZ401" s="244">
        <v>0.185</v>
      </c>
      <c r="BA401" s="244">
        <v>0</v>
      </c>
      <c r="BB401" s="244">
        <v>0</v>
      </c>
      <c r="BC401" s="244">
        <v>0</v>
      </c>
      <c r="BD401" s="244">
        <v>2.238</v>
      </c>
      <c r="BE401" s="237">
        <v>0</v>
      </c>
      <c r="BF401" s="244">
        <v>0.65500000000000003</v>
      </c>
      <c r="BG401" s="244">
        <v>1.1499999999999999</v>
      </c>
      <c r="BH401" s="244">
        <v>1.431</v>
      </c>
      <c r="BI401" s="244">
        <v>0.51700000000000002</v>
      </c>
      <c r="BJ401" s="244">
        <v>0.27</v>
      </c>
      <c r="BK401" s="244">
        <v>0.152</v>
      </c>
      <c r="BL401" s="244">
        <v>0.23799999999999999</v>
      </c>
      <c r="BM401" s="244">
        <v>0.114</v>
      </c>
      <c r="BN401" s="244"/>
      <c r="BO401" s="204">
        <v>70</v>
      </c>
      <c r="BP401" s="204"/>
      <c r="BQ401" s="204">
        <v>1249</v>
      </c>
      <c r="BR401" s="204">
        <v>476</v>
      </c>
      <c r="BS401" s="204">
        <v>200</v>
      </c>
      <c r="BT401" s="204">
        <v>566</v>
      </c>
      <c r="BU401" s="204">
        <v>686</v>
      </c>
      <c r="BV401" s="204">
        <v>1085</v>
      </c>
      <c r="BW401" s="204">
        <v>1249</v>
      </c>
      <c r="BX401" s="204">
        <v>822</v>
      </c>
      <c r="BY401" s="204">
        <v>927</v>
      </c>
      <c r="BZ401" s="204">
        <v>335</v>
      </c>
      <c r="CA401" s="204">
        <v>177</v>
      </c>
      <c r="CB401" s="204">
        <v>532</v>
      </c>
      <c r="CC401" s="204">
        <v>975</v>
      </c>
      <c r="CD401" s="204">
        <v>1505</v>
      </c>
      <c r="CE401" s="204">
        <v>2255</v>
      </c>
      <c r="CF401" s="204">
        <v>975</v>
      </c>
      <c r="CG401" s="204">
        <v>945</v>
      </c>
      <c r="CH401" s="204">
        <v>847</v>
      </c>
      <c r="CI401" s="231"/>
    </row>
    <row r="402" spans="1:95" ht="25.2" customHeight="1" outlineLevel="1">
      <c r="A402" s="204">
        <v>378</v>
      </c>
      <c r="B402" s="207">
        <v>8004</v>
      </c>
      <c r="C402" s="208" t="s">
        <v>576</v>
      </c>
      <c r="D402" s="194" t="s">
        <v>468</v>
      </c>
      <c r="E402" s="209">
        <f t="shared" si="47"/>
        <v>115.4</v>
      </c>
      <c r="F402" s="216">
        <v>75.599999999999994</v>
      </c>
      <c r="G402" s="217">
        <v>17.600000000000001</v>
      </c>
      <c r="H402" s="218">
        <v>5</v>
      </c>
      <c r="I402" s="230">
        <f t="shared" si="48"/>
        <v>0</v>
      </c>
      <c r="J402" s="216">
        <v>0</v>
      </c>
      <c r="K402" s="216">
        <v>1.8</v>
      </c>
      <c r="L402" s="233">
        <v>0</v>
      </c>
      <c r="M402" s="233">
        <v>64</v>
      </c>
      <c r="N402" s="233">
        <v>70</v>
      </c>
      <c r="O402" s="233"/>
      <c r="P402" s="233">
        <v>0</v>
      </c>
      <c r="Q402" s="233"/>
      <c r="R402" s="233"/>
      <c r="S402" s="233"/>
      <c r="T402" s="231"/>
      <c r="U402" s="231"/>
      <c r="V402" s="231"/>
      <c r="W402" s="242"/>
      <c r="X402" s="232"/>
      <c r="Y402" s="231"/>
      <c r="Z402" s="231"/>
      <c r="AA402" s="241"/>
      <c r="AB402" s="241"/>
      <c r="AC402" s="240"/>
      <c r="AD402" s="240"/>
      <c r="AE402" s="233"/>
      <c r="AF402" s="233"/>
      <c r="AG402" s="240"/>
      <c r="AH402" s="240">
        <f t="shared" si="49"/>
        <v>0</v>
      </c>
      <c r="AI402" s="236">
        <f t="shared" si="50"/>
        <v>0</v>
      </c>
      <c r="AJ402" s="252"/>
      <c r="AK402" s="233"/>
      <c r="AL402" s="216"/>
      <c r="AM402" s="236">
        <v>0</v>
      </c>
      <c r="AN402" s="236">
        <v>0</v>
      </c>
      <c r="AO402" s="236">
        <v>0</v>
      </c>
      <c r="AP402" s="236">
        <v>0</v>
      </c>
      <c r="AQ402" s="236">
        <v>0</v>
      </c>
      <c r="AR402" s="236">
        <v>0</v>
      </c>
      <c r="AS402" s="236">
        <v>0</v>
      </c>
      <c r="AT402" s="236">
        <v>0</v>
      </c>
      <c r="AU402" s="236">
        <v>0</v>
      </c>
      <c r="AV402" s="231"/>
      <c r="AW402" s="236"/>
      <c r="AX402" s="242"/>
      <c r="AY402" s="242"/>
      <c r="AZ402" s="242"/>
      <c r="BA402" s="242"/>
      <c r="BB402" s="242"/>
      <c r="BC402" s="242"/>
      <c r="BD402" s="242"/>
      <c r="BE402" s="231"/>
      <c r="BF402" s="242"/>
      <c r="BG402" s="242"/>
      <c r="BH402" s="242"/>
      <c r="BI402" s="242"/>
      <c r="BJ402" s="242"/>
      <c r="BK402" s="242"/>
      <c r="BL402" s="242"/>
      <c r="BM402" s="242"/>
      <c r="BN402" s="242"/>
      <c r="BO402" s="231"/>
      <c r="BP402" s="231"/>
      <c r="BQ402" s="231"/>
      <c r="BR402" s="231"/>
      <c r="BS402" s="231"/>
      <c r="BT402" s="231"/>
      <c r="BU402" s="231"/>
      <c r="BV402" s="231"/>
      <c r="BW402" s="231"/>
      <c r="BX402" s="231"/>
      <c r="BY402" s="231"/>
      <c r="BZ402" s="231"/>
      <c r="CA402" s="231"/>
      <c r="CB402" s="231"/>
      <c r="CC402" s="231"/>
      <c r="CD402" s="231"/>
      <c r="CE402" s="231"/>
      <c r="CF402" s="231"/>
      <c r="CG402" s="231"/>
      <c r="CH402" s="231"/>
      <c r="CI402" s="231"/>
    </row>
    <row r="403" spans="1:95" ht="25.2" customHeight="1" outlineLevel="1">
      <c r="A403" s="204">
        <v>379</v>
      </c>
      <c r="B403" s="207">
        <v>8005</v>
      </c>
      <c r="C403" s="208" t="s">
        <v>577</v>
      </c>
      <c r="D403" s="194" t="s">
        <v>468</v>
      </c>
      <c r="E403" s="209">
        <f t="shared" si="47"/>
        <v>96.3</v>
      </c>
      <c r="F403" s="216">
        <v>75.099999999999994</v>
      </c>
      <c r="G403" s="217">
        <v>18.899999999999999</v>
      </c>
      <c r="H403" s="218">
        <v>2.2999999999999998</v>
      </c>
      <c r="I403" s="230">
        <f t="shared" si="48"/>
        <v>0</v>
      </c>
      <c r="J403" s="216">
        <v>0</v>
      </c>
      <c r="K403" s="216">
        <v>3.7</v>
      </c>
      <c r="L403" s="233">
        <v>0</v>
      </c>
      <c r="M403" s="233">
        <v>527</v>
      </c>
      <c r="N403" s="233">
        <v>885</v>
      </c>
      <c r="O403" s="233"/>
      <c r="P403" s="233">
        <v>0</v>
      </c>
      <c r="Q403" s="233"/>
      <c r="R403" s="233"/>
      <c r="S403" s="233"/>
      <c r="T403" s="231"/>
      <c r="U403" s="231"/>
      <c r="V403" s="231"/>
      <c r="W403" s="242"/>
      <c r="X403" s="232"/>
      <c r="Y403" s="231"/>
      <c r="Z403" s="231"/>
      <c r="AA403" s="241"/>
      <c r="AB403" s="241"/>
      <c r="AC403" s="240"/>
      <c r="AD403" s="240"/>
      <c r="AE403" s="233"/>
      <c r="AF403" s="233"/>
      <c r="AG403" s="240"/>
      <c r="AH403" s="240">
        <f t="shared" si="49"/>
        <v>0</v>
      </c>
      <c r="AI403" s="236">
        <f t="shared" si="50"/>
        <v>0</v>
      </c>
      <c r="AJ403" s="252"/>
      <c r="AK403" s="233"/>
      <c r="AL403" s="216"/>
      <c r="AM403" s="236">
        <v>0</v>
      </c>
      <c r="AN403" s="236">
        <v>0</v>
      </c>
      <c r="AO403" s="236">
        <v>0</v>
      </c>
      <c r="AP403" s="236">
        <v>0</v>
      </c>
      <c r="AQ403" s="236">
        <v>0</v>
      </c>
      <c r="AR403" s="236">
        <v>0</v>
      </c>
      <c r="AS403" s="236">
        <v>0</v>
      </c>
      <c r="AT403" s="236">
        <v>0</v>
      </c>
      <c r="AU403" s="236">
        <v>0</v>
      </c>
      <c r="AV403" s="231"/>
      <c r="AW403" s="236"/>
      <c r="AX403" s="242"/>
      <c r="AY403" s="242"/>
      <c r="AZ403" s="242"/>
      <c r="BA403" s="242"/>
      <c r="BB403" s="242"/>
      <c r="BC403" s="242"/>
      <c r="BD403" s="242"/>
      <c r="BE403" s="231"/>
      <c r="BF403" s="242"/>
      <c r="BG403" s="242"/>
      <c r="BH403" s="242"/>
      <c r="BI403" s="242"/>
      <c r="BJ403" s="242"/>
      <c r="BK403" s="242"/>
      <c r="BL403" s="242"/>
      <c r="BM403" s="242"/>
      <c r="BN403" s="242"/>
      <c r="BO403" s="231"/>
      <c r="BP403" s="231"/>
      <c r="BQ403" s="231"/>
      <c r="BR403" s="231"/>
      <c r="BS403" s="231"/>
      <c r="BT403" s="231"/>
      <c r="BU403" s="231"/>
      <c r="BV403" s="231"/>
      <c r="BW403" s="231"/>
      <c r="BX403" s="231"/>
      <c r="BY403" s="231"/>
      <c r="BZ403" s="231"/>
      <c r="CA403" s="231"/>
      <c r="CB403" s="231"/>
      <c r="CC403" s="231"/>
      <c r="CD403" s="231"/>
      <c r="CE403" s="231"/>
      <c r="CF403" s="231"/>
      <c r="CG403" s="231"/>
      <c r="CH403" s="231"/>
      <c r="CI403" s="231"/>
    </row>
    <row r="404" spans="1:95" ht="25.2" customHeight="1" outlineLevel="1">
      <c r="A404" s="204">
        <v>380</v>
      </c>
      <c r="B404" s="207">
        <v>8006</v>
      </c>
      <c r="C404" s="208" t="s">
        <v>578</v>
      </c>
      <c r="D404" s="194" t="s">
        <v>468</v>
      </c>
      <c r="E404" s="209">
        <f t="shared" si="47"/>
        <v>87</v>
      </c>
      <c r="F404" s="216">
        <v>78.900000000000006</v>
      </c>
      <c r="G404" s="217">
        <v>17.7</v>
      </c>
      <c r="H404" s="218">
        <v>1.8</v>
      </c>
      <c r="I404" s="230">
        <f t="shared" si="48"/>
        <v>0</v>
      </c>
      <c r="J404" s="216">
        <v>0</v>
      </c>
      <c r="K404" s="216">
        <v>1.6</v>
      </c>
      <c r="L404" s="233">
        <v>0</v>
      </c>
      <c r="M404" s="233">
        <v>70</v>
      </c>
      <c r="N404" s="233">
        <v>152</v>
      </c>
      <c r="O404" s="233">
        <v>0.8</v>
      </c>
      <c r="P404" s="233">
        <v>0</v>
      </c>
      <c r="Q404" s="233"/>
      <c r="R404" s="233"/>
      <c r="S404" s="233"/>
      <c r="T404" s="231">
        <v>35</v>
      </c>
      <c r="U404" s="231">
        <v>271</v>
      </c>
      <c r="V404" s="231">
        <v>53</v>
      </c>
      <c r="W404" s="242"/>
      <c r="X404" s="232"/>
      <c r="Y404" s="231"/>
      <c r="Z404" s="231"/>
      <c r="AA404" s="241"/>
      <c r="AB404" s="241"/>
      <c r="AC404" s="240"/>
      <c r="AD404" s="240"/>
      <c r="AE404" s="233"/>
      <c r="AF404" s="233"/>
      <c r="AG404" s="240">
        <v>120</v>
      </c>
      <c r="AH404" s="240">
        <f t="shared" si="49"/>
        <v>399.6</v>
      </c>
      <c r="AI404" s="236">
        <f t="shared" si="50"/>
        <v>120</v>
      </c>
      <c r="AJ404" s="275">
        <f>61/40</f>
        <v>1.5249999999999999</v>
      </c>
      <c r="AK404" s="233"/>
      <c r="AL404" s="216"/>
      <c r="AM404" s="236">
        <v>0</v>
      </c>
      <c r="AN404" s="236">
        <v>0</v>
      </c>
      <c r="AO404" s="236">
        <v>0</v>
      </c>
      <c r="AP404" s="236">
        <v>0</v>
      </c>
      <c r="AQ404" s="236">
        <v>0</v>
      </c>
      <c r="AR404" s="236">
        <v>0</v>
      </c>
      <c r="AS404" s="236">
        <v>0</v>
      </c>
      <c r="AT404" s="236">
        <v>0</v>
      </c>
      <c r="AU404" s="236">
        <v>0</v>
      </c>
      <c r="AV404" s="231"/>
      <c r="AW404" s="236"/>
      <c r="AX404" s="242"/>
      <c r="AY404" s="242"/>
      <c r="AZ404" s="242"/>
      <c r="BA404" s="242"/>
      <c r="BB404" s="242"/>
      <c r="BC404" s="242"/>
      <c r="BD404" s="242"/>
      <c r="BE404" s="231"/>
      <c r="BF404" s="242"/>
      <c r="BG404" s="242"/>
      <c r="BH404" s="242"/>
      <c r="BI404" s="242"/>
      <c r="BJ404" s="242"/>
      <c r="BK404" s="242"/>
      <c r="BL404" s="242"/>
      <c r="BM404" s="242"/>
      <c r="BN404" s="242"/>
      <c r="BO404" s="231"/>
      <c r="BP404" s="231"/>
      <c r="BQ404" s="231"/>
      <c r="BR404" s="231"/>
      <c r="BS404" s="231"/>
      <c r="BT404" s="231"/>
      <c r="BU404" s="231"/>
      <c r="BV404" s="231"/>
      <c r="BW404" s="231"/>
      <c r="BX404" s="231"/>
      <c r="BY404" s="231"/>
      <c r="BZ404" s="231"/>
      <c r="CA404" s="231"/>
      <c r="CB404" s="231"/>
      <c r="CC404" s="231"/>
      <c r="CD404" s="231"/>
      <c r="CE404" s="231"/>
      <c r="CF404" s="231"/>
      <c r="CG404" s="231"/>
      <c r="CH404" s="231"/>
      <c r="CI404" s="231"/>
    </row>
    <row r="405" spans="1:95" ht="25.2" customHeight="1" outlineLevel="1">
      <c r="A405" s="204">
        <v>381</v>
      </c>
      <c r="B405" s="207">
        <v>8007</v>
      </c>
      <c r="C405" s="208" t="s">
        <v>579</v>
      </c>
      <c r="D405" s="194" t="s">
        <v>468</v>
      </c>
      <c r="E405" s="209">
        <f t="shared" si="47"/>
        <v>93.9</v>
      </c>
      <c r="F405" s="216">
        <v>78.3</v>
      </c>
      <c r="G405" s="217">
        <v>18.3</v>
      </c>
      <c r="H405" s="218">
        <v>2.2999999999999998</v>
      </c>
      <c r="I405" s="230">
        <f t="shared" si="48"/>
        <v>0</v>
      </c>
      <c r="J405" s="216">
        <v>0</v>
      </c>
      <c r="K405" s="216">
        <v>1.1000000000000001</v>
      </c>
      <c r="L405" s="233">
        <v>0</v>
      </c>
      <c r="M405" s="233">
        <v>36</v>
      </c>
      <c r="N405" s="233">
        <v>50</v>
      </c>
      <c r="O405" s="233"/>
      <c r="P405" s="233">
        <v>0</v>
      </c>
      <c r="Q405" s="233"/>
      <c r="R405" s="233"/>
      <c r="S405" s="233"/>
      <c r="T405" s="231"/>
      <c r="U405" s="231"/>
      <c r="V405" s="231"/>
      <c r="W405" s="242"/>
      <c r="X405" s="232"/>
      <c r="Y405" s="231"/>
      <c r="Z405" s="231"/>
      <c r="AA405" s="241"/>
      <c r="AB405" s="241"/>
      <c r="AC405" s="240"/>
      <c r="AD405" s="240"/>
      <c r="AE405" s="233"/>
      <c r="AF405" s="233"/>
      <c r="AG405" s="240"/>
      <c r="AH405" s="240">
        <f t="shared" si="49"/>
        <v>0</v>
      </c>
      <c r="AI405" s="236">
        <f t="shared" si="50"/>
        <v>0</v>
      </c>
      <c r="AJ405" s="252"/>
      <c r="AK405" s="233"/>
      <c r="AL405" s="216"/>
      <c r="AM405" s="236">
        <v>0</v>
      </c>
      <c r="AN405" s="236">
        <v>0</v>
      </c>
      <c r="AO405" s="236">
        <v>0</v>
      </c>
      <c r="AP405" s="236">
        <v>0</v>
      </c>
      <c r="AQ405" s="236">
        <v>0</v>
      </c>
      <c r="AR405" s="236">
        <v>0</v>
      </c>
      <c r="AS405" s="236">
        <v>0</v>
      </c>
      <c r="AT405" s="236">
        <v>0</v>
      </c>
      <c r="AU405" s="236">
        <v>0</v>
      </c>
      <c r="AV405" s="231"/>
      <c r="AW405" s="236"/>
      <c r="AX405" s="242"/>
      <c r="AY405" s="242"/>
      <c r="AZ405" s="242"/>
      <c r="BA405" s="242"/>
      <c r="BB405" s="242"/>
      <c r="BC405" s="242"/>
      <c r="BD405" s="242"/>
      <c r="BE405" s="231"/>
      <c r="BF405" s="242"/>
      <c r="BG405" s="242"/>
      <c r="BH405" s="242"/>
      <c r="BI405" s="242"/>
      <c r="BJ405" s="242"/>
      <c r="BK405" s="242"/>
      <c r="BL405" s="242"/>
      <c r="BM405" s="242"/>
      <c r="BN405" s="242"/>
      <c r="BO405" s="231"/>
      <c r="BP405" s="231"/>
      <c r="BQ405" s="231"/>
      <c r="BR405" s="231"/>
      <c r="BS405" s="231"/>
      <c r="BT405" s="231"/>
      <c r="BU405" s="231"/>
      <c r="BV405" s="231"/>
      <c r="BW405" s="231"/>
      <c r="BX405" s="231"/>
      <c r="BY405" s="231"/>
      <c r="BZ405" s="231"/>
      <c r="CA405" s="231"/>
      <c r="CB405" s="231"/>
      <c r="CC405" s="231"/>
      <c r="CD405" s="231"/>
      <c r="CE405" s="231"/>
      <c r="CF405" s="231"/>
      <c r="CG405" s="231"/>
      <c r="CH405" s="231"/>
      <c r="CI405" s="231"/>
    </row>
    <row r="406" spans="1:95" ht="25.2" customHeight="1" outlineLevel="1">
      <c r="A406" s="204">
        <v>382</v>
      </c>
      <c r="B406" s="207">
        <v>8008</v>
      </c>
      <c r="C406" s="208" t="s">
        <v>580</v>
      </c>
      <c r="D406" s="194" t="s">
        <v>468</v>
      </c>
      <c r="E406" s="209">
        <f t="shared" si="47"/>
        <v>82.9</v>
      </c>
      <c r="F406" s="216">
        <v>78.8</v>
      </c>
      <c r="G406" s="217">
        <v>18.7</v>
      </c>
      <c r="H406" s="218">
        <v>0.9</v>
      </c>
      <c r="I406" s="230">
        <f t="shared" si="48"/>
        <v>0</v>
      </c>
      <c r="J406" s="216">
        <v>0</v>
      </c>
      <c r="K406" s="216">
        <v>1.6</v>
      </c>
      <c r="L406" s="233">
        <v>0</v>
      </c>
      <c r="M406" s="233">
        <v>80</v>
      </c>
      <c r="N406" s="233">
        <v>130</v>
      </c>
      <c r="O406" s="233"/>
      <c r="P406" s="233">
        <v>0</v>
      </c>
      <c r="Q406" s="233"/>
      <c r="R406" s="233"/>
      <c r="S406" s="233"/>
      <c r="T406" s="231"/>
      <c r="U406" s="231"/>
      <c r="V406" s="231"/>
      <c r="W406" s="242"/>
      <c r="X406" s="232"/>
      <c r="Y406" s="231"/>
      <c r="Z406" s="231"/>
      <c r="AA406" s="241"/>
      <c r="AB406" s="241"/>
      <c r="AC406" s="240"/>
      <c r="AD406" s="240"/>
      <c r="AE406" s="233"/>
      <c r="AF406" s="233"/>
      <c r="AG406" s="240"/>
      <c r="AH406" s="240">
        <f t="shared" si="49"/>
        <v>0</v>
      </c>
      <c r="AI406" s="236">
        <f t="shared" si="50"/>
        <v>0</v>
      </c>
      <c r="AJ406" s="252"/>
      <c r="AK406" s="233"/>
      <c r="AL406" s="216"/>
      <c r="AM406" s="236">
        <v>0</v>
      </c>
      <c r="AN406" s="236">
        <v>0</v>
      </c>
      <c r="AO406" s="236">
        <v>0</v>
      </c>
      <c r="AP406" s="236">
        <v>0</v>
      </c>
      <c r="AQ406" s="236">
        <v>0</v>
      </c>
      <c r="AR406" s="236">
        <v>0</v>
      </c>
      <c r="AS406" s="236">
        <v>0</v>
      </c>
      <c r="AT406" s="236">
        <v>0</v>
      </c>
      <c r="AU406" s="236">
        <v>0</v>
      </c>
      <c r="AV406" s="231"/>
      <c r="AW406" s="236"/>
      <c r="AX406" s="276"/>
      <c r="AY406" s="276"/>
      <c r="AZ406" s="276"/>
      <c r="BA406" s="276"/>
      <c r="BB406" s="276"/>
      <c r="BC406" s="276"/>
      <c r="BD406" s="276"/>
      <c r="BE406" s="257"/>
      <c r="BF406" s="276"/>
      <c r="BG406" s="276"/>
      <c r="BH406" s="276"/>
      <c r="BI406" s="276"/>
      <c r="BJ406" s="276"/>
      <c r="BK406" s="276"/>
      <c r="BL406" s="276"/>
      <c r="BM406" s="276"/>
      <c r="BN406" s="276"/>
      <c r="BO406" s="257"/>
      <c r="BP406" s="257"/>
      <c r="BQ406" s="231"/>
      <c r="BR406" s="231"/>
      <c r="BS406" s="231"/>
      <c r="BT406" s="231"/>
      <c r="BU406" s="231"/>
      <c r="BV406" s="231"/>
      <c r="BW406" s="231"/>
      <c r="BX406" s="231"/>
      <c r="BY406" s="231"/>
      <c r="BZ406" s="231"/>
      <c r="CA406" s="231"/>
      <c r="CB406" s="231"/>
      <c r="CC406" s="231"/>
      <c r="CD406" s="231"/>
      <c r="CE406" s="231"/>
      <c r="CF406" s="231"/>
      <c r="CG406" s="231"/>
      <c r="CH406" s="231"/>
      <c r="CI406" s="231"/>
    </row>
    <row r="407" spans="1:95" ht="25.2" customHeight="1" outlineLevel="1">
      <c r="A407" s="204">
        <v>383</v>
      </c>
      <c r="B407" s="207">
        <v>8009</v>
      </c>
      <c r="C407" s="208" t="s">
        <v>581</v>
      </c>
      <c r="D407" s="194" t="s">
        <v>468</v>
      </c>
      <c r="E407" s="209">
        <f t="shared" si="47"/>
        <v>107.7</v>
      </c>
      <c r="F407" s="216">
        <v>76</v>
      </c>
      <c r="G407" s="217">
        <v>19.5</v>
      </c>
      <c r="H407" s="218">
        <v>3.3</v>
      </c>
      <c r="I407" s="230">
        <f t="shared" si="48"/>
        <v>0</v>
      </c>
      <c r="J407" s="216">
        <v>0</v>
      </c>
      <c r="K407" s="216">
        <v>1.2</v>
      </c>
      <c r="L407" s="233">
        <v>0</v>
      </c>
      <c r="M407" s="216">
        <v>21</v>
      </c>
      <c r="N407" s="216">
        <v>224</v>
      </c>
      <c r="O407" s="216">
        <v>1</v>
      </c>
      <c r="P407" s="216">
        <v>0</v>
      </c>
      <c r="Q407" s="216">
        <v>7.0000000000000007E-2</v>
      </c>
      <c r="R407" s="216">
        <v>0.15</v>
      </c>
      <c r="S407" s="216">
        <v>4.5999999999999996</v>
      </c>
      <c r="T407" s="231">
        <v>65</v>
      </c>
      <c r="U407" s="231">
        <v>357</v>
      </c>
      <c r="V407" s="231">
        <v>29</v>
      </c>
      <c r="W407" s="242">
        <v>1.6E-2</v>
      </c>
      <c r="X407" s="232">
        <v>0.52</v>
      </c>
      <c r="Y407" s="231">
        <v>51</v>
      </c>
      <c r="Z407" s="231">
        <v>36.5</v>
      </c>
      <c r="AA407" s="241">
        <v>0.76</v>
      </c>
      <c r="AB407" s="241">
        <v>0.42499999999999999</v>
      </c>
      <c r="AC407" s="240">
        <v>9</v>
      </c>
      <c r="AD407" s="240">
        <v>0</v>
      </c>
      <c r="AE407" s="233"/>
      <c r="AF407" s="233">
        <v>0.22</v>
      </c>
      <c r="AG407" s="240">
        <v>45</v>
      </c>
      <c r="AH407" s="240">
        <f t="shared" si="49"/>
        <v>149.85</v>
      </c>
      <c r="AI407" s="236">
        <f t="shared" si="50"/>
        <v>45</v>
      </c>
      <c r="AJ407" s="252"/>
      <c r="AK407" s="233">
        <v>1</v>
      </c>
      <c r="AL407" s="216">
        <v>0.1</v>
      </c>
      <c r="AM407" s="236">
        <v>0</v>
      </c>
      <c r="AN407" s="236">
        <v>0</v>
      </c>
      <c r="AO407" s="236">
        <v>0</v>
      </c>
      <c r="AP407" s="236">
        <v>0</v>
      </c>
      <c r="AQ407" s="236">
        <v>0</v>
      </c>
      <c r="AR407" s="236">
        <v>0</v>
      </c>
      <c r="AS407" s="236">
        <v>0</v>
      </c>
      <c r="AT407" s="236">
        <v>0</v>
      </c>
      <c r="AU407" s="236">
        <v>0</v>
      </c>
      <c r="AV407" s="231"/>
      <c r="AW407" s="236">
        <v>1.1160000000000001</v>
      </c>
      <c r="AX407" s="242">
        <v>0.747</v>
      </c>
      <c r="AY407" s="242">
        <v>0</v>
      </c>
      <c r="AZ407" s="242">
        <v>0.1</v>
      </c>
      <c r="BA407" s="242">
        <v>0</v>
      </c>
      <c r="BB407" s="242">
        <v>0</v>
      </c>
      <c r="BC407" s="242">
        <v>0</v>
      </c>
      <c r="BD407" s="242">
        <v>1.0780000000000001</v>
      </c>
      <c r="BE407" s="231">
        <v>0</v>
      </c>
      <c r="BF407" s="242">
        <v>0.56399999999999995</v>
      </c>
      <c r="BG407" s="242">
        <v>0.29299999999999998</v>
      </c>
      <c r="BH407" s="242">
        <v>0.71499999999999997</v>
      </c>
      <c r="BI407" s="242">
        <v>8.7999999999999995E-2</v>
      </c>
      <c r="BJ407" s="242">
        <v>2.5000000000000001E-2</v>
      </c>
      <c r="BK407" s="242">
        <v>9.6000000000000002E-2</v>
      </c>
      <c r="BL407" s="242">
        <v>0.217</v>
      </c>
      <c r="BM407" s="242">
        <v>0.108</v>
      </c>
      <c r="BN407" s="242"/>
      <c r="BO407" s="231">
        <v>49</v>
      </c>
      <c r="BP407" s="231"/>
      <c r="BQ407" s="204">
        <v>1777</v>
      </c>
      <c r="BR407" s="204">
        <v>573</v>
      </c>
      <c r="BS407" s="204">
        <v>217</v>
      </c>
      <c r="BT407" s="204">
        <v>755</v>
      </c>
      <c r="BU407" s="204">
        <v>848</v>
      </c>
      <c r="BV407" s="204">
        <v>997</v>
      </c>
      <c r="BW407" s="204">
        <v>1573</v>
      </c>
      <c r="BX407" s="204">
        <v>892</v>
      </c>
      <c r="BY407" s="204">
        <v>1158</v>
      </c>
      <c r="BZ407" s="204">
        <v>570</v>
      </c>
      <c r="CA407" s="204">
        <v>207</v>
      </c>
      <c r="CB407" s="204">
        <v>653</v>
      </c>
      <c r="CC407" s="204">
        <v>1170</v>
      </c>
      <c r="CD407" s="204">
        <v>1981</v>
      </c>
      <c r="CE407" s="204">
        <v>1889</v>
      </c>
      <c r="CF407" s="204">
        <v>929</v>
      </c>
      <c r="CG407" s="204">
        <v>684</v>
      </c>
      <c r="CH407" s="204">
        <v>789</v>
      </c>
      <c r="CI407" s="231"/>
    </row>
    <row r="408" spans="1:95" ht="25.2" customHeight="1" outlineLevel="1">
      <c r="A408" s="204">
        <v>384</v>
      </c>
      <c r="B408" s="207">
        <v>8010</v>
      </c>
      <c r="C408" s="208" t="s">
        <v>582</v>
      </c>
      <c r="D408" s="194" t="s">
        <v>468</v>
      </c>
      <c r="E408" s="209">
        <f t="shared" si="47"/>
        <v>98.4</v>
      </c>
      <c r="F408" s="216">
        <v>76.400000000000006</v>
      </c>
      <c r="G408" s="217">
        <v>20.100000000000001</v>
      </c>
      <c r="H408" s="218">
        <v>2</v>
      </c>
      <c r="I408" s="230">
        <f t="shared" si="48"/>
        <v>0</v>
      </c>
      <c r="J408" s="216">
        <v>0</v>
      </c>
      <c r="K408" s="216">
        <v>1.5</v>
      </c>
      <c r="L408" s="233">
        <v>0</v>
      </c>
      <c r="M408" s="233">
        <v>90</v>
      </c>
      <c r="N408" s="233">
        <v>100</v>
      </c>
      <c r="O408" s="233"/>
      <c r="P408" s="233">
        <v>0</v>
      </c>
      <c r="Q408" s="233"/>
      <c r="R408" s="233"/>
      <c r="S408" s="233"/>
      <c r="T408" s="231"/>
      <c r="U408" s="231"/>
      <c r="V408" s="231"/>
      <c r="W408" s="242"/>
      <c r="X408" s="232"/>
      <c r="Y408" s="231"/>
      <c r="Z408" s="231"/>
      <c r="AA408" s="241"/>
      <c r="AB408" s="241"/>
      <c r="AC408" s="240"/>
      <c r="AD408" s="240"/>
      <c r="AE408" s="233"/>
      <c r="AF408" s="233"/>
      <c r="AG408" s="240"/>
      <c r="AH408" s="240">
        <f t="shared" si="49"/>
        <v>0</v>
      </c>
      <c r="AI408" s="236">
        <f t="shared" si="50"/>
        <v>0</v>
      </c>
      <c r="AJ408" s="252"/>
      <c r="AK408" s="233"/>
      <c r="AL408" s="216"/>
      <c r="AM408" s="236">
        <v>0</v>
      </c>
      <c r="AN408" s="236">
        <v>0</v>
      </c>
      <c r="AO408" s="236">
        <v>0</v>
      </c>
      <c r="AP408" s="236">
        <v>0</v>
      </c>
      <c r="AQ408" s="236">
        <v>0</v>
      </c>
      <c r="AR408" s="236">
        <v>0</v>
      </c>
      <c r="AS408" s="236">
        <v>0</v>
      </c>
      <c r="AT408" s="236">
        <v>0</v>
      </c>
      <c r="AU408" s="236">
        <v>0</v>
      </c>
      <c r="AV408" s="231"/>
      <c r="AW408" s="236"/>
      <c r="AX408" s="242"/>
      <c r="AY408" s="242"/>
      <c r="AZ408" s="242"/>
      <c r="BA408" s="242"/>
      <c r="BB408" s="242"/>
      <c r="BC408" s="242"/>
      <c r="BD408" s="242"/>
      <c r="BE408" s="231"/>
      <c r="BF408" s="242"/>
      <c r="BG408" s="242"/>
      <c r="BH408" s="242"/>
      <c r="BI408" s="242"/>
      <c r="BJ408" s="242"/>
      <c r="BK408" s="242"/>
      <c r="BL408" s="242"/>
      <c r="BM408" s="242"/>
      <c r="BN408" s="242"/>
      <c r="BO408" s="231"/>
      <c r="BP408" s="231"/>
      <c r="BQ408" s="231"/>
      <c r="BR408" s="231"/>
      <c r="BS408" s="231"/>
      <c r="BT408" s="231"/>
      <c r="BU408" s="231"/>
      <c r="BV408" s="231"/>
      <c r="BW408" s="231"/>
      <c r="BX408" s="231"/>
      <c r="BY408" s="231"/>
      <c r="BZ408" s="231"/>
      <c r="CA408" s="231"/>
      <c r="CB408" s="231"/>
      <c r="CC408" s="231"/>
      <c r="CD408" s="231"/>
      <c r="CE408" s="231"/>
      <c r="CF408" s="231"/>
      <c r="CG408" s="231"/>
      <c r="CH408" s="231"/>
      <c r="CI408" s="231"/>
    </row>
    <row r="409" spans="1:95" ht="25.2" customHeight="1" outlineLevel="1">
      <c r="A409" s="204">
        <v>385</v>
      </c>
      <c r="B409" s="207">
        <v>8011</v>
      </c>
      <c r="C409" s="208" t="s">
        <v>583</v>
      </c>
      <c r="D409" s="194" t="s">
        <v>468</v>
      </c>
      <c r="E409" s="209">
        <f t="shared" si="47"/>
        <v>135.69999999999999</v>
      </c>
      <c r="F409" s="216">
        <v>71.3</v>
      </c>
      <c r="G409" s="217">
        <v>22</v>
      </c>
      <c r="H409" s="218">
        <v>5.3</v>
      </c>
      <c r="I409" s="230">
        <f t="shared" si="48"/>
        <v>0</v>
      </c>
      <c r="J409" s="216">
        <v>0</v>
      </c>
      <c r="K409" s="216">
        <v>1.4</v>
      </c>
      <c r="L409" s="233">
        <v>0</v>
      </c>
      <c r="M409" s="216">
        <v>13</v>
      </c>
      <c r="N409" s="216">
        <v>230</v>
      </c>
      <c r="O409" s="216">
        <v>1.1000000000000001</v>
      </c>
      <c r="P409" s="216">
        <v>0</v>
      </c>
      <c r="Q409" s="216">
        <v>0.22</v>
      </c>
      <c r="R409" s="216">
        <v>7.0000000000000007E-2</v>
      </c>
      <c r="S409" s="216">
        <v>7</v>
      </c>
      <c r="T409" s="231">
        <v>46</v>
      </c>
      <c r="U409" s="231">
        <v>423</v>
      </c>
      <c r="V409" s="231">
        <v>31</v>
      </c>
      <c r="W409" s="242">
        <v>1.4E-2</v>
      </c>
      <c r="X409" s="232">
        <v>0.41</v>
      </c>
      <c r="Y409" s="231">
        <v>51</v>
      </c>
      <c r="Z409" s="231">
        <v>36.5</v>
      </c>
      <c r="AA409" s="241">
        <v>0.82299999999999995</v>
      </c>
      <c r="AB409" s="241">
        <v>0.54900000000000004</v>
      </c>
      <c r="AC409" s="240">
        <v>9</v>
      </c>
      <c r="AD409" s="240">
        <v>0</v>
      </c>
      <c r="AE409" s="233"/>
      <c r="AF409" s="233">
        <v>4.17</v>
      </c>
      <c r="AG409" s="240">
        <v>30</v>
      </c>
      <c r="AH409" s="240">
        <f t="shared" si="49"/>
        <v>99.9</v>
      </c>
      <c r="AI409" s="236">
        <f t="shared" si="50"/>
        <v>30</v>
      </c>
      <c r="AJ409" s="275">
        <f>435/40</f>
        <v>10.875</v>
      </c>
      <c r="AK409" s="233">
        <v>0.65</v>
      </c>
      <c r="AL409" s="216">
        <v>0.1</v>
      </c>
      <c r="AM409" s="236">
        <v>0</v>
      </c>
      <c r="AN409" s="236">
        <v>0</v>
      </c>
      <c r="AO409" s="236">
        <v>0</v>
      </c>
      <c r="AP409" s="236">
        <v>0</v>
      </c>
      <c r="AQ409" s="236">
        <v>0</v>
      </c>
      <c r="AR409" s="236">
        <v>0</v>
      </c>
      <c r="AS409" s="236">
        <v>0</v>
      </c>
      <c r="AT409" s="236">
        <v>0</v>
      </c>
      <c r="AU409" s="236">
        <v>0</v>
      </c>
      <c r="AV409" s="231">
        <v>170</v>
      </c>
      <c r="AW409" s="236">
        <v>1.26</v>
      </c>
      <c r="AX409" s="244">
        <v>0.751</v>
      </c>
      <c r="AY409" s="244">
        <v>0</v>
      </c>
      <c r="AZ409" s="244">
        <v>0.20699999999999999</v>
      </c>
      <c r="BA409" s="244">
        <v>0</v>
      </c>
      <c r="BB409" s="244">
        <v>0</v>
      </c>
      <c r="BC409" s="244">
        <v>0</v>
      </c>
      <c r="BD409" s="244">
        <v>2.1339999999999999</v>
      </c>
      <c r="BE409" s="237">
        <v>0</v>
      </c>
      <c r="BF409" s="244">
        <v>0.50600000000000001</v>
      </c>
      <c r="BG409" s="244">
        <v>1.204</v>
      </c>
      <c r="BH409" s="244">
        <v>1.992</v>
      </c>
      <c r="BI409" s="244">
        <v>0.20599999999999999</v>
      </c>
      <c r="BJ409" s="244">
        <v>0.157</v>
      </c>
      <c r="BK409" s="244">
        <v>0.13300000000000001</v>
      </c>
      <c r="BL409" s="244">
        <v>0.42899999999999999</v>
      </c>
      <c r="BM409" s="244">
        <v>0.65600000000000003</v>
      </c>
      <c r="BN409" s="244"/>
      <c r="BO409" s="204">
        <v>45</v>
      </c>
      <c r="BP409" s="204"/>
      <c r="BQ409" s="231">
        <v>1985</v>
      </c>
      <c r="BR409" s="231">
        <v>640</v>
      </c>
      <c r="BS409" s="231">
        <v>242</v>
      </c>
      <c r="BT409" s="231">
        <v>844</v>
      </c>
      <c r="BU409" s="231">
        <v>948</v>
      </c>
      <c r="BV409" s="231">
        <v>1114</v>
      </c>
      <c r="BW409" s="231">
        <v>1757</v>
      </c>
      <c r="BX409" s="231">
        <v>996</v>
      </c>
      <c r="BY409" s="231">
        <v>1294</v>
      </c>
      <c r="BZ409" s="231">
        <v>636</v>
      </c>
      <c r="CA409" s="231">
        <v>232</v>
      </c>
      <c r="CB409" s="231">
        <v>730</v>
      </c>
      <c r="CC409" s="231">
        <v>1307</v>
      </c>
      <c r="CD409" s="231">
        <v>2214</v>
      </c>
      <c r="CE409" s="231">
        <v>3227</v>
      </c>
      <c r="CF409" s="231">
        <v>1038</v>
      </c>
      <c r="CG409" s="231">
        <v>764</v>
      </c>
      <c r="CH409" s="231">
        <v>882</v>
      </c>
      <c r="CI409" s="231"/>
    </row>
    <row r="410" spans="1:95" ht="25.2" customHeight="1" outlineLevel="1">
      <c r="A410" s="204">
        <v>386</v>
      </c>
      <c r="B410" s="207">
        <v>8012</v>
      </c>
      <c r="C410" s="208" t="s">
        <v>584</v>
      </c>
      <c r="D410" s="194" t="s">
        <v>468</v>
      </c>
      <c r="E410" s="209">
        <f t="shared" si="47"/>
        <v>208.3</v>
      </c>
      <c r="F410" s="216">
        <v>37.799999999999997</v>
      </c>
      <c r="G410" s="217">
        <v>43.3</v>
      </c>
      <c r="H410" s="218">
        <v>3.9</v>
      </c>
      <c r="I410" s="230">
        <f t="shared" si="48"/>
        <v>0</v>
      </c>
      <c r="J410" s="216">
        <v>0</v>
      </c>
      <c r="K410" s="216">
        <v>15</v>
      </c>
      <c r="L410" s="233">
        <v>0</v>
      </c>
      <c r="M410" s="216">
        <v>120</v>
      </c>
      <c r="N410" s="216">
        <v>95</v>
      </c>
      <c r="O410" s="216">
        <v>0.9</v>
      </c>
      <c r="P410" s="216">
        <v>0</v>
      </c>
      <c r="Q410" s="216">
        <v>0.08</v>
      </c>
      <c r="R410" s="216">
        <v>0.31</v>
      </c>
      <c r="S410" s="216">
        <v>4.5999999999999996</v>
      </c>
      <c r="T410" s="231"/>
      <c r="U410" s="231"/>
      <c r="V410" s="231"/>
      <c r="W410" s="242"/>
      <c r="X410" s="232"/>
      <c r="Y410" s="231"/>
      <c r="Z410" s="231"/>
      <c r="AA410" s="241"/>
      <c r="AB410" s="241"/>
      <c r="AC410" s="240"/>
      <c r="AD410" s="240"/>
      <c r="AE410" s="233"/>
      <c r="AF410" s="233"/>
      <c r="AG410" s="240"/>
      <c r="AH410" s="240">
        <f t="shared" si="49"/>
        <v>0</v>
      </c>
      <c r="AI410" s="236">
        <f t="shared" si="50"/>
        <v>0</v>
      </c>
      <c r="AJ410" s="252"/>
      <c r="AK410" s="233"/>
      <c r="AL410" s="216"/>
      <c r="AM410" s="236">
        <v>0</v>
      </c>
      <c r="AN410" s="236">
        <v>0</v>
      </c>
      <c r="AO410" s="236">
        <v>0</v>
      </c>
      <c r="AP410" s="236">
        <v>0</v>
      </c>
      <c r="AQ410" s="236">
        <v>0</v>
      </c>
      <c r="AR410" s="236">
        <v>0</v>
      </c>
      <c r="AS410" s="236">
        <v>0</v>
      </c>
      <c r="AT410" s="236">
        <v>0</v>
      </c>
      <c r="AU410" s="236">
        <v>0</v>
      </c>
      <c r="AV410" s="231"/>
      <c r="AW410" s="236"/>
      <c r="AX410" s="242"/>
      <c r="AY410" s="242"/>
      <c r="AZ410" s="242"/>
      <c r="BA410" s="242"/>
      <c r="BB410" s="242"/>
      <c r="BC410" s="242"/>
      <c r="BD410" s="242"/>
      <c r="BE410" s="231"/>
      <c r="BF410" s="242"/>
      <c r="BG410" s="242"/>
      <c r="BH410" s="242"/>
      <c r="BI410" s="242"/>
      <c r="BJ410" s="242"/>
      <c r="BK410" s="242"/>
      <c r="BL410" s="242"/>
      <c r="BM410" s="242"/>
      <c r="BN410" s="242"/>
      <c r="BO410" s="231"/>
      <c r="BP410" s="231"/>
      <c r="BQ410" s="231"/>
      <c r="BR410" s="231"/>
      <c r="BS410" s="231"/>
      <c r="BT410" s="231"/>
      <c r="BU410" s="231"/>
      <c r="BV410" s="231"/>
      <c r="BW410" s="231"/>
      <c r="BX410" s="231"/>
      <c r="BY410" s="231"/>
      <c r="BZ410" s="231"/>
      <c r="CA410" s="231"/>
      <c r="CB410" s="231"/>
      <c r="CC410" s="231"/>
      <c r="CD410" s="231"/>
      <c r="CE410" s="231"/>
      <c r="CF410" s="231"/>
      <c r="CG410" s="231"/>
      <c r="CH410" s="231"/>
      <c r="CI410" s="231"/>
    </row>
    <row r="411" spans="1:95" ht="25.2" customHeight="1" outlineLevel="1">
      <c r="A411" s="204">
        <v>387</v>
      </c>
      <c r="B411" s="207">
        <v>8013</v>
      </c>
      <c r="C411" s="208" t="s">
        <v>585</v>
      </c>
      <c r="D411" s="194" t="s">
        <v>468</v>
      </c>
      <c r="E411" s="209">
        <f t="shared" si="47"/>
        <v>71.3</v>
      </c>
      <c r="F411" s="216">
        <v>78.099999999999994</v>
      </c>
      <c r="G411" s="217">
        <v>16.7</v>
      </c>
      <c r="H411" s="218">
        <v>0.5</v>
      </c>
      <c r="I411" s="230">
        <f t="shared" si="48"/>
        <v>0</v>
      </c>
      <c r="J411" s="216">
        <v>0</v>
      </c>
      <c r="K411" s="216">
        <v>4.7</v>
      </c>
      <c r="L411" s="233">
        <v>0</v>
      </c>
      <c r="M411" s="233">
        <v>80</v>
      </c>
      <c r="N411" s="233">
        <v>210</v>
      </c>
      <c r="O411" s="233"/>
      <c r="P411" s="233">
        <v>0</v>
      </c>
      <c r="Q411" s="233"/>
      <c r="R411" s="233"/>
      <c r="S411" s="233"/>
      <c r="T411" s="231"/>
      <c r="U411" s="231"/>
      <c r="V411" s="231"/>
      <c r="W411" s="242"/>
      <c r="X411" s="232"/>
      <c r="Y411" s="231"/>
      <c r="Z411" s="231"/>
      <c r="AA411" s="241"/>
      <c r="AB411" s="241"/>
      <c r="AC411" s="240"/>
      <c r="AD411" s="240"/>
      <c r="AE411" s="233"/>
      <c r="AF411" s="233"/>
      <c r="AG411" s="240"/>
      <c r="AH411" s="240">
        <f t="shared" si="49"/>
        <v>0</v>
      </c>
      <c r="AI411" s="236">
        <f t="shared" si="50"/>
        <v>0</v>
      </c>
      <c r="AJ411" s="252"/>
      <c r="AK411" s="233"/>
      <c r="AL411" s="216"/>
      <c r="AM411" s="236">
        <v>0</v>
      </c>
      <c r="AN411" s="236">
        <v>0</v>
      </c>
      <c r="AO411" s="236">
        <v>0</v>
      </c>
      <c r="AP411" s="236">
        <v>0</v>
      </c>
      <c r="AQ411" s="236">
        <v>0</v>
      </c>
      <c r="AR411" s="236">
        <v>0</v>
      </c>
      <c r="AS411" s="236">
        <v>0</v>
      </c>
      <c r="AT411" s="236">
        <v>0</v>
      </c>
      <c r="AU411" s="236">
        <v>0</v>
      </c>
      <c r="AV411" s="231"/>
      <c r="AW411" s="236"/>
      <c r="AX411" s="242"/>
      <c r="AY411" s="242"/>
      <c r="AZ411" s="242"/>
      <c r="BA411" s="242"/>
      <c r="BB411" s="242"/>
      <c r="BC411" s="242"/>
      <c r="BD411" s="242"/>
      <c r="BE411" s="231"/>
      <c r="BF411" s="242"/>
      <c r="BG411" s="242"/>
      <c r="BH411" s="242"/>
      <c r="BI411" s="242"/>
      <c r="BJ411" s="242"/>
      <c r="BK411" s="242"/>
      <c r="BL411" s="242"/>
      <c r="BM411" s="242"/>
      <c r="BN411" s="242"/>
      <c r="BO411" s="231"/>
      <c r="BP411" s="231"/>
      <c r="BQ411" s="231"/>
      <c r="BR411" s="231"/>
      <c r="BS411" s="231"/>
      <c r="BT411" s="231"/>
      <c r="BU411" s="231"/>
      <c r="BV411" s="231"/>
      <c r="BW411" s="231"/>
      <c r="BX411" s="231"/>
      <c r="BY411" s="231"/>
      <c r="BZ411" s="231"/>
      <c r="CA411" s="231"/>
      <c r="CB411" s="231"/>
      <c r="CC411" s="231"/>
      <c r="CD411" s="231"/>
      <c r="CE411" s="231"/>
      <c r="CF411" s="231"/>
      <c r="CG411" s="231"/>
      <c r="CH411" s="231"/>
      <c r="CI411" s="231"/>
    </row>
    <row r="412" spans="1:95" ht="25.2" customHeight="1" outlineLevel="1">
      <c r="A412" s="204">
        <v>388</v>
      </c>
      <c r="B412" s="207">
        <v>8014</v>
      </c>
      <c r="C412" s="208" t="s">
        <v>586</v>
      </c>
      <c r="D412" s="194" t="s">
        <v>468</v>
      </c>
      <c r="E412" s="209">
        <f t="shared" si="47"/>
        <v>143.5</v>
      </c>
      <c r="F412" s="216">
        <v>74.7</v>
      </c>
      <c r="G412" s="217">
        <v>15.4</v>
      </c>
      <c r="H412" s="218">
        <v>9.1</v>
      </c>
      <c r="I412" s="230">
        <f t="shared" si="48"/>
        <v>0</v>
      </c>
      <c r="J412" s="216">
        <v>0</v>
      </c>
      <c r="K412" s="216">
        <v>0.8</v>
      </c>
      <c r="L412" s="233">
        <v>0</v>
      </c>
      <c r="M412" s="233">
        <v>52</v>
      </c>
      <c r="N412" s="233">
        <v>215</v>
      </c>
      <c r="O412" s="233"/>
      <c r="P412" s="233">
        <v>0</v>
      </c>
      <c r="Q412" s="233"/>
      <c r="R412" s="233"/>
      <c r="S412" s="233"/>
      <c r="T412" s="231">
        <v>31</v>
      </c>
      <c r="U412" s="231">
        <v>319</v>
      </c>
      <c r="V412" s="231">
        <v>39</v>
      </c>
      <c r="W412" s="242"/>
      <c r="X412" s="232"/>
      <c r="Y412" s="231"/>
      <c r="Z412" s="231"/>
      <c r="AA412" s="241"/>
      <c r="AB412" s="241"/>
      <c r="AC412" s="240"/>
      <c r="AD412" s="240"/>
      <c r="AE412" s="233"/>
      <c r="AF412" s="233"/>
      <c r="AG412" s="240"/>
      <c r="AH412" s="240">
        <f t="shared" si="49"/>
        <v>0</v>
      </c>
      <c r="AI412" s="236">
        <f t="shared" si="50"/>
        <v>0</v>
      </c>
      <c r="AJ412" s="252"/>
      <c r="AK412" s="233"/>
      <c r="AL412" s="216"/>
      <c r="AM412" s="236">
        <v>0</v>
      </c>
      <c r="AN412" s="236">
        <v>0</v>
      </c>
      <c r="AO412" s="236">
        <v>0</v>
      </c>
      <c r="AP412" s="236">
        <v>0</v>
      </c>
      <c r="AQ412" s="236">
        <v>0</v>
      </c>
      <c r="AR412" s="236">
        <v>0</v>
      </c>
      <c r="AS412" s="236">
        <v>0</v>
      </c>
      <c r="AT412" s="236">
        <v>0</v>
      </c>
      <c r="AU412" s="236">
        <v>0</v>
      </c>
      <c r="AV412" s="231"/>
      <c r="AW412" s="236"/>
      <c r="AX412" s="242"/>
      <c r="AY412" s="242"/>
      <c r="AZ412" s="242"/>
      <c r="BA412" s="242"/>
      <c r="BB412" s="242"/>
      <c r="BC412" s="242"/>
      <c r="BD412" s="242"/>
      <c r="BE412" s="231"/>
      <c r="BF412" s="242"/>
      <c r="BG412" s="242"/>
      <c r="BH412" s="242"/>
      <c r="BI412" s="242"/>
      <c r="BJ412" s="242"/>
      <c r="BK412" s="242"/>
      <c r="BL412" s="242"/>
      <c r="BM412" s="242"/>
      <c r="BN412" s="242"/>
      <c r="BO412" s="231"/>
      <c r="BP412" s="231"/>
      <c r="BQ412" s="231"/>
      <c r="BR412" s="231"/>
      <c r="BS412" s="231"/>
      <c r="BT412" s="231"/>
      <c r="BU412" s="231"/>
      <c r="BV412" s="231"/>
      <c r="BW412" s="231"/>
      <c r="BX412" s="231"/>
      <c r="BY412" s="231"/>
      <c r="BZ412" s="231"/>
      <c r="CA412" s="231"/>
      <c r="CB412" s="231"/>
      <c r="CC412" s="231"/>
      <c r="CD412" s="231"/>
      <c r="CE412" s="231"/>
      <c r="CF412" s="231"/>
      <c r="CG412" s="231"/>
      <c r="CH412" s="231"/>
      <c r="CI412" s="231"/>
    </row>
    <row r="413" spans="1:95" s="172" customFormat="1" ht="25.2" customHeight="1">
      <c r="A413" s="204">
        <v>389</v>
      </c>
      <c r="B413" s="207">
        <v>8015</v>
      </c>
      <c r="C413" s="208" t="s">
        <v>587</v>
      </c>
      <c r="D413" s="194" t="s">
        <v>468</v>
      </c>
      <c r="E413" s="209">
        <f t="shared" si="47"/>
        <v>124</v>
      </c>
      <c r="F413" s="216">
        <v>75.3</v>
      </c>
      <c r="G413" s="217">
        <v>17.5</v>
      </c>
      <c r="H413" s="218">
        <v>6</v>
      </c>
      <c r="I413" s="230">
        <f t="shared" si="48"/>
        <v>0</v>
      </c>
      <c r="J413" s="216">
        <v>0</v>
      </c>
      <c r="K413" s="216">
        <v>1.2</v>
      </c>
      <c r="L413" s="233">
        <v>0</v>
      </c>
      <c r="M413" s="216">
        <v>80</v>
      </c>
      <c r="N413" s="216">
        <v>240</v>
      </c>
      <c r="O413" s="216">
        <v>3</v>
      </c>
      <c r="P413" s="216">
        <v>0</v>
      </c>
      <c r="Q413" s="216">
        <v>0.02</v>
      </c>
      <c r="R413" s="216">
        <v>0.15</v>
      </c>
      <c r="S413" s="216">
        <v>10.07</v>
      </c>
      <c r="T413" s="231">
        <v>100</v>
      </c>
      <c r="U413" s="231"/>
      <c r="V413" s="231">
        <v>24</v>
      </c>
      <c r="W413" s="242"/>
      <c r="X413" s="232"/>
      <c r="Y413" s="231">
        <v>170</v>
      </c>
      <c r="Z413" s="231">
        <v>58</v>
      </c>
      <c r="AA413" s="241"/>
      <c r="AB413" s="241">
        <v>0.96</v>
      </c>
      <c r="AC413" s="240"/>
      <c r="AD413" s="240"/>
      <c r="AE413" s="233"/>
      <c r="AF413" s="233">
        <v>0.14000000000000001</v>
      </c>
      <c r="AG413" s="240">
        <v>20</v>
      </c>
      <c r="AH413" s="240">
        <f t="shared" si="49"/>
        <v>66.599999999999994</v>
      </c>
      <c r="AI413" s="236">
        <f t="shared" si="50"/>
        <v>20</v>
      </c>
      <c r="AJ413" s="252"/>
      <c r="AK413" s="233"/>
      <c r="AL413" s="216"/>
      <c r="AM413" s="236">
        <v>0</v>
      </c>
      <c r="AN413" s="236">
        <v>0</v>
      </c>
      <c r="AO413" s="236">
        <v>0</v>
      </c>
      <c r="AP413" s="236">
        <v>0</v>
      </c>
      <c r="AQ413" s="236">
        <v>0</v>
      </c>
      <c r="AR413" s="236">
        <v>0</v>
      </c>
      <c r="AS413" s="236">
        <v>0</v>
      </c>
      <c r="AT413" s="236">
        <v>0</v>
      </c>
      <c r="AU413" s="236">
        <v>0</v>
      </c>
      <c r="AV413" s="231">
        <v>345</v>
      </c>
      <c r="AW413" s="236"/>
      <c r="AX413" s="244">
        <v>0.64</v>
      </c>
      <c r="AY413" s="244"/>
      <c r="AZ413" s="244">
        <v>0.25</v>
      </c>
      <c r="BA413" s="244"/>
      <c r="BB413" s="244"/>
      <c r="BC413" s="244"/>
      <c r="BD413" s="244"/>
      <c r="BE413" s="237"/>
      <c r="BF413" s="244">
        <v>0.39</v>
      </c>
      <c r="BG413" s="244">
        <v>0.56000000000000005</v>
      </c>
      <c r="BH413" s="244"/>
      <c r="BI413" s="244">
        <v>8.7999999999999995E-2</v>
      </c>
      <c r="BJ413" s="244">
        <v>4.3999999999999997E-2</v>
      </c>
      <c r="BK413" s="244">
        <v>4.9000000000000002E-2</v>
      </c>
      <c r="BL413" s="244">
        <v>0.57999999999999996</v>
      </c>
      <c r="BM413" s="244">
        <v>0.81</v>
      </c>
      <c r="BN413" s="244"/>
      <c r="BO413" s="204"/>
      <c r="BP413" s="204"/>
      <c r="BQ413" s="231">
        <v>2280</v>
      </c>
      <c r="BR413" s="231">
        <v>640</v>
      </c>
      <c r="BS413" s="231">
        <v>240</v>
      </c>
      <c r="BT413" s="231">
        <v>910</v>
      </c>
      <c r="BU413" s="231">
        <v>1120</v>
      </c>
      <c r="BV413" s="231">
        <v>1450</v>
      </c>
      <c r="BW413" s="231">
        <v>1870</v>
      </c>
      <c r="BX413" s="231">
        <v>1190</v>
      </c>
      <c r="BY413" s="231">
        <v>1310</v>
      </c>
      <c r="BZ413" s="231">
        <v>460</v>
      </c>
      <c r="CA413" s="231">
        <v>220</v>
      </c>
      <c r="CB413" s="231">
        <v>810</v>
      </c>
      <c r="CC413" s="231">
        <v>1600</v>
      </c>
      <c r="CD413" s="231">
        <v>2320</v>
      </c>
      <c r="CE413" s="231">
        <v>3040</v>
      </c>
      <c r="CF413" s="231">
        <v>1240</v>
      </c>
      <c r="CG413" s="231">
        <v>850</v>
      </c>
      <c r="CH413" s="231">
        <v>1100</v>
      </c>
      <c r="CI413" s="231"/>
    </row>
    <row r="414" spans="1:95" ht="25.2" customHeight="1" outlineLevel="1">
      <c r="A414" s="204">
        <v>390</v>
      </c>
      <c r="B414" s="207">
        <v>8016</v>
      </c>
      <c r="C414" s="208" t="s">
        <v>588</v>
      </c>
      <c r="D414" s="194" t="s">
        <v>468</v>
      </c>
      <c r="E414" s="209">
        <f t="shared" si="47"/>
        <v>150.9</v>
      </c>
      <c r="F414" s="216">
        <v>72.7</v>
      </c>
      <c r="G414" s="217">
        <v>16.8</v>
      </c>
      <c r="H414" s="218">
        <v>9.3000000000000007</v>
      </c>
      <c r="I414" s="230">
        <f t="shared" si="48"/>
        <v>0</v>
      </c>
      <c r="J414" s="216">
        <v>0</v>
      </c>
      <c r="K414" s="216">
        <v>1.2</v>
      </c>
      <c r="L414" s="233">
        <v>0</v>
      </c>
      <c r="M414" s="216">
        <v>42</v>
      </c>
      <c r="N414" s="216">
        <v>173</v>
      </c>
      <c r="O414" s="216">
        <v>1.4</v>
      </c>
      <c r="P414" s="216">
        <v>0</v>
      </c>
      <c r="Q414" s="216">
        <v>0.08</v>
      </c>
      <c r="R414" s="216">
        <v>0.21</v>
      </c>
      <c r="S414" s="216">
        <v>2.7</v>
      </c>
      <c r="T414" s="231"/>
      <c r="U414" s="231"/>
      <c r="V414" s="231"/>
      <c r="W414" s="242"/>
      <c r="X414" s="232"/>
      <c r="Y414" s="231"/>
      <c r="Z414" s="231"/>
      <c r="AA414" s="241"/>
      <c r="AB414" s="241"/>
      <c r="AC414" s="240"/>
      <c r="AD414" s="240"/>
      <c r="AE414" s="233"/>
      <c r="AF414" s="233"/>
      <c r="AG414" s="240">
        <v>0</v>
      </c>
      <c r="AH414" s="240">
        <f t="shared" si="49"/>
        <v>0</v>
      </c>
      <c r="AI414" s="236">
        <f t="shared" si="50"/>
        <v>0</v>
      </c>
      <c r="AJ414" s="252"/>
      <c r="AK414" s="233"/>
      <c r="AL414" s="216"/>
      <c r="AM414" s="236">
        <v>0</v>
      </c>
      <c r="AN414" s="236">
        <v>0</v>
      </c>
      <c r="AO414" s="236">
        <v>0</v>
      </c>
      <c r="AP414" s="236">
        <v>0</v>
      </c>
      <c r="AQ414" s="236">
        <v>0</v>
      </c>
      <c r="AR414" s="236">
        <v>0</v>
      </c>
      <c r="AS414" s="236">
        <v>0</v>
      </c>
      <c r="AT414" s="236">
        <v>0</v>
      </c>
      <c r="AU414" s="236">
        <v>0</v>
      </c>
      <c r="AV414" s="231"/>
      <c r="AW414" s="236"/>
      <c r="AX414" s="242"/>
      <c r="AY414" s="242"/>
      <c r="AZ414" s="242"/>
      <c r="BA414" s="242"/>
      <c r="BB414" s="242"/>
      <c r="BC414" s="242"/>
      <c r="BD414" s="242"/>
      <c r="BE414" s="231"/>
      <c r="BF414" s="242"/>
      <c r="BG414" s="242"/>
      <c r="BH414" s="242"/>
      <c r="BI414" s="242"/>
      <c r="BJ414" s="242"/>
      <c r="BK414" s="242"/>
      <c r="BL414" s="242"/>
      <c r="BM414" s="242"/>
      <c r="BN414" s="242"/>
      <c r="BO414" s="204">
        <v>200</v>
      </c>
      <c r="BP414" s="204"/>
      <c r="BQ414" s="231"/>
      <c r="BR414" s="231"/>
      <c r="BS414" s="231"/>
      <c r="BT414" s="231"/>
      <c r="BU414" s="231"/>
      <c r="BV414" s="231"/>
      <c r="BW414" s="231"/>
      <c r="BX414" s="231"/>
      <c r="BY414" s="231"/>
      <c r="BZ414" s="231"/>
      <c r="CA414" s="231"/>
      <c r="CB414" s="231"/>
      <c r="CC414" s="231"/>
      <c r="CD414" s="231"/>
      <c r="CE414" s="231"/>
      <c r="CF414" s="231"/>
      <c r="CG414" s="231"/>
      <c r="CH414" s="231"/>
      <c r="CI414" s="231"/>
    </row>
    <row r="415" spans="1:95" ht="25.2" customHeight="1" outlineLevel="1">
      <c r="A415" s="204">
        <v>391</v>
      </c>
      <c r="B415" s="207">
        <v>8017</v>
      </c>
      <c r="C415" s="208" t="s">
        <v>589</v>
      </c>
      <c r="D415" s="194" t="s">
        <v>468</v>
      </c>
      <c r="E415" s="209">
        <f t="shared" si="47"/>
        <v>116.3</v>
      </c>
      <c r="F415" s="216">
        <v>73.3</v>
      </c>
      <c r="G415" s="217">
        <v>22.1</v>
      </c>
      <c r="H415" s="218">
        <v>3.1</v>
      </c>
      <c r="I415" s="230">
        <f t="shared" si="48"/>
        <v>0</v>
      </c>
      <c r="J415" s="216">
        <v>0</v>
      </c>
      <c r="K415" s="216">
        <v>1.5</v>
      </c>
      <c r="L415" s="233">
        <v>0</v>
      </c>
      <c r="M415" s="233">
        <v>60</v>
      </c>
      <c r="N415" s="233">
        <v>102</v>
      </c>
      <c r="O415" s="233"/>
      <c r="P415" s="233">
        <v>0</v>
      </c>
      <c r="Q415" s="233"/>
      <c r="R415" s="233"/>
      <c r="S415" s="233"/>
      <c r="T415" s="231"/>
      <c r="U415" s="231"/>
      <c r="V415" s="231"/>
      <c r="W415" s="242"/>
      <c r="X415" s="232"/>
      <c r="Y415" s="231"/>
      <c r="Z415" s="231"/>
      <c r="AA415" s="241"/>
      <c r="AB415" s="241"/>
      <c r="AC415" s="240"/>
      <c r="AD415" s="240"/>
      <c r="AE415" s="233"/>
      <c r="AF415" s="233"/>
      <c r="AG415" s="240"/>
      <c r="AH415" s="240">
        <f t="shared" si="49"/>
        <v>0</v>
      </c>
      <c r="AI415" s="236">
        <f t="shared" si="50"/>
        <v>0</v>
      </c>
      <c r="AJ415" s="252"/>
      <c r="AK415" s="233"/>
      <c r="AL415" s="216"/>
      <c r="AM415" s="236">
        <v>0</v>
      </c>
      <c r="AN415" s="236">
        <v>0</v>
      </c>
      <c r="AO415" s="236">
        <v>0</v>
      </c>
      <c r="AP415" s="236">
        <v>0</v>
      </c>
      <c r="AQ415" s="236">
        <v>0</v>
      </c>
      <c r="AR415" s="236">
        <v>0</v>
      </c>
      <c r="AS415" s="236">
        <v>0</v>
      </c>
      <c r="AT415" s="236">
        <v>0</v>
      </c>
      <c r="AU415" s="236">
        <v>0</v>
      </c>
      <c r="AV415" s="231"/>
      <c r="AW415" s="236"/>
      <c r="AX415" s="242"/>
      <c r="AY415" s="242"/>
      <c r="AZ415" s="242"/>
      <c r="BA415" s="242"/>
      <c r="BB415" s="242"/>
      <c r="BC415" s="242"/>
      <c r="BD415" s="242"/>
      <c r="BE415" s="231"/>
      <c r="BF415" s="242"/>
      <c r="BG415" s="242"/>
      <c r="BH415" s="242"/>
      <c r="BI415" s="242"/>
      <c r="BJ415" s="242"/>
      <c r="BK415" s="242"/>
      <c r="BL415" s="242"/>
      <c r="BM415" s="242"/>
      <c r="BN415" s="242"/>
      <c r="BO415" s="204"/>
      <c r="BP415" s="204"/>
      <c r="BQ415" s="231"/>
      <c r="BR415" s="231"/>
      <c r="BS415" s="231"/>
      <c r="BT415" s="231"/>
      <c r="BU415" s="231"/>
      <c r="BV415" s="231"/>
      <c r="BW415" s="231"/>
      <c r="BX415" s="231"/>
      <c r="BY415" s="231"/>
      <c r="BZ415" s="231"/>
      <c r="CA415" s="231"/>
      <c r="CB415" s="231"/>
      <c r="CC415" s="231"/>
      <c r="CD415" s="231"/>
      <c r="CE415" s="231"/>
      <c r="CF415" s="231"/>
      <c r="CG415" s="231"/>
      <c r="CH415" s="231"/>
      <c r="CI415" s="231"/>
      <c r="CQ415" s="172"/>
    </row>
    <row r="416" spans="1:95" ht="25.2" customHeight="1" outlineLevel="1">
      <c r="A416" s="204">
        <v>392</v>
      </c>
      <c r="B416" s="207">
        <v>8018</v>
      </c>
      <c r="C416" s="208" t="s">
        <v>590</v>
      </c>
      <c r="D416" s="194" t="s">
        <v>468</v>
      </c>
      <c r="E416" s="209">
        <f t="shared" si="47"/>
        <v>79.900000000000006</v>
      </c>
      <c r="F416" s="216">
        <v>80</v>
      </c>
      <c r="G416" s="217">
        <v>17.5</v>
      </c>
      <c r="H416" s="218">
        <v>1.1000000000000001</v>
      </c>
      <c r="I416" s="230">
        <f t="shared" si="48"/>
        <v>0</v>
      </c>
      <c r="J416" s="216">
        <v>0</v>
      </c>
      <c r="K416" s="216">
        <v>1.4</v>
      </c>
      <c r="L416" s="233">
        <v>0</v>
      </c>
      <c r="M416" s="216">
        <v>42</v>
      </c>
      <c r="N416" s="216">
        <v>173</v>
      </c>
      <c r="O416" s="216">
        <v>1.4</v>
      </c>
      <c r="P416" s="216">
        <v>0</v>
      </c>
      <c r="Q416" s="216">
        <v>0.06</v>
      </c>
      <c r="R416" s="216">
        <v>0.08</v>
      </c>
      <c r="S416" s="216">
        <v>2.2000000000000002</v>
      </c>
      <c r="T416" s="231"/>
      <c r="U416" s="231"/>
      <c r="V416" s="231"/>
      <c r="W416" s="242"/>
      <c r="X416" s="232"/>
      <c r="Y416" s="231"/>
      <c r="Z416" s="231"/>
      <c r="AA416" s="241"/>
      <c r="AB416" s="241"/>
      <c r="AC416" s="240"/>
      <c r="AD416" s="240"/>
      <c r="AE416" s="233"/>
      <c r="AF416" s="233"/>
      <c r="AG416" s="240"/>
      <c r="AH416" s="240">
        <f t="shared" si="49"/>
        <v>0</v>
      </c>
      <c r="AI416" s="236">
        <f t="shared" si="50"/>
        <v>0</v>
      </c>
      <c r="AJ416" s="252"/>
      <c r="AK416" s="233"/>
      <c r="AL416" s="216"/>
      <c r="AM416" s="236">
        <v>0</v>
      </c>
      <c r="AN416" s="236">
        <v>0</v>
      </c>
      <c r="AO416" s="236">
        <v>0</v>
      </c>
      <c r="AP416" s="236">
        <v>0</v>
      </c>
      <c r="AQ416" s="236">
        <v>0</v>
      </c>
      <c r="AR416" s="236">
        <v>0</v>
      </c>
      <c r="AS416" s="236">
        <v>0</v>
      </c>
      <c r="AT416" s="236">
        <v>0</v>
      </c>
      <c r="AU416" s="236">
        <v>0</v>
      </c>
      <c r="AV416" s="231"/>
      <c r="AW416" s="236"/>
      <c r="AX416" s="242"/>
      <c r="AY416" s="242"/>
      <c r="AZ416" s="242"/>
      <c r="BA416" s="242"/>
      <c r="BB416" s="242"/>
      <c r="BC416" s="242"/>
      <c r="BD416" s="242"/>
      <c r="BE416" s="231"/>
      <c r="BF416" s="242"/>
      <c r="BG416" s="242"/>
      <c r="BH416" s="242"/>
      <c r="BI416" s="242"/>
      <c r="BJ416" s="242"/>
      <c r="BK416" s="242"/>
      <c r="BL416" s="242"/>
      <c r="BM416" s="242"/>
      <c r="BN416" s="242"/>
      <c r="BO416" s="231"/>
      <c r="BP416" s="231"/>
      <c r="BQ416" s="204">
        <v>1420</v>
      </c>
      <c r="BR416" s="204">
        <v>470</v>
      </c>
      <c r="BS416" s="204">
        <v>230</v>
      </c>
      <c r="BT416" s="204">
        <v>610</v>
      </c>
      <c r="BU416" s="204">
        <v>750</v>
      </c>
      <c r="BV416" s="204">
        <v>910</v>
      </c>
      <c r="BW416" s="204">
        <v>1260</v>
      </c>
      <c r="BX416" s="204">
        <v>1100</v>
      </c>
      <c r="BY416" s="204">
        <v>930</v>
      </c>
      <c r="BZ416" s="204">
        <v>420</v>
      </c>
      <c r="CA416" s="204"/>
      <c r="CB416" s="204"/>
      <c r="CC416" s="204"/>
      <c r="CD416" s="204"/>
      <c r="CE416" s="204"/>
      <c r="CF416" s="204"/>
      <c r="CG416" s="204"/>
      <c r="CH416" s="204"/>
      <c r="CI416" s="231"/>
    </row>
    <row r="417" spans="1:95" ht="25.2" customHeight="1" outlineLevel="1">
      <c r="A417" s="204">
        <v>393</v>
      </c>
      <c r="B417" s="207">
        <v>8019</v>
      </c>
      <c r="C417" s="208" t="s">
        <v>591</v>
      </c>
      <c r="D417" s="194" t="s">
        <v>468</v>
      </c>
      <c r="E417" s="209">
        <f t="shared" si="47"/>
        <v>86.7</v>
      </c>
      <c r="F417" s="216">
        <v>77.5</v>
      </c>
      <c r="G417" s="217">
        <v>21</v>
      </c>
      <c r="H417" s="218">
        <v>0.3</v>
      </c>
      <c r="I417" s="230">
        <f t="shared" si="48"/>
        <v>0</v>
      </c>
      <c r="J417" s="216">
        <v>0</v>
      </c>
      <c r="K417" s="216">
        <v>1.2</v>
      </c>
      <c r="L417" s="233">
        <v>0</v>
      </c>
      <c r="M417" s="216">
        <v>44</v>
      </c>
      <c r="N417" s="216">
        <v>206</v>
      </c>
      <c r="O417" s="216">
        <v>1</v>
      </c>
      <c r="P417" s="216">
        <v>1</v>
      </c>
      <c r="Q417" s="216">
        <v>0.02</v>
      </c>
      <c r="R417" s="216">
        <v>0.08</v>
      </c>
      <c r="S417" s="216">
        <v>4</v>
      </c>
      <c r="T417" s="240">
        <v>78</v>
      </c>
      <c r="U417" s="240">
        <v>518</v>
      </c>
      <c r="V417" s="240">
        <v>50</v>
      </c>
      <c r="W417" s="241">
        <v>0.01</v>
      </c>
      <c r="X417" s="233">
        <v>0.52</v>
      </c>
      <c r="Y417" s="240">
        <v>64</v>
      </c>
      <c r="Z417" s="216">
        <v>36.5</v>
      </c>
      <c r="AA417" s="241">
        <v>0.75</v>
      </c>
      <c r="AB417" s="241">
        <v>0.9</v>
      </c>
      <c r="AC417" s="240">
        <v>2</v>
      </c>
      <c r="AD417" s="240">
        <v>0</v>
      </c>
      <c r="AE417" s="233">
        <v>1.5</v>
      </c>
      <c r="AF417" s="233">
        <v>0.52</v>
      </c>
      <c r="AG417" s="240">
        <v>5</v>
      </c>
      <c r="AH417" s="240">
        <f t="shared" si="49"/>
        <v>16.649999999999999</v>
      </c>
      <c r="AI417" s="236">
        <f t="shared" si="50"/>
        <v>5</v>
      </c>
      <c r="AJ417" s="252"/>
      <c r="AK417" s="233">
        <v>0.5</v>
      </c>
      <c r="AL417" s="216">
        <v>0.1</v>
      </c>
      <c r="AM417" s="236">
        <v>0</v>
      </c>
      <c r="AN417" s="236">
        <v>0</v>
      </c>
      <c r="AO417" s="236">
        <v>0</v>
      </c>
      <c r="AP417" s="236">
        <v>0</v>
      </c>
      <c r="AQ417" s="236">
        <v>0</v>
      </c>
      <c r="AR417" s="236">
        <v>0</v>
      </c>
      <c r="AS417" s="236">
        <v>0</v>
      </c>
      <c r="AT417" s="236">
        <v>0</v>
      </c>
      <c r="AU417" s="236">
        <v>0</v>
      </c>
      <c r="AV417" s="231"/>
      <c r="AW417" s="236">
        <v>0.23499999999999999</v>
      </c>
      <c r="AX417" s="242">
        <v>0.156</v>
      </c>
      <c r="AY417" s="242">
        <v>0</v>
      </c>
      <c r="AZ417" s="242">
        <v>5.0999999999999997E-2</v>
      </c>
      <c r="BA417" s="242">
        <v>0</v>
      </c>
      <c r="BB417" s="242">
        <v>0</v>
      </c>
      <c r="BC417" s="242">
        <v>0</v>
      </c>
      <c r="BD417" s="242">
        <v>0.154</v>
      </c>
      <c r="BE417" s="231">
        <v>0</v>
      </c>
      <c r="BF417" s="242">
        <v>2.5000000000000001E-2</v>
      </c>
      <c r="BG417" s="242">
        <v>0.108</v>
      </c>
      <c r="BH417" s="242">
        <v>0.28399999999999997</v>
      </c>
      <c r="BI417" s="242">
        <v>8.0000000000000002E-3</v>
      </c>
      <c r="BJ417" s="242">
        <v>1.2E-2</v>
      </c>
      <c r="BK417" s="242">
        <v>2.8000000000000001E-2</v>
      </c>
      <c r="BL417" s="242">
        <v>3.6999999999999998E-2</v>
      </c>
      <c r="BM417" s="242">
        <v>0.18099999999999999</v>
      </c>
      <c r="BN417" s="242"/>
      <c r="BO417" s="204">
        <v>45</v>
      </c>
      <c r="BP417" s="204"/>
      <c r="BQ417" s="231">
        <v>2147</v>
      </c>
      <c r="BR417" s="231">
        <v>692</v>
      </c>
      <c r="BS417" s="231">
        <v>262</v>
      </c>
      <c r="BT417" s="231">
        <v>913</v>
      </c>
      <c r="BU417" s="231">
        <v>1025</v>
      </c>
      <c r="BV417" s="231">
        <v>1204</v>
      </c>
      <c r="BW417" s="231">
        <v>1900</v>
      </c>
      <c r="BX417" s="231">
        <v>1077</v>
      </c>
      <c r="BY417" s="231">
        <v>1399</v>
      </c>
      <c r="BZ417" s="231">
        <v>688</v>
      </c>
      <c r="CA417" s="231">
        <v>251</v>
      </c>
      <c r="CB417" s="231">
        <v>789</v>
      </c>
      <c r="CC417" s="231">
        <v>1414</v>
      </c>
      <c r="CD417" s="231">
        <v>2394</v>
      </c>
      <c r="CE417" s="231">
        <v>3489</v>
      </c>
      <c r="CF417" s="231">
        <v>1122</v>
      </c>
      <c r="CG417" s="231">
        <v>827</v>
      </c>
      <c r="CH417" s="231">
        <v>954</v>
      </c>
      <c r="CI417" s="231"/>
    </row>
    <row r="418" spans="1:95" ht="25.2" customHeight="1" outlineLevel="1">
      <c r="A418" s="204">
        <v>394</v>
      </c>
      <c r="B418" s="207">
        <v>8020</v>
      </c>
      <c r="C418" s="208" t="s">
        <v>592</v>
      </c>
      <c r="D418" s="194" t="s">
        <v>468</v>
      </c>
      <c r="E418" s="209">
        <f t="shared" si="47"/>
        <v>110.5</v>
      </c>
      <c r="F418" s="216">
        <v>74.900000000000006</v>
      </c>
      <c r="G418" s="217">
        <v>20.2</v>
      </c>
      <c r="H418" s="218">
        <v>3.3</v>
      </c>
      <c r="I418" s="230">
        <f t="shared" si="48"/>
        <v>0</v>
      </c>
      <c r="J418" s="216">
        <v>0</v>
      </c>
      <c r="K418" s="216">
        <v>1.6</v>
      </c>
      <c r="L418" s="233">
        <v>0</v>
      </c>
      <c r="M418" s="241">
        <v>85</v>
      </c>
      <c r="N418" s="241">
        <v>160</v>
      </c>
      <c r="O418" s="241">
        <v>3.25</v>
      </c>
      <c r="P418" s="241">
        <v>0</v>
      </c>
      <c r="Q418" s="241">
        <v>5.5E-2</v>
      </c>
      <c r="R418" s="241">
        <v>0.25600000000000001</v>
      </c>
      <c r="S418" s="241">
        <v>14.023999999999999</v>
      </c>
      <c r="T418" s="231">
        <v>104</v>
      </c>
      <c r="U418" s="231">
        <v>383</v>
      </c>
      <c r="V418" s="231">
        <v>41</v>
      </c>
      <c r="W418" s="242">
        <v>7.0000000000000007E-2</v>
      </c>
      <c r="X418" s="232">
        <v>1.72</v>
      </c>
      <c r="Y418" s="231">
        <v>211</v>
      </c>
      <c r="Z418" s="231">
        <v>36.5</v>
      </c>
      <c r="AA418" s="241">
        <v>0.64500000000000002</v>
      </c>
      <c r="AB418" s="241">
        <v>0.14299999999999999</v>
      </c>
      <c r="AC418" s="240">
        <v>9</v>
      </c>
      <c r="AD418" s="240">
        <v>0</v>
      </c>
      <c r="AE418" s="233"/>
      <c r="AF418" s="233">
        <v>0.62</v>
      </c>
      <c r="AG418" s="240">
        <v>15</v>
      </c>
      <c r="AH418" s="240">
        <f t="shared" si="49"/>
        <v>49.95</v>
      </c>
      <c r="AI418" s="236">
        <f t="shared" si="50"/>
        <v>15</v>
      </c>
      <c r="AJ418" s="252"/>
      <c r="AK418" s="233">
        <v>0.56999999999999995</v>
      </c>
      <c r="AL418" s="216">
        <v>0.1</v>
      </c>
      <c r="AM418" s="236">
        <v>0</v>
      </c>
      <c r="AN418" s="236">
        <v>0</v>
      </c>
      <c r="AO418" s="236">
        <v>0</v>
      </c>
      <c r="AP418" s="236">
        <v>0</v>
      </c>
      <c r="AQ418" s="236">
        <v>0</v>
      </c>
      <c r="AR418" s="236">
        <v>0</v>
      </c>
      <c r="AS418" s="236">
        <v>0</v>
      </c>
      <c r="AT418" s="236">
        <v>0</v>
      </c>
      <c r="AU418" s="236">
        <v>0</v>
      </c>
      <c r="AV418" s="231"/>
      <c r="AW418" s="236">
        <v>1.282</v>
      </c>
      <c r="AX418" s="242">
        <v>0.71499999999999997</v>
      </c>
      <c r="AY418" s="242">
        <v>0</v>
      </c>
      <c r="AZ418" s="242">
        <v>0.252</v>
      </c>
      <c r="BA418" s="242">
        <v>0</v>
      </c>
      <c r="BB418" s="242">
        <v>0</v>
      </c>
      <c r="BC418" s="242">
        <v>0</v>
      </c>
      <c r="BD418" s="242">
        <v>1.1819999999999999</v>
      </c>
      <c r="BE418" s="231">
        <v>0</v>
      </c>
      <c r="BF418" s="242">
        <v>0.4</v>
      </c>
      <c r="BG418" s="242">
        <v>0.624</v>
      </c>
      <c r="BH418" s="242">
        <v>1.637</v>
      </c>
      <c r="BI418" s="242">
        <v>9.7000000000000003E-2</v>
      </c>
      <c r="BJ418" s="242">
        <v>0</v>
      </c>
      <c r="BK418" s="242">
        <v>7.0000000000000001E-3</v>
      </c>
      <c r="BL418" s="242">
        <v>0.53800000000000003</v>
      </c>
      <c r="BM418" s="242">
        <v>0.91100000000000003</v>
      </c>
      <c r="BN418" s="242"/>
      <c r="BO418" s="204">
        <v>60</v>
      </c>
      <c r="BP418" s="204"/>
      <c r="BQ418" s="231">
        <v>1869</v>
      </c>
      <c r="BR418" s="231">
        <v>602</v>
      </c>
      <c r="BS418" s="231">
        <v>228</v>
      </c>
      <c r="BT418" s="231">
        <v>794</v>
      </c>
      <c r="BU418" s="231">
        <v>892</v>
      </c>
      <c r="BV418" s="231">
        <v>1048</v>
      </c>
      <c r="BW418" s="231">
        <v>1654</v>
      </c>
      <c r="BX418" s="231">
        <v>938</v>
      </c>
      <c r="BY418" s="231">
        <v>1217</v>
      </c>
      <c r="BZ418" s="231">
        <v>599</v>
      </c>
      <c r="CA418" s="231">
        <v>218</v>
      </c>
      <c r="CB418" s="231">
        <v>687</v>
      </c>
      <c r="CC418" s="231">
        <v>1231</v>
      </c>
      <c r="CD418" s="231">
        <v>2084</v>
      </c>
      <c r="CE418" s="231">
        <v>3038</v>
      </c>
      <c r="CF418" s="231">
        <v>977</v>
      </c>
      <c r="CG418" s="231">
        <v>720</v>
      </c>
      <c r="CH418" s="231">
        <v>830</v>
      </c>
      <c r="CI418" s="231"/>
    </row>
    <row r="419" spans="1:95" ht="25.2" customHeight="1" outlineLevel="1">
      <c r="A419" s="204">
        <v>395</v>
      </c>
      <c r="B419" s="207">
        <v>8021</v>
      </c>
      <c r="C419" s="208" t="s">
        <v>593</v>
      </c>
      <c r="D419" s="194" t="s">
        <v>468</v>
      </c>
      <c r="E419" s="209">
        <f t="shared" si="47"/>
        <v>104.1</v>
      </c>
      <c r="F419" s="216">
        <v>78.2</v>
      </c>
      <c r="G419" s="217">
        <v>15.9</v>
      </c>
      <c r="H419" s="218">
        <v>4.5</v>
      </c>
      <c r="I419" s="230">
        <f t="shared" si="48"/>
        <v>0</v>
      </c>
      <c r="J419" s="216">
        <v>0</v>
      </c>
      <c r="K419" s="216">
        <v>1.4</v>
      </c>
      <c r="L419" s="233">
        <v>0</v>
      </c>
      <c r="M419" s="233">
        <v>40</v>
      </c>
      <c r="N419" s="233">
        <v>50</v>
      </c>
      <c r="O419" s="233"/>
      <c r="P419" s="233">
        <v>0</v>
      </c>
      <c r="Q419" s="233"/>
      <c r="R419" s="233"/>
      <c r="S419" s="233"/>
      <c r="T419" s="231"/>
      <c r="U419" s="231"/>
      <c r="V419" s="231"/>
      <c r="W419" s="242"/>
      <c r="X419" s="232"/>
      <c r="Y419" s="231"/>
      <c r="Z419" s="231"/>
      <c r="AA419" s="241"/>
      <c r="AB419" s="241"/>
      <c r="AC419" s="240"/>
      <c r="AD419" s="240"/>
      <c r="AE419" s="233"/>
      <c r="AF419" s="233"/>
      <c r="AG419" s="240"/>
      <c r="AH419" s="240">
        <f t="shared" si="49"/>
        <v>0</v>
      </c>
      <c r="AI419" s="236">
        <f t="shared" si="50"/>
        <v>0</v>
      </c>
      <c r="AJ419" s="252"/>
      <c r="AK419" s="233"/>
      <c r="AL419" s="216"/>
      <c r="AM419" s="236">
        <v>0</v>
      </c>
      <c r="AN419" s="236">
        <v>0</v>
      </c>
      <c r="AO419" s="236">
        <v>0</v>
      </c>
      <c r="AP419" s="236">
        <v>0</v>
      </c>
      <c r="AQ419" s="236">
        <v>0</v>
      </c>
      <c r="AR419" s="236">
        <v>0</v>
      </c>
      <c r="AS419" s="236">
        <v>0</v>
      </c>
      <c r="AT419" s="236">
        <v>0</v>
      </c>
      <c r="AU419" s="236">
        <v>0</v>
      </c>
      <c r="AV419" s="231"/>
      <c r="AW419" s="236"/>
      <c r="AX419" s="242"/>
      <c r="AY419" s="242"/>
      <c r="AZ419" s="242"/>
      <c r="BA419" s="242"/>
      <c r="BB419" s="242"/>
      <c r="BC419" s="242"/>
      <c r="BD419" s="242"/>
      <c r="BE419" s="231"/>
      <c r="BF419" s="242"/>
      <c r="BG419" s="242"/>
      <c r="BH419" s="242"/>
      <c r="BI419" s="242"/>
      <c r="BJ419" s="242"/>
      <c r="BK419" s="242"/>
      <c r="BL419" s="242"/>
      <c r="BM419" s="242"/>
      <c r="BN419" s="242"/>
      <c r="BO419" s="257"/>
      <c r="BP419" s="257"/>
      <c r="BQ419" s="231"/>
      <c r="BR419" s="231"/>
      <c r="BS419" s="231"/>
      <c r="BT419" s="231"/>
      <c r="BU419" s="231"/>
      <c r="BV419" s="231"/>
      <c r="BW419" s="231"/>
      <c r="BX419" s="231"/>
      <c r="BY419" s="231"/>
      <c r="BZ419" s="231"/>
      <c r="CA419" s="231"/>
      <c r="CB419" s="231"/>
      <c r="CC419" s="231"/>
      <c r="CD419" s="231"/>
      <c r="CE419" s="231"/>
      <c r="CF419" s="231"/>
      <c r="CG419" s="231"/>
      <c r="CH419" s="231"/>
      <c r="CI419" s="231"/>
    </row>
    <row r="420" spans="1:95" ht="25.2" customHeight="1" outlineLevel="1">
      <c r="A420" s="204">
        <v>396</v>
      </c>
      <c r="B420" s="207">
        <v>8022</v>
      </c>
      <c r="C420" s="208" t="s">
        <v>594</v>
      </c>
      <c r="D420" s="194" t="s">
        <v>468</v>
      </c>
      <c r="E420" s="209">
        <f t="shared" si="47"/>
        <v>97.1</v>
      </c>
      <c r="F420" s="216">
        <v>78</v>
      </c>
      <c r="G420" s="217">
        <v>18.2</v>
      </c>
      <c r="H420" s="218">
        <v>2.7</v>
      </c>
      <c r="I420" s="230">
        <f t="shared" si="48"/>
        <v>0</v>
      </c>
      <c r="J420" s="216">
        <v>0</v>
      </c>
      <c r="K420" s="216">
        <v>1.1000000000000001</v>
      </c>
      <c r="L420" s="233">
        <v>0</v>
      </c>
      <c r="M420" s="216">
        <v>90</v>
      </c>
      <c r="N420" s="216">
        <v>240</v>
      </c>
      <c r="O420" s="216"/>
      <c r="P420" s="216">
        <v>0</v>
      </c>
      <c r="Q420" s="216">
        <v>0.04</v>
      </c>
      <c r="R420" s="216">
        <v>0.12</v>
      </c>
      <c r="S420" s="216">
        <v>2.2999999999999998</v>
      </c>
      <c r="T420" s="231"/>
      <c r="U420" s="231"/>
      <c r="V420" s="231"/>
      <c r="W420" s="242"/>
      <c r="X420" s="232"/>
      <c r="Y420" s="231"/>
      <c r="Z420" s="231"/>
      <c r="AA420" s="241"/>
      <c r="AB420" s="241"/>
      <c r="AC420" s="240"/>
      <c r="AD420" s="240"/>
      <c r="AE420" s="233"/>
      <c r="AF420" s="233"/>
      <c r="AG420" s="240"/>
      <c r="AH420" s="240">
        <f t="shared" si="49"/>
        <v>0</v>
      </c>
      <c r="AI420" s="236">
        <f t="shared" si="50"/>
        <v>0</v>
      </c>
      <c r="AJ420" s="252"/>
      <c r="AK420" s="233"/>
      <c r="AL420" s="216"/>
      <c r="AM420" s="236">
        <v>0</v>
      </c>
      <c r="AN420" s="236">
        <v>0</v>
      </c>
      <c r="AO420" s="236">
        <v>0</v>
      </c>
      <c r="AP420" s="236">
        <v>0</v>
      </c>
      <c r="AQ420" s="236">
        <v>0</v>
      </c>
      <c r="AR420" s="236">
        <v>0</v>
      </c>
      <c r="AS420" s="236">
        <v>0</v>
      </c>
      <c r="AT420" s="236">
        <v>0</v>
      </c>
      <c r="AU420" s="236">
        <v>0</v>
      </c>
      <c r="AV420" s="231"/>
      <c r="AW420" s="236"/>
      <c r="AX420" s="242"/>
      <c r="AY420" s="242"/>
      <c r="AZ420" s="242"/>
      <c r="BA420" s="242"/>
      <c r="BB420" s="242"/>
      <c r="BC420" s="242"/>
      <c r="BD420" s="242"/>
      <c r="BE420" s="231"/>
      <c r="BF420" s="242"/>
      <c r="BG420" s="242"/>
      <c r="BH420" s="242"/>
      <c r="BI420" s="242"/>
      <c r="BJ420" s="242"/>
      <c r="BK420" s="242"/>
      <c r="BL420" s="242"/>
      <c r="BM420" s="242"/>
      <c r="BN420" s="242"/>
      <c r="BO420" s="277"/>
      <c r="BP420" s="204"/>
      <c r="BQ420" s="231"/>
      <c r="BR420" s="231"/>
      <c r="BS420" s="231"/>
      <c r="BT420" s="231"/>
      <c r="BU420" s="231"/>
      <c r="BV420" s="231"/>
      <c r="BW420" s="231"/>
      <c r="BX420" s="231"/>
      <c r="BY420" s="231"/>
      <c r="BZ420" s="231"/>
      <c r="CA420" s="231"/>
      <c r="CB420" s="231"/>
      <c r="CC420" s="231"/>
      <c r="CD420" s="231"/>
      <c r="CE420" s="231"/>
      <c r="CF420" s="231"/>
      <c r="CG420" s="231"/>
      <c r="CH420" s="231"/>
      <c r="CI420" s="231"/>
    </row>
    <row r="421" spans="1:95" ht="25.2" customHeight="1" outlineLevel="1">
      <c r="A421" s="204">
        <v>397</v>
      </c>
      <c r="B421" s="207">
        <v>8023</v>
      </c>
      <c r="C421" s="208" t="s">
        <v>595</v>
      </c>
      <c r="D421" s="194" t="s">
        <v>468</v>
      </c>
      <c r="E421" s="209">
        <f t="shared" si="47"/>
        <v>125.9</v>
      </c>
      <c r="F421" s="216">
        <v>74.2</v>
      </c>
      <c r="G421" s="217">
        <v>19.100000000000001</v>
      </c>
      <c r="H421" s="218">
        <v>5.5</v>
      </c>
      <c r="I421" s="230">
        <f t="shared" si="48"/>
        <v>0</v>
      </c>
      <c r="J421" s="216">
        <v>0</v>
      </c>
      <c r="K421" s="216">
        <v>1.2</v>
      </c>
      <c r="L421" s="233">
        <v>0</v>
      </c>
      <c r="M421" s="233">
        <v>26.4</v>
      </c>
      <c r="N421" s="233">
        <v>151.19999999999999</v>
      </c>
      <c r="O421" s="233">
        <v>0.25</v>
      </c>
      <c r="P421" s="233">
        <v>0</v>
      </c>
      <c r="Q421" s="233"/>
      <c r="R421" s="233"/>
      <c r="S421" s="233"/>
      <c r="T421" s="231"/>
      <c r="U421" s="231"/>
      <c r="V421" s="231"/>
      <c r="W421" s="242"/>
      <c r="X421" s="232"/>
      <c r="Y421" s="231"/>
      <c r="Z421" s="231"/>
      <c r="AA421" s="241"/>
      <c r="AB421" s="241"/>
      <c r="AC421" s="240"/>
      <c r="AD421" s="240"/>
      <c r="AE421" s="233"/>
      <c r="AF421" s="233"/>
      <c r="AG421" s="240"/>
      <c r="AH421" s="240">
        <f t="shared" si="49"/>
        <v>0</v>
      </c>
      <c r="AI421" s="236">
        <f t="shared" si="50"/>
        <v>0</v>
      </c>
      <c r="AJ421" s="252"/>
      <c r="AK421" s="233"/>
      <c r="AL421" s="216"/>
      <c r="AM421" s="236">
        <v>0</v>
      </c>
      <c r="AN421" s="236">
        <v>0</v>
      </c>
      <c r="AO421" s="236">
        <v>0</v>
      </c>
      <c r="AP421" s="236">
        <v>0</v>
      </c>
      <c r="AQ421" s="236">
        <v>0</v>
      </c>
      <c r="AR421" s="236">
        <v>0</v>
      </c>
      <c r="AS421" s="236">
        <v>0</v>
      </c>
      <c r="AT421" s="236">
        <v>0</v>
      </c>
      <c r="AU421" s="236">
        <v>0</v>
      </c>
      <c r="AV421" s="231"/>
      <c r="AW421" s="236"/>
      <c r="AX421" s="242"/>
      <c r="AY421" s="242"/>
      <c r="AZ421" s="242"/>
      <c r="BA421" s="242"/>
      <c r="BB421" s="242"/>
      <c r="BC421" s="242"/>
      <c r="BD421" s="242"/>
      <c r="BE421" s="231"/>
      <c r="BF421" s="242"/>
      <c r="BG421" s="242"/>
      <c r="BH421" s="242"/>
      <c r="BI421" s="242"/>
      <c r="BJ421" s="242"/>
      <c r="BK421" s="242"/>
      <c r="BL421" s="242"/>
      <c r="BM421" s="242"/>
      <c r="BN421" s="242"/>
      <c r="BO421" s="231"/>
      <c r="BP421" s="231"/>
      <c r="BQ421" s="231"/>
      <c r="BR421" s="231"/>
      <c r="BS421" s="231"/>
      <c r="BT421" s="231"/>
      <c r="BU421" s="231"/>
      <c r="BV421" s="231"/>
      <c r="BW421" s="231"/>
      <c r="BX421" s="231"/>
      <c r="BY421" s="231"/>
      <c r="BZ421" s="231"/>
      <c r="CA421" s="231"/>
      <c r="CB421" s="231"/>
      <c r="CC421" s="231"/>
      <c r="CD421" s="231"/>
      <c r="CE421" s="231"/>
      <c r="CF421" s="231"/>
      <c r="CG421" s="231"/>
      <c r="CH421" s="231"/>
      <c r="CI421" s="231"/>
    </row>
    <row r="422" spans="1:95" ht="25.2" customHeight="1" outlineLevel="1">
      <c r="A422" s="204">
        <v>398</v>
      </c>
      <c r="B422" s="207">
        <v>8024</v>
      </c>
      <c r="C422" s="208" t="s">
        <v>596</v>
      </c>
      <c r="D422" s="194" t="s">
        <v>468</v>
      </c>
      <c r="E422" s="209">
        <f t="shared" si="47"/>
        <v>99.5</v>
      </c>
      <c r="F422" s="216">
        <v>76.8</v>
      </c>
      <c r="G422" s="217">
        <v>19.7</v>
      </c>
      <c r="H422" s="218">
        <v>2.2999999999999998</v>
      </c>
      <c r="I422" s="230">
        <f t="shared" si="48"/>
        <v>0</v>
      </c>
      <c r="J422" s="216">
        <v>0</v>
      </c>
      <c r="K422" s="216">
        <v>1.2</v>
      </c>
      <c r="L422" s="233">
        <v>0</v>
      </c>
      <c r="M422" s="233">
        <v>49.7</v>
      </c>
      <c r="N422" s="233">
        <v>147.5</v>
      </c>
      <c r="O422" s="233">
        <v>0.53</v>
      </c>
      <c r="P422" s="233">
        <v>0</v>
      </c>
      <c r="Q422" s="233"/>
      <c r="R422" s="233"/>
      <c r="S422" s="233"/>
      <c r="T422" s="231"/>
      <c r="U422" s="231"/>
      <c r="V422" s="231"/>
      <c r="W422" s="242"/>
      <c r="X422" s="232"/>
      <c r="Y422" s="231"/>
      <c r="Z422" s="231"/>
      <c r="AA422" s="241"/>
      <c r="AB422" s="241"/>
      <c r="AC422" s="240"/>
      <c r="AD422" s="240"/>
      <c r="AE422" s="233"/>
      <c r="AF422" s="233"/>
      <c r="AG422" s="240"/>
      <c r="AH422" s="240">
        <f t="shared" si="49"/>
        <v>0</v>
      </c>
      <c r="AI422" s="236">
        <f t="shared" si="50"/>
        <v>0</v>
      </c>
      <c r="AJ422" s="252">
        <f>124/40</f>
        <v>3.1</v>
      </c>
      <c r="AK422" s="233"/>
      <c r="AL422" s="216"/>
      <c r="AM422" s="236">
        <v>0</v>
      </c>
      <c r="AN422" s="236">
        <v>0</v>
      </c>
      <c r="AO422" s="236">
        <v>0</v>
      </c>
      <c r="AP422" s="236">
        <v>0</v>
      </c>
      <c r="AQ422" s="236">
        <v>0</v>
      </c>
      <c r="AR422" s="236">
        <v>0</v>
      </c>
      <c r="AS422" s="236">
        <v>0</v>
      </c>
      <c r="AT422" s="236">
        <v>0</v>
      </c>
      <c r="AU422" s="236">
        <v>0</v>
      </c>
      <c r="AV422" s="231"/>
      <c r="AW422" s="236"/>
      <c r="AX422" s="242"/>
      <c r="AY422" s="242"/>
      <c r="AZ422" s="242"/>
      <c r="BA422" s="242"/>
      <c r="BB422" s="242"/>
      <c r="BC422" s="242"/>
      <c r="BD422" s="242"/>
      <c r="BE422" s="231"/>
      <c r="BF422" s="242"/>
      <c r="BG422" s="242"/>
      <c r="BH422" s="242"/>
      <c r="BI422" s="242"/>
      <c r="BJ422" s="242"/>
      <c r="BK422" s="242"/>
      <c r="BL422" s="242"/>
      <c r="BM422" s="242"/>
      <c r="BN422" s="242"/>
      <c r="BO422" s="257"/>
      <c r="BP422" s="257"/>
      <c r="BQ422" s="231"/>
      <c r="BR422" s="231"/>
      <c r="BS422" s="231"/>
      <c r="BT422" s="231"/>
      <c r="BU422" s="231"/>
      <c r="BV422" s="231"/>
      <c r="BW422" s="231"/>
      <c r="BX422" s="231"/>
      <c r="BY422" s="231"/>
      <c r="BZ422" s="231"/>
      <c r="CA422" s="231"/>
      <c r="CB422" s="231"/>
      <c r="CC422" s="231"/>
      <c r="CD422" s="231"/>
      <c r="CE422" s="231"/>
      <c r="CF422" s="231"/>
      <c r="CG422" s="231"/>
      <c r="CH422" s="231"/>
      <c r="CI422" s="231"/>
    </row>
    <row r="423" spans="1:95" ht="25.2" customHeight="1" outlineLevel="1">
      <c r="A423" s="204">
        <v>399</v>
      </c>
      <c r="B423" s="207">
        <v>8025</v>
      </c>
      <c r="C423" s="208" t="s">
        <v>597</v>
      </c>
      <c r="D423" s="194" t="s">
        <v>468</v>
      </c>
      <c r="E423" s="209">
        <f t="shared" si="47"/>
        <v>73.2</v>
      </c>
      <c r="F423" s="216">
        <v>81.3</v>
      </c>
      <c r="G423" s="217">
        <v>17.399999999999999</v>
      </c>
      <c r="H423" s="218">
        <v>0.4</v>
      </c>
      <c r="I423" s="230">
        <f t="shared" si="48"/>
        <v>0</v>
      </c>
      <c r="J423" s="216">
        <v>0</v>
      </c>
      <c r="K423" s="216">
        <v>0.9</v>
      </c>
      <c r="L423" s="233">
        <v>0</v>
      </c>
      <c r="M423" s="233">
        <v>36</v>
      </c>
      <c r="N423" s="233">
        <v>45</v>
      </c>
      <c r="O423" s="233"/>
      <c r="P423" s="233">
        <v>0</v>
      </c>
      <c r="Q423" s="233"/>
      <c r="R423" s="233"/>
      <c r="S423" s="233"/>
      <c r="T423" s="231"/>
      <c r="U423" s="231"/>
      <c r="V423" s="231"/>
      <c r="W423" s="242"/>
      <c r="X423" s="232"/>
      <c r="Y423" s="231"/>
      <c r="Z423" s="231"/>
      <c r="AA423" s="241"/>
      <c r="AB423" s="241"/>
      <c r="AC423" s="240"/>
      <c r="AD423" s="240"/>
      <c r="AE423" s="233"/>
      <c r="AF423" s="233"/>
      <c r="AG423" s="240"/>
      <c r="AH423" s="240">
        <f t="shared" si="49"/>
        <v>0</v>
      </c>
      <c r="AI423" s="236">
        <f t="shared" si="50"/>
        <v>0</v>
      </c>
      <c r="AJ423" s="252"/>
      <c r="AK423" s="233"/>
      <c r="AL423" s="216"/>
      <c r="AM423" s="236">
        <v>0</v>
      </c>
      <c r="AN423" s="236">
        <v>0</v>
      </c>
      <c r="AO423" s="236">
        <v>0</v>
      </c>
      <c r="AP423" s="236">
        <v>0</v>
      </c>
      <c r="AQ423" s="236">
        <v>0</v>
      </c>
      <c r="AR423" s="236">
        <v>0</v>
      </c>
      <c r="AS423" s="236">
        <v>0</v>
      </c>
      <c r="AT423" s="236">
        <v>0</v>
      </c>
      <c r="AU423" s="236">
        <v>0</v>
      </c>
      <c r="AV423" s="231"/>
      <c r="AW423" s="236"/>
      <c r="AX423" s="242"/>
      <c r="AY423" s="242"/>
      <c r="AZ423" s="242"/>
      <c r="BA423" s="242"/>
      <c r="BB423" s="242"/>
      <c r="BC423" s="242"/>
      <c r="BD423" s="242"/>
      <c r="BE423" s="231"/>
      <c r="BF423" s="242"/>
      <c r="BG423" s="242"/>
      <c r="BH423" s="242"/>
      <c r="BI423" s="242"/>
      <c r="BJ423" s="242"/>
      <c r="BK423" s="242"/>
      <c r="BL423" s="242"/>
      <c r="BM423" s="242"/>
      <c r="BN423" s="242"/>
      <c r="BO423" s="204">
        <v>13</v>
      </c>
      <c r="BP423" s="204"/>
      <c r="BQ423" s="231"/>
      <c r="BR423" s="231"/>
      <c r="BS423" s="231"/>
      <c r="BT423" s="231"/>
      <c r="BU423" s="231"/>
      <c r="BV423" s="231"/>
      <c r="BW423" s="231"/>
      <c r="BX423" s="231"/>
      <c r="BY423" s="231"/>
      <c r="BZ423" s="231"/>
      <c r="CA423" s="231"/>
      <c r="CB423" s="231"/>
      <c r="CC423" s="231"/>
      <c r="CD423" s="231"/>
      <c r="CE423" s="231"/>
      <c r="CF423" s="231"/>
      <c r="CG423" s="231"/>
      <c r="CH423" s="231"/>
      <c r="CI423" s="231"/>
    </row>
    <row r="424" spans="1:95" ht="25.2" customHeight="1" outlineLevel="1">
      <c r="A424" s="204">
        <v>400</v>
      </c>
      <c r="B424" s="207">
        <v>8026</v>
      </c>
      <c r="C424" s="208" t="s">
        <v>598</v>
      </c>
      <c r="D424" s="194" t="s">
        <v>468</v>
      </c>
      <c r="E424" s="209">
        <f t="shared" si="47"/>
        <v>165.5</v>
      </c>
      <c r="F424" s="216">
        <v>70.2</v>
      </c>
      <c r="G424" s="217">
        <v>18.2</v>
      </c>
      <c r="H424" s="218">
        <v>10.3</v>
      </c>
      <c r="I424" s="230">
        <f t="shared" si="48"/>
        <v>0</v>
      </c>
      <c r="J424" s="216">
        <v>0</v>
      </c>
      <c r="K424" s="216">
        <v>1.3</v>
      </c>
      <c r="L424" s="233">
        <v>0</v>
      </c>
      <c r="M424" s="216">
        <v>50</v>
      </c>
      <c r="N424" s="216">
        <v>90</v>
      </c>
      <c r="O424" s="216">
        <v>1.3</v>
      </c>
      <c r="P424" s="216">
        <v>0</v>
      </c>
      <c r="Q424" s="216">
        <v>7.0000000000000007E-2</v>
      </c>
      <c r="R424" s="216">
        <v>0.17</v>
      </c>
      <c r="S424" s="216">
        <v>6.6</v>
      </c>
      <c r="T424" s="240">
        <v>110</v>
      </c>
      <c r="U424" s="240">
        <v>486</v>
      </c>
      <c r="V424" s="240">
        <v>35</v>
      </c>
      <c r="W424" s="241"/>
      <c r="X424" s="233"/>
      <c r="Y424" s="240">
        <v>200</v>
      </c>
      <c r="Z424" s="216"/>
      <c r="AA424" s="241"/>
      <c r="AB424" s="241"/>
      <c r="AC424" s="240"/>
      <c r="AD424" s="240"/>
      <c r="AE424" s="233">
        <v>7</v>
      </c>
      <c r="AF424" s="233"/>
      <c r="AG424" s="240">
        <v>10</v>
      </c>
      <c r="AH424" s="240">
        <f t="shared" si="49"/>
        <v>33.299999999999997</v>
      </c>
      <c r="AI424" s="236">
        <f t="shared" si="50"/>
        <v>10</v>
      </c>
      <c r="AJ424" s="252"/>
      <c r="AK424" s="233"/>
      <c r="AL424" s="216"/>
      <c r="AM424" s="236">
        <v>0</v>
      </c>
      <c r="AN424" s="236">
        <v>0</v>
      </c>
      <c r="AO424" s="236">
        <v>0</v>
      </c>
      <c r="AP424" s="236">
        <v>0</v>
      </c>
      <c r="AQ424" s="236">
        <v>0</v>
      </c>
      <c r="AR424" s="236">
        <v>0</v>
      </c>
      <c r="AS424" s="236">
        <v>0</v>
      </c>
      <c r="AT424" s="236">
        <v>0</v>
      </c>
      <c r="AU424" s="236">
        <v>0</v>
      </c>
      <c r="AV424" s="231">
        <v>145</v>
      </c>
      <c r="AW424" s="236">
        <v>5.64</v>
      </c>
      <c r="AX424" s="244">
        <v>3.49</v>
      </c>
      <c r="AY424" s="244">
        <v>0</v>
      </c>
      <c r="AZ424" s="244">
        <v>0.61</v>
      </c>
      <c r="BA424" s="244">
        <v>0</v>
      </c>
      <c r="BB424" s="244">
        <v>0</v>
      </c>
      <c r="BC424" s="244">
        <v>0</v>
      </c>
      <c r="BD424" s="244">
        <v>9.66</v>
      </c>
      <c r="BE424" s="237">
        <v>0</v>
      </c>
      <c r="BF424" s="244">
        <v>0.81</v>
      </c>
      <c r="BG424" s="244">
        <v>3.1</v>
      </c>
      <c r="BH424" s="244">
        <v>6.52</v>
      </c>
      <c r="BI424" s="244">
        <v>0.64</v>
      </c>
      <c r="BJ424" s="244">
        <v>0.32</v>
      </c>
      <c r="BK424" s="244">
        <v>0.91</v>
      </c>
      <c r="BL424" s="244">
        <v>1.27</v>
      </c>
      <c r="BM424" s="244">
        <v>3.17</v>
      </c>
      <c r="BN424" s="244"/>
      <c r="BO424" s="231"/>
      <c r="BP424" s="231"/>
      <c r="BQ424" s="231">
        <v>1600</v>
      </c>
      <c r="BR424" s="231">
        <v>520</v>
      </c>
      <c r="BS424" s="231">
        <v>190</v>
      </c>
      <c r="BT424" s="231">
        <v>730</v>
      </c>
      <c r="BU424" s="231">
        <v>790</v>
      </c>
      <c r="BV424" s="231">
        <v>1100</v>
      </c>
      <c r="BW424" s="231">
        <v>1400</v>
      </c>
      <c r="BX424" s="231">
        <v>900</v>
      </c>
      <c r="BY424" s="231">
        <v>1000</v>
      </c>
      <c r="BZ424" s="231">
        <v>840</v>
      </c>
      <c r="CA424" s="231">
        <v>140</v>
      </c>
      <c r="CB424" s="231">
        <v>640</v>
      </c>
      <c r="CC424" s="231">
        <v>1100</v>
      </c>
      <c r="CD424" s="231">
        <v>1700</v>
      </c>
      <c r="CE424" s="231">
        <v>2200</v>
      </c>
      <c r="CF424" s="231">
        <v>840</v>
      </c>
      <c r="CG424" s="231">
        <v>610</v>
      </c>
      <c r="CH424" s="231">
        <v>730</v>
      </c>
      <c r="CI424" s="231"/>
    </row>
    <row r="425" spans="1:95" ht="25.2" customHeight="1" outlineLevel="1">
      <c r="A425" s="204">
        <v>401</v>
      </c>
      <c r="B425" s="207">
        <v>8027</v>
      </c>
      <c r="C425" s="208" t="s">
        <v>599</v>
      </c>
      <c r="D425" s="194" t="s">
        <v>468</v>
      </c>
      <c r="E425" s="209">
        <f t="shared" si="47"/>
        <v>155.6</v>
      </c>
      <c r="F425" s="216">
        <v>70.3</v>
      </c>
      <c r="G425" s="217">
        <v>20</v>
      </c>
      <c r="H425" s="218">
        <v>8.4</v>
      </c>
      <c r="I425" s="230">
        <f t="shared" si="48"/>
        <v>0</v>
      </c>
      <c r="J425" s="216">
        <v>0</v>
      </c>
      <c r="K425" s="216">
        <v>1.3</v>
      </c>
      <c r="L425" s="233">
        <v>0</v>
      </c>
      <c r="M425" s="216">
        <v>22</v>
      </c>
      <c r="N425" s="216">
        <v>190</v>
      </c>
      <c r="O425" s="216">
        <v>3</v>
      </c>
      <c r="P425" s="216">
        <v>0</v>
      </c>
      <c r="Q425" s="216">
        <v>0.05</v>
      </c>
      <c r="R425" s="216">
        <v>0.1</v>
      </c>
      <c r="S425" s="216">
        <v>6</v>
      </c>
      <c r="T425" s="231">
        <v>86</v>
      </c>
      <c r="U425" s="231">
        <v>406</v>
      </c>
      <c r="V425" s="231">
        <v>28</v>
      </c>
      <c r="W425" s="242">
        <v>1.4999999999999999E-2</v>
      </c>
      <c r="X425" s="232">
        <v>0.67</v>
      </c>
      <c r="Y425" s="231">
        <v>93</v>
      </c>
      <c r="Z425" s="231">
        <v>36.5</v>
      </c>
      <c r="AA425" s="241">
        <v>0.316</v>
      </c>
      <c r="AB425" s="241">
        <v>0.33</v>
      </c>
      <c r="AC425" s="240">
        <v>2</v>
      </c>
      <c r="AD425" s="240">
        <v>0</v>
      </c>
      <c r="AE425" s="233"/>
      <c r="AF425" s="233">
        <v>4.4000000000000004</v>
      </c>
      <c r="AG425" s="240">
        <v>35</v>
      </c>
      <c r="AH425" s="240">
        <f t="shared" si="49"/>
        <v>116.55</v>
      </c>
      <c r="AI425" s="236">
        <f t="shared" si="50"/>
        <v>35</v>
      </c>
      <c r="AJ425" s="252"/>
      <c r="AK425" s="233">
        <v>1</v>
      </c>
      <c r="AL425" s="216">
        <v>0.1</v>
      </c>
      <c r="AM425" s="236">
        <v>0</v>
      </c>
      <c r="AN425" s="236">
        <v>0</v>
      </c>
      <c r="AO425" s="236">
        <v>0</v>
      </c>
      <c r="AP425" s="236">
        <v>0</v>
      </c>
      <c r="AQ425" s="236">
        <v>0</v>
      </c>
      <c r="AR425" s="236">
        <v>0</v>
      </c>
      <c r="AS425" s="236">
        <v>0</v>
      </c>
      <c r="AT425" s="236">
        <v>0</v>
      </c>
      <c r="AU425" s="236">
        <v>0</v>
      </c>
      <c r="AV425" s="231"/>
      <c r="AW425" s="236">
        <v>2.2469999999999999</v>
      </c>
      <c r="AX425" s="244">
        <v>1.389</v>
      </c>
      <c r="AY425" s="244">
        <v>0</v>
      </c>
      <c r="AZ425" s="244">
        <v>0.441</v>
      </c>
      <c r="BA425" s="244">
        <v>0</v>
      </c>
      <c r="BB425" s="244">
        <v>0</v>
      </c>
      <c r="BC425" s="244">
        <v>0</v>
      </c>
      <c r="BD425" s="244">
        <v>2.629</v>
      </c>
      <c r="BE425" s="237">
        <v>0</v>
      </c>
      <c r="BF425" s="244">
        <v>0.47</v>
      </c>
      <c r="BG425" s="244">
        <v>1.3280000000000001</v>
      </c>
      <c r="BH425" s="244">
        <v>1.94</v>
      </c>
      <c r="BI425" s="244">
        <v>0.11600000000000001</v>
      </c>
      <c r="BJ425" s="244">
        <v>0.05</v>
      </c>
      <c r="BK425" s="244">
        <v>8.1000000000000003E-2</v>
      </c>
      <c r="BL425" s="244">
        <v>0.50900000000000001</v>
      </c>
      <c r="BM425" s="244">
        <v>0.93200000000000005</v>
      </c>
      <c r="BN425" s="244"/>
      <c r="BO425" s="231">
        <v>47</v>
      </c>
      <c r="BP425" s="231"/>
      <c r="BQ425" s="231">
        <v>1843</v>
      </c>
      <c r="BR425" s="231">
        <v>594</v>
      </c>
      <c r="BS425" s="231">
        <v>225</v>
      </c>
      <c r="BT425" s="231">
        <v>783</v>
      </c>
      <c r="BU425" s="231">
        <v>880</v>
      </c>
      <c r="BV425" s="231">
        <v>1034</v>
      </c>
      <c r="BW425" s="231">
        <v>1631</v>
      </c>
      <c r="BX425" s="231">
        <v>925</v>
      </c>
      <c r="BY425" s="231">
        <v>1201</v>
      </c>
      <c r="BZ425" s="231">
        <v>591</v>
      </c>
      <c r="CA425" s="231">
        <v>215</v>
      </c>
      <c r="CB425" s="231">
        <v>678</v>
      </c>
      <c r="CC425" s="231">
        <v>1214</v>
      </c>
      <c r="CD425" s="231">
        <v>2055</v>
      </c>
      <c r="CE425" s="231">
        <v>2996</v>
      </c>
      <c r="CF425" s="231">
        <v>963</v>
      </c>
      <c r="CG425" s="231">
        <v>710</v>
      </c>
      <c r="CH425" s="231">
        <v>819</v>
      </c>
      <c r="CI425" s="231"/>
    </row>
    <row r="426" spans="1:95" ht="25.2" customHeight="1" outlineLevel="1">
      <c r="A426" s="204">
        <v>402</v>
      </c>
      <c r="B426" s="207">
        <v>8028</v>
      </c>
      <c r="C426" s="208" t="s">
        <v>600</v>
      </c>
      <c r="D426" s="194" t="s">
        <v>468</v>
      </c>
      <c r="E426" s="209">
        <f t="shared" si="47"/>
        <v>110.4</v>
      </c>
      <c r="F426" s="216">
        <v>74.2</v>
      </c>
      <c r="G426" s="217">
        <v>20.399999999999999</v>
      </c>
      <c r="H426" s="218">
        <v>3.2</v>
      </c>
      <c r="I426" s="230">
        <f t="shared" si="48"/>
        <v>0</v>
      </c>
      <c r="J426" s="216">
        <v>0</v>
      </c>
      <c r="K426" s="216">
        <v>2.2000000000000002</v>
      </c>
      <c r="L426" s="233">
        <v>0</v>
      </c>
      <c r="M426" s="233">
        <v>108.9</v>
      </c>
      <c r="N426" s="233">
        <v>230.5</v>
      </c>
      <c r="O426" s="233">
        <v>0.2</v>
      </c>
      <c r="P426" s="233">
        <v>0</v>
      </c>
      <c r="Q426" s="233"/>
      <c r="R426" s="233"/>
      <c r="S426" s="233"/>
      <c r="T426" s="231"/>
      <c r="U426" s="231"/>
      <c r="V426" s="231"/>
      <c r="W426" s="242"/>
      <c r="X426" s="232"/>
      <c r="Y426" s="231"/>
      <c r="Z426" s="231"/>
      <c r="AA426" s="241"/>
      <c r="AB426" s="241"/>
      <c r="AC426" s="240"/>
      <c r="AD426" s="240"/>
      <c r="AE426" s="233"/>
      <c r="AF426" s="233"/>
      <c r="AG426" s="240"/>
      <c r="AH426" s="240">
        <f t="shared" si="49"/>
        <v>0</v>
      </c>
      <c r="AI426" s="236">
        <f t="shared" si="50"/>
        <v>0</v>
      </c>
      <c r="AJ426" s="275">
        <f>932/40</f>
        <v>23.3</v>
      </c>
      <c r="AK426" s="233"/>
      <c r="AL426" s="216"/>
      <c r="AM426" s="236">
        <v>0</v>
      </c>
      <c r="AN426" s="236">
        <v>0</v>
      </c>
      <c r="AO426" s="236">
        <v>0</v>
      </c>
      <c r="AP426" s="236">
        <v>0</v>
      </c>
      <c r="AQ426" s="236">
        <v>0</v>
      </c>
      <c r="AR426" s="236">
        <v>0</v>
      </c>
      <c r="AS426" s="236">
        <v>0</v>
      </c>
      <c r="AT426" s="236">
        <v>0</v>
      </c>
      <c r="AU426" s="236">
        <v>0</v>
      </c>
      <c r="AV426" s="231"/>
      <c r="AW426" s="236"/>
      <c r="AX426" s="242"/>
      <c r="AY426" s="242"/>
      <c r="AZ426" s="242"/>
      <c r="BA426" s="242"/>
      <c r="BB426" s="242"/>
      <c r="BC426" s="242"/>
      <c r="BD426" s="242"/>
      <c r="BE426" s="231"/>
      <c r="BF426" s="242"/>
      <c r="BG426" s="242"/>
      <c r="BH426" s="242"/>
      <c r="BI426" s="242"/>
      <c r="BJ426" s="242"/>
      <c r="BK426" s="242"/>
      <c r="BL426" s="242"/>
      <c r="BM426" s="242"/>
      <c r="BN426" s="242"/>
      <c r="BO426" s="231"/>
      <c r="BP426" s="231"/>
      <c r="BQ426" s="231"/>
      <c r="BR426" s="231"/>
      <c r="BS426" s="231"/>
      <c r="BT426" s="231"/>
      <c r="BU426" s="231"/>
      <c r="BV426" s="231"/>
      <c r="BW426" s="231"/>
      <c r="BX426" s="231"/>
      <c r="BY426" s="231"/>
      <c r="BZ426" s="231"/>
      <c r="CA426" s="231"/>
      <c r="CB426" s="231"/>
      <c r="CC426" s="231"/>
      <c r="CD426" s="231"/>
      <c r="CE426" s="231"/>
      <c r="CF426" s="231"/>
      <c r="CG426" s="231"/>
      <c r="CH426" s="231"/>
      <c r="CI426" s="231"/>
    </row>
    <row r="427" spans="1:95" ht="25.2" customHeight="1" outlineLevel="1">
      <c r="A427" s="204">
        <v>403</v>
      </c>
      <c r="B427" s="207">
        <v>8029</v>
      </c>
      <c r="C427" s="208" t="s">
        <v>601</v>
      </c>
      <c r="D427" s="194" t="s">
        <v>468</v>
      </c>
      <c r="E427" s="209">
        <f t="shared" si="47"/>
        <v>91.4</v>
      </c>
      <c r="F427" s="216">
        <v>79.400000000000006</v>
      </c>
      <c r="G427" s="217">
        <v>17</v>
      </c>
      <c r="H427" s="218">
        <v>2.6</v>
      </c>
      <c r="I427" s="230">
        <f t="shared" si="48"/>
        <v>0</v>
      </c>
      <c r="J427" s="216">
        <v>0</v>
      </c>
      <c r="K427" s="216">
        <v>1</v>
      </c>
      <c r="L427" s="233">
        <v>0</v>
      </c>
      <c r="M427" s="233">
        <v>56.6</v>
      </c>
      <c r="N427" s="233">
        <v>145</v>
      </c>
      <c r="O427" s="233">
        <v>0.1</v>
      </c>
      <c r="P427" s="233">
        <v>0</v>
      </c>
      <c r="Q427" s="233"/>
      <c r="R427" s="233"/>
      <c r="S427" s="233"/>
      <c r="T427" s="231">
        <v>26</v>
      </c>
      <c r="U427" s="231">
        <v>305</v>
      </c>
      <c r="V427" s="231">
        <v>34</v>
      </c>
      <c r="W427" s="242"/>
      <c r="X427" s="232"/>
      <c r="Y427" s="231"/>
      <c r="Z427" s="231"/>
      <c r="AA427" s="241"/>
      <c r="AB427" s="241"/>
      <c r="AC427" s="240"/>
      <c r="AD427" s="240"/>
      <c r="AE427" s="233"/>
      <c r="AF427" s="233"/>
      <c r="AG427" s="240"/>
      <c r="AH427" s="240">
        <f t="shared" si="49"/>
        <v>0</v>
      </c>
      <c r="AI427" s="236">
        <f t="shared" si="50"/>
        <v>0</v>
      </c>
      <c r="AJ427" s="275">
        <v>24.7</v>
      </c>
      <c r="AK427" s="233"/>
      <c r="AL427" s="216"/>
      <c r="AM427" s="236">
        <v>0</v>
      </c>
      <c r="AN427" s="236">
        <v>0</v>
      </c>
      <c r="AO427" s="236">
        <v>0</v>
      </c>
      <c r="AP427" s="236">
        <v>0</v>
      </c>
      <c r="AQ427" s="236">
        <v>0</v>
      </c>
      <c r="AR427" s="236">
        <v>0</v>
      </c>
      <c r="AS427" s="236">
        <v>0</v>
      </c>
      <c r="AT427" s="236">
        <v>0</v>
      </c>
      <c r="AU427" s="236">
        <v>0</v>
      </c>
      <c r="AV427" s="231"/>
      <c r="AW427" s="236"/>
      <c r="AX427" s="242"/>
      <c r="AY427" s="242"/>
      <c r="AZ427" s="242"/>
      <c r="BA427" s="242"/>
      <c r="BB427" s="242"/>
      <c r="BC427" s="242"/>
      <c r="BD427" s="242"/>
      <c r="BE427" s="231"/>
      <c r="BF427" s="242"/>
      <c r="BG427" s="242"/>
      <c r="BH427" s="242"/>
      <c r="BI427" s="242"/>
      <c r="BJ427" s="242"/>
      <c r="BK427" s="242"/>
      <c r="BL427" s="242"/>
      <c r="BM427" s="242"/>
      <c r="BN427" s="242"/>
      <c r="BO427" s="231"/>
      <c r="BP427" s="231"/>
      <c r="BQ427" s="231"/>
      <c r="BR427" s="231"/>
      <c r="BS427" s="231"/>
      <c r="BT427" s="231"/>
      <c r="BU427" s="231"/>
      <c r="BV427" s="231"/>
      <c r="BW427" s="231"/>
      <c r="BX427" s="231"/>
      <c r="BY427" s="231"/>
      <c r="BZ427" s="231"/>
      <c r="CA427" s="231"/>
      <c r="CB427" s="231"/>
      <c r="CC427" s="231"/>
      <c r="CD427" s="231"/>
      <c r="CE427" s="231"/>
      <c r="CF427" s="231"/>
      <c r="CG427" s="231"/>
      <c r="CH427" s="231"/>
      <c r="CI427" s="231"/>
    </row>
    <row r="428" spans="1:95" ht="25.2" customHeight="1" outlineLevel="1">
      <c r="A428" s="204">
        <v>404</v>
      </c>
      <c r="B428" s="207">
        <v>8030</v>
      </c>
      <c r="C428" s="208" t="s">
        <v>602</v>
      </c>
      <c r="D428" s="194" t="s">
        <v>468</v>
      </c>
      <c r="E428" s="209">
        <f t="shared" si="47"/>
        <v>173.1</v>
      </c>
      <c r="F428" s="216">
        <v>70.400000000000006</v>
      </c>
      <c r="G428" s="217">
        <v>16.5</v>
      </c>
      <c r="H428" s="218">
        <v>11.9</v>
      </c>
      <c r="I428" s="230">
        <f t="shared" si="48"/>
        <v>0</v>
      </c>
      <c r="J428" s="216">
        <v>0</v>
      </c>
      <c r="K428" s="216">
        <v>1.2</v>
      </c>
      <c r="L428" s="233">
        <v>0</v>
      </c>
      <c r="M428" s="216">
        <v>20</v>
      </c>
      <c r="N428" s="216">
        <v>210</v>
      </c>
      <c r="O428" s="216">
        <v>1</v>
      </c>
      <c r="P428" s="216">
        <v>0</v>
      </c>
      <c r="Q428" s="216">
        <v>0.1</v>
      </c>
      <c r="R428" s="216">
        <v>0.04</v>
      </c>
      <c r="S428" s="216">
        <v>1.4</v>
      </c>
      <c r="T428" s="231">
        <v>53</v>
      </c>
      <c r="U428" s="231">
        <v>299</v>
      </c>
      <c r="V428" s="231">
        <v>23</v>
      </c>
      <c r="W428" s="242">
        <v>1.7999999999999999E-2</v>
      </c>
      <c r="X428" s="232">
        <v>0.74</v>
      </c>
      <c r="Y428" s="231">
        <v>101</v>
      </c>
      <c r="Z428" s="231">
        <v>12.6</v>
      </c>
      <c r="AA428" s="241">
        <v>0.6</v>
      </c>
      <c r="AB428" s="241">
        <v>0.188</v>
      </c>
      <c r="AC428" s="240">
        <v>10</v>
      </c>
      <c r="AD428" s="240">
        <v>0</v>
      </c>
      <c r="AE428" s="233"/>
      <c r="AF428" s="233">
        <v>2.4700000000000002</v>
      </c>
      <c r="AG428" s="233">
        <v>0</v>
      </c>
      <c r="AH428" s="240">
        <f t="shared" si="49"/>
        <v>0</v>
      </c>
      <c r="AI428" s="236">
        <f t="shared" si="50"/>
        <v>0</v>
      </c>
      <c r="AJ428" s="275">
        <f>550/40</f>
        <v>13.75</v>
      </c>
      <c r="AK428" s="233">
        <v>1.2</v>
      </c>
      <c r="AL428" s="216">
        <v>0.1</v>
      </c>
      <c r="AM428" s="236">
        <v>0</v>
      </c>
      <c r="AN428" s="236">
        <v>0</v>
      </c>
      <c r="AO428" s="236">
        <v>0</v>
      </c>
      <c r="AP428" s="236">
        <v>0</v>
      </c>
      <c r="AQ428" s="236">
        <v>0</v>
      </c>
      <c r="AR428" s="236">
        <v>0</v>
      </c>
      <c r="AS428" s="236">
        <v>0</v>
      </c>
      <c r="AT428" s="236">
        <v>0</v>
      </c>
      <c r="AU428" s="236">
        <v>0</v>
      </c>
      <c r="AV428" s="231"/>
      <c r="AW428" s="236">
        <v>1.768</v>
      </c>
      <c r="AX428" s="242">
        <v>1.274</v>
      </c>
      <c r="AY428" s="242">
        <v>0</v>
      </c>
      <c r="AZ428" s="242">
        <v>0.35399999999999998</v>
      </c>
      <c r="BA428" s="242">
        <v>0</v>
      </c>
      <c r="BB428" s="242">
        <v>0</v>
      </c>
      <c r="BC428" s="242">
        <v>0</v>
      </c>
      <c r="BD428" s="242">
        <v>3.5859999999999999</v>
      </c>
      <c r="BE428" s="231">
        <v>0</v>
      </c>
      <c r="BF428" s="242">
        <v>0.28299999999999997</v>
      </c>
      <c r="BG428" s="242">
        <v>3.1680000000000001</v>
      </c>
      <c r="BH428" s="242">
        <v>1.5680000000000001</v>
      </c>
      <c r="BI428" s="242">
        <v>0.876</v>
      </c>
      <c r="BJ428" s="242">
        <v>9.6000000000000002E-2</v>
      </c>
      <c r="BK428" s="242">
        <v>8.5000000000000006E-2</v>
      </c>
      <c r="BL428" s="242">
        <v>6.7000000000000004E-2</v>
      </c>
      <c r="BM428" s="242">
        <v>0.20699999999999999</v>
      </c>
      <c r="BN428" s="242"/>
      <c r="BO428" s="231">
        <v>47</v>
      </c>
      <c r="BP428" s="231"/>
      <c r="BQ428" s="231">
        <v>1429</v>
      </c>
      <c r="BR428" s="231">
        <v>460</v>
      </c>
      <c r="BS428" s="231">
        <v>174</v>
      </c>
      <c r="BT428" s="231">
        <v>607</v>
      </c>
      <c r="BU428" s="231">
        <v>682</v>
      </c>
      <c r="BV428" s="231">
        <v>801</v>
      </c>
      <c r="BW428" s="231">
        <v>1264</v>
      </c>
      <c r="BX428" s="231">
        <v>717</v>
      </c>
      <c r="BY428" s="231">
        <v>931</v>
      </c>
      <c r="BZ428" s="231">
        <v>458</v>
      </c>
      <c r="CA428" s="231">
        <v>167</v>
      </c>
      <c r="CB428" s="231">
        <v>525</v>
      </c>
      <c r="CC428" s="231">
        <v>941</v>
      </c>
      <c r="CD428" s="231">
        <v>1593</v>
      </c>
      <c r="CE428" s="231">
        <v>2322</v>
      </c>
      <c r="CF428" s="231">
        <v>747</v>
      </c>
      <c r="CG428" s="231">
        <v>550</v>
      </c>
      <c r="CH428" s="231">
        <v>635</v>
      </c>
      <c r="CI428" s="231"/>
    </row>
    <row r="429" spans="1:95" ht="25.2" customHeight="1" outlineLevel="1">
      <c r="A429" s="204">
        <v>405</v>
      </c>
      <c r="B429" s="207">
        <v>8031</v>
      </c>
      <c r="C429" s="208" t="s">
        <v>603</v>
      </c>
      <c r="D429" s="194" t="s">
        <v>468</v>
      </c>
      <c r="E429" s="209">
        <f t="shared" si="47"/>
        <v>166.2</v>
      </c>
      <c r="F429" s="216">
        <v>70.5</v>
      </c>
      <c r="G429" s="217">
        <v>17.7</v>
      </c>
      <c r="H429" s="218">
        <v>10.6</v>
      </c>
      <c r="I429" s="230">
        <f t="shared" si="48"/>
        <v>0</v>
      </c>
      <c r="J429" s="216">
        <v>0</v>
      </c>
      <c r="K429" s="216">
        <v>1.2</v>
      </c>
      <c r="L429" s="233">
        <v>0</v>
      </c>
      <c r="M429" s="216">
        <v>64</v>
      </c>
      <c r="N429" s="216">
        <v>174</v>
      </c>
      <c r="O429" s="216">
        <v>2.8</v>
      </c>
      <c r="P429" s="216">
        <v>0</v>
      </c>
      <c r="Q429" s="216">
        <v>0.02</v>
      </c>
      <c r="R429" s="216">
        <v>0.18</v>
      </c>
      <c r="S429" s="216">
        <v>5</v>
      </c>
      <c r="T429" s="240">
        <v>160</v>
      </c>
      <c r="U429" s="240">
        <v>423</v>
      </c>
      <c r="V429" s="240">
        <v>32</v>
      </c>
      <c r="W429" s="241">
        <v>0.02</v>
      </c>
      <c r="X429" s="233">
        <v>0.53</v>
      </c>
      <c r="Y429" s="240">
        <v>300</v>
      </c>
      <c r="Z429" s="216">
        <v>36.5</v>
      </c>
      <c r="AA429" s="241">
        <v>1</v>
      </c>
      <c r="AB429" s="241">
        <v>0.45</v>
      </c>
      <c r="AC429" s="240">
        <v>5</v>
      </c>
      <c r="AD429" s="240">
        <v>0</v>
      </c>
      <c r="AE429" s="233">
        <v>10</v>
      </c>
      <c r="AF429" s="233">
        <v>10</v>
      </c>
      <c r="AG429" s="240">
        <v>20</v>
      </c>
      <c r="AH429" s="240">
        <f t="shared" si="49"/>
        <v>66.599999999999994</v>
      </c>
      <c r="AI429" s="236">
        <f t="shared" si="50"/>
        <v>20</v>
      </c>
      <c r="AJ429" s="275">
        <f>167/40</f>
        <v>4.1749999999999998</v>
      </c>
      <c r="AK429" s="233"/>
      <c r="AL429" s="216"/>
      <c r="AM429" s="236">
        <v>0</v>
      </c>
      <c r="AN429" s="236">
        <v>0</v>
      </c>
      <c r="AO429" s="236">
        <v>0</v>
      </c>
      <c r="AP429" s="236">
        <v>0</v>
      </c>
      <c r="AQ429" s="236">
        <v>0</v>
      </c>
      <c r="AR429" s="236">
        <v>0</v>
      </c>
      <c r="AS429" s="236">
        <v>0</v>
      </c>
      <c r="AT429" s="236">
        <v>0</v>
      </c>
      <c r="AU429" s="236">
        <v>0</v>
      </c>
      <c r="AV429" s="231">
        <v>210</v>
      </c>
      <c r="AW429" s="236">
        <v>3.2570000000000001</v>
      </c>
      <c r="AX429" s="244">
        <v>2.0230000000000001</v>
      </c>
      <c r="AY429" s="242">
        <v>0</v>
      </c>
      <c r="AZ429" s="244">
        <v>0.25700000000000001</v>
      </c>
      <c r="BA429" s="242">
        <v>0</v>
      </c>
      <c r="BB429" s="242">
        <v>0</v>
      </c>
      <c r="BC429" s="242">
        <v>0</v>
      </c>
      <c r="BD429" s="244">
        <v>6.8719999999999999</v>
      </c>
      <c r="BE429" s="237">
        <v>0</v>
      </c>
      <c r="BF429" s="244">
        <v>1.0569999999999999</v>
      </c>
      <c r="BG429" s="244">
        <v>2.9129999999999998</v>
      </c>
      <c r="BH429" s="244">
        <v>2.423</v>
      </c>
      <c r="BI429" s="244">
        <v>0.192</v>
      </c>
      <c r="BJ429" s="244">
        <v>5.7000000000000002E-2</v>
      </c>
      <c r="BK429" s="244">
        <v>0.248</v>
      </c>
      <c r="BL429" s="244">
        <v>0.96899999999999997</v>
      </c>
      <c r="BM429" s="244">
        <v>0.68899999999999995</v>
      </c>
      <c r="BN429" s="244"/>
      <c r="BO429" s="277">
        <v>77</v>
      </c>
      <c r="BP429" s="204"/>
      <c r="BQ429" s="231">
        <v>1506</v>
      </c>
      <c r="BR429" s="231">
        <v>485</v>
      </c>
      <c r="BS429" s="231">
        <v>184</v>
      </c>
      <c r="BT429" s="231">
        <v>640</v>
      </c>
      <c r="BU429" s="231">
        <v>719</v>
      </c>
      <c r="BV429" s="231">
        <v>845</v>
      </c>
      <c r="BW429" s="231">
        <v>1332</v>
      </c>
      <c r="BX429" s="231">
        <v>755</v>
      </c>
      <c r="BY429" s="231">
        <v>981</v>
      </c>
      <c r="BZ429" s="231">
        <v>483</v>
      </c>
      <c r="CA429" s="231">
        <v>176</v>
      </c>
      <c r="CB429" s="231">
        <v>553</v>
      </c>
      <c r="CC429" s="231">
        <v>991</v>
      </c>
      <c r="CD429" s="231">
        <v>1679</v>
      </c>
      <c r="CE429" s="231">
        <v>2447</v>
      </c>
      <c r="CF429" s="231">
        <v>787</v>
      </c>
      <c r="CG429" s="231">
        <v>580</v>
      </c>
      <c r="CH429" s="231">
        <v>669</v>
      </c>
      <c r="CI429" s="231"/>
    </row>
    <row r="430" spans="1:95" ht="25.2" customHeight="1" outlineLevel="1">
      <c r="A430" s="204">
        <v>406</v>
      </c>
      <c r="B430" s="207">
        <v>8032</v>
      </c>
      <c r="C430" s="208" t="s">
        <v>604</v>
      </c>
      <c r="D430" s="194" t="s">
        <v>468</v>
      </c>
      <c r="E430" s="209">
        <f t="shared" si="47"/>
        <v>126.5</v>
      </c>
      <c r="F430" s="216">
        <v>74.3</v>
      </c>
      <c r="G430" s="217">
        <v>18.8</v>
      </c>
      <c r="H430" s="218">
        <v>5.7</v>
      </c>
      <c r="I430" s="230">
        <f t="shared" si="48"/>
        <v>0</v>
      </c>
      <c r="J430" s="216">
        <v>0</v>
      </c>
      <c r="K430" s="216">
        <v>1.2</v>
      </c>
      <c r="L430" s="233">
        <v>0</v>
      </c>
      <c r="M430" s="233">
        <v>76.2</v>
      </c>
      <c r="N430" s="233">
        <v>184.5</v>
      </c>
      <c r="O430" s="233">
        <v>1.24</v>
      </c>
      <c r="P430" s="233">
        <v>0</v>
      </c>
      <c r="Q430" s="233"/>
      <c r="R430" s="233"/>
      <c r="S430" s="233"/>
      <c r="T430" s="231">
        <v>14</v>
      </c>
      <c r="U430" s="231">
        <v>314</v>
      </c>
      <c r="V430" s="231">
        <v>35</v>
      </c>
      <c r="W430" s="242"/>
      <c r="X430" s="232"/>
      <c r="Y430" s="231"/>
      <c r="Z430" s="231"/>
      <c r="AA430" s="241"/>
      <c r="AB430" s="241"/>
      <c r="AC430" s="240"/>
      <c r="AD430" s="240"/>
      <c r="AE430" s="233"/>
      <c r="AF430" s="233"/>
      <c r="AG430" s="240"/>
      <c r="AH430" s="240">
        <f t="shared" si="49"/>
        <v>0</v>
      </c>
      <c r="AI430" s="236">
        <f t="shared" si="50"/>
        <v>0</v>
      </c>
      <c r="AJ430" s="252"/>
      <c r="AK430" s="233"/>
      <c r="AL430" s="216"/>
      <c r="AM430" s="236">
        <v>0</v>
      </c>
      <c r="AN430" s="236">
        <v>0</v>
      </c>
      <c r="AO430" s="236">
        <v>0</v>
      </c>
      <c r="AP430" s="236">
        <v>0</v>
      </c>
      <c r="AQ430" s="236">
        <v>0</v>
      </c>
      <c r="AR430" s="236">
        <v>0</v>
      </c>
      <c r="AS430" s="236">
        <v>0</v>
      </c>
      <c r="AT430" s="236">
        <v>0</v>
      </c>
      <c r="AU430" s="236">
        <v>0</v>
      </c>
      <c r="AV430" s="231"/>
      <c r="AW430" s="236"/>
      <c r="AX430" s="242"/>
      <c r="AY430" s="242"/>
      <c r="AZ430" s="242"/>
      <c r="BA430" s="242"/>
      <c r="BB430" s="242"/>
      <c r="BC430" s="242"/>
      <c r="BD430" s="242"/>
      <c r="BE430" s="231"/>
      <c r="BF430" s="242"/>
      <c r="BG430" s="242"/>
      <c r="BH430" s="242"/>
      <c r="BI430" s="242"/>
      <c r="BJ430" s="242"/>
      <c r="BK430" s="242"/>
      <c r="BL430" s="242"/>
      <c r="BM430" s="242"/>
      <c r="BN430" s="242"/>
      <c r="BO430" s="231"/>
      <c r="BP430" s="231"/>
      <c r="BQ430" s="231"/>
      <c r="BR430" s="231"/>
      <c r="BS430" s="231"/>
      <c r="BT430" s="231"/>
      <c r="BU430" s="231"/>
      <c r="BV430" s="231"/>
      <c r="BW430" s="231"/>
      <c r="BX430" s="231"/>
      <c r="BY430" s="231"/>
      <c r="BZ430" s="231"/>
      <c r="CA430" s="231"/>
      <c r="CB430" s="231"/>
      <c r="CC430" s="231"/>
      <c r="CD430" s="231"/>
      <c r="CE430" s="231"/>
      <c r="CF430" s="231"/>
      <c r="CG430" s="231"/>
      <c r="CH430" s="231"/>
      <c r="CI430" s="231"/>
      <c r="CQ430" s="172"/>
    </row>
    <row r="431" spans="1:95" ht="25.2" customHeight="1" outlineLevel="1">
      <c r="A431" s="204">
        <v>407</v>
      </c>
      <c r="B431" s="207">
        <v>8033</v>
      </c>
      <c r="C431" s="208" t="s">
        <v>605</v>
      </c>
      <c r="D431" s="194" t="s">
        <v>468</v>
      </c>
      <c r="E431" s="209">
        <f t="shared" si="47"/>
        <v>103.4</v>
      </c>
      <c r="F431" s="216">
        <v>72.2</v>
      </c>
      <c r="G431" s="217">
        <v>17.5</v>
      </c>
      <c r="H431" s="218">
        <v>0.6</v>
      </c>
      <c r="I431" s="230">
        <f t="shared" si="48"/>
        <v>7</v>
      </c>
      <c r="J431" s="216">
        <v>0</v>
      </c>
      <c r="K431" s="216">
        <v>2.7</v>
      </c>
      <c r="L431" s="233"/>
      <c r="M431" s="216">
        <v>141</v>
      </c>
      <c r="N431" s="216">
        <v>191</v>
      </c>
      <c r="O431" s="216">
        <v>3.8</v>
      </c>
      <c r="P431" s="216">
        <v>0</v>
      </c>
      <c r="Q431" s="216">
        <v>0.03</v>
      </c>
      <c r="R431" s="216">
        <v>0.71</v>
      </c>
      <c r="S431" s="216">
        <v>2.7</v>
      </c>
      <c r="T431" s="240">
        <v>316</v>
      </c>
      <c r="U431" s="240">
        <v>322</v>
      </c>
      <c r="V431" s="240">
        <v>48</v>
      </c>
      <c r="W431" s="241"/>
      <c r="X431" s="233">
        <v>1.4</v>
      </c>
      <c r="Y431" s="240"/>
      <c r="Z431" s="216"/>
      <c r="AA431" s="241"/>
      <c r="AB431" s="241"/>
      <c r="AC431" s="240"/>
      <c r="AD431" s="240"/>
      <c r="AE431" s="233"/>
      <c r="AF431" s="233"/>
      <c r="AG431" s="240">
        <v>35.799999999999997</v>
      </c>
      <c r="AH431" s="240">
        <f t="shared" si="49"/>
        <v>119.214</v>
      </c>
      <c r="AI431" s="236">
        <f t="shared" si="50"/>
        <v>35.799999999999997</v>
      </c>
      <c r="AJ431" s="252"/>
      <c r="AK431" s="233"/>
      <c r="AL431" s="216"/>
      <c r="AM431" s="236">
        <v>0</v>
      </c>
      <c r="AN431" s="236">
        <v>0</v>
      </c>
      <c r="AO431" s="236">
        <v>0</v>
      </c>
      <c r="AP431" s="236">
        <v>0</v>
      </c>
      <c r="AQ431" s="236">
        <v>0</v>
      </c>
      <c r="AR431" s="236">
        <v>0</v>
      </c>
      <c r="AS431" s="236">
        <v>0</v>
      </c>
      <c r="AT431" s="236">
        <v>0</v>
      </c>
      <c r="AU431" s="236">
        <v>0</v>
      </c>
      <c r="AV431" s="231"/>
      <c r="AW431" s="236">
        <v>0.222</v>
      </c>
      <c r="AX431" s="242">
        <v>141</v>
      </c>
      <c r="AY431" s="242">
        <v>0</v>
      </c>
      <c r="AZ431" s="242">
        <v>8.1000000000000003E-2</v>
      </c>
      <c r="BA431" s="242">
        <v>0</v>
      </c>
      <c r="BB431" s="242">
        <v>0</v>
      </c>
      <c r="BC431" s="242">
        <v>0</v>
      </c>
      <c r="BD431" s="242">
        <v>0.192</v>
      </c>
      <c r="BE431" s="231">
        <v>0</v>
      </c>
      <c r="BF431" s="242">
        <v>5.8999999999999997E-2</v>
      </c>
      <c r="BG431" s="242">
        <v>0.104</v>
      </c>
      <c r="BH431" s="242">
        <v>0.38700000000000001</v>
      </c>
      <c r="BI431" s="242">
        <v>1.2E-2</v>
      </c>
      <c r="BJ431" s="242">
        <v>0</v>
      </c>
      <c r="BK431" s="242">
        <v>5.5E-2</v>
      </c>
      <c r="BL431" s="242">
        <v>0.17</v>
      </c>
      <c r="BM431" s="242">
        <v>0.15</v>
      </c>
      <c r="BN431" s="242"/>
      <c r="BO431" s="231">
        <v>78</v>
      </c>
      <c r="BP431" s="231"/>
      <c r="BQ431" s="204">
        <v>1526</v>
      </c>
      <c r="BR431" s="204">
        <v>517</v>
      </c>
      <c r="BS431" s="204">
        <v>278</v>
      </c>
      <c r="BT431" s="204">
        <v>820</v>
      </c>
      <c r="BU431" s="204">
        <v>888</v>
      </c>
      <c r="BV431" s="204">
        <v>853</v>
      </c>
      <c r="BW431" s="204">
        <v>1540</v>
      </c>
      <c r="BX431" s="204">
        <v>800</v>
      </c>
      <c r="BY431" s="204">
        <v>1084</v>
      </c>
      <c r="BZ431" s="204">
        <v>407</v>
      </c>
      <c r="CA431" s="204">
        <v>283</v>
      </c>
      <c r="CB431" s="204">
        <v>806</v>
      </c>
      <c r="CC431" s="204">
        <v>982</v>
      </c>
      <c r="CD431" s="204">
        <v>2054</v>
      </c>
      <c r="CE431" s="204">
        <v>2780</v>
      </c>
      <c r="CF431" s="204">
        <v>811</v>
      </c>
      <c r="CG431" s="204">
        <v>773</v>
      </c>
      <c r="CH431" s="204">
        <v>839</v>
      </c>
      <c r="CI431" s="231"/>
    </row>
    <row r="432" spans="1:95" ht="25.2" customHeight="1" outlineLevel="1">
      <c r="A432" s="204">
        <v>408</v>
      </c>
      <c r="B432" s="207">
        <v>8034</v>
      </c>
      <c r="C432" s="208" t="s">
        <v>606</v>
      </c>
      <c r="D432" s="194" t="s">
        <v>468</v>
      </c>
      <c r="E432" s="209">
        <f t="shared" si="47"/>
        <v>86.9</v>
      </c>
      <c r="F432" s="216">
        <v>74.400000000000006</v>
      </c>
      <c r="G432" s="217">
        <v>12.3</v>
      </c>
      <c r="H432" s="218">
        <v>3.3</v>
      </c>
      <c r="I432" s="230">
        <f t="shared" si="48"/>
        <v>2</v>
      </c>
      <c r="J432" s="216">
        <v>0</v>
      </c>
      <c r="K432" s="216">
        <v>8</v>
      </c>
      <c r="L432" s="233"/>
      <c r="M432" s="216">
        <v>826</v>
      </c>
      <c r="N432" s="216">
        <v>171</v>
      </c>
      <c r="O432" s="216">
        <v>1.4</v>
      </c>
      <c r="P432" s="216">
        <v>0</v>
      </c>
      <c r="Q432" s="216">
        <v>0.01</v>
      </c>
      <c r="R432" s="216">
        <v>0.05</v>
      </c>
      <c r="S432" s="216">
        <v>2.1</v>
      </c>
      <c r="T432" s="231">
        <v>1484</v>
      </c>
      <c r="U432" s="231">
        <v>27</v>
      </c>
      <c r="V432" s="231">
        <v>154</v>
      </c>
      <c r="W432" s="242"/>
      <c r="X432" s="232"/>
      <c r="Y432" s="231"/>
      <c r="Z432" s="231"/>
      <c r="AA432" s="241"/>
      <c r="AB432" s="241"/>
      <c r="AC432" s="240"/>
      <c r="AD432" s="240"/>
      <c r="AE432" s="233"/>
      <c r="AF432" s="233"/>
      <c r="AG432" s="240">
        <v>2</v>
      </c>
      <c r="AH432" s="240">
        <f t="shared" si="49"/>
        <v>6.66</v>
      </c>
      <c r="AI432" s="236">
        <f t="shared" si="50"/>
        <v>2</v>
      </c>
      <c r="AJ432" s="252"/>
      <c r="AK432" s="233"/>
      <c r="AL432" s="216"/>
      <c r="AM432" s="236">
        <v>0</v>
      </c>
      <c r="AN432" s="236">
        <v>0</v>
      </c>
      <c r="AO432" s="236">
        <v>0</v>
      </c>
      <c r="AP432" s="236">
        <v>0</v>
      </c>
      <c r="AQ432" s="236">
        <v>0</v>
      </c>
      <c r="AR432" s="236">
        <v>0</v>
      </c>
      <c r="AS432" s="236">
        <v>0</v>
      </c>
      <c r="AT432" s="236">
        <v>0</v>
      </c>
      <c r="AU432" s="236">
        <v>0</v>
      </c>
      <c r="AV432" s="231"/>
      <c r="AW432" s="236"/>
      <c r="AX432" s="242"/>
      <c r="AY432" s="242"/>
      <c r="AZ432" s="242"/>
      <c r="BA432" s="242"/>
      <c r="BB432" s="242"/>
      <c r="BC432" s="242"/>
      <c r="BD432" s="242"/>
      <c r="BE432" s="231"/>
      <c r="BF432" s="242"/>
      <c r="BG432" s="242"/>
      <c r="BH432" s="242"/>
      <c r="BI432" s="242"/>
      <c r="BJ432" s="242"/>
      <c r="BK432" s="242"/>
      <c r="BL432" s="242"/>
      <c r="BM432" s="242"/>
      <c r="BN432" s="242"/>
      <c r="BO432" s="231"/>
      <c r="BP432" s="231"/>
      <c r="BQ432" s="231"/>
      <c r="BR432" s="231"/>
      <c r="BS432" s="231"/>
      <c r="BT432" s="231"/>
      <c r="BU432" s="231"/>
      <c r="BV432" s="231"/>
      <c r="BW432" s="231"/>
      <c r="BX432" s="231"/>
      <c r="BY432" s="231"/>
      <c r="BZ432" s="231"/>
      <c r="CA432" s="231"/>
      <c r="CB432" s="231"/>
      <c r="CC432" s="231"/>
      <c r="CD432" s="231"/>
      <c r="CE432" s="231"/>
      <c r="CF432" s="231"/>
      <c r="CG432" s="231"/>
      <c r="CH432" s="231"/>
      <c r="CI432" s="231"/>
    </row>
    <row r="433" spans="1:87" ht="25.2" customHeight="1" outlineLevel="1">
      <c r="A433" s="204">
        <v>409</v>
      </c>
      <c r="B433" s="207">
        <v>8035</v>
      </c>
      <c r="C433" s="208" t="s">
        <v>607</v>
      </c>
      <c r="D433" s="194" t="s">
        <v>468</v>
      </c>
      <c r="E433" s="209">
        <f t="shared" si="47"/>
        <v>53.9</v>
      </c>
      <c r="F433" s="216">
        <v>85.5</v>
      </c>
      <c r="G433" s="217">
        <v>11.9</v>
      </c>
      <c r="H433" s="218">
        <v>0.7</v>
      </c>
      <c r="I433" s="230">
        <f t="shared" si="48"/>
        <v>0</v>
      </c>
      <c r="J433" s="216">
        <v>0</v>
      </c>
      <c r="K433" s="216">
        <v>1.9</v>
      </c>
      <c r="L433" s="233">
        <v>0</v>
      </c>
      <c r="M433" s="216">
        <v>89</v>
      </c>
      <c r="N433" s="216">
        <v>229</v>
      </c>
      <c r="O433" s="216">
        <v>0.74</v>
      </c>
      <c r="P433" s="216">
        <v>0</v>
      </c>
      <c r="Q433" s="216">
        <v>0.03</v>
      </c>
      <c r="R433" s="216">
        <v>0.71</v>
      </c>
      <c r="S433" s="216">
        <v>2.7</v>
      </c>
      <c r="T433" s="240">
        <v>293</v>
      </c>
      <c r="U433" s="240">
        <v>329</v>
      </c>
      <c r="V433" s="240">
        <v>34</v>
      </c>
      <c r="W433" s="241">
        <v>0.15</v>
      </c>
      <c r="X433" s="233">
        <v>3.54</v>
      </c>
      <c r="Y433" s="240">
        <v>669</v>
      </c>
      <c r="Z433" s="216">
        <v>37.4</v>
      </c>
      <c r="AA433" s="241">
        <v>0.35</v>
      </c>
      <c r="AB433" s="241">
        <v>0.15</v>
      </c>
      <c r="AC433" s="240">
        <v>44</v>
      </c>
      <c r="AD433" s="240">
        <v>0</v>
      </c>
      <c r="AE433" s="233"/>
      <c r="AF433" s="233">
        <v>9</v>
      </c>
      <c r="AG433" s="240">
        <v>2</v>
      </c>
      <c r="AH433" s="240">
        <f t="shared" si="49"/>
        <v>6.66</v>
      </c>
      <c r="AI433" s="236">
        <f t="shared" si="50"/>
        <v>2</v>
      </c>
      <c r="AJ433" s="252"/>
      <c r="AK433" s="233"/>
      <c r="AL433" s="216"/>
      <c r="AM433" s="236">
        <v>0</v>
      </c>
      <c r="AN433" s="236">
        <v>0</v>
      </c>
      <c r="AO433" s="236">
        <v>0</v>
      </c>
      <c r="AP433" s="236">
        <v>0</v>
      </c>
      <c r="AQ433" s="236">
        <v>0</v>
      </c>
      <c r="AR433" s="236">
        <v>0</v>
      </c>
      <c r="AS433" s="236">
        <v>0</v>
      </c>
      <c r="AT433" s="236">
        <v>0</v>
      </c>
      <c r="AU433" s="236">
        <v>0</v>
      </c>
      <c r="AV433" s="231"/>
      <c r="AW433" s="236">
        <v>0.222</v>
      </c>
      <c r="AX433" s="242">
        <v>141</v>
      </c>
      <c r="AY433" s="242">
        <v>0</v>
      </c>
      <c r="AZ433" s="242">
        <v>8.1000000000000003E-2</v>
      </c>
      <c r="BA433" s="242">
        <v>0</v>
      </c>
      <c r="BB433" s="242">
        <v>0</v>
      </c>
      <c r="BC433" s="242">
        <v>0</v>
      </c>
      <c r="BD433" s="242">
        <v>0.192</v>
      </c>
      <c r="BE433" s="231">
        <v>0</v>
      </c>
      <c r="BF433" s="242">
        <v>5.8999999999999997E-2</v>
      </c>
      <c r="BG433" s="242">
        <v>0.104</v>
      </c>
      <c r="BH433" s="242">
        <v>0.38700000000000001</v>
      </c>
      <c r="BI433" s="242">
        <v>1.2E-2</v>
      </c>
      <c r="BJ433" s="242">
        <v>0</v>
      </c>
      <c r="BK433" s="242">
        <v>5.5E-2</v>
      </c>
      <c r="BL433" s="242">
        <v>0.17</v>
      </c>
      <c r="BM433" s="242">
        <v>0.15</v>
      </c>
      <c r="BN433" s="242"/>
      <c r="BO433" s="231">
        <v>78</v>
      </c>
      <c r="BP433" s="231"/>
      <c r="BQ433" s="231"/>
      <c r="BR433" s="231"/>
      <c r="BS433" s="231"/>
      <c r="BT433" s="231"/>
      <c r="BU433" s="231"/>
      <c r="BV433" s="231"/>
      <c r="BW433" s="231"/>
      <c r="BX433" s="231"/>
      <c r="BY433" s="231"/>
      <c r="BZ433" s="231"/>
      <c r="CA433" s="231"/>
      <c r="CB433" s="231"/>
      <c r="CC433" s="231"/>
      <c r="CD433" s="231"/>
      <c r="CE433" s="231"/>
      <c r="CF433" s="231"/>
      <c r="CG433" s="231"/>
      <c r="CH433" s="231"/>
      <c r="CI433" s="231"/>
    </row>
    <row r="434" spans="1:87" ht="25.2" customHeight="1" outlineLevel="1">
      <c r="A434" s="204">
        <v>410</v>
      </c>
      <c r="B434" s="207">
        <v>8036</v>
      </c>
      <c r="C434" s="208" t="s">
        <v>608</v>
      </c>
      <c r="D434" s="194" t="s">
        <v>468</v>
      </c>
      <c r="E434" s="209">
        <f t="shared" si="47"/>
        <v>89.5</v>
      </c>
      <c r="F434" s="216">
        <v>76.900000000000006</v>
      </c>
      <c r="G434" s="217">
        <v>21.5</v>
      </c>
      <c r="H434" s="218">
        <v>0.3</v>
      </c>
      <c r="I434" s="230">
        <f t="shared" si="48"/>
        <v>0.20000000000000301</v>
      </c>
      <c r="J434" s="216">
        <v>0</v>
      </c>
      <c r="K434" s="216">
        <v>1.1000000000000001</v>
      </c>
      <c r="L434" s="233"/>
      <c r="M434" s="216">
        <v>118</v>
      </c>
      <c r="N434" s="216">
        <v>22</v>
      </c>
      <c r="O434" s="216">
        <v>1.4</v>
      </c>
      <c r="P434" s="216">
        <v>0</v>
      </c>
      <c r="Q434" s="216">
        <v>0.01</v>
      </c>
      <c r="R434" s="216">
        <v>0.02</v>
      </c>
      <c r="S434" s="216">
        <v>0.1</v>
      </c>
      <c r="T434" s="231"/>
      <c r="U434" s="231"/>
      <c r="V434" s="231"/>
      <c r="W434" s="242"/>
      <c r="X434" s="232"/>
      <c r="Y434" s="231"/>
      <c r="Z434" s="231"/>
      <c r="AA434" s="241"/>
      <c r="AB434" s="241"/>
      <c r="AC434" s="240"/>
      <c r="AD434" s="240"/>
      <c r="AE434" s="233"/>
      <c r="AF434" s="233"/>
      <c r="AG434" s="240">
        <v>101.67</v>
      </c>
      <c r="AH434" s="240">
        <f t="shared" si="49"/>
        <v>338.56110000000001</v>
      </c>
      <c r="AI434" s="236">
        <f t="shared" si="50"/>
        <v>101.67</v>
      </c>
      <c r="AJ434" s="252"/>
      <c r="AK434" s="233"/>
      <c r="AL434" s="216"/>
      <c r="AM434" s="236">
        <v>0</v>
      </c>
      <c r="AN434" s="236">
        <v>0</v>
      </c>
      <c r="AO434" s="236">
        <v>0</v>
      </c>
      <c r="AP434" s="236">
        <v>0</v>
      </c>
      <c r="AQ434" s="236">
        <v>0</v>
      </c>
      <c r="AR434" s="236">
        <v>0</v>
      </c>
      <c r="AS434" s="236">
        <v>0</v>
      </c>
      <c r="AT434" s="236">
        <v>0</v>
      </c>
      <c r="AU434" s="236">
        <v>0</v>
      </c>
      <c r="AV434" s="231"/>
      <c r="AW434" s="236"/>
      <c r="AX434" s="242"/>
      <c r="AY434" s="242"/>
      <c r="AZ434" s="242"/>
      <c r="BA434" s="242"/>
      <c r="BB434" s="242"/>
      <c r="BC434" s="242"/>
      <c r="BD434" s="242"/>
      <c r="BE434" s="231"/>
      <c r="BF434" s="242"/>
      <c r="BG434" s="242"/>
      <c r="BH434" s="242"/>
      <c r="BI434" s="242"/>
      <c r="BJ434" s="242"/>
      <c r="BK434" s="242"/>
      <c r="BL434" s="242"/>
      <c r="BM434" s="242"/>
      <c r="BN434" s="242"/>
      <c r="BO434" s="231"/>
      <c r="BP434" s="231"/>
      <c r="BQ434" s="204">
        <v>885</v>
      </c>
      <c r="BR434" s="204">
        <v>335</v>
      </c>
      <c r="BS434" s="204">
        <v>125</v>
      </c>
      <c r="BT434" s="204">
        <v>510</v>
      </c>
      <c r="BU434" s="204">
        <v>1090</v>
      </c>
      <c r="BV434" s="204">
        <v>920</v>
      </c>
      <c r="BW434" s="204">
        <v>1090</v>
      </c>
      <c r="BX434" s="204">
        <v>715</v>
      </c>
      <c r="BY434" s="204">
        <v>1325</v>
      </c>
      <c r="BZ434" s="204">
        <v>210</v>
      </c>
      <c r="CA434" s="204">
        <v>305</v>
      </c>
      <c r="CB434" s="204">
        <v>545</v>
      </c>
      <c r="CC434" s="204">
        <v>1460</v>
      </c>
      <c r="CD434" s="204">
        <v>2040</v>
      </c>
      <c r="CE434" s="204">
        <v>3060</v>
      </c>
      <c r="CF434" s="204">
        <v>3195</v>
      </c>
      <c r="CG434" s="204">
        <v>1530</v>
      </c>
      <c r="CH434" s="204">
        <v>1020</v>
      </c>
      <c r="CI434" s="231"/>
    </row>
    <row r="435" spans="1:87" ht="25.2" customHeight="1" outlineLevel="1">
      <c r="A435" s="204">
        <v>411</v>
      </c>
      <c r="B435" s="207">
        <v>8037</v>
      </c>
      <c r="C435" s="208" t="s">
        <v>609</v>
      </c>
      <c r="D435" s="194" t="s">
        <v>468</v>
      </c>
      <c r="E435" s="209">
        <f t="shared" si="47"/>
        <v>44.7</v>
      </c>
      <c r="F435" s="216">
        <v>88.8</v>
      </c>
      <c r="G435" s="217">
        <v>4.5</v>
      </c>
      <c r="H435" s="218">
        <v>0.7</v>
      </c>
      <c r="I435" s="230">
        <f t="shared" si="48"/>
        <v>5.0999999999999899</v>
      </c>
      <c r="J435" s="216">
        <v>0</v>
      </c>
      <c r="K435" s="216">
        <v>0.9</v>
      </c>
      <c r="L435" s="233"/>
      <c r="M435" s="216">
        <v>144</v>
      </c>
      <c r="N435" s="216">
        <v>86</v>
      </c>
      <c r="O435" s="216">
        <v>1.6</v>
      </c>
      <c r="P435" s="216">
        <v>0</v>
      </c>
      <c r="Q435" s="216"/>
      <c r="R435" s="216">
        <v>0.12</v>
      </c>
      <c r="S435" s="216">
        <v>2.2999999999999998</v>
      </c>
      <c r="T435" s="231">
        <v>86</v>
      </c>
      <c r="U435" s="231">
        <v>54</v>
      </c>
      <c r="V435" s="231">
        <v>91</v>
      </c>
      <c r="W435" s="242"/>
      <c r="X435" s="232"/>
      <c r="Y435" s="231"/>
      <c r="Z435" s="231"/>
      <c r="AA435" s="241"/>
      <c r="AB435" s="241"/>
      <c r="AC435" s="240"/>
      <c r="AD435" s="240"/>
      <c r="AE435" s="233"/>
      <c r="AF435" s="233"/>
      <c r="AG435" s="240"/>
      <c r="AH435" s="240">
        <f t="shared" si="49"/>
        <v>0</v>
      </c>
      <c r="AI435" s="236">
        <f t="shared" si="50"/>
        <v>0</v>
      </c>
      <c r="AJ435" s="252"/>
      <c r="AK435" s="233"/>
      <c r="AL435" s="216"/>
      <c r="AM435" s="236">
        <v>0</v>
      </c>
      <c r="AN435" s="236">
        <v>0</v>
      </c>
      <c r="AO435" s="236">
        <v>0</v>
      </c>
      <c r="AP435" s="236">
        <v>0</v>
      </c>
      <c r="AQ435" s="236">
        <v>0</v>
      </c>
      <c r="AR435" s="236">
        <v>0</v>
      </c>
      <c r="AS435" s="236">
        <v>0</v>
      </c>
      <c r="AT435" s="236">
        <v>0</v>
      </c>
      <c r="AU435" s="236">
        <v>0</v>
      </c>
      <c r="AV435" s="231"/>
      <c r="AW435" s="236"/>
      <c r="AX435" s="242"/>
      <c r="AY435" s="242"/>
      <c r="AZ435" s="242"/>
      <c r="BA435" s="242"/>
      <c r="BB435" s="242"/>
      <c r="BC435" s="242"/>
      <c r="BD435" s="242"/>
      <c r="BE435" s="231"/>
      <c r="BF435" s="242"/>
      <c r="BG435" s="242"/>
      <c r="BH435" s="242"/>
      <c r="BI435" s="242"/>
      <c r="BJ435" s="242"/>
      <c r="BK435" s="242"/>
      <c r="BL435" s="242"/>
      <c r="BM435" s="242"/>
      <c r="BN435" s="242"/>
      <c r="BO435" s="231"/>
      <c r="BP435" s="231"/>
      <c r="BQ435" s="204">
        <v>330</v>
      </c>
      <c r="BR435" s="204">
        <v>108</v>
      </c>
      <c r="BS435" s="204">
        <v>42</v>
      </c>
      <c r="BT435" s="204">
        <v>194</v>
      </c>
      <c r="BU435" s="204">
        <v>165</v>
      </c>
      <c r="BV435" s="204">
        <v>151</v>
      </c>
      <c r="BW435" s="204">
        <v>309</v>
      </c>
      <c r="BX435" s="204">
        <v>194</v>
      </c>
      <c r="BY435" s="204">
        <v>467</v>
      </c>
      <c r="BZ435" s="204">
        <v>45</v>
      </c>
      <c r="CA435" s="204">
        <v>59</v>
      </c>
      <c r="CB435" s="204">
        <v>151</v>
      </c>
      <c r="CC435" s="204">
        <v>266</v>
      </c>
      <c r="CD435" s="204">
        <v>438</v>
      </c>
      <c r="CE435" s="204">
        <v>618</v>
      </c>
      <c r="CF435" s="204">
        <v>244</v>
      </c>
      <c r="CG435" s="204">
        <v>179</v>
      </c>
      <c r="CH435" s="204">
        <v>201</v>
      </c>
      <c r="CI435" s="231"/>
    </row>
    <row r="436" spans="1:87" ht="25.2" customHeight="1" outlineLevel="1">
      <c r="A436" s="204">
        <v>412</v>
      </c>
      <c r="B436" s="207">
        <v>8038</v>
      </c>
      <c r="C436" s="208" t="s">
        <v>610</v>
      </c>
      <c r="D436" s="194" t="s">
        <v>468</v>
      </c>
      <c r="E436" s="209">
        <f t="shared" si="47"/>
        <v>129.9</v>
      </c>
      <c r="F436" s="216">
        <v>68.3</v>
      </c>
      <c r="G436" s="217">
        <v>18.399999999999999</v>
      </c>
      <c r="H436" s="218">
        <v>1.5</v>
      </c>
      <c r="I436" s="230">
        <f t="shared" si="48"/>
        <v>10.7</v>
      </c>
      <c r="J436" s="216">
        <v>0</v>
      </c>
      <c r="K436" s="216">
        <v>1.1000000000000001</v>
      </c>
      <c r="L436" s="233"/>
      <c r="M436" s="216">
        <v>35</v>
      </c>
      <c r="N436" s="216">
        <v>164</v>
      </c>
      <c r="O436" s="216">
        <v>1</v>
      </c>
      <c r="P436" s="216">
        <v>0</v>
      </c>
      <c r="Q436" s="216">
        <v>0.15</v>
      </c>
      <c r="R436" s="216">
        <v>0.31</v>
      </c>
      <c r="S436" s="216">
        <v>3.8</v>
      </c>
      <c r="T436" s="231">
        <v>51</v>
      </c>
      <c r="U436" s="231">
        <v>272</v>
      </c>
      <c r="V436" s="231">
        <v>20</v>
      </c>
      <c r="W436" s="242">
        <v>3.5000000000000003E-2</v>
      </c>
      <c r="X436" s="232">
        <v>1.62</v>
      </c>
      <c r="Y436" s="231">
        <v>23</v>
      </c>
      <c r="Z436" s="231">
        <v>6.5</v>
      </c>
      <c r="AA436" s="241">
        <v>0.24</v>
      </c>
      <c r="AB436" s="241">
        <v>6.7000000000000004E-2</v>
      </c>
      <c r="AC436" s="240">
        <v>15</v>
      </c>
      <c r="AD436" s="240">
        <v>0</v>
      </c>
      <c r="AE436" s="233"/>
      <c r="AF436" s="233">
        <v>3</v>
      </c>
      <c r="AG436" s="240">
        <v>1800</v>
      </c>
      <c r="AH436" s="240">
        <f t="shared" si="49"/>
        <v>5994</v>
      </c>
      <c r="AI436" s="236">
        <f t="shared" si="50"/>
        <v>1800</v>
      </c>
      <c r="AJ436" s="275">
        <f>932/40</f>
        <v>23.3</v>
      </c>
      <c r="AK436" s="233">
        <v>4</v>
      </c>
      <c r="AL436" s="216">
        <v>0</v>
      </c>
      <c r="AM436" s="236">
        <v>0</v>
      </c>
      <c r="AN436" s="236">
        <v>0</v>
      </c>
      <c r="AO436" s="236">
        <v>0</v>
      </c>
      <c r="AP436" s="236">
        <v>0</v>
      </c>
      <c r="AQ436" s="236">
        <v>0</v>
      </c>
      <c r="AR436" s="236">
        <v>0</v>
      </c>
      <c r="AS436" s="236">
        <v>0</v>
      </c>
      <c r="AT436" s="236">
        <v>0</v>
      </c>
      <c r="AU436" s="236">
        <v>0</v>
      </c>
      <c r="AV436" s="231"/>
      <c r="AW436" s="236">
        <v>2.3580000000000001</v>
      </c>
      <c r="AX436" s="242">
        <v>1.585</v>
      </c>
      <c r="AY436" s="242">
        <v>0</v>
      </c>
      <c r="AZ436" s="242">
        <v>0.191</v>
      </c>
      <c r="BA436" s="242">
        <v>0</v>
      </c>
      <c r="BB436" s="242">
        <v>0</v>
      </c>
      <c r="BC436" s="242">
        <v>0</v>
      </c>
      <c r="BD436" s="242">
        <v>7.19</v>
      </c>
      <c r="BE436" s="231">
        <v>0</v>
      </c>
      <c r="BF436" s="242">
        <v>1.2549999999999999</v>
      </c>
      <c r="BG436" s="242">
        <v>2.7719999999999998</v>
      </c>
      <c r="BH436" s="242">
        <v>0.94699999999999995</v>
      </c>
      <c r="BI436" s="242">
        <v>0.19600000000000001</v>
      </c>
      <c r="BJ436" s="242">
        <v>0.432</v>
      </c>
      <c r="BK436" s="242">
        <v>9.5000000000000001E-2</v>
      </c>
      <c r="BL436" s="242">
        <v>8.4000000000000005E-2</v>
      </c>
      <c r="BM436" s="242">
        <v>6.3E-2</v>
      </c>
      <c r="BN436" s="242"/>
      <c r="BO436" s="231">
        <v>126</v>
      </c>
      <c r="BP436" s="231"/>
      <c r="BQ436" s="204">
        <v>1040</v>
      </c>
      <c r="BR436" s="204">
        <v>700</v>
      </c>
      <c r="BS436" s="204">
        <v>30</v>
      </c>
      <c r="BT436" s="204">
        <v>1260</v>
      </c>
      <c r="BU436" s="204">
        <v>1340</v>
      </c>
      <c r="BV436" s="204">
        <v>1140</v>
      </c>
      <c r="BW436" s="204">
        <v>1320</v>
      </c>
      <c r="BX436" s="204">
        <v>1360</v>
      </c>
      <c r="BY436" s="204">
        <v>1190</v>
      </c>
      <c r="BZ436" s="204">
        <v>495</v>
      </c>
      <c r="CA436" s="204">
        <v>158</v>
      </c>
      <c r="CB436" s="204">
        <v>672</v>
      </c>
      <c r="CC436" s="204">
        <v>922</v>
      </c>
      <c r="CD436" s="204">
        <v>170</v>
      </c>
      <c r="CE436" s="204">
        <v>2840</v>
      </c>
      <c r="CF436" s="204">
        <v>815</v>
      </c>
      <c r="CG436" s="204">
        <v>658</v>
      </c>
      <c r="CH436" s="204">
        <v>957</v>
      </c>
      <c r="CI436" s="231"/>
    </row>
    <row r="437" spans="1:87" ht="25.2" customHeight="1" outlineLevel="1">
      <c r="A437" s="204">
        <v>413</v>
      </c>
      <c r="B437" s="207">
        <v>8039</v>
      </c>
      <c r="C437" s="208" t="s">
        <v>611</v>
      </c>
      <c r="D437" s="194" t="s">
        <v>468</v>
      </c>
      <c r="E437" s="209">
        <f t="shared" si="47"/>
        <v>290.89999999999998</v>
      </c>
      <c r="F437" s="216">
        <v>26.2</v>
      </c>
      <c r="G437" s="217">
        <v>60.1</v>
      </c>
      <c r="H437" s="218">
        <v>4.5</v>
      </c>
      <c r="I437" s="230">
        <f t="shared" si="48"/>
        <v>2.5</v>
      </c>
      <c r="J437" s="216">
        <v>0</v>
      </c>
      <c r="K437" s="216">
        <v>6.7</v>
      </c>
      <c r="L437" s="233"/>
      <c r="M437" s="216">
        <v>27</v>
      </c>
      <c r="N437" s="216">
        <v>287</v>
      </c>
      <c r="O437" s="216">
        <v>5.6</v>
      </c>
      <c r="P437" s="216">
        <v>0</v>
      </c>
      <c r="Q437" s="216">
        <v>0.13</v>
      </c>
      <c r="R437" s="216">
        <v>0.17</v>
      </c>
      <c r="S437" s="216">
        <v>6.8</v>
      </c>
      <c r="T437" s="231">
        <v>445</v>
      </c>
      <c r="U437" s="231">
        <v>1368</v>
      </c>
      <c r="V437" s="231">
        <v>269</v>
      </c>
      <c r="W437" s="242"/>
      <c r="X437" s="232"/>
      <c r="Y437" s="231"/>
      <c r="Z437" s="231"/>
      <c r="AA437" s="241"/>
      <c r="AB437" s="241"/>
      <c r="AC437" s="240"/>
      <c r="AD437" s="240"/>
      <c r="AE437" s="233"/>
      <c r="AF437" s="233"/>
      <c r="AG437" s="240"/>
      <c r="AH437" s="240">
        <f t="shared" si="49"/>
        <v>0</v>
      </c>
      <c r="AI437" s="236">
        <f t="shared" si="50"/>
        <v>0</v>
      </c>
      <c r="AJ437" s="252"/>
      <c r="AK437" s="233"/>
      <c r="AL437" s="216"/>
      <c r="AM437" s="236">
        <v>0</v>
      </c>
      <c r="AN437" s="236">
        <v>0</v>
      </c>
      <c r="AO437" s="236">
        <v>0</v>
      </c>
      <c r="AP437" s="236">
        <v>0</v>
      </c>
      <c r="AQ437" s="236">
        <v>0</v>
      </c>
      <c r="AR437" s="236">
        <v>0</v>
      </c>
      <c r="AS437" s="236">
        <v>0</v>
      </c>
      <c r="AT437" s="236">
        <v>0</v>
      </c>
      <c r="AU437" s="236">
        <v>0</v>
      </c>
      <c r="AV437" s="231"/>
      <c r="AW437" s="236"/>
      <c r="AX437" s="242"/>
      <c r="AY437" s="242"/>
      <c r="AZ437" s="242"/>
      <c r="BA437" s="242"/>
      <c r="BB437" s="242"/>
      <c r="BC437" s="242"/>
      <c r="BD437" s="242"/>
      <c r="BE437" s="231"/>
      <c r="BF437" s="242"/>
      <c r="BG437" s="242"/>
      <c r="BH437" s="242"/>
      <c r="BI437" s="242"/>
      <c r="BJ437" s="242"/>
      <c r="BK437" s="242"/>
      <c r="BL437" s="242"/>
      <c r="BM437" s="242"/>
      <c r="BN437" s="242"/>
      <c r="BO437" s="231"/>
      <c r="BP437" s="231"/>
      <c r="BQ437" s="231"/>
      <c r="BR437" s="231"/>
      <c r="BS437" s="231"/>
      <c r="BT437" s="231"/>
      <c r="BU437" s="231"/>
      <c r="BV437" s="231"/>
      <c r="BW437" s="231"/>
      <c r="BX437" s="231"/>
      <c r="BY437" s="231"/>
      <c r="BZ437" s="231"/>
      <c r="CA437" s="231"/>
      <c r="CB437" s="231"/>
      <c r="CC437" s="231"/>
      <c r="CD437" s="231"/>
      <c r="CE437" s="231"/>
      <c r="CF437" s="231"/>
      <c r="CG437" s="231"/>
      <c r="CH437" s="231"/>
      <c r="CI437" s="231"/>
    </row>
    <row r="438" spans="1:87" ht="25.2" customHeight="1" outlineLevel="1">
      <c r="A438" s="204">
        <v>414</v>
      </c>
      <c r="B438" s="207">
        <v>8040</v>
      </c>
      <c r="C438" s="208" t="s">
        <v>612</v>
      </c>
      <c r="D438" s="194" t="s">
        <v>468</v>
      </c>
      <c r="E438" s="209">
        <f t="shared" si="47"/>
        <v>73.3</v>
      </c>
      <c r="F438" s="216">
        <v>81.400000000000006</v>
      </c>
      <c r="G438" s="217">
        <v>16.3</v>
      </c>
      <c r="H438" s="218">
        <v>0.9</v>
      </c>
      <c r="I438" s="230">
        <f t="shared" si="48"/>
        <v>0</v>
      </c>
      <c r="J438" s="216">
        <v>0</v>
      </c>
      <c r="K438" s="216">
        <v>1.4</v>
      </c>
      <c r="L438" s="233"/>
      <c r="M438" s="216">
        <v>14</v>
      </c>
      <c r="N438" s="216">
        <v>150</v>
      </c>
      <c r="O438" s="216">
        <v>0.6</v>
      </c>
      <c r="P438" s="216">
        <v>4.7</v>
      </c>
      <c r="Q438" s="216">
        <v>0.01</v>
      </c>
      <c r="R438" s="216">
        <v>0.06</v>
      </c>
      <c r="S438" s="216">
        <v>1</v>
      </c>
      <c r="T438" s="240">
        <v>44</v>
      </c>
      <c r="U438" s="240">
        <v>273</v>
      </c>
      <c r="V438" s="240">
        <v>33</v>
      </c>
      <c r="W438" s="241">
        <v>3.5000000000000003E-2</v>
      </c>
      <c r="X438" s="233">
        <v>0.7</v>
      </c>
      <c r="Y438" s="240">
        <v>1891</v>
      </c>
      <c r="Z438" s="216">
        <v>44.8</v>
      </c>
      <c r="AA438" s="241">
        <v>0.5</v>
      </c>
      <c r="AB438" s="241">
        <v>5.6000000000000001E-2</v>
      </c>
      <c r="AC438" s="240">
        <v>5</v>
      </c>
      <c r="AD438" s="240">
        <v>0</v>
      </c>
      <c r="AE438" s="233"/>
      <c r="AF438" s="233">
        <v>1.3</v>
      </c>
      <c r="AG438" s="240">
        <v>10</v>
      </c>
      <c r="AH438" s="240">
        <f t="shared" si="49"/>
        <v>33.299999999999997</v>
      </c>
      <c r="AI438" s="236">
        <f t="shared" si="50"/>
        <v>10</v>
      </c>
      <c r="AJ438" s="252">
        <v>0</v>
      </c>
      <c r="AK438" s="233">
        <v>1.2</v>
      </c>
      <c r="AL438" s="216">
        <v>0</v>
      </c>
      <c r="AM438" s="236">
        <v>0</v>
      </c>
      <c r="AN438" s="236">
        <v>0</v>
      </c>
      <c r="AO438" s="236">
        <v>0</v>
      </c>
      <c r="AP438" s="236">
        <v>0</v>
      </c>
      <c r="AQ438" s="236">
        <v>0</v>
      </c>
      <c r="AR438" s="236">
        <v>0</v>
      </c>
      <c r="AS438" s="236">
        <v>0</v>
      </c>
      <c r="AT438" s="236">
        <v>0</v>
      </c>
      <c r="AU438" s="236">
        <v>0</v>
      </c>
      <c r="AV438" s="231"/>
      <c r="AW438" s="236">
        <v>0.35799999999999998</v>
      </c>
      <c r="AX438" s="242">
        <v>0.26300000000000001</v>
      </c>
      <c r="AY438" s="242">
        <v>0</v>
      </c>
      <c r="AZ438" s="242">
        <v>5.8000000000000003E-2</v>
      </c>
      <c r="BA438" s="242">
        <v>0</v>
      </c>
      <c r="BB438" s="242">
        <v>0</v>
      </c>
      <c r="BC438" s="242">
        <v>0</v>
      </c>
      <c r="BD438" s="242">
        <v>0.107</v>
      </c>
      <c r="BE438" s="231">
        <v>0</v>
      </c>
      <c r="BF438" s="242">
        <v>8.0000000000000002E-3</v>
      </c>
      <c r="BG438" s="242">
        <v>4.5999999999999999E-2</v>
      </c>
      <c r="BH438" s="242">
        <v>0.52400000000000002</v>
      </c>
      <c r="BI438" s="242">
        <v>2E-3</v>
      </c>
      <c r="BJ438" s="242">
        <v>4.0000000000000001E-3</v>
      </c>
      <c r="BK438" s="242">
        <v>8.9999999999999993E-3</v>
      </c>
      <c r="BL438" s="242">
        <v>0.14599999999999999</v>
      </c>
      <c r="BM438" s="242">
        <v>0.34200000000000003</v>
      </c>
      <c r="BN438" s="242"/>
      <c r="BO438" s="231">
        <v>233</v>
      </c>
      <c r="BP438" s="231"/>
      <c r="BQ438" s="204">
        <v>1164</v>
      </c>
      <c r="BR438" s="204">
        <v>351</v>
      </c>
      <c r="BS438" s="204">
        <v>174</v>
      </c>
      <c r="BT438" s="204">
        <v>558</v>
      </c>
      <c r="BU438" s="204">
        <v>670</v>
      </c>
      <c r="BV438" s="204">
        <v>680</v>
      </c>
      <c r="BW438" s="204">
        <v>1096</v>
      </c>
      <c r="BX438" s="204">
        <v>678</v>
      </c>
      <c r="BY438" s="204">
        <v>1136</v>
      </c>
      <c r="BZ438" s="204">
        <v>299</v>
      </c>
      <c r="CA438" s="204">
        <v>204</v>
      </c>
      <c r="CB438" s="204">
        <v>498</v>
      </c>
      <c r="CC438" s="204">
        <v>942</v>
      </c>
      <c r="CD438" s="204">
        <v>1503</v>
      </c>
      <c r="CE438" s="204">
        <v>2118</v>
      </c>
      <c r="CF438" s="204">
        <v>974</v>
      </c>
      <c r="CG438" s="204">
        <v>635</v>
      </c>
      <c r="CH438" s="204">
        <v>698</v>
      </c>
      <c r="CI438" s="231"/>
    </row>
    <row r="439" spans="1:87" ht="25.2" customHeight="1" outlineLevel="1">
      <c r="A439" s="204">
        <v>415</v>
      </c>
      <c r="B439" s="207">
        <v>8041</v>
      </c>
      <c r="C439" s="208" t="s">
        <v>613</v>
      </c>
      <c r="D439" s="194" t="s">
        <v>468</v>
      </c>
      <c r="E439" s="209">
        <f t="shared" si="47"/>
        <v>83.9</v>
      </c>
      <c r="F439" s="216">
        <v>76.8</v>
      </c>
      <c r="G439" s="217">
        <v>11.1</v>
      </c>
      <c r="H439" s="218">
        <v>0.7</v>
      </c>
      <c r="I439" s="230">
        <f t="shared" si="48"/>
        <v>8.3000000000000096</v>
      </c>
      <c r="J439" s="216">
        <v>0</v>
      </c>
      <c r="K439" s="216">
        <v>3.1</v>
      </c>
      <c r="L439" s="233"/>
      <c r="M439" s="233">
        <v>1310</v>
      </c>
      <c r="N439" s="233">
        <v>64</v>
      </c>
      <c r="O439" s="233"/>
      <c r="P439" s="233">
        <v>0</v>
      </c>
      <c r="Q439" s="233"/>
      <c r="R439" s="233"/>
      <c r="S439" s="233"/>
      <c r="T439" s="231"/>
      <c r="U439" s="231"/>
      <c r="V439" s="231"/>
      <c r="W439" s="242"/>
      <c r="X439" s="232"/>
      <c r="Y439" s="231"/>
      <c r="Z439" s="231"/>
      <c r="AA439" s="241"/>
      <c r="AB439" s="241"/>
      <c r="AC439" s="240"/>
      <c r="AD439" s="240"/>
      <c r="AE439" s="233"/>
      <c r="AF439" s="233"/>
      <c r="AG439" s="240"/>
      <c r="AH439" s="240">
        <f t="shared" si="49"/>
        <v>0</v>
      </c>
      <c r="AI439" s="236">
        <f t="shared" si="50"/>
        <v>0</v>
      </c>
      <c r="AJ439" s="252"/>
      <c r="AK439" s="233"/>
      <c r="AL439" s="216"/>
      <c r="AM439" s="236">
        <v>0</v>
      </c>
      <c r="AN439" s="236">
        <v>0</v>
      </c>
      <c r="AO439" s="236">
        <v>0</v>
      </c>
      <c r="AP439" s="236">
        <v>0</v>
      </c>
      <c r="AQ439" s="236">
        <v>0</v>
      </c>
      <c r="AR439" s="236">
        <v>0</v>
      </c>
      <c r="AS439" s="236">
        <v>0</v>
      </c>
      <c r="AT439" s="236">
        <v>0</v>
      </c>
      <c r="AU439" s="236">
        <v>0</v>
      </c>
      <c r="AV439" s="231"/>
      <c r="AW439" s="236"/>
      <c r="AX439" s="242"/>
      <c r="AY439" s="242"/>
      <c r="AZ439" s="242"/>
      <c r="BA439" s="242"/>
      <c r="BB439" s="242"/>
      <c r="BC439" s="242"/>
      <c r="BD439" s="242"/>
      <c r="BE439" s="231"/>
      <c r="BF439" s="242"/>
      <c r="BG439" s="242"/>
      <c r="BH439" s="242"/>
      <c r="BI439" s="242"/>
      <c r="BJ439" s="242"/>
      <c r="BK439" s="242"/>
      <c r="BL439" s="242"/>
      <c r="BM439" s="242"/>
      <c r="BN439" s="242"/>
      <c r="BO439" s="231"/>
      <c r="BP439" s="231"/>
      <c r="BQ439" s="231"/>
      <c r="BR439" s="231"/>
      <c r="BS439" s="231"/>
      <c r="BT439" s="231"/>
      <c r="BU439" s="231"/>
      <c r="BV439" s="231"/>
      <c r="BW439" s="231"/>
      <c r="BX439" s="231"/>
      <c r="BY439" s="231"/>
      <c r="BZ439" s="231"/>
      <c r="CA439" s="231"/>
      <c r="CB439" s="231"/>
      <c r="CC439" s="231"/>
      <c r="CD439" s="231"/>
      <c r="CE439" s="231"/>
      <c r="CF439" s="231"/>
      <c r="CG439" s="231"/>
      <c r="CH439" s="231"/>
      <c r="CI439" s="231"/>
    </row>
    <row r="440" spans="1:87" ht="25.2" customHeight="1" outlineLevel="1">
      <c r="A440" s="204">
        <v>416</v>
      </c>
      <c r="B440" s="207">
        <v>8042</v>
      </c>
      <c r="C440" s="208" t="s">
        <v>614</v>
      </c>
      <c r="D440" s="194" t="s">
        <v>468</v>
      </c>
      <c r="E440" s="209">
        <f t="shared" si="47"/>
        <v>63.1</v>
      </c>
      <c r="F440" s="216">
        <v>80.3</v>
      </c>
      <c r="G440" s="217">
        <v>11.2</v>
      </c>
      <c r="H440" s="218">
        <v>0.3</v>
      </c>
      <c r="I440" s="230">
        <f t="shared" si="48"/>
        <v>3.9000000000000101</v>
      </c>
      <c r="J440" s="216">
        <v>0</v>
      </c>
      <c r="K440" s="216">
        <v>4.3</v>
      </c>
      <c r="L440" s="233"/>
      <c r="M440" s="233">
        <v>1660</v>
      </c>
      <c r="N440" s="233">
        <v>83</v>
      </c>
      <c r="O440" s="233"/>
      <c r="P440" s="233">
        <v>0</v>
      </c>
      <c r="Q440" s="233"/>
      <c r="R440" s="233"/>
      <c r="S440" s="233"/>
      <c r="T440" s="231"/>
      <c r="U440" s="231"/>
      <c r="V440" s="231"/>
      <c r="W440" s="242"/>
      <c r="X440" s="232"/>
      <c r="Y440" s="231"/>
      <c r="Z440" s="231"/>
      <c r="AA440" s="241"/>
      <c r="AB440" s="241"/>
      <c r="AC440" s="240"/>
      <c r="AD440" s="240"/>
      <c r="AE440" s="233"/>
      <c r="AF440" s="233"/>
      <c r="AG440" s="240"/>
      <c r="AH440" s="240">
        <f t="shared" si="49"/>
        <v>0</v>
      </c>
      <c r="AI440" s="236">
        <f t="shared" si="50"/>
        <v>0</v>
      </c>
      <c r="AJ440" s="252"/>
      <c r="AK440" s="233"/>
      <c r="AL440" s="216"/>
      <c r="AM440" s="236">
        <v>0</v>
      </c>
      <c r="AN440" s="236">
        <v>0</v>
      </c>
      <c r="AO440" s="236">
        <v>0</v>
      </c>
      <c r="AP440" s="236">
        <v>0</v>
      </c>
      <c r="AQ440" s="236">
        <v>0</v>
      </c>
      <c r="AR440" s="236">
        <v>0</v>
      </c>
      <c r="AS440" s="236">
        <v>0</v>
      </c>
      <c r="AT440" s="236">
        <v>0</v>
      </c>
      <c r="AU440" s="236">
        <v>0</v>
      </c>
      <c r="AV440" s="231"/>
      <c r="AW440" s="236"/>
      <c r="AX440" s="242"/>
      <c r="AY440" s="242"/>
      <c r="AZ440" s="242"/>
      <c r="BA440" s="242"/>
      <c r="BB440" s="242"/>
      <c r="BC440" s="242"/>
      <c r="BD440" s="242"/>
      <c r="BE440" s="231"/>
      <c r="BF440" s="242"/>
      <c r="BG440" s="242"/>
      <c r="BH440" s="242"/>
      <c r="BI440" s="242"/>
      <c r="BJ440" s="242"/>
      <c r="BK440" s="242"/>
      <c r="BL440" s="242"/>
      <c r="BM440" s="242"/>
      <c r="BN440" s="242"/>
      <c r="BO440" s="231"/>
      <c r="BP440" s="231"/>
      <c r="BQ440" s="231"/>
      <c r="BR440" s="231"/>
      <c r="BS440" s="231"/>
      <c r="BT440" s="231"/>
      <c r="BU440" s="231"/>
      <c r="BV440" s="231"/>
      <c r="BW440" s="231"/>
      <c r="BX440" s="231"/>
      <c r="BY440" s="231"/>
      <c r="BZ440" s="231"/>
      <c r="CA440" s="231"/>
      <c r="CB440" s="231"/>
      <c r="CC440" s="231"/>
      <c r="CD440" s="231"/>
      <c r="CE440" s="231"/>
      <c r="CF440" s="231"/>
      <c r="CG440" s="231"/>
      <c r="CH440" s="231"/>
      <c r="CI440" s="231"/>
    </row>
    <row r="441" spans="1:87" ht="25.2" customHeight="1" outlineLevel="1">
      <c r="A441" s="204">
        <v>417</v>
      </c>
      <c r="B441" s="207">
        <v>8043</v>
      </c>
      <c r="C441" s="208" t="s">
        <v>615</v>
      </c>
      <c r="D441" s="194" t="s">
        <v>468</v>
      </c>
      <c r="E441" s="209">
        <f t="shared" si="47"/>
        <v>84.3</v>
      </c>
      <c r="F441" s="216">
        <v>77.599999999999994</v>
      </c>
      <c r="G441" s="217">
        <v>11.9</v>
      </c>
      <c r="H441" s="218">
        <v>0.7</v>
      </c>
      <c r="I441" s="230">
        <f t="shared" si="48"/>
        <v>7.5999999999999899</v>
      </c>
      <c r="J441" s="216">
        <v>0</v>
      </c>
      <c r="K441" s="216">
        <v>2.2000000000000002</v>
      </c>
      <c r="L441" s="233"/>
      <c r="M441" s="216">
        <v>11</v>
      </c>
      <c r="N441" s="216">
        <v>191</v>
      </c>
      <c r="O441" s="216"/>
      <c r="P441" s="216">
        <v>0</v>
      </c>
      <c r="Q441" s="216">
        <v>0.05</v>
      </c>
      <c r="R441" s="216">
        <v>0.17</v>
      </c>
      <c r="S441" s="216">
        <v>2.2000000000000002</v>
      </c>
      <c r="T441" s="231"/>
      <c r="U441" s="231"/>
      <c r="V441" s="231"/>
      <c r="W441" s="242"/>
      <c r="X441" s="232">
        <v>1.1000000000000001</v>
      </c>
      <c r="Y441" s="231"/>
      <c r="Z441" s="231"/>
      <c r="AA441" s="241"/>
      <c r="AB441" s="241"/>
      <c r="AC441" s="240"/>
      <c r="AD441" s="240"/>
      <c r="AE441" s="233"/>
      <c r="AF441" s="233">
        <v>0.5</v>
      </c>
      <c r="AG441" s="240"/>
      <c r="AH441" s="240">
        <f t="shared" si="49"/>
        <v>0</v>
      </c>
      <c r="AI441" s="236">
        <f t="shared" si="50"/>
        <v>0</v>
      </c>
      <c r="AJ441" s="252"/>
      <c r="AK441" s="233"/>
      <c r="AL441" s="216"/>
      <c r="AM441" s="236">
        <v>0</v>
      </c>
      <c r="AN441" s="236">
        <v>0</v>
      </c>
      <c r="AO441" s="236">
        <v>0</v>
      </c>
      <c r="AP441" s="236">
        <v>0</v>
      </c>
      <c r="AQ441" s="236">
        <v>0</v>
      </c>
      <c r="AR441" s="236">
        <v>0</v>
      </c>
      <c r="AS441" s="236">
        <v>0</v>
      </c>
      <c r="AT441" s="236">
        <v>0</v>
      </c>
      <c r="AU441" s="236">
        <v>0</v>
      </c>
      <c r="AV441" s="231"/>
      <c r="AW441" s="236"/>
      <c r="AX441" s="242"/>
      <c r="AY441" s="242"/>
      <c r="AZ441" s="242"/>
      <c r="BA441" s="242"/>
      <c r="BB441" s="242"/>
      <c r="BC441" s="242"/>
      <c r="BD441" s="242"/>
      <c r="BE441" s="231"/>
      <c r="BF441" s="242"/>
      <c r="BG441" s="242"/>
      <c r="BH441" s="242"/>
      <c r="BI441" s="242"/>
      <c r="BJ441" s="242"/>
      <c r="BK441" s="242"/>
      <c r="BL441" s="242"/>
      <c r="BM441" s="242"/>
      <c r="BN441" s="242"/>
      <c r="BO441" s="231"/>
      <c r="BP441" s="231"/>
      <c r="BQ441" s="231"/>
      <c r="BR441" s="231"/>
      <c r="BS441" s="231"/>
      <c r="BT441" s="231"/>
      <c r="BU441" s="231"/>
      <c r="BV441" s="231"/>
      <c r="BW441" s="231"/>
      <c r="BX441" s="231"/>
      <c r="BY441" s="231"/>
      <c r="BZ441" s="231"/>
      <c r="CA441" s="231"/>
      <c r="CB441" s="231"/>
      <c r="CC441" s="231"/>
      <c r="CD441" s="231"/>
      <c r="CE441" s="231"/>
      <c r="CF441" s="231"/>
      <c r="CG441" s="231"/>
      <c r="CH441" s="231"/>
      <c r="CI441" s="231"/>
    </row>
    <row r="442" spans="1:87" ht="25.2" customHeight="1" outlineLevel="1">
      <c r="A442" s="204">
        <v>418</v>
      </c>
      <c r="B442" s="207">
        <v>8044</v>
      </c>
      <c r="C442" s="208" t="s">
        <v>616</v>
      </c>
      <c r="D442" s="194" t="s">
        <v>468</v>
      </c>
      <c r="E442" s="209">
        <f t="shared" si="47"/>
        <v>72.3</v>
      </c>
      <c r="F442" s="216">
        <v>79.099999999999994</v>
      </c>
      <c r="G442" s="217">
        <v>12.2</v>
      </c>
      <c r="H442" s="218">
        <v>0.7</v>
      </c>
      <c r="I442" s="230">
        <f t="shared" si="48"/>
        <v>4.3</v>
      </c>
      <c r="J442" s="216">
        <v>0</v>
      </c>
      <c r="K442" s="216">
        <v>3.7</v>
      </c>
      <c r="L442" s="233"/>
      <c r="M442" s="233">
        <v>10</v>
      </c>
      <c r="N442" s="233">
        <v>51</v>
      </c>
      <c r="O442" s="233"/>
      <c r="P442" s="233">
        <v>0</v>
      </c>
      <c r="Q442" s="233"/>
      <c r="R442" s="233"/>
      <c r="S442" s="233"/>
      <c r="T442" s="231"/>
      <c r="U442" s="231"/>
      <c r="V442" s="231"/>
      <c r="W442" s="242"/>
      <c r="X442" s="232">
        <v>1</v>
      </c>
      <c r="Y442" s="231"/>
      <c r="Z442" s="231"/>
      <c r="AA442" s="241"/>
      <c r="AB442" s="241"/>
      <c r="AC442" s="240"/>
      <c r="AD442" s="240"/>
      <c r="AE442" s="233"/>
      <c r="AF442" s="233">
        <v>0.5</v>
      </c>
      <c r="AG442" s="240"/>
      <c r="AH442" s="240">
        <f t="shared" si="49"/>
        <v>0</v>
      </c>
      <c r="AI442" s="236">
        <f t="shared" si="50"/>
        <v>0</v>
      </c>
      <c r="AJ442" s="252"/>
      <c r="AK442" s="233"/>
      <c r="AL442" s="216"/>
      <c r="AM442" s="236">
        <v>0</v>
      </c>
      <c r="AN442" s="236">
        <v>0</v>
      </c>
      <c r="AO442" s="236">
        <v>0</v>
      </c>
      <c r="AP442" s="236">
        <v>0</v>
      </c>
      <c r="AQ442" s="236">
        <v>0</v>
      </c>
      <c r="AR442" s="236">
        <v>0</v>
      </c>
      <c r="AS442" s="236">
        <v>0</v>
      </c>
      <c r="AT442" s="236">
        <v>0</v>
      </c>
      <c r="AU442" s="236">
        <v>0</v>
      </c>
      <c r="AV442" s="231"/>
      <c r="AW442" s="236"/>
      <c r="AX442" s="242"/>
      <c r="AY442" s="242"/>
      <c r="AZ442" s="242"/>
      <c r="BA442" s="242"/>
      <c r="BB442" s="242"/>
      <c r="BC442" s="242"/>
      <c r="BD442" s="242"/>
      <c r="BE442" s="231"/>
      <c r="BF442" s="242"/>
      <c r="BG442" s="242"/>
      <c r="BH442" s="242"/>
      <c r="BI442" s="242"/>
      <c r="BJ442" s="242"/>
      <c r="BK442" s="242"/>
      <c r="BL442" s="242"/>
      <c r="BM442" s="242"/>
      <c r="BN442" s="242"/>
      <c r="BO442" s="231"/>
      <c r="BP442" s="231"/>
      <c r="BQ442" s="231"/>
      <c r="BR442" s="231"/>
      <c r="BS442" s="231"/>
      <c r="BT442" s="231"/>
      <c r="BU442" s="231"/>
      <c r="BV442" s="231"/>
      <c r="BW442" s="231"/>
      <c r="BX442" s="231"/>
      <c r="BY442" s="231"/>
      <c r="BZ442" s="231"/>
      <c r="CA442" s="231"/>
      <c r="CB442" s="231"/>
      <c r="CC442" s="231"/>
      <c r="CD442" s="231"/>
      <c r="CE442" s="231"/>
      <c r="CF442" s="231"/>
      <c r="CG442" s="231"/>
      <c r="CH442" s="231"/>
      <c r="CI442" s="231"/>
    </row>
    <row r="443" spans="1:87" ht="25.2" customHeight="1" outlineLevel="1">
      <c r="A443" s="204">
        <v>419</v>
      </c>
      <c r="B443" s="207">
        <v>8045</v>
      </c>
      <c r="C443" s="208" t="s">
        <v>617</v>
      </c>
      <c r="D443" s="194" t="s">
        <v>468</v>
      </c>
      <c r="E443" s="209">
        <f t="shared" si="47"/>
        <v>82.9</v>
      </c>
      <c r="F443" s="216">
        <v>64.400000000000006</v>
      </c>
      <c r="G443" s="217">
        <v>14.2</v>
      </c>
      <c r="H443" s="218">
        <v>2.9</v>
      </c>
      <c r="I443" s="230">
        <f t="shared" si="48"/>
        <v>0</v>
      </c>
      <c r="J443" s="216">
        <v>0</v>
      </c>
      <c r="K443" s="216">
        <v>18.5</v>
      </c>
      <c r="L443" s="233">
        <v>0</v>
      </c>
      <c r="M443" s="233">
        <v>4820</v>
      </c>
      <c r="N443" s="233">
        <v>330</v>
      </c>
      <c r="O443" s="233"/>
      <c r="P443" s="233">
        <v>0</v>
      </c>
      <c r="Q443" s="233"/>
      <c r="R443" s="233"/>
      <c r="S443" s="233"/>
      <c r="T443" s="231"/>
      <c r="U443" s="231"/>
      <c r="V443" s="231"/>
      <c r="W443" s="242"/>
      <c r="X443" s="232"/>
      <c r="Y443" s="231"/>
      <c r="Z443" s="231"/>
      <c r="AA443" s="241"/>
      <c r="AB443" s="241"/>
      <c r="AC443" s="240"/>
      <c r="AD443" s="240"/>
      <c r="AE443" s="233"/>
      <c r="AF443" s="233"/>
      <c r="AG443" s="240"/>
      <c r="AH443" s="240">
        <f t="shared" si="49"/>
        <v>0</v>
      </c>
      <c r="AI443" s="236">
        <f t="shared" si="50"/>
        <v>0</v>
      </c>
      <c r="AJ443" s="252"/>
      <c r="AK443" s="233"/>
      <c r="AL443" s="216"/>
      <c r="AM443" s="236">
        <v>0</v>
      </c>
      <c r="AN443" s="236">
        <v>0</v>
      </c>
      <c r="AO443" s="236">
        <v>0</v>
      </c>
      <c r="AP443" s="236">
        <v>0</v>
      </c>
      <c r="AQ443" s="236">
        <v>0</v>
      </c>
      <c r="AR443" s="236">
        <v>0</v>
      </c>
      <c r="AS443" s="236">
        <v>0</v>
      </c>
      <c r="AT443" s="236">
        <v>0</v>
      </c>
      <c r="AU443" s="236">
        <v>0</v>
      </c>
      <c r="AV443" s="231"/>
      <c r="AW443" s="236"/>
      <c r="AX443" s="242"/>
      <c r="AY443" s="242"/>
      <c r="AZ443" s="242"/>
      <c r="BA443" s="242"/>
      <c r="BB443" s="242"/>
      <c r="BC443" s="242"/>
      <c r="BD443" s="242"/>
      <c r="BE443" s="231"/>
      <c r="BF443" s="242"/>
      <c r="BG443" s="242"/>
      <c r="BH443" s="242"/>
      <c r="BI443" s="242"/>
      <c r="BJ443" s="242"/>
      <c r="BK443" s="242"/>
      <c r="BL443" s="242"/>
      <c r="BM443" s="242"/>
      <c r="BN443" s="242"/>
      <c r="BO443" s="231"/>
      <c r="BP443" s="231"/>
      <c r="BQ443" s="231"/>
      <c r="BR443" s="231"/>
      <c r="BS443" s="231"/>
      <c r="BT443" s="231"/>
      <c r="BU443" s="231"/>
      <c r="BV443" s="231"/>
      <c r="BW443" s="231"/>
      <c r="BX443" s="231"/>
      <c r="BY443" s="231"/>
      <c r="BZ443" s="231"/>
      <c r="CA443" s="231"/>
      <c r="CB443" s="231"/>
      <c r="CC443" s="231"/>
      <c r="CD443" s="231"/>
      <c r="CE443" s="231"/>
      <c r="CF443" s="231"/>
      <c r="CG443" s="231"/>
      <c r="CH443" s="231"/>
      <c r="CI443" s="231"/>
    </row>
    <row r="444" spans="1:87" ht="25.2" customHeight="1" outlineLevel="1">
      <c r="A444" s="204">
        <v>420</v>
      </c>
      <c r="B444" s="207">
        <v>8046</v>
      </c>
      <c r="C444" s="208" t="s">
        <v>618</v>
      </c>
      <c r="D444" s="194" t="s">
        <v>468</v>
      </c>
      <c r="E444" s="209">
        <f t="shared" si="47"/>
        <v>76.8</v>
      </c>
      <c r="F444" s="216">
        <v>78.2</v>
      </c>
      <c r="G444" s="217">
        <v>12.9</v>
      </c>
      <c r="H444" s="218">
        <v>2.8</v>
      </c>
      <c r="I444" s="230">
        <f t="shared" si="48"/>
        <v>0</v>
      </c>
      <c r="J444" s="216">
        <v>0</v>
      </c>
      <c r="K444" s="216">
        <v>6.1</v>
      </c>
      <c r="L444" s="233">
        <v>0</v>
      </c>
      <c r="M444" s="233">
        <v>3520</v>
      </c>
      <c r="N444" s="233">
        <v>180</v>
      </c>
      <c r="O444" s="233"/>
      <c r="P444" s="233">
        <v>0</v>
      </c>
      <c r="Q444" s="233"/>
      <c r="R444" s="233"/>
      <c r="S444" s="233"/>
      <c r="T444" s="231"/>
      <c r="U444" s="231"/>
      <c r="V444" s="231"/>
      <c r="W444" s="242"/>
      <c r="X444" s="232"/>
      <c r="Y444" s="231"/>
      <c r="Z444" s="231"/>
      <c r="AA444" s="241"/>
      <c r="AB444" s="241"/>
      <c r="AC444" s="240"/>
      <c r="AD444" s="240"/>
      <c r="AE444" s="233"/>
      <c r="AF444" s="233"/>
      <c r="AG444" s="240"/>
      <c r="AH444" s="240">
        <f t="shared" si="49"/>
        <v>0</v>
      </c>
      <c r="AI444" s="236">
        <f t="shared" si="50"/>
        <v>0</v>
      </c>
      <c r="AJ444" s="252"/>
      <c r="AK444" s="233"/>
      <c r="AL444" s="216"/>
      <c r="AM444" s="236">
        <v>0</v>
      </c>
      <c r="AN444" s="236">
        <v>0</v>
      </c>
      <c r="AO444" s="236">
        <v>0</v>
      </c>
      <c r="AP444" s="236">
        <v>0</v>
      </c>
      <c r="AQ444" s="236">
        <v>0</v>
      </c>
      <c r="AR444" s="236">
        <v>0</v>
      </c>
      <c r="AS444" s="236">
        <v>0</v>
      </c>
      <c r="AT444" s="236">
        <v>0</v>
      </c>
      <c r="AU444" s="236">
        <v>0</v>
      </c>
      <c r="AV444" s="231"/>
      <c r="AW444" s="236"/>
      <c r="AX444" s="242"/>
      <c r="AY444" s="242"/>
      <c r="AZ444" s="242"/>
      <c r="BA444" s="242"/>
      <c r="BB444" s="242"/>
      <c r="BC444" s="242"/>
      <c r="BD444" s="242"/>
      <c r="BE444" s="231"/>
      <c r="BF444" s="242"/>
      <c r="BG444" s="242"/>
      <c r="BH444" s="242"/>
      <c r="BI444" s="242"/>
      <c r="BJ444" s="242"/>
      <c r="BK444" s="242"/>
      <c r="BL444" s="242"/>
      <c r="BM444" s="242"/>
      <c r="BN444" s="242"/>
      <c r="BO444" s="231"/>
      <c r="BP444" s="231"/>
      <c r="BQ444" s="231"/>
      <c r="BR444" s="231"/>
      <c r="BS444" s="231"/>
      <c r="BT444" s="231"/>
      <c r="BU444" s="231"/>
      <c r="BV444" s="231"/>
      <c r="BW444" s="231"/>
      <c r="BX444" s="231"/>
      <c r="BY444" s="231"/>
      <c r="BZ444" s="231"/>
      <c r="CA444" s="231"/>
      <c r="CB444" s="231"/>
      <c r="CC444" s="231"/>
      <c r="CD444" s="231"/>
      <c r="CE444" s="231"/>
      <c r="CF444" s="231"/>
      <c r="CG444" s="231"/>
      <c r="CH444" s="231"/>
      <c r="CI444" s="231"/>
    </row>
    <row r="445" spans="1:87" ht="25.2" customHeight="1" outlineLevel="1">
      <c r="A445" s="204">
        <v>421</v>
      </c>
      <c r="B445" s="207">
        <v>8047</v>
      </c>
      <c r="C445" s="208" t="s">
        <v>619</v>
      </c>
      <c r="D445" s="194" t="s">
        <v>468</v>
      </c>
      <c r="E445" s="209">
        <f t="shared" si="47"/>
        <v>89.2</v>
      </c>
      <c r="F445" s="216">
        <v>81.900000000000006</v>
      </c>
      <c r="G445" s="217">
        <v>12.4</v>
      </c>
      <c r="H445" s="218">
        <v>4.4000000000000004</v>
      </c>
      <c r="I445" s="230">
        <f t="shared" si="48"/>
        <v>0</v>
      </c>
      <c r="J445" s="216">
        <v>0</v>
      </c>
      <c r="K445" s="216">
        <v>1.3</v>
      </c>
      <c r="L445" s="233">
        <v>0</v>
      </c>
      <c r="M445" s="233">
        <v>66</v>
      </c>
      <c r="N445" s="233">
        <v>57</v>
      </c>
      <c r="O445" s="233">
        <v>1.8</v>
      </c>
      <c r="P445" s="233">
        <v>0</v>
      </c>
      <c r="Q445" s="233"/>
      <c r="R445" s="233"/>
      <c r="S445" s="233"/>
      <c r="T445" s="231"/>
      <c r="U445" s="231"/>
      <c r="V445" s="231"/>
      <c r="W445" s="242"/>
      <c r="X445" s="232"/>
      <c r="Y445" s="231"/>
      <c r="Z445" s="231"/>
      <c r="AA445" s="241"/>
      <c r="AB445" s="241"/>
      <c r="AC445" s="240"/>
      <c r="AD445" s="240"/>
      <c r="AE445" s="233"/>
      <c r="AF445" s="233"/>
      <c r="AG445" s="240"/>
      <c r="AH445" s="240">
        <f t="shared" si="49"/>
        <v>0</v>
      </c>
      <c r="AI445" s="236">
        <f t="shared" si="50"/>
        <v>0</v>
      </c>
      <c r="AJ445" s="252"/>
      <c r="AK445" s="233"/>
      <c r="AL445" s="216"/>
      <c r="AM445" s="236">
        <v>0</v>
      </c>
      <c r="AN445" s="236">
        <v>0</v>
      </c>
      <c r="AO445" s="236">
        <v>0</v>
      </c>
      <c r="AP445" s="236">
        <v>0</v>
      </c>
      <c r="AQ445" s="236">
        <v>0</v>
      </c>
      <c r="AR445" s="236">
        <v>0</v>
      </c>
      <c r="AS445" s="236">
        <v>0</v>
      </c>
      <c r="AT445" s="236">
        <v>0</v>
      </c>
      <c r="AU445" s="236">
        <v>0</v>
      </c>
      <c r="AV445" s="231"/>
      <c r="AW445" s="236"/>
      <c r="AX445" s="242"/>
      <c r="AY445" s="242"/>
      <c r="AZ445" s="242"/>
      <c r="BA445" s="242"/>
      <c r="BB445" s="242"/>
      <c r="BC445" s="242"/>
      <c r="BD445" s="242"/>
      <c r="BE445" s="231"/>
      <c r="BF445" s="242"/>
      <c r="BG445" s="242"/>
      <c r="BH445" s="242"/>
      <c r="BI445" s="242"/>
      <c r="BJ445" s="242"/>
      <c r="BK445" s="242"/>
      <c r="BL445" s="242"/>
      <c r="BM445" s="242"/>
      <c r="BN445" s="242"/>
      <c r="BO445" s="231"/>
      <c r="BP445" s="231"/>
      <c r="BQ445" s="231"/>
      <c r="BR445" s="231"/>
      <c r="BS445" s="231"/>
      <c r="BT445" s="231"/>
      <c r="BU445" s="231"/>
      <c r="BV445" s="231"/>
      <c r="BW445" s="231"/>
      <c r="BX445" s="231"/>
      <c r="BY445" s="231"/>
      <c r="BZ445" s="231"/>
      <c r="CA445" s="231"/>
      <c r="CB445" s="231"/>
      <c r="CC445" s="231"/>
      <c r="CD445" s="231"/>
      <c r="CE445" s="231"/>
      <c r="CF445" s="231"/>
      <c r="CG445" s="231"/>
      <c r="CH445" s="231"/>
      <c r="CI445" s="231"/>
    </row>
    <row r="446" spans="1:87" ht="25.2" customHeight="1" outlineLevel="1">
      <c r="A446" s="204">
        <v>422</v>
      </c>
      <c r="B446" s="207">
        <v>8048</v>
      </c>
      <c r="C446" s="208" t="s">
        <v>620</v>
      </c>
      <c r="D446" s="194" t="s">
        <v>468</v>
      </c>
      <c r="E446" s="209">
        <f t="shared" si="47"/>
        <v>50.8</v>
      </c>
      <c r="F446" s="216">
        <v>83.8</v>
      </c>
      <c r="G446" s="217">
        <v>8.8000000000000007</v>
      </c>
      <c r="H446" s="218">
        <v>0.4</v>
      </c>
      <c r="I446" s="230">
        <f t="shared" si="48"/>
        <v>3</v>
      </c>
      <c r="J446" s="216">
        <v>0</v>
      </c>
      <c r="K446" s="216">
        <v>4</v>
      </c>
      <c r="L446" s="233"/>
      <c r="M446" s="216">
        <v>37</v>
      </c>
      <c r="N446" s="216">
        <v>82</v>
      </c>
      <c r="O446" s="216">
        <v>1.9</v>
      </c>
      <c r="P446" s="216">
        <v>0</v>
      </c>
      <c r="Q446" s="216">
        <v>0.03</v>
      </c>
      <c r="R446" s="216">
        <v>0.15</v>
      </c>
      <c r="S446" s="216">
        <v>1.7</v>
      </c>
      <c r="T446" s="240">
        <v>380</v>
      </c>
      <c r="U446" s="240">
        <v>223</v>
      </c>
      <c r="V446" s="240">
        <v>42</v>
      </c>
      <c r="W446" s="241">
        <v>0.6</v>
      </c>
      <c r="X446" s="233">
        <v>13.4</v>
      </c>
      <c r="Y446" s="240">
        <v>1576</v>
      </c>
      <c r="Z446" s="216">
        <v>77</v>
      </c>
      <c r="AA446" s="241">
        <v>0.5</v>
      </c>
      <c r="AB446" s="241">
        <v>0.05</v>
      </c>
      <c r="AC446" s="240">
        <v>10</v>
      </c>
      <c r="AD446" s="240">
        <v>0</v>
      </c>
      <c r="AE446" s="233">
        <v>41</v>
      </c>
      <c r="AF446" s="233">
        <v>16</v>
      </c>
      <c r="AG446" s="240">
        <v>52.5</v>
      </c>
      <c r="AH446" s="240">
        <f t="shared" si="49"/>
        <v>174.82499999999999</v>
      </c>
      <c r="AI446" s="236">
        <f t="shared" si="50"/>
        <v>52.5</v>
      </c>
      <c r="AJ446" s="252"/>
      <c r="AK446" s="233"/>
      <c r="AL446" s="216"/>
      <c r="AM446" s="236">
        <v>0</v>
      </c>
      <c r="AN446" s="236">
        <v>0</v>
      </c>
      <c r="AO446" s="236">
        <v>0</v>
      </c>
      <c r="AP446" s="236">
        <v>0</v>
      </c>
      <c r="AQ446" s="236">
        <v>0</v>
      </c>
      <c r="AR446" s="236">
        <v>0</v>
      </c>
      <c r="AS446" s="236">
        <v>0</v>
      </c>
      <c r="AT446" s="236">
        <v>0</v>
      </c>
      <c r="AU446" s="236">
        <v>0</v>
      </c>
      <c r="AV446" s="231">
        <v>90</v>
      </c>
      <c r="AW446" s="236">
        <v>0.51</v>
      </c>
      <c r="AX446" s="244">
        <v>0.35699999999999998</v>
      </c>
      <c r="AY446" s="244">
        <v>0</v>
      </c>
      <c r="AZ446" s="244">
        <v>7.0999999999999994E-2</v>
      </c>
      <c r="BA446" s="244">
        <v>0</v>
      </c>
      <c r="BB446" s="244">
        <v>0</v>
      </c>
      <c r="BC446" s="244">
        <v>0</v>
      </c>
      <c r="BD446" s="244">
        <v>0.35799999999999998</v>
      </c>
      <c r="BE446" s="237">
        <v>0</v>
      </c>
      <c r="BF446" s="244">
        <v>0.114</v>
      </c>
      <c r="BG446" s="244">
        <v>0.191</v>
      </c>
      <c r="BH446" s="244">
        <v>0.89400000000000002</v>
      </c>
      <c r="BI446" s="244">
        <v>3.2000000000000001E-2</v>
      </c>
      <c r="BJ446" s="244">
        <v>3.2000000000000001E-2</v>
      </c>
      <c r="BK446" s="244">
        <v>3.7999999999999999E-2</v>
      </c>
      <c r="BL446" s="244">
        <v>0.438</v>
      </c>
      <c r="BM446" s="244">
        <v>0.25</v>
      </c>
      <c r="BN446" s="244"/>
      <c r="BO446" s="204">
        <v>50</v>
      </c>
      <c r="BP446" s="204"/>
      <c r="BQ446" s="204">
        <v>722</v>
      </c>
      <c r="BR446" s="204">
        <v>245</v>
      </c>
      <c r="BS446" s="204">
        <v>87</v>
      </c>
      <c r="BT446" s="204">
        <v>425</v>
      </c>
      <c r="BU446" s="204">
        <v>419</v>
      </c>
      <c r="BV446" s="204">
        <v>484</v>
      </c>
      <c r="BW446" s="204">
        <v>833</v>
      </c>
      <c r="BX446" s="204">
        <v>762</v>
      </c>
      <c r="BY446" s="204">
        <v>767</v>
      </c>
      <c r="BZ446" s="204">
        <v>153</v>
      </c>
      <c r="CA446" s="204">
        <v>148</v>
      </c>
      <c r="CB446" s="204">
        <v>228</v>
      </c>
      <c r="CC446" s="204">
        <v>522</v>
      </c>
      <c r="CD446" s="204">
        <v>827</v>
      </c>
      <c r="CE446" s="204">
        <v>1489</v>
      </c>
      <c r="CF446" s="204">
        <v>458</v>
      </c>
      <c r="CG446" s="204">
        <v>632</v>
      </c>
      <c r="CH446" s="204">
        <v>425</v>
      </c>
      <c r="CI446" s="231"/>
    </row>
    <row r="447" spans="1:87" ht="25.2" customHeight="1" outlineLevel="1">
      <c r="A447" s="204">
        <v>423</v>
      </c>
      <c r="B447" s="207">
        <v>8049</v>
      </c>
      <c r="C447" s="208" t="s">
        <v>621</v>
      </c>
      <c r="D447" s="194" t="s">
        <v>468</v>
      </c>
      <c r="E447" s="209">
        <f t="shared" si="47"/>
        <v>57.6</v>
      </c>
      <c r="F447" s="216">
        <v>84.5</v>
      </c>
      <c r="G447" s="217">
        <v>11.7</v>
      </c>
      <c r="H447" s="218">
        <v>1.2</v>
      </c>
      <c r="I447" s="230">
        <f t="shared" si="48"/>
        <v>0</v>
      </c>
      <c r="J447" s="216">
        <v>0</v>
      </c>
      <c r="K447" s="216">
        <v>2.6</v>
      </c>
      <c r="L447" s="233">
        <v>0</v>
      </c>
      <c r="M447" s="233">
        <v>910</v>
      </c>
      <c r="N447" s="233">
        <v>218</v>
      </c>
      <c r="O447" s="233"/>
      <c r="P447" s="233">
        <v>0</v>
      </c>
      <c r="Q447" s="233"/>
      <c r="R447" s="233"/>
      <c r="S447" s="233"/>
      <c r="T447" s="231"/>
      <c r="U447" s="231"/>
      <c r="V447" s="231"/>
      <c r="W447" s="242"/>
      <c r="X447" s="232"/>
      <c r="Y447" s="231"/>
      <c r="Z447" s="231"/>
      <c r="AA447" s="241"/>
      <c r="AB447" s="241"/>
      <c r="AC447" s="240"/>
      <c r="AD447" s="240"/>
      <c r="AE447" s="233"/>
      <c r="AF447" s="233"/>
      <c r="AG447" s="240"/>
      <c r="AH447" s="240">
        <f t="shared" si="49"/>
        <v>0</v>
      </c>
      <c r="AI447" s="236">
        <f t="shared" si="50"/>
        <v>0</v>
      </c>
      <c r="AJ447" s="252"/>
      <c r="AK447" s="233"/>
      <c r="AL447" s="216"/>
      <c r="AM447" s="236"/>
      <c r="AN447" s="236"/>
      <c r="AO447" s="236"/>
      <c r="AP447" s="236"/>
      <c r="AQ447" s="236"/>
      <c r="AR447" s="236">
        <v>0</v>
      </c>
      <c r="AS447" s="236">
        <v>0</v>
      </c>
      <c r="AT447" s="236">
        <v>0</v>
      </c>
      <c r="AU447" s="236">
        <v>0</v>
      </c>
      <c r="AV447" s="231"/>
      <c r="AW447" s="236"/>
      <c r="AX447" s="242"/>
      <c r="AY447" s="242"/>
      <c r="AZ447" s="242"/>
      <c r="BA447" s="242"/>
      <c r="BB447" s="242"/>
      <c r="BC447" s="242"/>
      <c r="BD447" s="242"/>
      <c r="BE447" s="231"/>
      <c r="BF447" s="242"/>
      <c r="BG447" s="242"/>
      <c r="BH447" s="242"/>
      <c r="BI447" s="242"/>
      <c r="BJ447" s="242"/>
      <c r="BK447" s="242"/>
      <c r="BL447" s="242"/>
      <c r="BM447" s="242"/>
      <c r="BN447" s="242"/>
      <c r="BO447" s="231"/>
      <c r="BP447" s="231"/>
      <c r="BQ447" s="231"/>
      <c r="BR447" s="231"/>
      <c r="BS447" s="231"/>
      <c r="BT447" s="231"/>
      <c r="BU447" s="231"/>
      <c r="BV447" s="231"/>
      <c r="BW447" s="231"/>
      <c r="BX447" s="231"/>
      <c r="BY447" s="231"/>
      <c r="BZ447" s="231"/>
      <c r="CA447" s="231"/>
      <c r="CB447" s="231"/>
      <c r="CC447" s="231"/>
      <c r="CD447" s="231"/>
      <c r="CE447" s="231"/>
      <c r="CF447" s="231"/>
      <c r="CG447" s="231"/>
      <c r="CH447" s="231"/>
      <c r="CI447" s="231"/>
    </row>
    <row r="448" spans="1:87" ht="25.2" customHeight="1" outlineLevel="1">
      <c r="A448" s="204">
        <v>424</v>
      </c>
      <c r="B448" s="207">
        <v>8050</v>
      </c>
      <c r="C448" s="208" t="s">
        <v>622</v>
      </c>
      <c r="D448" s="194" t="s">
        <v>468</v>
      </c>
      <c r="E448" s="209">
        <f t="shared" si="47"/>
        <v>269</v>
      </c>
      <c r="F448" s="216">
        <v>23</v>
      </c>
      <c r="G448" s="217">
        <v>59.8</v>
      </c>
      <c r="H448" s="218">
        <v>3</v>
      </c>
      <c r="I448" s="230">
        <f t="shared" si="48"/>
        <v>0.70000000000000295</v>
      </c>
      <c r="J448" s="216">
        <v>0</v>
      </c>
      <c r="K448" s="216">
        <v>13.5</v>
      </c>
      <c r="L448" s="233"/>
      <c r="M448" s="216">
        <v>2000</v>
      </c>
      <c r="N448" s="216">
        <v>605</v>
      </c>
      <c r="O448" s="216">
        <v>5.5</v>
      </c>
      <c r="P448" s="216">
        <v>0</v>
      </c>
      <c r="Q448" s="216">
        <v>0.03</v>
      </c>
      <c r="R448" s="216">
        <v>7.0000000000000007E-2</v>
      </c>
      <c r="S448" s="216">
        <v>2.5</v>
      </c>
      <c r="T448" s="231"/>
      <c r="U448" s="231"/>
      <c r="V448" s="231"/>
      <c r="W448" s="242"/>
      <c r="X448" s="232"/>
      <c r="Y448" s="231"/>
      <c r="Z448" s="231"/>
      <c r="AA448" s="241"/>
      <c r="AB448" s="241"/>
      <c r="AC448" s="240"/>
      <c r="AD448" s="240"/>
      <c r="AE448" s="233"/>
      <c r="AF448" s="233"/>
      <c r="AG448" s="240"/>
      <c r="AH448" s="240">
        <f t="shared" si="49"/>
        <v>0</v>
      </c>
      <c r="AI448" s="236">
        <f t="shared" si="50"/>
        <v>0</v>
      </c>
      <c r="AJ448" s="252"/>
      <c r="AK448" s="233"/>
      <c r="AL448" s="216"/>
      <c r="AM448" s="236"/>
      <c r="AN448" s="236"/>
      <c r="AO448" s="236"/>
      <c r="AP448" s="236"/>
      <c r="AQ448" s="236"/>
      <c r="AR448" s="236">
        <v>0</v>
      </c>
      <c r="AS448" s="236">
        <v>0</v>
      </c>
      <c r="AT448" s="236">
        <v>0</v>
      </c>
      <c r="AU448" s="236">
        <v>0</v>
      </c>
      <c r="AV448" s="231"/>
      <c r="AW448" s="236"/>
      <c r="AX448" s="242"/>
      <c r="AY448" s="242"/>
      <c r="AZ448" s="242"/>
      <c r="BA448" s="242"/>
      <c r="BB448" s="242"/>
      <c r="BC448" s="242"/>
      <c r="BD448" s="242"/>
      <c r="BE448" s="231"/>
      <c r="BF448" s="242"/>
      <c r="BG448" s="242"/>
      <c r="BH448" s="242"/>
      <c r="BI448" s="242"/>
      <c r="BJ448" s="242"/>
      <c r="BK448" s="242"/>
      <c r="BL448" s="242"/>
      <c r="BM448" s="242"/>
      <c r="BN448" s="242"/>
      <c r="BO448" s="231"/>
      <c r="BP448" s="231"/>
      <c r="BQ448" s="231"/>
      <c r="BR448" s="231"/>
      <c r="BS448" s="231"/>
      <c r="BT448" s="231"/>
      <c r="BU448" s="231"/>
      <c r="BV448" s="231"/>
      <c r="BW448" s="231"/>
      <c r="BX448" s="231"/>
      <c r="BY448" s="231"/>
      <c r="BZ448" s="231"/>
      <c r="CA448" s="231"/>
      <c r="CB448" s="231"/>
      <c r="CC448" s="231"/>
      <c r="CD448" s="231"/>
      <c r="CE448" s="231"/>
      <c r="CF448" s="231"/>
      <c r="CG448" s="231"/>
      <c r="CH448" s="231"/>
      <c r="CI448" s="231"/>
    </row>
    <row r="449" spans="1:87" ht="25.2" customHeight="1" outlineLevel="1">
      <c r="A449" s="204">
        <v>425</v>
      </c>
      <c r="B449" s="207">
        <v>8051</v>
      </c>
      <c r="C449" s="208" t="s">
        <v>623</v>
      </c>
      <c r="D449" s="194" t="s">
        <v>468</v>
      </c>
      <c r="E449" s="209">
        <f t="shared" si="47"/>
        <v>82.099999999999895</v>
      </c>
      <c r="F449" s="216">
        <v>79.2</v>
      </c>
      <c r="G449" s="217">
        <v>17.600000000000001</v>
      </c>
      <c r="H449" s="218">
        <v>0.9</v>
      </c>
      <c r="I449" s="230">
        <f t="shared" si="48"/>
        <v>0.89999999999997704</v>
      </c>
      <c r="J449" s="216">
        <v>0</v>
      </c>
      <c r="K449" s="216">
        <v>1.4</v>
      </c>
      <c r="L449" s="233"/>
      <c r="M449" s="216">
        <v>79</v>
      </c>
      <c r="N449" s="216">
        <v>184</v>
      </c>
      <c r="O449" s="216">
        <v>1.6</v>
      </c>
      <c r="P449" s="216">
        <v>0</v>
      </c>
      <c r="Q449" s="216">
        <v>0.04</v>
      </c>
      <c r="R449" s="216">
        <v>0.08</v>
      </c>
      <c r="S449" s="216">
        <v>2.2999999999999998</v>
      </c>
      <c r="T449" s="231">
        <v>148</v>
      </c>
      <c r="U449" s="231">
        <v>185</v>
      </c>
      <c r="V449" s="231">
        <v>37</v>
      </c>
      <c r="W449" s="242">
        <v>0.05</v>
      </c>
      <c r="X449" s="232">
        <v>1.1100000000000001</v>
      </c>
      <c r="Y449" s="231">
        <v>264</v>
      </c>
      <c r="Z449" s="231">
        <v>38</v>
      </c>
      <c r="AA449" s="241">
        <v>0.27600000000000002</v>
      </c>
      <c r="AB449" s="241">
        <v>0.104</v>
      </c>
      <c r="AC449" s="240">
        <v>3</v>
      </c>
      <c r="AD449" s="240">
        <v>0</v>
      </c>
      <c r="AE449" s="233">
        <v>5</v>
      </c>
      <c r="AF449" s="233">
        <v>1.1599999999999999</v>
      </c>
      <c r="AG449" s="240">
        <v>20</v>
      </c>
      <c r="AH449" s="240">
        <f t="shared" si="49"/>
        <v>66.599999999999994</v>
      </c>
      <c r="AI449" s="236">
        <f t="shared" si="50"/>
        <v>20.4166666666667</v>
      </c>
      <c r="AJ449" s="275">
        <f>2/40</f>
        <v>0.05</v>
      </c>
      <c r="AK449" s="233">
        <v>1.1000000000000001</v>
      </c>
      <c r="AL449" s="216">
        <v>0</v>
      </c>
      <c r="AM449" s="236">
        <v>5</v>
      </c>
      <c r="AN449" s="231"/>
      <c r="AO449" s="231"/>
      <c r="AP449" s="231"/>
      <c r="AQ449" s="231"/>
      <c r="AR449" s="236">
        <v>0</v>
      </c>
      <c r="AS449" s="236">
        <v>0</v>
      </c>
      <c r="AT449" s="236">
        <v>0</v>
      </c>
      <c r="AU449" s="236">
        <v>0</v>
      </c>
      <c r="AV449" s="231">
        <v>147</v>
      </c>
      <c r="AW449" s="236">
        <v>0.32800000000000001</v>
      </c>
      <c r="AX449" s="244">
        <v>0.184</v>
      </c>
      <c r="AY449" s="244">
        <v>0</v>
      </c>
      <c r="AZ449" s="244">
        <v>0.10299999999999999</v>
      </c>
      <c r="BA449" s="244">
        <v>0</v>
      </c>
      <c r="BB449" s="244">
        <v>0</v>
      </c>
      <c r="BC449" s="244">
        <v>0</v>
      </c>
      <c r="BD449" s="244">
        <v>0.253</v>
      </c>
      <c r="BE449" s="237">
        <v>0</v>
      </c>
      <c r="BF449" s="244">
        <v>8.3000000000000004E-2</v>
      </c>
      <c r="BG449" s="244">
        <v>0.14699999999999999</v>
      </c>
      <c r="BH449" s="244">
        <v>0.66900000000000004</v>
      </c>
      <c r="BI449" s="244">
        <v>2.8000000000000001E-2</v>
      </c>
      <c r="BJ449" s="244">
        <v>1.4E-2</v>
      </c>
      <c r="BK449" s="244">
        <v>8.6999999999999994E-2</v>
      </c>
      <c r="BL449" s="244">
        <v>0.25800000000000001</v>
      </c>
      <c r="BM449" s="244">
        <v>0.222</v>
      </c>
      <c r="BN449" s="244"/>
      <c r="BO449" s="231">
        <v>152</v>
      </c>
      <c r="BP449" s="257"/>
      <c r="BQ449" s="204"/>
      <c r="BR449" s="204"/>
      <c r="BS449" s="204"/>
      <c r="BT449" s="204"/>
      <c r="BU449" s="204"/>
      <c r="BV449" s="204"/>
      <c r="BW449" s="204"/>
      <c r="BX449" s="204"/>
      <c r="BY449" s="204"/>
      <c r="BZ449" s="204"/>
      <c r="CA449" s="204"/>
      <c r="CB449" s="204"/>
      <c r="CC449" s="204"/>
      <c r="CD449" s="204"/>
      <c r="CE449" s="204"/>
      <c r="CF449" s="204"/>
      <c r="CG449" s="204"/>
      <c r="CH449" s="204"/>
      <c r="CI449" s="231"/>
    </row>
    <row r="450" spans="1:87" ht="25.2" customHeight="1" outlineLevel="1">
      <c r="A450" s="204">
        <v>426</v>
      </c>
      <c r="B450" s="207">
        <v>8052</v>
      </c>
      <c r="C450" s="208" t="s">
        <v>624</v>
      </c>
      <c r="D450" s="194" t="s">
        <v>468</v>
      </c>
      <c r="E450" s="209">
        <f t="shared" si="47"/>
        <v>89.8</v>
      </c>
      <c r="F450" s="216">
        <v>76.900000000000006</v>
      </c>
      <c r="G450" s="217">
        <v>18.399999999999999</v>
      </c>
      <c r="H450" s="218">
        <v>1.8</v>
      </c>
      <c r="I450" s="230">
        <f t="shared" si="48"/>
        <v>0</v>
      </c>
      <c r="J450" s="216">
        <v>0</v>
      </c>
      <c r="K450" s="216">
        <v>2.9</v>
      </c>
      <c r="L450" s="233">
        <v>0</v>
      </c>
      <c r="M450" s="216">
        <v>73</v>
      </c>
      <c r="N450" s="216">
        <v>150</v>
      </c>
      <c r="O450" s="216">
        <v>2.2000000000000002</v>
      </c>
      <c r="P450" s="216">
        <v>0</v>
      </c>
      <c r="Q450" s="216">
        <v>0.02</v>
      </c>
      <c r="R450" s="216">
        <v>0.03</v>
      </c>
      <c r="S450" s="216">
        <v>3.2</v>
      </c>
      <c r="T450" s="240">
        <v>418</v>
      </c>
      <c r="U450" s="240">
        <v>316</v>
      </c>
      <c r="V450" s="240">
        <v>42</v>
      </c>
      <c r="W450" s="241"/>
      <c r="X450" s="233"/>
      <c r="Y450" s="240"/>
      <c r="Z450" s="216">
        <v>58.8</v>
      </c>
      <c r="AA450" s="241"/>
      <c r="AB450" s="241"/>
      <c r="AC450" s="240"/>
      <c r="AD450" s="240"/>
      <c r="AE450" s="233"/>
      <c r="AF450" s="233"/>
      <c r="AG450" s="240">
        <v>15</v>
      </c>
      <c r="AH450" s="240">
        <f t="shared" si="49"/>
        <v>49.95</v>
      </c>
      <c r="AI450" s="236">
        <f t="shared" si="50"/>
        <v>15</v>
      </c>
      <c r="AJ450" s="252"/>
      <c r="AK450" s="233"/>
      <c r="AL450" s="216"/>
      <c r="AM450" s="236"/>
      <c r="AN450" s="231"/>
      <c r="AO450" s="231"/>
      <c r="AP450" s="231"/>
      <c r="AQ450" s="231"/>
      <c r="AR450" s="236">
        <v>0</v>
      </c>
      <c r="AS450" s="236">
        <v>0</v>
      </c>
      <c r="AT450" s="236">
        <v>0</v>
      </c>
      <c r="AU450" s="236">
        <v>0</v>
      </c>
      <c r="AV450" s="231"/>
      <c r="AW450" s="236"/>
      <c r="AX450" s="242"/>
      <c r="AY450" s="242"/>
      <c r="AZ450" s="242"/>
      <c r="BA450" s="242"/>
      <c r="BB450" s="242"/>
      <c r="BC450" s="242"/>
      <c r="BD450" s="242"/>
      <c r="BE450" s="231"/>
      <c r="BF450" s="242"/>
      <c r="BG450" s="242"/>
      <c r="BH450" s="242"/>
      <c r="BI450" s="242"/>
      <c r="BJ450" s="242"/>
      <c r="BK450" s="242"/>
      <c r="BL450" s="242"/>
      <c r="BM450" s="242"/>
      <c r="BN450" s="242"/>
      <c r="BO450" s="231"/>
      <c r="BP450" s="231"/>
      <c r="BQ450" s="204">
        <v>1560</v>
      </c>
      <c r="BR450" s="204">
        <v>630</v>
      </c>
      <c r="BS450" s="204">
        <v>180</v>
      </c>
      <c r="BT450" s="204">
        <v>830</v>
      </c>
      <c r="BU450" s="204">
        <v>750</v>
      </c>
      <c r="BV450" s="204">
        <v>940</v>
      </c>
      <c r="BW450" s="204">
        <v>1560</v>
      </c>
      <c r="BX450" s="204">
        <v>980</v>
      </c>
      <c r="BY450" s="204">
        <v>1730</v>
      </c>
      <c r="BZ450" s="204">
        <v>400</v>
      </c>
      <c r="CA450" s="204">
        <v>200</v>
      </c>
      <c r="CB450" s="204">
        <v>556</v>
      </c>
      <c r="CC450" s="204">
        <v>961</v>
      </c>
      <c r="CD450" s="204">
        <v>1872</v>
      </c>
      <c r="CE450" s="204">
        <v>2844</v>
      </c>
      <c r="CF450" s="204">
        <v>1141</v>
      </c>
      <c r="CG450" s="204">
        <v>644</v>
      </c>
      <c r="CH450" s="204">
        <v>674</v>
      </c>
      <c r="CI450" s="231"/>
    </row>
    <row r="451" spans="1:87" ht="25.2" customHeight="1" outlineLevel="1">
      <c r="A451" s="204">
        <v>427</v>
      </c>
      <c r="B451" s="207">
        <v>8053</v>
      </c>
      <c r="C451" s="208" t="s">
        <v>625</v>
      </c>
      <c r="D451" s="194" t="s">
        <v>468</v>
      </c>
      <c r="E451" s="209">
        <f t="shared" si="47"/>
        <v>346.6</v>
      </c>
      <c r="F451" s="216">
        <v>12.6</v>
      </c>
      <c r="G451" s="217">
        <v>75.599999999999994</v>
      </c>
      <c r="H451" s="218">
        <v>3.8</v>
      </c>
      <c r="I451" s="230">
        <f t="shared" si="48"/>
        <v>2.5000000000000102</v>
      </c>
      <c r="J451" s="216">
        <v>0</v>
      </c>
      <c r="K451" s="216">
        <v>5.5</v>
      </c>
      <c r="L451" s="233"/>
      <c r="M451" s="216">
        <v>236</v>
      </c>
      <c r="N451" s="216">
        <v>995</v>
      </c>
      <c r="O451" s="216">
        <v>4.5999999999999996</v>
      </c>
      <c r="P451" s="216">
        <v>0</v>
      </c>
      <c r="Q451" s="216">
        <v>0.16</v>
      </c>
      <c r="R451" s="216">
        <v>0.34</v>
      </c>
      <c r="S451" s="216">
        <v>9.5</v>
      </c>
      <c r="T451" s="204"/>
      <c r="U451" s="240"/>
      <c r="V451" s="204"/>
      <c r="W451" s="241"/>
      <c r="X451" s="213"/>
      <c r="Y451" s="204"/>
      <c r="Z451" s="204"/>
      <c r="AA451" s="241"/>
      <c r="AB451" s="241"/>
      <c r="AC451" s="240"/>
      <c r="AD451" s="240"/>
      <c r="AE451" s="233"/>
      <c r="AF451" s="233"/>
      <c r="AG451" s="240"/>
      <c r="AH451" s="240">
        <f t="shared" si="49"/>
        <v>0</v>
      </c>
      <c r="AI451" s="236">
        <f t="shared" si="50"/>
        <v>0</v>
      </c>
      <c r="AJ451" s="252"/>
      <c r="AK451" s="233"/>
      <c r="AL451" s="216"/>
      <c r="AM451" s="236"/>
      <c r="AN451" s="231"/>
      <c r="AO451" s="231"/>
      <c r="AP451" s="231"/>
      <c r="AQ451" s="231"/>
      <c r="AR451" s="236">
        <v>0</v>
      </c>
      <c r="AS451" s="236">
        <v>0</v>
      </c>
      <c r="AT451" s="236">
        <v>0</v>
      </c>
      <c r="AU451" s="236">
        <v>0</v>
      </c>
      <c r="AV451" s="231"/>
      <c r="AW451" s="236"/>
      <c r="AX451" s="242"/>
      <c r="AY451" s="242"/>
      <c r="AZ451" s="242"/>
      <c r="BA451" s="242"/>
      <c r="BB451" s="242"/>
      <c r="BC451" s="242"/>
      <c r="BD451" s="242"/>
      <c r="BE451" s="231"/>
      <c r="BF451" s="242"/>
      <c r="BG451" s="242"/>
      <c r="BH451" s="242"/>
      <c r="BI451" s="242"/>
      <c r="BJ451" s="242"/>
      <c r="BK451" s="242"/>
      <c r="BL451" s="242"/>
      <c r="BM451" s="242"/>
      <c r="BN451" s="242"/>
      <c r="BO451" s="231"/>
      <c r="BP451" s="231"/>
      <c r="BQ451" s="231"/>
      <c r="BR451" s="231"/>
      <c r="BS451" s="231"/>
      <c r="BT451" s="231"/>
      <c r="BU451" s="231"/>
      <c r="BV451" s="231"/>
      <c r="BW451" s="231"/>
      <c r="BX451" s="231"/>
      <c r="BY451" s="231"/>
      <c r="BZ451" s="231"/>
      <c r="CA451" s="231"/>
      <c r="CB451" s="231"/>
      <c r="CC451" s="231"/>
      <c r="CD451" s="231"/>
      <c r="CE451" s="231"/>
      <c r="CF451" s="231"/>
      <c r="CG451" s="231"/>
      <c r="CH451" s="231"/>
      <c r="CI451" s="231"/>
    </row>
    <row r="452" spans="1:87" ht="25.2" customHeight="1" outlineLevel="1">
      <c r="A452" s="204">
        <v>428</v>
      </c>
      <c r="B452" s="207">
        <v>8054</v>
      </c>
      <c r="C452" s="208" t="s">
        <v>626</v>
      </c>
      <c r="D452" s="194" t="s">
        <v>468</v>
      </c>
      <c r="E452" s="209">
        <f t="shared" si="47"/>
        <v>38.299999999999997</v>
      </c>
      <c r="F452" s="216">
        <v>89.9</v>
      </c>
      <c r="G452" s="217">
        <v>4.5999999999999996</v>
      </c>
      <c r="H452" s="218">
        <v>1.1000000000000001</v>
      </c>
      <c r="I452" s="230">
        <f t="shared" si="48"/>
        <v>2.5</v>
      </c>
      <c r="J452" s="216">
        <v>0</v>
      </c>
      <c r="K452" s="216">
        <v>1.9</v>
      </c>
      <c r="L452" s="233"/>
      <c r="M452" s="216">
        <v>668</v>
      </c>
      <c r="N452" s="216">
        <v>107</v>
      </c>
      <c r="O452" s="216">
        <v>1.5</v>
      </c>
      <c r="P452" s="216">
        <v>0</v>
      </c>
      <c r="Q452" s="216">
        <v>0.02</v>
      </c>
      <c r="R452" s="216">
        <v>0.46</v>
      </c>
      <c r="S452" s="216">
        <v>3.1</v>
      </c>
      <c r="T452" s="236">
        <v>56</v>
      </c>
      <c r="U452" s="236">
        <v>314</v>
      </c>
      <c r="V452" s="236">
        <v>9</v>
      </c>
      <c r="W452" s="241">
        <v>0.5</v>
      </c>
      <c r="X452" s="233">
        <v>1.37</v>
      </c>
      <c r="Y452" s="240">
        <v>344</v>
      </c>
      <c r="Z452" s="204">
        <v>24.3</v>
      </c>
      <c r="AA452" s="241">
        <v>0.36199999999999999</v>
      </c>
      <c r="AB452" s="241">
        <v>0.06</v>
      </c>
      <c r="AC452" s="240">
        <v>16</v>
      </c>
      <c r="AD452" s="240">
        <v>0</v>
      </c>
      <c r="AE452" s="233"/>
      <c r="AF452" s="233">
        <v>49.44</v>
      </c>
      <c r="AG452" s="240">
        <v>90</v>
      </c>
      <c r="AH452" s="240">
        <f t="shared" si="49"/>
        <v>299.7</v>
      </c>
      <c r="AI452" s="236">
        <f t="shared" si="50"/>
        <v>90</v>
      </c>
      <c r="AJ452" s="252"/>
      <c r="AK452" s="233">
        <v>0.31</v>
      </c>
      <c r="AL452" s="216">
        <v>0.2</v>
      </c>
      <c r="AM452" s="236">
        <v>0</v>
      </c>
      <c r="AN452" s="236">
        <v>0</v>
      </c>
      <c r="AO452" s="236">
        <v>0</v>
      </c>
      <c r="AP452" s="236">
        <v>0</v>
      </c>
      <c r="AQ452" s="236">
        <v>0</v>
      </c>
      <c r="AR452" s="236">
        <v>0</v>
      </c>
      <c r="AS452" s="236">
        <v>0</v>
      </c>
      <c r="AT452" s="236">
        <v>0</v>
      </c>
      <c r="AU452" s="236">
        <v>0</v>
      </c>
      <c r="AV452" s="231"/>
      <c r="AW452" s="236">
        <v>9.4E-2</v>
      </c>
      <c r="AX452" s="242">
        <v>0.06</v>
      </c>
      <c r="AY452" s="242">
        <v>0</v>
      </c>
      <c r="AZ452" s="242">
        <v>1.7999999999999999E-2</v>
      </c>
      <c r="BA452" s="242">
        <v>0</v>
      </c>
      <c r="BB452" s="242">
        <v>0</v>
      </c>
      <c r="BC452" s="242">
        <v>0</v>
      </c>
      <c r="BD452" s="242">
        <v>0.08</v>
      </c>
      <c r="BE452" s="231">
        <v>0</v>
      </c>
      <c r="BF452" s="242">
        <v>2.1999999999999999E-2</v>
      </c>
      <c r="BG452" s="242">
        <v>3.4000000000000002E-2</v>
      </c>
      <c r="BH452" s="242">
        <v>0.28199999999999997</v>
      </c>
      <c r="BI452" s="242">
        <v>1.6E-2</v>
      </c>
      <c r="BJ452" s="242">
        <v>4.0000000000000001E-3</v>
      </c>
      <c r="BK452" s="242">
        <v>4.1000000000000002E-2</v>
      </c>
      <c r="BL452" s="242">
        <v>6.9000000000000006E-2</v>
      </c>
      <c r="BM452" s="242">
        <v>7.2999999999999995E-2</v>
      </c>
      <c r="BN452" s="242"/>
      <c r="BO452" s="231">
        <v>34</v>
      </c>
      <c r="BP452" s="231"/>
      <c r="BQ452" s="204">
        <v>200</v>
      </c>
      <c r="BR452" s="204">
        <v>120</v>
      </c>
      <c r="BS452" s="204">
        <v>50</v>
      </c>
      <c r="BT452" s="204">
        <v>250</v>
      </c>
      <c r="BU452" s="204">
        <v>340</v>
      </c>
      <c r="BV452" s="204">
        <v>250</v>
      </c>
      <c r="BW452" s="204">
        <v>270</v>
      </c>
      <c r="BX452" s="204">
        <v>270</v>
      </c>
      <c r="BY452" s="204">
        <v>240</v>
      </c>
      <c r="BZ452" s="204">
        <v>60</v>
      </c>
      <c r="CA452" s="204"/>
      <c r="CB452" s="204"/>
      <c r="CC452" s="204"/>
      <c r="CD452" s="204"/>
      <c r="CE452" s="204"/>
      <c r="CF452" s="204"/>
      <c r="CG452" s="204"/>
      <c r="CH452" s="204"/>
      <c r="CI452" s="231"/>
    </row>
    <row r="453" spans="1:87" ht="25.2" customHeight="1" outlineLevel="1">
      <c r="A453" s="204">
        <v>429</v>
      </c>
      <c r="B453" s="207">
        <v>8055</v>
      </c>
      <c r="C453" s="208" t="s">
        <v>627</v>
      </c>
      <c r="D453" s="194" t="s">
        <v>468</v>
      </c>
      <c r="E453" s="209">
        <f t="shared" si="47"/>
        <v>675.6</v>
      </c>
      <c r="F453" s="216">
        <v>3.8</v>
      </c>
      <c r="G453" s="217">
        <v>1.6</v>
      </c>
      <c r="H453" s="218">
        <v>59.2</v>
      </c>
      <c r="I453" s="230">
        <f t="shared" si="48"/>
        <v>34.1</v>
      </c>
      <c r="J453" s="216">
        <v>0</v>
      </c>
      <c r="K453" s="216">
        <v>1.3</v>
      </c>
      <c r="L453" s="233"/>
      <c r="M453" s="233">
        <v>175</v>
      </c>
      <c r="N453" s="233">
        <v>30</v>
      </c>
      <c r="O453" s="233"/>
      <c r="P453" s="233">
        <v>0</v>
      </c>
      <c r="Q453" s="233"/>
      <c r="R453" s="233"/>
      <c r="S453" s="233"/>
      <c r="T453" s="231"/>
      <c r="U453" s="231"/>
      <c r="V453" s="231"/>
      <c r="W453" s="242"/>
      <c r="X453" s="232"/>
      <c r="Y453" s="231"/>
      <c r="Z453" s="231"/>
      <c r="AA453" s="241"/>
      <c r="AB453" s="241"/>
      <c r="AC453" s="240"/>
      <c r="AD453" s="240"/>
      <c r="AE453" s="233"/>
      <c r="AF453" s="233"/>
      <c r="AG453" s="240"/>
      <c r="AH453" s="240">
        <f t="shared" si="49"/>
        <v>0</v>
      </c>
      <c r="AI453" s="236">
        <f t="shared" si="50"/>
        <v>0</v>
      </c>
      <c r="AJ453" s="252"/>
      <c r="AK453" s="233"/>
      <c r="AL453" s="216"/>
      <c r="AM453" s="236">
        <v>0</v>
      </c>
      <c r="AN453" s="236">
        <v>0</v>
      </c>
      <c r="AO453" s="236">
        <v>0</v>
      </c>
      <c r="AP453" s="236">
        <v>0</v>
      </c>
      <c r="AQ453" s="236">
        <v>0</v>
      </c>
      <c r="AR453" s="236">
        <v>0</v>
      </c>
      <c r="AS453" s="236">
        <v>0</v>
      </c>
      <c r="AT453" s="236">
        <v>0</v>
      </c>
      <c r="AU453" s="236">
        <v>0</v>
      </c>
      <c r="AV453" s="231"/>
      <c r="AW453" s="236"/>
      <c r="AX453" s="242"/>
      <c r="AY453" s="242"/>
      <c r="AZ453" s="242"/>
      <c r="BA453" s="242"/>
      <c r="BB453" s="242"/>
      <c r="BC453" s="242"/>
      <c r="BD453" s="242"/>
      <c r="BE453" s="231"/>
      <c r="BF453" s="242"/>
      <c r="BG453" s="242"/>
      <c r="BH453" s="242"/>
      <c r="BI453" s="242"/>
      <c r="BJ453" s="242"/>
      <c r="BK453" s="242"/>
      <c r="BL453" s="242"/>
      <c r="BM453" s="242"/>
      <c r="BN453" s="242"/>
      <c r="BO453" s="231"/>
      <c r="BP453" s="231"/>
      <c r="BQ453" s="231"/>
      <c r="BR453" s="231"/>
      <c r="BS453" s="231"/>
      <c r="BT453" s="231"/>
      <c r="BU453" s="231"/>
      <c r="BV453" s="231"/>
      <c r="BW453" s="231"/>
      <c r="BX453" s="231"/>
      <c r="BY453" s="231"/>
      <c r="BZ453" s="231"/>
      <c r="CA453" s="231"/>
      <c r="CB453" s="231"/>
      <c r="CC453" s="231"/>
      <c r="CD453" s="231"/>
      <c r="CE453" s="231"/>
      <c r="CF453" s="231"/>
      <c r="CG453" s="231"/>
      <c r="CH453" s="231"/>
      <c r="CI453" s="231"/>
    </row>
    <row r="454" spans="1:87" ht="25.2" customHeight="1" outlineLevel="1">
      <c r="A454" s="204">
        <v>430</v>
      </c>
      <c r="B454" s="207">
        <v>8056</v>
      </c>
      <c r="C454" s="208" t="s">
        <v>628</v>
      </c>
      <c r="D454" s="194" t="s">
        <v>468</v>
      </c>
      <c r="E454" s="209">
        <f t="shared" si="47"/>
        <v>381.4</v>
      </c>
      <c r="F454" s="216">
        <v>12</v>
      </c>
      <c r="G454" s="217">
        <v>3.4</v>
      </c>
      <c r="H454" s="218">
        <v>7.4</v>
      </c>
      <c r="I454" s="230">
        <f t="shared" si="48"/>
        <v>75.3</v>
      </c>
      <c r="J454" s="216">
        <v>0</v>
      </c>
      <c r="K454" s="216">
        <v>1.9</v>
      </c>
      <c r="L454" s="233"/>
      <c r="M454" s="233">
        <v>258</v>
      </c>
      <c r="N454" s="233">
        <v>50</v>
      </c>
      <c r="O454" s="233"/>
      <c r="P454" s="233">
        <v>0</v>
      </c>
      <c r="Q454" s="233"/>
      <c r="R454" s="233"/>
      <c r="S454" s="233"/>
      <c r="T454" s="231">
        <v>418</v>
      </c>
      <c r="U454" s="231">
        <v>195</v>
      </c>
      <c r="V454" s="231">
        <v>138</v>
      </c>
      <c r="W454" s="242"/>
      <c r="X454" s="232"/>
      <c r="Y454" s="231"/>
      <c r="Z454" s="231"/>
      <c r="AA454" s="241"/>
      <c r="AB454" s="241"/>
      <c r="AC454" s="240"/>
      <c r="AD454" s="240"/>
      <c r="AE454" s="233"/>
      <c r="AF454" s="233"/>
      <c r="AG454" s="240"/>
      <c r="AH454" s="240">
        <f t="shared" si="49"/>
        <v>0</v>
      </c>
      <c r="AI454" s="236">
        <f t="shared" si="50"/>
        <v>0</v>
      </c>
      <c r="AJ454" s="252"/>
      <c r="AK454" s="233"/>
      <c r="AL454" s="216"/>
      <c r="AM454" s="236">
        <v>0</v>
      </c>
      <c r="AN454" s="236">
        <v>0</v>
      </c>
      <c r="AO454" s="236">
        <v>0</v>
      </c>
      <c r="AP454" s="236">
        <v>0</v>
      </c>
      <c r="AQ454" s="236">
        <v>0</v>
      </c>
      <c r="AR454" s="236">
        <v>0</v>
      </c>
      <c r="AS454" s="236">
        <v>0</v>
      </c>
      <c r="AT454" s="236">
        <v>0</v>
      </c>
      <c r="AU454" s="236">
        <v>0</v>
      </c>
      <c r="AV454" s="231"/>
      <c r="AW454" s="236"/>
      <c r="AX454" s="242"/>
      <c r="AY454" s="242"/>
      <c r="AZ454" s="242"/>
      <c r="BA454" s="242"/>
      <c r="BB454" s="242"/>
      <c r="BC454" s="242"/>
      <c r="BD454" s="242"/>
      <c r="BE454" s="231"/>
      <c r="BF454" s="242"/>
      <c r="BG454" s="242"/>
      <c r="BH454" s="242"/>
      <c r="BI454" s="242"/>
      <c r="BJ454" s="242"/>
      <c r="BK454" s="242"/>
      <c r="BL454" s="242"/>
      <c r="BM454" s="242"/>
      <c r="BN454" s="242"/>
      <c r="BO454" s="231"/>
      <c r="BP454" s="231"/>
      <c r="BQ454" s="231"/>
      <c r="BR454" s="231"/>
      <c r="BS454" s="231"/>
      <c r="BT454" s="231"/>
      <c r="BU454" s="231"/>
      <c r="BV454" s="231"/>
      <c r="BW454" s="231"/>
      <c r="BX454" s="231"/>
      <c r="BY454" s="231"/>
      <c r="BZ454" s="231"/>
      <c r="CA454" s="231"/>
      <c r="CB454" s="231"/>
      <c r="CC454" s="231"/>
      <c r="CD454" s="231"/>
      <c r="CE454" s="231"/>
      <c r="CF454" s="231"/>
      <c r="CG454" s="231"/>
      <c r="CH454" s="231"/>
      <c r="CI454" s="231"/>
    </row>
    <row r="455" spans="1:87" ht="25.2" customHeight="1" outlineLevel="1">
      <c r="A455" s="204">
        <v>431</v>
      </c>
      <c r="B455" s="207">
        <v>8057</v>
      </c>
      <c r="C455" s="208" t="s">
        <v>629</v>
      </c>
      <c r="D455" s="194" t="s">
        <v>468</v>
      </c>
      <c r="E455" s="209">
        <f t="shared" si="47"/>
        <v>322.89999999999998</v>
      </c>
      <c r="F455" s="216">
        <v>11.6</v>
      </c>
      <c r="G455" s="217">
        <v>71.2</v>
      </c>
      <c r="H455" s="218">
        <v>2.9</v>
      </c>
      <c r="I455" s="230">
        <f t="shared" si="48"/>
        <v>3</v>
      </c>
      <c r="J455" s="216">
        <v>0</v>
      </c>
      <c r="K455" s="216">
        <v>11.3</v>
      </c>
      <c r="L455" s="233"/>
      <c r="M455" s="216">
        <v>505</v>
      </c>
      <c r="N455" s="216">
        <v>207</v>
      </c>
      <c r="O455" s="216">
        <v>50</v>
      </c>
      <c r="P455" s="216">
        <v>0</v>
      </c>
      <c r="Q455" s="216">
        <v>0.03</v>
      </c>
      <c r="R455" s="216">
        <v>0.38</v>
      </c>
      <c r="S455" s="216"/>
      <c r="T455" s="231"/>
      <c r="U455" s="231"/>
      <c r="V455" s="231"/>
      <c r="W455" s="242"/>
      <c r="X455" s="232"/>
      <c r="Y455" s="231"/>
      <c r="Z455" s="231"/>
      <c r="AA455" s="241"/>
      <c r="AB455" s="241"/>
      <c r="AC455" s="240"/>
      <c r="AD455" s="240"/>
      <c r="AE455" s="233"/>
      <c r="AF455" s="233"/>
      <c r="AG455" s="240"/>
      <c r="AH455" s="240">
        <f t="shared" si="49"/>
        <v>0</v>
      </c>
      <c r="AI455" s="236">
        <f t="shared" si="50"/>
        <v>0</v>
      </c>
      <c r="AJ455" s="252"/>
      <c r="AK455" s="233"/>
      <c r="AL455" s="216"/>
      <c r="AM455" s="236">
        <v>0</v>
      </c>
      <c r="AN455" s="236">
        <v>0</v>
      </c>
      <c r="AO455" s="236">
        <v>0</v>
      </c>
      <c r="AP455" s="236">
        <v>0</v>
      </c>
      <c r="AQ455" s="236">
        <v>0</v>
      </c>
      <c r="AR455" s="236">
        <v>0</v>
      </c>
      <c r="AS455" s="236">
        <v>0</v>
      </c>
      <c r="AT455" s="236">
        <v>0</v>
      </c>
      <c r="AU455" s="236">
        <v>0</v>
      </c>
      <c r="AV455" s="231"/>
      <c r="AW455" s="236"/>
      <c r="AX455" s="242"/>
      <c r="AY455" s="242"/>
      <c r="AZ455" s="242"/>
      <c r="BA455" s="242"/>
      <c r="BB455" s="242"/>
      <c r="BC455" s="242"/>
      <c r="BD455" s="242"/>
      <c r="BE455" s="231"/>
      <c r="BF455" s="242"/>
      <c r="BG455" s="242"/>
      <c r="BH455" s="242"/>
      <c r="BI455" s="242"/>
      <c r="BJ455" s="242"/>
      <c r="BK455" s="242"/>
      <c r="BL455" s="242"/>
      <c r="BM455" s="242"/>
      <c r="BN455" s="242"/>
      <c r="BO455" s="231"/>
      <c r="BP455" s="231"/>
      <c r="BQ455" s="231"/>
      <c r="BR455" s="231"/>
      <c r="BS455" s="231"/>
      <c r="BT455" s="231"/>
      <c r="BU455" s="231"/>
      <c r="BV455" s="231"/>
      <c r="BW455" s="231"/>
      <c r="BX455" s="231"/>
      <c r="BY455" s="231"/>
      <c r="BZ455" s="231"/>
      <c r="CA455" s="231"/>
      <c r="CB455" s="231"/>
      <c r="CC455" s="231"/>
      <c r="CD455" s="231"/>
      <c r="CE455" s="231"/>
      <c r="CF455" s="231"/>
      <c r="CG455" s="231"/>
      <c r="CH455" s="231"/>
      <c r="CI455" s="231"/>
    </row>
    <row r="456" spans="1:87" ht="25.2" customHeight="1" outlineLevel="1">
      <c r="A456" s="204">
        <v>432</v>
      </c>
      <c r="B456" s="207">
        <v>8058</v>
      </c>
      <c r="C456" s="208" t="s">
        <v>630</v>
      </c>
      <c r="D456" s="194" t="s">
        <v>468</v>
      </c>
      <c r="E456" s="209">
        <f t="shared" si="47"/>
        <v>311.7</v>
      </c>
      <c r="F456" s="216">
        <v>14</v>
      </c>
      <c r="G456" s="217">
        <v>65.7</v>
      </c>
      <c r="H456" s="218">
        <v>4.0999999999999996</v>
      </c>
      <c r="I456" s="230">
        <f t="shared" si="48"/>
        <v>3</v>
      </c>
      <c r="J456" s="216">
        <v>0</v>
      </c>
      <c r="K456" s="216">
        <v>13.2</v>
      </c>
      <c r="L456" s="233"/>
      <c r="M456" s="233">
        <v>26</v>
      </c>
      <c r="N456" s="233">
        <v>654</v>
      </c>
      <c r="O456" s="233"/>
      <c r="P456" s="233">
        <v>0</v>
      </c>
      <c r="Q456" s="233"/>
      <c r="R456" s="233"/>
      <c r="S456" s="233"/>
      <c r="T456" s="231"/>
      <c r="U456" s="231"/>
      <c r="V456" s="231"/>
      <c r="W456" s="242"/>
      <c r="X456" s="232"/>
      <c r="Y456" s="231"/>
      <c r="Z456" s="231"/>
      <c r="AA456" s="241"/>
      <c r="AB456" s="241"/>
      <c r="AC456" s="240"/>
      <c r="AD456" s="240"/>
      <c r="AE456" s="233"/>
      <c r="AF456" s="233"/>
      <c r="AG456" s="240"/>
      <c r="AH456" s="240">
        <f t="shared" si="49"/>
        <v>0</v>
      </c>
      <c r="AI456" s="236">
        <f t="shared" si="50"/>
        <v>0</v>
      </c>
      <c r="AJ456" s="252"/>
      <c r="AK456" s="233"/>
      <c r="AL456" s="216"/>
      <c r="AM456" s="236">
        <v>0</v>
      </c>
      <c r="AN456" s="236">
        <v>0</v>
      </c>
      <c r="AO456" s="236">
        <v>0</v>
      </c>
      <c r="AP456" s="236">
        <v>0</v>
      </c>
      <c r="AQ456" s="236">
        <v>0</v>
      </c>
      <c r="AR456" s="236">
        <v>0</v>
      </c>
      <c r="AS456" s="236">
        <v>0</v>
      </c>
      <c r="AT456" s="236">
        <v>0</v>
      </c>
      <c r="AU456" s="236">
        <v>0</v>
      </c>
      <c r="AV456" s="231"/>
      <c r="AW456" s="236"/>
      <c r="AX456" s="242"/>
      <c r="AY456" s="242"/>
      <c r="AZ456" s="242"/>
      <c r="BA456" s="242"/>
      <c r="BB456" s="242"/>
      <c r="BC456" s="242"/>
      <c r="BD456" s="242"/>
      <c r="BE456" s="231"/>
      <c r="BF456" s="242"/>
      <c r="BG456" s="242"/>
      <c r="BH456" s="242"/>
      <c r="BI456" s="242"/>
      <c r="BJ456" s="242"/>
      <c r="BK456" s="242"/>
      <c r="BL456" s="242"/>
      <c r="BM456" s="242"/>
      <c r="BN456" s="242"/>
      <c r="BO456" s="231"/>
      <c r="BP456" s="231"/>
      <c r="BQ456" s="231"/>
      <c r="BR456" s="231"/>
      <c r="BS456" s="231"/>
      <c r="BT456" s="231"/>
      <c r="BU456" s="231"/>
      <c r="BV456" s="231"/>
      <c r="BW456" s="231"/>
      <c r="BX456" s="231"/>
      <c r="BY456" s="231"/>
      <c r="BZ456" s="231"/>
      <c r="CA456" s="231"/>
      <c r="CB456" s="231"/>
      <c r="CC456" s="231"/>
      <c r="CD456" s="231"/>
      <c r="CE456" s="231"/>
      <c r="CF456" s="231"/>
      <c r="CG456" s="231"/>
      <c r="CH456" s="231"/>
      <c r="CI456" s="231"/>
    </row>
    <row r="457" spans="1:87" ht="25.2" customHeight="1" outlineLevel="1">
      <c r="A457" s="204">
        <v>433</v>
      </c>
      <c r="B457" s="207">
        <v>8059</v>
      </c>
      <c r="C457" s="208" t="s">
        <v>631</v>
      </c>
      <c r="D457" s="194" t="s">
        <v>468</v>
      </c>
      <c r="E457" s="209">
        <f t="shared" si="47"/>
        <v>304.7</v>
      </c>
      <c r="F457" s="216">
        <v>13.1</v>
      </c>
      <c r="G457" s="217">
        <v>65.5</v>
      </c>
      <c r="H457" s="218">
        <v>3.1</v>
      </c>
      <c r="I457" s="230">
        <f t="shared" si="48"/>
        <v>3.7000000000000202</v>
      </c>
      <c r="J457" s="216">
        <v>0</v>
      </c>
      <c r="K457" s="216">
        <v>14.6</v>
      </c>
      <c r="L457" s="233"/>
      <c r="M457" s="233">
        <v>330</v>
      </c>
      <c r="N457" s="233"/>
      <c r="O457" s="233">
        <v>6.7</v>
      </c>
      <c r="P457" s="233">
        <v>0</v>
      </c>
      <c r="Q457" s="233">
        <v>0.17</v>
      </c>
      <c r="R457" s="233">
        <v>0.33</v>
      </c>
      <c r="S457" s="233">
        <v>9.6</v>
      </c>
      <c r="T457" s="231"/>
      <c r="U457" s="231"/>
      <c r="V457" s="231"/>
      <c r="W457" s="242"/>
      <c r="X457" s="232">
        <v>4.5999999999999996</v>
      </c>
      <c r="Y457" s="231"/>
      <c r="Z457" s="231"/>
      <c r="AA457" s="241"/>
      <c r="AB457" s="241">
        <v>0.44</v>
      </c>
      <c r="AC457" s="240">
        <v>12.5</v>
      </c>
      <c r="AD457" s="240"/>
      <c r="AE457" s="233"/>
      <c r="AF457" s="233">
        <v>4.8</v>
      </c>
      <c r="AG457" s="240"/>
      <c r="AH457" s="240">
        <f t="shared" si="49"/>
        <v>0</v>
      </c>
      <c r="AI457" s="236">
        <f t="shared" si="50"/>
        <v>0</v>
      </c>
      <c r="AJ457" s="252"/>
      <c r="AK457" s="233"/>
      <c r="AL457" s="216"/>
      <c r="AM457" s="236"/>
      <c r="AN457" s="231"/>
      <c r="AO457" s="231"/>
      <c r="AP457" s="231"/>
      <c r="AQ457" s="231"/>
      <c r="AR457" s="236">
        <v>0</v>
      </c>
      <c r="AS457" s="236">
        <v>0</v>
      </c>
      <c r="AT457" s="236">
        <v>0</v>
      </c>
      <c r="AU457" s="236">
        <v>0</v>
      </c>
      <c r="AV457" s="231"/>
      <c r="AW457" s="236"/>
      <c r="AX457" s="242"/>
      <c r="AY457" s="242"/>
      <c r="AZ457" s="242"/>
      <c r="BA457" s="242"/>
      <c r="BB457" s="242"/>
      <c r="BC457" s="242"/>
      <c r="BD457" s="242"/>
      <c r="BE457" s="231"/>
      <c r="BF457" s="242"/>
      <c r="BG457" s="242"/>
      <c r="BH457" s="242"/>
      <c r="BI457" s="242"/>
      <c r="BJ457" s="242"/>
      <c r="BK457" s="242"/>
      <c r="BL457" s="242"/>
      <c r="BM457" s="242"/>
      <c r="BN457" s="242"/>
      <c r="BO457" s="231"/>
      <c r="BP457" s="231"/>
      <c r="BQ457" s="231"/>
      <c r="BR457" s="231"/>
      <c r="BS457" s="231"/>
      <c r="BT457" s="231"/>
      <c r="BU457" s="231"/>
      <c r="BV457" s="231"/>
      <c r="BW457" s="231"/>
      <c r="BX457" s="231"/>
      <c r="BY457" s="231"/>
      <c r="BZ457" s="231"/>
      <c r="CA457" s="231"/>
      <c r="CB457" s="231"/>
      <c r="CC457" s="231"/>
      <c r="CD457" s="231"/>
      <c r="CE457" s="231"/>
      <c r="CF457" s="231"/>
      <c r="CG457" s="231"/>
      <c r="CH457" s="231"/>
      <c r="CI457" s="231"/>
    </row>
    <row r="458" spans="1:87" ht="25.2" customHeight="1" outlineLevel="1">
      <c r="A458" s="204">
        <v>434</v>
      </c>
      <c r="B458" s="207">
        <v>8060</v>
      </c>
      <c r="C458" s="208" t="s">
        <v>632</v>
      </c>
      <c r="D458" s="194" t="s">
        <v>468</v>
      </c>
      <c r="E458" s="209">
        <f t="shared" si="47"/>
        <v>142.80000000000001</v>
      </c>
      <c r="F458" s="216">
        <v>71.2</v>
      </c>
      <c r="G458" s="217">
        <v>17.7</v>
      </c>
      <c r="H458" s="218">
        <v>6.4</v>
      </c>
      <c r="I458" s="230">
        <f t="shared" si="48"/>
        <v>3.5999999999999899</v>
      </c>
      <c r="J458" s="216"/>
      <c r="K458" s="216">
        <v>1.1000000000000001</v>
      </c>
      <c r="L458" s="233"/>
      <c r="M458" s="233">
        <v>74.7</v>
      </c>
      <c r="N458" s="233">
        <v>469.4</v>
      </c>
      <c r="O458" s="233">
        <v>1.03</v>
      </c>
      <c r="P458" s="233"/>
      <c r="Q458" s="233"/>
      <c r="R458" s="233">
        <v>1.0999999999999999E-2</v>
      </c>
      <c r="S458" s="233"/>
      <c r="T458" s="231"/>
      <c r="U458" s="231"/>
      <c r="V458" s="231"/>
      <c r="W458" s="242"/>
      <c r="X458" s="232">
        <v>0.81</v>
      </c>
      <c r="Y458" s="231"/>
      <c r="Z458" s="231"/>
      <c r="AA458" s="241"/>
      <c r="AB458" s="241"/>
      <c r="AC458" s="240"/>
      <c r="AD458" s="240"/>
      <c r="AE458" s="233"/>
      <c r="AF458" s="233"/>
      <c r="AG458" s="216">
        <v>2.2999999999999998</v>
      </c>
      <c r="AH458" s="240">
        <f t="shared" si="49"/>
        <v>7.6589999999999998</v>
      </c>
      <c r="AI458" s="236">
        <f t="shared" si="50"/>
        <v>2.2999999999999998</v>
      </c>
      <c r="AJ458" s="252"/>
      <c r="AK458" s="233">
        <v>35.58</v>
      </c>
      <c r="AL458" s="216"/>
      <c r="AM458" s="236"/>
      <c r="AN458" s="231"/>
      <c r="AO458" s="231"/>
      <c r="AP458" s="231"/>
      <c r="AQ458" s="231"/>
      <c r="AR458" s="236"/>
      <c r="AS458" s="236"/>
      <c r="AT458" s="236"/>
      <c r="AU458" s="236"/>
      <c r="AV458" s="231"/>
      <c r="AW458" s="236"/>
      <c r="AX458" s="242"/>
      <c r="AY458" s="242"/>
      <c r="AZ458" s="242"/>
      <c r="BA458" s="242"/>
      <c r="BB458" s="242"/>
      <c r="BC458" s="242"/>
      <c r="BD458" s="242"/>
      <c r="BE458" s="231"/>
      <c r="BF458" s="242"/>
      <c r="BG458" s="242"/>
      <c r="BH458" s="242"/>
      <c r="BI458" s="242"/>
      <c r="BJ458" s="242"/>
      <c r="BK458" s="242"/>
      <c r="BL458" s="242"/>
      <c r="BM458" s="242"/>
      <c r="BN458" s="242"/>
      <c r="BO458" s="231"/>
      <c r="BP458" s="231"/>
      <c r="BQ458" s="269">
        <v>1002.57997049427</v>
      </c>
      <c r="BR458" s="269">
        <v>449.56877150082198</v>
      </c>
      <c r="BS458" s="269"/>
      <c r="BT458" s="269">
        <v>591.23574405774104</v>
      </c>
      <c r="BU458" s="269">
        <v>1051.2873390320001</v>
      </c>
      <c r="BV458" s="269">
        <v>504.65326379325899</v>
      </c>
      <c r="BW458" s="269">
        <v>906.82806420233806</v>
      </c>
      <c r="BX458" s="269">
        <v>484.09724323855602</v>
      </c>
      <c r="BY458" s="269">
        <v>696.50589520414496</v>
      </c>
      <c r="BZ458" s="269">
        <v>1800.72579592335</v>
      </c>
      <c r="CA458" s="269">
        <v>1095.03209492517</v>
      </c>
      <c r="CB458" s="269">
        <v>369.40967278702601</v>
      </c>
      <c r="CC458" s="269">
        <v>486.79836176971901</v>
      </c>
      <c r="CD458" s="269">
        <v>1112.52434196321</v>
      </c>
      <c r="CE458" s="269">
        <v>713.19990357435097</v>
      </c>
      <c r="CF458" s="269">
        <v>149.28871868053599</v>
      </c>
      <c r="CG458" s="269"/>
      <c r="CH458" s="269">
        <v>1056.8644289537699</v>
      </c>
      <c r="CI458" s="231"/>
    </row>
    <row r="459" spans="1:87" ht="25.2" customHeight="1" outlineLevel="1">
      <c r="A459" s="204">
        <v>435</v>
      </c>
      <c r="B459" s="207">
        <v>8061</v>
      </c>
      <c r="C459" s="208" t="s">
        <v>633</v>
      </c>
      <c r="D459" s="194" t="s">
        <v>468</v>
      </c>
      <c r="E459" s="209">
        <f t="shared" si="47"/>
        <v>246.88</v>
      </c>
      <c r="F459" s="231">
        <v>61.5</v>
      </c>
      <c r="G459" s="211">
        <v>15.1</v>
      </c>
      <c r="H459" s="212">
        <v>19.2</v>
      </c>
      <c r="I459" s="230">
        <f t="shared" si="48"/>
        <v>3.42</v>
      </c>
      <c r="J459" s="231"/>
      <c r="K459" s="231">
        <v>0.78</v>
      </c>
      <c r="L459" s="232"/>
      <c r="M459" s="231">
        <v>91.3</v>
      </c>
      <c r="N459" s="231">
        <v>363.3</v>
      </c>
      <c r="O459" s="231">
        <v>1.05</v>
      </c>
      <c r="P459" s="231"/>
      <c r="Q459" s="231">
        <v>1.79</v>
      </c>
      <c r="R459" s="231">
        <v>0.23499999999999999</v>
      </c>
      <c r="S459" s="231"/>
      <c r="T459" s="231"/>
      <c r="U459" s="231"/>
      <c r="V459" s="231"/>
      <c r="W459" s="242"/>
      <c r="X459" s="232">
        <v>1.05</v>
      </c>
      <c r="Y459" s="231"/>
      <c r="Z459" s="231"/>
      <c r="AA459" s="242"/>
      <c r="AB459" s="242"/>
      <c r="AC459" s="209"/>
      <c r="AD459" s="209"/>
      <c r="AE459" s="231"/>
      <c r="AF459" s="231"/>
      <c r="AG459" s="210">
        <v>19.8</v>
      </c>
      <c r="AH459" s="240">
        <f t="shared" si="49"/>
        <v>65.933999999999997</v>
      </c>
      <c r="AI459" s="231">
        <f t="shared" si="50"/>
        <v>19.8</v>
      </c>
      <c r="AJ459" s="278"/>
      <c r="AK459" s="232">
        <v>23.47</v>
      </c>
      <c r="AL459" s="210"/>
      <c r="AM459" s="231"/>
      <c r="AN459" s="231"/>
      <c r="AO459" s="231"/>
      <c r="AP459" s="231"/>
      <c r="AQ459" s="231"/>
      <c r="AR459" s="231"/>
      <c r="AS459" s="231"/>
      <c r="AT459" s="231"/>
      <c r="AU459" s="231"/>
      <c r="AV459" s="231"/>
      <c r="AW459" s="231"/>
      <c r="AX459" s="242"/>
      <c r="AY459" s="242"/>
      <c r="AZ459" s="242"/>
      <c r="BA459" s="242"/>
      <c r="BB459" s="242"/>
      <c r="BC459" s="242"/>
      <c r="BD459" s="242"/>
      <c r="BE459" s="231"/>
      <c r="BF459" s="242"/>
      <c r="BG459" s="242"/>
      <c r="BH459" s="242"/>
      <c r="BI459" s="242"/>
      <c r="BJ459" s="242"/>
      <c r="BK459" s="242"/>
      <c r="BL459" s="242"/>
      <c r="BM459" s="242"/>
      <c r="BN459" s="242"/>
      <c r="BO459" s="231"/>
      <c r="BP459" s="231"/>
      <c r="BQ459" s="269">
        <v>1161.9124440381199</v>
      </c>
      <c r="BR459" s="269">
        <v>499.23264469143902</v>
      </c>
      <c r="BS459" s="269"/>
      <c r="BT459" s="269">
        <v>629.26591577991201</v>
      </c>
      <c r="BU459" s="269">
        <v>1337.30957677176</v>
      </c>
      <c r="BV459" s="269">
        <v>586.23384284897702</v>
      </c>
      <c r="BW459" s="269">
        <v>1028.9446294382999</v>
      </c>
      <c r="BX459" s="269">
        <v>553.43711148039597</v>
      </c>
      <c r="BY459" s="269">
        <v>917.84019390195601</v>
      </c>
      <c r="BZ459" s="269">
        <v>1946.3089590244099</v>
      </c>
      <c r="CA459" s="269">
        <v>137.342473922404</v>
      </c>
      <c r="CB459" s="269">
        <v>526.18095147258396</v>
      </c>
      <c r="CC459" s="269">
        <v>293.315628699618</v>
      </c>
      <c r="CD459" s="269">
        <v>1319.5233984153001</v>
      </c>
      <c r="CE459" s="269">
        <v>822.96424319038294</v>
      </c>
      <c r="CF459" s="269">
        <v>176.274235324074</v>
      </c>
      <c r="CG459" s="269"/>
      <c r="CH459" s="269">
        <v>1307.1245528771699</v>
      </c>
      <c r="CI459" s="231"/>
    </row>
    <row r="460" spans="1:87" ht="25.2" customHeight="1" outlineLevel="1">
      <c r="A460" s="204">
        <v>436</v>
      </c>
      <c r="B460" s="207">
        <v>8062</v>
      </c>
      <c r="C460" s="208" t="s">
        <v>634</v>
      </c>
      <c r="D460" s="194" t="s">
        <v>468</v>
      </c>
      <c r="E460" s="209">
        <f t="shared" si="47"/>
        <v>110.54</v>
      </c>
      <c r="F460" s="231">
        <v>75.2</v>
      </c>
      <c r="G460" s="211">
        <v>17.100000000000001</v>
      </c>
      <c r="H460" s="212">
        <v>3.3</v>
      </c>
      <c r="I460" s="230">
        <f t="shared" si="48"/>
        <v>3.1099999999999901</v>
      </c>
      <c r="J460" s="231"/>
      <c r="K460" s="231">
        <v>1.29</v>
      </c>
      <c r="L460" s="232"/>
      <c r="M460" s="231">
        <v>101.1</v>
      </c>
      <c r="N460" s="231">
        <v>368.3</v>
      </c>
      <c r="O460" s="231">
        <v>0.96</v>
      </c>
      <c r="P460" s="231"/>
      <c r="Q460" s="231">
        <v>0.06</v>
      </c>
      <c r="R460" s="231">
        <v>1.2E-2</v>
      </c>
      <c r="S460" s="231"/>
      <c r="T460" s="231"/>
      <c r="U460" s="231"/>
      <c r="V460" s="231"/>
      <c r="W460" s="242"/>
      <c r="X460" s="232">
        <v>0.7</v>
      </c>
      <c r="Y460" s="231"/>
      <c r="Z460" s="231"/>
      <c r="AA460" s="242"/>
      <c r="AB460" s="242"/>
      <c r="AC460" s="209"/>
      <c r="AD460" s="209"/>
      <c r="AE460" s="231"/>
      <c r="AF460" s="231"/>
      <c r="AG460" s="210">
        <v>3.3</v>
      </c>
      <c r="AH460" s="240">
        <f t="shared" si="49"/>
        <v>10.989000000000001</v>
      </c>
      <c r="AI460" s="231">
        <f t="shared" si="50"/>
        <v>3.3</v>
      </c>
      <c r="AJ460" s="278"/>
      <c r="AK460" s="232">
        <v>15.84</v>
      </c>
      <c r="AL460" s="210"/>
      <c r="AM460" s="231"/>
      <c r="AN460" s="231"/>
      <c r="AO460" s="231"/>
      <c r="AP460" s="231"/>
      <c r="AQ460" s="231"/>
      <c r="AR460" s="231"/>
      <c r="AS460" s="231"/>
      <c r="AT460" s="231"/>
      <c r="AU460" s="231"/>
      <c r="AV460" s="231"/>
      <c r="AW460" s="231"/>
      <c r="AX460" s="242"/>
      <c r="AY460" s="242"/>
      <c r="AZ460" s="242"/>
      <c r="BA460" s="242"/>
      <c r="BB460" s="242"/>
      <c r="BC460" s="242"/>
      <c r="BD460" s="242"/>
      <c r="BE460" s="231"/>
      <c r="BF460" s="242"/>
      <c r="BG460" s="242"/>
      <c r="BH460" s="242"/>
      <c r="BI460" s="242"/>
      <c r="BJ460" s="242"/>
      <c r="BK460" s="242"/>
      <c r="BL460" s="242"/>
      <c r="BM460" s="242"/>
      <c r="BN460" s="242"/>
      <c r="BO460" s="231"/>
      <c r="BP460" s="231"/>
      <c r="BQ460" s="269">
        <v>940.66670000106706</v>
      </c>
      <c r="BR460" s="269">
        <v>350.74284454598899</v>
      </c>
      <c r="BS460" s="269"/>
      <c r="BT460" s="269">
        <v>504.78688341876</v>
      </c>
      <c r="BU460" s="269">
        <v>1374.6387500103899</v>
      </c>
      <c r="BV460" s="269">
        <v>462.28127428960198</v>
      </c>
      <c r="BW460" s="269">
        <v>866.36292681172199</v>
      </c>
      <c r="BX460" s="269">
        <v>374.98084558616603</v>
      </c>
      <c r="BY460" s="269">
        <v>735.62247412116096</v>
      </c>
      <c r="BZ460" s="269">
        <v>3067.9675593506099</v>
      </c>
      <c r="CA460" s="269">
        <v>840.74837621240795</v>
      </c>
      <c r="CB460" s="269">
        <v>351.23135733537799</v>
      </c>
      <c r="CC460" s="269">
        <v>89.848625807930901</v>
      </c>
      <c r="CD460" s="269">
        <v>1286.94492815171</v>
      </c>
      <c r="CE460" s="269">
        <v>780.11635892776303</v>
      </c>
      <c r="CF460" s="269">
        <v>126.992087069392</v>
      </c>
      <c r="CG460" s="269"/>
      <c r="CH460" s="269">
        <v>1324.0798235224399</v>
      </c>
      <c r="CI460" s="231"/>
    </row>
    <row r="461" spans="1:87" ht="25.2" customHeight="1" outlineLevel="1">
      <c r="A461" s="204">
        <v>437</v>
      </c>
      <c r="B461" s="207">
        <v>8063</v>
      </c>
      <c r="C461" s="208" t="s">
        <v>635</v>
      </c>
      <c r="D461" s="194" t="s">
        <v>468</v>
      </c>
      <c r="E461" s="209">
        <f t="shared" si="47"/>
        <v>67.28</v>
      </c>
      <c r="F461" s="231">
        <v>82.9</v>
      </c>
      <c r="G461" s="211">
        <v>9.6999999999999993</v>
      </c>
      <c r="H461" s="212">
        <v>0.8</v>
      </c>
      <c r="I461" s="230">
        <f t="shared" si="48"/>
        <v>5.3199999999999896</v>
      </c>
      <c r="J461" s="231"/>
      <c r="K461" s="231">
        <v>1.28</v>
      </c>
      <c r="L461" s="232"/>
      <c r="M461" s="231">
        <v>34.200000000000003</v>
      </c>
      <c r="N461" s="231">
        <v>372.1</v>
      </c>
      <c r="O461" s="231">
        <v>0.2</v>
      </c>
      <c r="P461" s="231"/>
      <c r="Q461" s="231">
        <v>0.19</v>
      </c>
      <c r="R461" s="231">
        <v>3.0000000000000001E-3</v>
      </c>
      <c r="S461" s="231"/>
      <c r="T461" s="231"/>
      <c r="U461" s="231"/>
      <c r="V461" s="231"/>
      <c r="W461" s="242"/>
      <c r="X461" s="232">
        <v>0.26</v>
      </c>
      <c r="Y461" s="231"/>
      <c r="Z461" s="231"/>
      <c r="AA461" s="242"/>
      <c r="AB461" s="242"/>
      <c r="AC461" s="209"/>
      <c r="AD461" s="209"/>
      <c r="AE461" s="231"/>
      <c r="AF461" s="231"/>
      <c r="AG461" s="210">
        <v>1.7</v>
      </c>
      <c r="AH461" s="240">
        <f t="shared" si="49"/>
        <v>5.6609999999999996</v>
      </c>
      <c r="AI461" s="231">
        <f t="shared" si="50"/>
        <v>1.7</v>
      </c>
      <c r="AJ461" s="278"/>
      <c r="AK461" s="232">
        <v>32.799999999999997</v>
      </c>
      <c r="AL461" s="210"/>
      <c r="AM461" s="231"/>
      <c r="AN461" s="231"/>
      <c r="AO461" s="231"/>
      <c r="AP461" s="231"/>
      <c r="AQ461" s="231"/>
      <c r="AR461" s="231"/>
      <c r="AS461" s="231"/>
      <c r="AT461" s="231"/>
      <c r="AU461" s="231"/>
      <c r="AV461" s="231"/>
      <c r="AW461" s="231"/>
      <c r="AX461" s="242"/>
      <c r="AY461" s="242"/>
      <c r="AZ461" s="242"/>
      <c r="BA461" s="242"/>
      <c r="BB461" s="242"/>
      <c r="BC461" s="242"/>
      <c r="BD461" s="242"/>
      <c r="BE461" s="231"/>
      <c r="BF461" s="242"/>
      <c r="BG461" s="242"/>
      <c r="BH461" s="242"/>
      <c r="BI461" s="242"/>
      <c r="BJ461" s="242"/>
      <c r="BK461" s="242"/>
      <c r="BL461" s="242"/>
      <c r="BM461" s="242"/>
      <c r="BN461" s="242"/>
      <c r="BO461" s="231"/>
      <c r="BP461" s="231"/>
      <c r="BQ461" s="269">
        <v>601.27052981851398</v>
      </c>
      <c r="BR461" s="269">
        <v>267.45076796879499</v>
      </c>
      <c r="BS461" s="269"/>
      <c r="BT461" s="269">
        <v>403.34139939311001</v>
      </c>
      <c r="BU461" s="269">
        <v>604.49685810018798</v>
      </c>
      <c r="BV461" s="269">
        <v>306.24873516413999</v>
      </c>
      <c r="BW461" s="269">
        <v>633.85694186422802</v>
      </c>
      <c r="BX461" s="269">
        <v>303.801917173996</v>
      </c>
      <c r="BY461" s="269">
        <v>477.94330282136599</v>
      </c>
      <c r="BZ461" s="269">
        <v>828.20894725626601</v>
      </c>
      <c r="CA461" s="269">
        <v>216.99638991605499</v>
      </c>
      <c r="CB461" s="269">
        <v>336.83289256394801</v>
      </c>
      <c r="CC461" s="269">
        <v>114.164762123457</v>
      </c>
      <c r="CD461" s="269">
        <v>770.00020866414297</v>
      </c>
      <c r="CE461" s="269">
        <v>540.86918977927905</v>
      </c>
      <c r="CF461" s="269">
        <v>90.957718927636094</v>
      </c>
      <c r="CG461" s="269"/>
      <c r="CH461" s="269">
        <v>822.27871286535606</v>
      </c>
      <c r="CI461" s="231"/>
    </row>
    <row r="462" spans="1:87" ht="25.2" customHeight="1" outlineLevel="1">
      <c r="A462" s="204">
        <v>438</v>
      </c>
      <c r="B462" s="207">
        <v>8064</v>
      </c>
      <c r="C462" s="208" t="s">
        <v>636</v>
      </c>
      <c r="D462" s="194" t="s">
        <v>468</v>
      </c>
      <c r="E462" s="209">
        <f t="shared" si="47"/>
        <v>185.88</v>
      </c>
      <c r="F462" s="231">
        <v>67.8</v>
      </c>
      <c r="G462" s="211">
        <v>11.1</v>
      </c>
      <c r="H462" s="212">
        <v>13</v>
      </c>
      <c r="I462" s="230">
        <f t="shared" si="48"/>
        <v>6.12</v>
      </c>
      <c r="J462" s="231"/>
      <c r="K462" s="231">
        <v>1.98</v>
      </c>
      <c r="L462" s="232"/>
      <c r="M462" s="231">
        <v>75.7</v>
      </c>
      <c r="N462" s="231">
        <v>506.8</v>
      </c>
      <c r="O462" s="231">
        <v>0.6</v>
      </c>
      <c r="P462" s="231"/>
      <c r="Q462" s="231">
        <v>0.08</v>
      </c>
      <c r="R462" s="231">
        <v>1E-3</v>
      </c>
      <c r="S462" s="231"/>
      <c r="T462" s="231"/>
      <c r="U462" s="231"/>
      <c r="V462" s="231"/>
      <c r="W462" s="242"/>
      <c r="X462" s="232">
        <v>0.44</v>
      </c>
      <c r="Y462" s="231"/>
      <c r="Z462" s="231"/>
      <c r="AA462" s="242"/>
      <c r="AB462" s="242"/>
      <c r="AC462" s="209"/>
      <c r="AD462" s="209"/>
      <c r="AE462" s="231"/>
      <c r="AF462" s="231"/>
      <c r="AG462" s="210">
        <v>0.3</v>
      </c>
      <c r="AH462" s="240">
        <f t="shared" si="49"/>
        <v>0.999</v>
      </c>
      <c r="AI462" s="231">
        <f t="shared" si="50"/>
        <v>0.3</v>
      </c>
      <c r="AJ462" s="278"/>
      <c r="AK462" s="232">
        <v>28.89</v>
      </c>
      <c r="AL462" s="210"/>
      <c r="AM462" s="231"/>
      <c r="AN462" s="231"/>
      <c r="AO462" s="231"/>
      <c r="AP462" s="231"/>
      <c r="AQ462" s="231"/>
      <c r="AR462" s="231"/>
      <c r="AS462" s="231"/>
      <c r="AT462" s="231"/>
      <c r="AU462" s="231"/>
      <c r="AV462" s="231"/>
      <c r="AW462" s="231"/>
      <c r="AX462" s="242"/>
      <c r="AY462" s="242"/>
      <c r="AZ462" s="242"/>
      <c r="BA462" s="242"/>
      <c r="BB462" s="242"/>
      <c r="BC462" s="242"/>
      <c r="BD462" s="242"/>
      <c r="BE462" s="231"/>
      <c r="BF462" s="242"/>
      <c r="BG462" s="242"/>
      <c r="BH462" s="242"/>
      <c r="BI462" s="242"/>
      <c r="BJ462" s="242"/>
      <c r="BK462" s="242"/>
      <c r="BL462" s="242"/>
      <c r="BM462" s="242"/>
      <c r="BN462" s="242"/>
      <c r="BO462" s="231"/>
      <c r="BP462" s="231"/>
      <c r="BQ462" s="269">
        <v>543.250625350767</v>
      </c>
      <c r="BR462" s="269">
        <v>202.67754411369799</v>
      </c>
      <c r="BS462" s="269"/>
      <c r="BT462" s="269">
        <v>340.78802140853202</v>
      </c>
      <c r="BU462" s="269">
        <v>573.39344690655105</v>
      </c>
      <c r="BV462" s="269">
        <v>283.67882157195402</v>
      </c>
      <c r="BW462" s="269">
        <v>558.71033870175802</v>
      </c>
      <c r="BX462" s="269">
        <v>273.64802567171199</v>
      </c>
      <c r="BY462" s="269">
        <v>459.488248157915</v>
      </c>
      <c r="BZ462" s="269">
        <v>892.90177553640297</v>
      </c>
      <c r="CA462" s="269">
        <v>169.49896967464099</v>
      </c>
      <c r="CB462" s="269">
        <v>274.90254573552301</v>
      </c>
      <c r="CC462" s="269">
        <v>152.55331232053399</v>
      </c>
      <c r="CD462" s="269">
        <v>701.14950654923803</v>
      </c>
      <c r="CE462" s="269">
        <v>487.538568312005</v>
      </c>
      <c r="CF462" s="269">
        <v>76.254865707512195</v>
      </c>
      <c r="CG462" s="269"/>
      <c r="CH462" s="269">
        <v>801.06025853723395</v>
      </c>
      <c r="CI462" s="231"/>
    </row>
    <row r="463" spans="1:87" ht="25.2" customHeight="1" outlineLevel="1">
      <c r="A463" s="204">
        <v>439</v>
      </c>
      <c r="B463" s="207">
        <v>8065</v>
      </c>
      <c r="C463" s="208" t="s">
        <v>637</v>
      </c>
      <c r="D463" s="194" t="s">
        <v>468</v>
      </c>
      <c r="E463" s="209">
        <f t="shared" ref="E463:E478" si="51">G463*4+H463*9+I463*4</f>
        <v>107.9</v>
      </c>
      <c r="F463" s="231">
        <v>72.7</v>
      </c>
      <c r="G463" s="211">
        <v>14.4</v>
      </c>
      <c r="H463" s="212">
        <v>1.3</v>
      </c>
      <c r="I463" s="230">
        <f t="shared" ref="I463:I478" si="52">100-SUM(F463,G463,H463,K463)</f>
        <v>9.6499999999999897</v>
      </c>
      <c r="J463" s="231"/>
      <c r="K463" s="231">
        <v>1.95</v>
      </c>
      <c r="L463" s="232"/>
      <c r="M463" s="231">
        <v>749.4</v>
      </c>
      <c r="N463" s="231">
        <v>559.70000000000005</v>
      </c>
      <c r="O463" s="231">
        <v>81.569999999999993</v>
      </c>
      <c r="P463" s="231"/>
      <c r="Q463" s="231"/>
      <c r="R463" s="231">
        <v>7.1999999999999995E-2</v>
      </c>
      <c r="S463" s="231"/>
      <c r="T463" s="231"/>
      <c r="U463" s="231"/>
      <c r="V463" s="231"/>
      <c r="W463" s="242"/>
      <c r="X463" s="232">
        <v>7.03</v>
      </c>
      <c r="Y463" s="231"/>
      <c r="Z463" s="231"/>
      <c r="AA463" s="242"/>
      <c r="AB463" s="242"/>
      <c r="AC463" s="209"/>
      <c r="AD463" s="209"/>
      <c r="AE463" s="231"/>
      <c r="AF463" s="231"/>
      <c r="AG463" s="231"/>
      <c r="AH463" s="231"/>
      <c r="AI463" s="231">
        <f t="shared" ref="AI463:AI478" si="53">AG463+AM463/12+AN463/24+AO463/24</f>
        <v>0</v>
      </c>
      <c r="AJ463" s="278"/>
      <c r="AK463" s="232"/>
      <c r="AL463" s="210"/>
      <c r="AM463" s="231"/>
      <c r="AN463" s="231"/>
      <c r="AO463" s="231"/>
      <c r="AP463" s="231"/>
      <c r="AQ463" s="231"/>
      <c r="AR463" s="231"/>
      <c r="AS463" s="231"/>
      <c r="AT463" s="231"/>
      <c r="AU463" s="231"/>
      <c r="AV463" s="231"/>
      <c r="AW463" s="231"/>
      <c r="AX463" s="242"/>
      <c r="AY463" s="242"/>
      <c r="AZ463" s="242"/>
      <c r="BA463" s="242"/>
      <c r="BB463" s="242"/>
      <c r="BC463" s="242"/>
      <c r="BD463" s="242"/>
      <c r="BE463" s="231"/>
      <c r="BF463" s="242"/>
      <c r="BG463" s="242"/>
      <c r="BH463" s="242"/>
      <c r="BI463" s="242"/>
      <c r="BJ463" s="242"/>
      <c r="BK463" s="242"/>
      <c r="BL463" s="242"/>
      <c r="BM463" s="242"/>
      <c r="BN463" s="242"/>
      <c r="BO463" s="231"/>
      <c r="BP463" s="231"/>
      <c r="BQ463" s="231"/>
      <c r="BR463" s="231"/>
      <c r="BS463" s="231"/>
      <c r="BT463" s="231"/>
      <c r="BU463" s="231"/>
      <c r="BV463" s="231"/>
      <c r="BW463" s="231"/>
      <c r="BX463" s="231"/>
      <c r="BY463" s="231"/>
      <c r="BZ463" s="231"/>
      <c r="CA463" s="231"/>
      <c r="CB463" s="231"/>
      <c r="CC463" s="231"/>
      <c r="CD463" s="231"/>
      <c r="CE463" s="231"/>
      <c r="CF463" s="231"/>
      <c r="CG463" s="231"/>
      <c r="CH463" s="231"/>
      <c r="CI463" s="231"/>
    </row>
    <row r="464" spans="1:87" ht="25.2" customHeight="1" outlineLevel="1">
      <c r="A464" s="204">
        <v>440</v>
      </c>
      <c r="B464" s="207">
        <v>8066</v>
      </c>
      <c r="C464" s="208" t="s">
        <v>638</v>
      </c>
      <c r="D464" s="194" t="s">
        <v>468</v>
      </c>
      <c r="E464" s="209">
        <f t="shared" si="51"/>
        <v>41.56</v>
      </c>
      <c r="F464" s="231">
        <v>87.52</v>
      </c>
      <c r="G464" s="211">
        <v>5.37</v>
      </c>
      <c r="H464" s="212">
        <v>0.44</v>
      </c>
      <c r="I464" s="230">
        <f t="shared" si="52"/>
        <v>4.03</v>
      </c>
      <c r="J464" s="231"/>
      <c r="K464" s="231">
        <v>2.64</v>
      </c>
      <c r="L464" s="232"/>
      <c r="M464" s="231">
        <v>116.97</v>
      </c>
      <c r="N464" s="231"/>
      <c r="O464" s="231"/>
      <c r="P464" s="231"/>
      <c r="Q464" s="231"/>
      <c r="R464" s="231"/>
      <c r="S464" s="231"/>
      <c r="T464" s="231"/>
      <c r="U464" s="231"/>
      <c r="V464" s="231"/>
      <c r="W464" s="242"/>
      <c r="X464" s="232"/>
      <c r="Y464" s="231"/>
      <c r="Z464" s="231"/>
      <c r="AA464" s="242"/>
      <c r="AB464" s="242"/>
      <c r="AC464" s="209">
        <v>12.8</v>
      </c>
      <c r="AD464" s="209"/>
      <c r="AE464" s="231"/>
      <c r="AF464" s="231"/>
      <c r="AG464" s="231"/>
      <c r="AH464" s="231"/>
      <c r="AI464" s="231">
        <f t="shared" si="53"/>
        <v>0</v>
      </c>
      <c r="AJ464" s="278"/>
      <c r="AK464" s="232"/>
      <c r="AL464" s="210"/>
      <c r="AM464" s="231"/>
      <c r="AN464" s="231"/>
      <c r="AO464" s="231"/>
      <c r="AP464" s="231"/>
      <c r="AQ464" s="231"/>
      <c r="AR464" s="231"/>
      <c r="AS464" s="231"/>
      <c r="AT464" s="231"/>
      <c r="AU464" s="231"/>
      <c r="AV464" s="231"/>
      <c r="AW464" s="231"/>
      <c r="AX464" s="242"/>
      <c r="AY464" s="242"/>
      <c r="AZ464" s="242"/>
      <c r="BA464" s="242"/>
      <c r="BB464" s="242"/>
      <c r="BC464" s="242"/>
      <c r="BD464" s="242"/>
      <c r="BE464" s="231"/>
      <c r="BF464" s="242"/>
      <c r="BG464" s="242"/>
      <c r="BH464" s="242"/>
      <c r="BI464" s="242"/>
      <c r="BJ464" s="242"/>
      <c r="BK464" s="242"/>
      <c r="BL464" s="242"/>
      <c r="BM464" s="242"/>
      <c r="BN464" s="242"/>
      <c r="BO464" s="231"/>
      <c r="BP464" s="231"/>
      <c r="BQ464" s="231"/>
      <c r="BR464" s="231"/>
      <c r="BS464" s="231"/>
      <c r="BT464" s="231"/>
      <c r="BU464" s="231"/>
      <c r="BV464" s="231"/>
      <c r="BW464" s="231"/>
      <c r="BX464" s="231"/>
      <c r="BY464" s="231"/>
      <c r="BZ464" s="231"/>
      <c r="CA464" s="231"/>
      <c r="CB464" s="231"/>
      <c r="CC464" s="231"/>
      <c r="CD464" s="231"/>
      <c r="CE464" s="231"/>
      <c r="CF464" s="231"/>
      <c r="CG464" s="231"/>
      <c r="CH464" s="231"/>
      <c r="CI464" s="231"/>
    </row>
    <row r="465" spans="1:87" s="169" customFormat="1" ht="7.05" customHeight="1">
      <c r="A465" s="196"/>
      <c r="B465" s="196"/>
      <c r="C465" s="197"/>
      <c r="D465" s="198"/>
      <c r="E465" s="199"/>
      <c r="F465" s="199"/>
      <c r="G465" s="200"/>
      <c r="H465" s="201"/>
      <c r="I465" s="228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  <c r="AG465" s="199"/>
      <c r="AH465" s="199"/>
      <c r="AI465" s="199"/>
      <c r="AJ465" s="250"/>
      <c r="AK465" s="199"/>
      <c r="AL465" s="199"/>
      <c r="AM465" s="199"/>
      <c r="AN465" s="199"/>
      <c r="AO465" s="199"/>
      <c r="AP465" s="199"/>
      <c r="AQ465" s="199"/>
      <c r="AR465" s="199"/>
      <c r="AS465" s="199"/>
      <c r="AT465" s="199"/>
      <c r="AU465" s="199"/>
      <c r="AV465" s="199"/>
      <c r="AW465" s="199"/>
      <c r="AX465" s="199"/>
      <c r="AY465" s="199"/>
      <c r="AZ465" s="199"/>
      <c r="BA465" s="199"/>
      <c r="BB465" s="199"/>
      <c r="BC465" s="199"/>
      <c r="BD465" s="199"/>
      <c r="BE465" s="199"/>
      <c r="BF465" s="199"/>
      <c r="BG465" s="199"/>
      <c r="BH465" s="199"/>
      <c r="BI465" s="199"/>
      <c r="BJ465" s="199"/>
      <c r="BK465" s="199"/>
      <c r="BL465" s="199"/>
      <c r="BM465" s="199"/>
      <c r="BN465" s="199"/>
      <c r="BO465" s="199"/>
      <c r="BP465" s="199"/>
      <c r="BQ465" s="199"/>
      <c r="BR465" s="199"/>
      <c r="BS465" s="199"/>
      <c r="BT465" s="199"/>
      <c r="BU465" s="199"/>
      <c r="BV465" s="199"/>
      <c r="BW465" s="199"/>
      <c r="BX465" s="199"/>
      <c r="BY465" s="199"/>
      <c r="BZ465" s="199"/>
      <c r="CA465" s="199"/>
      <c r="CB465" s="199"/>
      <c r="CC465" s="199"/>
      <c r="CD465" s="199"/>
      <c r="CE465" s="199"/>
      <c r="CF465" s="199"/>
      <c r="CG465" s="199"/>
      <c r="CH465" s="199"/>
      <c r="CI465" s="199"/>
    </row>
    <row r="466" spans="1:87" ht="25.2" customHeight="1">
      <c r="A466" s="204"/>
      <c r="B466" s="202"/>
      <c r="C466" s="203" t="s">
        <v>639</v>
      </c>
      <c r="D466" s="194"/>
      <c r="E466" s="209"/>
      <c r="F466" s="204"/>
      <c r="G466" s="205"/>
      <c r="H466" s="206"/>
      <c r="I466" s="230"/>
      <c r="J466" s="204"/>
      <c r="K466" s="204"/>
      <c r="L466" s="213"/>
      <c r="M466" s="237"/>
      <c r="N466" s="237"/>
      <c r="O466" s="237"/>
      <c r="P466" s="237"/>
      <c r="Q466" s="237"/>
      <c r="R466" s="237"/>
      <c r="S466" s="237"/>
      <c r="T466" s="231"/>
      <c r="U466" s="231"/>
      <c r="V466" s="231"/>
      <c r="W466" s="242"/>
      <c r="X466" s="232"/>
      <c r="Y466" s="231"/>
      <c r="Z466" s="231"/>
      <c r="AA466" s="244"/>
      <c r="AB466" s="244"/>
      <c r="AC466" s="243"/>
      <c r="AD466" s="243"/>
      <c r="AE466" s="204"/>
      <c r="AF466" s="204"/>
      <c r="AG466" s="243"/>
      <c r="AH466" s="243"/>
      <c r="AI466" s="204"/>
      <c r="AJ466" s="253"/>
      <c r="AK466" s="213"/>
      <c r="AL466" s="237"/>
      <c r="AM466" s="204"/>
      <c r="AN466" s="231"/>
      <c r="AO466" s="231"/>
      <c r="AP466" s="231"/>
      <c r="AQ466" s="231"/>
      <c r="AR466" s="231"/>
      <c r="AS466" s="231"/>
      <c r="AT466" s="231"/>
      <c r="AU466" s="231"/>
      <c r="AV466" s="231"/>
      <c r="AW466" s="204"/>
      <c r="AX466" s="276"/>
      <c r="AY466" s="276"/>
      <c r="AZ466" s="276"/>
      <c r="BA466" s="276"/>
      <c r="BB466" s="276"/>
      <c r="BC466" s="276"/>
      <c r="BD466" s="276"/>
      <c r="BE466" s="257"/>
      <c r="BF466" s="276"/>
      <c r="BG466" s="276"/>
      <c r="BH466" s="276"/>
      <c r="BI466" s="276"/>
      <c r="BJ466" s="276"/>
      <c r="BK466" s="276"/>
      <c r="BL466" s="276"/>
      <c r="BM466" s="276"/>
      <c r="BN466" s="276"/>
      <c r="BO466" s="204"/>
      <c r="BP466" s="204"/>
      <c r="BQ466" s="231"/>
      <c r="BR466" s="231"/>
      <c r="BS466" s="231"/>
      <c r="BT466" s="231"/>
      <c r="BU466" s="231"/>
      <c r="BV466" s="231"/>
      <c r="BW466" s="231"/>
      <c r="BX466" s="231"/>
      <c r="BY466" s="231"/>
      <c r="BZ466" s="231"/>
      <c r="CA466" s="231"/>
      <c r="CB466" s="231"/>
      <c r="CC466" s="231"/>
      <c r="CD466" s="231"/>
      <c r="CE466" s="231"/>
      <c r="CF466" s="231"/>
      <c r="CG466" s="231"/>
      <c r="CH466" s="231"/>
      <c r="CI466" s="231"/>
    </row>
    <row r="467" spans="1:87" ht="25.2" customHeight="1" outlineLevel="1">
      <c r="A467" s="204">
        <v>441</v>
      </c>
      <c r="B467" s="207">
        <v>9001</v>
      </c>
      <c r="C467" s="208" t="s">
        <v>640</v>
      </c>
      <c r="D467" s="194" t="s">
        <v>468</v>
      </c>
      <c r="E467" s="209">
        <f t="shared" si="51"/>
        <v>149.81</v>
      </c>
      <c r="F467" s="216">
        <v>74.5</v>
      </c>
      <c r="G467" s="217">
        <v>12.96</v>
      </c>
      <c r="H467" s="218">
        <v>10.33</v>
      </c>
      <c r="I467" s="230">
        <f t="shared" si="52"/>
        <v>1.25</v>
      </c>
      <c r="J467" s="216">
        <v>0</v>
      </c>
      <c r="K467" s="216">
        <v>0.96</v>
      </c>
      <c r="L467" s="233">
        <v>0.77</v>
      </c>
      <c r="M467" s="216">
        <v>55</v>
      </c>
      <c r="N467" s="216">
        <v>210</v>
      </c>
      <c r="O467" s="216">
        <v>2.7</v>
      </c>
      <c r="P467" s="216">
        <v>0</v>
      </c>
      <c r="Q467" s="216">
        <v>0.09</v>
      </c>
      <c r="R467" s="216">
        <v>0.31</v>
      </c>
      <c r="S467" s="216">
        <v>0.2</v>
      </c>
      <c r="T467" s="240">
        <v>158</v>
      </c>
      <c r="U467" s="240">
        <v>176</v>
      </c>
      <c r="V467" s="240">
        <v>11</v>
      </c>
      <c r="W467" s="241">
        <v>3.7999999999999999E-2</v>
      </c>
      <c r="X467" s="233">
        <v>0.9</v>
      </c>
      <c r="Y467" s="240">
        <v>55</v>
      </c>
      <c r="Z467" s="216">
        <v>31.7</v>
      </c>
      <c r="AA467" s="241">
        <v>1.4379999999999999</v>
      </c>
      <c r="AB467" s="241">
        <v>0.14299999999999999</v>
      </c>
      <c r="AC467" s="240">
        <v>14.35</v>
      </c>
      <c r="AD467" s="240">
        <v>0</v>
      </c>
      <c r="AE467" s="233">
        <v>25</v>
      </c>
      <c r="AF467" s="233">
        <v>1.29</v>
      </c>
      <c r="AG467" s="240">
        <v>165.98</v>
      </c>
      <c r="AH467" s="240">
        <f t="shared" ref="AH467:AH478" si="54">AG467*3.33</f>
        <v>552.71339999999998</v>
      </c>
      <c r="AI467" s="236">
        <f t="shared" si="53"/>
        <v>165.98</v>
      </c>
      <c r="AJ467" s="275">
        <v>0.88</v>
      </c>
      <c r="AK467" s="233">
        <v>8.35</v>
      </c>
      <c r="AL467" s="216">
        <v>0.3</v>
      </c>
      <c r="AM467" s="236">
        <v>0</v>
      </c>
      <c r="AN467" s="231">
        <v>0</v>
      </c>
      <c r="AO467" s="231">
        <v>0</v>
      </c>
      <c r="AP467" s="231">
        <v>0</v>
      </c>
      <c r="AQ467" s="231">
        <v>55</v>
      </c>
      <c r="AR467" s="236">
        <v>0</v>
      </c>
      <c r="AS467" s="236">
        <v>0</v>
      </c>
      <c r="AT467" s="236">
        <v>0</v>
      </c>
      <c r="AU467" s="236">
        <v>0</v>
      </c>
      <c r="AV467" s="231"/>
      <c r="AW467" s="236">
        <v>3.0990000000000002</v>
      </c>
      <c r="AX467" s="244">
        <v>2.226</v>
      </c>
      <c r="AY467" s="244">
        <v>0</v>
      </c>
      <c r="AZ467" s="244">
        <v>0.78400000000000003</v>
      </c>
      <c r="BA467" s="244">
        <v>0.01</v>
      </c>
      <c r="BB467" s="244">
        <v>1.2E-2</v>
      </c>
      <c r="BC467" s="244">
        <v>3.0000000000000001E-3</v>
      </c>
      <c r="BD467" s="244">
        <v>3.81</v>
      </c>
      <c r="BE467" s="244">
        <v>8.0000000000000002E-3</v>
      </c>
      <c r="BF467" s="244">
        <v>0.29799999999999999</v>
      </c>
      <c r="BG467" s="244">
        <v>3.4729999999999999</v>
      </c>
      <c r="BH467" s="244">
        <v>1.3640000000000001</v>
      </c>
      <c r="BI467" s="244">
        <v>1.1479999999999999</v>
      </c>
      <c r="BJ467" s="244">
        <v>3.3000000000000002E-2</v>
      </c>
      <c r="BK467" s="244">
        <v>0.14199999999999999</v>
      </c>
      <c r="BL467" s="244">
        <v>4.0000000000000001E-3</v>
      </c>
      <c r="BM467" s="244">
        <v>3.6999999999999998E-2</v>
      </c>
      <c r="BN467" s="244"/>
      <c r="BO467" s="204">
        <v>470</v>
      </c>
      <c r="BP467" s="204"/>
      <c r="BQ467" s="204">
        <v>796</v>
      </c>
      <c r="BR467" s="204">
        <v>428</v>
      </c>
      <c r="BS467" s="204">
        <v>188</v>
      </c>
      <c r="BT467" s="204">
        <v>703</v>
      </c>
      <c r="BU467" s="204">
        <v>598</v>
      </c>
      <c r="BV467" s="204">
        <v>876</v>
      </c>
      <c r="BW467" s="204">
        <v>1080</v>
      </c>
      <c r="BX467" s="204">
        <v>746</v>
      </c>
      <c r="BY467" s="204">
        <v>778</v>
      </c>
      <c r="BZ467" s="204">
        <v>290</v>
      </c>
      <c r="CA467" s="204">
        <v>280</v>
      </c>
      <c r="CB467" s="204">
        <v>514</v>
      </c>
      <c r="CC467" s="204">
        <v>744</v>
      </c>
      <c r="CD467" s="204">
        <v>1084</v>
      </c>
      <c r="CE467" s="204">
        <v>1068</v>
      </c>
      <c r="CF467" s="204">
        <v>436</v>
      </c>
      <c r="CG467" s="204">
        <v>488</v>
      </c>
      <c r="CH467" s="204">
        <v>963</v>
      </c>
      <c r="CI467" s="231"/>
    </row>
    <row r="468" spans="1:87" ht="25.2" customHeight="1" outlineLevel="1">
      <c r="A468" s="204">
        <v>442</v>
      </c>
      <c r="B468" s="207">
        <v>9002</v>
      </c>
      <c r="C468" s="208" t="s">
        <v>641</v>
      </c>
      <c r="D468" s="194" t="s">
        <v>468</v>
      </c>
      <c r="E468" s="209">
        <f t="shared" si="51"/>
        <v>326.60000000000002</v>
      </c>
      <c r="F468" s="216">
        <v>54</v>
      </c>
      <c r="G468" s="217">
        <v>13.6</v>
      </c>
      <c r="H468" s="218">
        <v>29.8</v>
      </c>
      <c r="I468" s="230">
        <f t="shared" si="52"/>
        <v>1.00000000000001</v>
      </c>
      <c r="J468" s="216">
        <v>0</v>
      </c>
      <c r="K468" s="216">
        <v>1.6</v>
      </c>
      <c r="L468" s="233">
        <v>0.56000000000000005</v>
      </c>
      <c r="M468" s="216">
        <v>134</v>
      </c>
      <c r="N468" s="216">
        <v>532</v>
      </c>
      <c r="O468" s="216">
        <v>7</v>
      </c>
      <c r="P468" s="216">
        <v>0</v>
      </c>
      <c r="Q468" s="216">
        <v>0.32</v>
      </c>
      <c r="R468" s="216">
        <v>0.52</v>
      </c>
      <c r="S468" s="216">
        <v>0.03</v>
      </c>
      <c r="T468" s="240">
        <v>108</v>
      </c>
      <c r="U468" s="240">
        <v>169</v>
      </c>
      <c r="V468" s="240">
        <v>14</v>
      </c>
      <c r="W468" s="241">
        <v>5.5E-2</v>
      </c>
      <c r="X468" s="233">
        <v>3.7</v>
      </c>
      <c r="Y468" s="240">
        <v>125</v>
      </c>
      <c r="Z468" s="216">
        <v>18.3</v>
      </c>
      <c r="AA468" s="241">
        <v>2.99</v>
      </c>
      <c r="AB468" s="241">
        <v>0.35</v>
      </c>
      <c r="AC468" s="240">
        <v>146</v>
      </c>
      <c r="AD468" s="240">
        <v>0</v>
      </c>
      <c r="AE468" s="233">
        <v>60</v>
      </c>
      <c r="AF468" s="233">
        <v>1.95</v>
      </c>
      <c r="AG468" s="240">
        <v>960</v>
      </c>
      <c r="AH468" s="240">
        <f t="shared" si="54"/>
        <v>3196.8</v>
      </c>
      <c r="AI468" s="236">
        <f t="shared" si="53"/>
        <v>970.29166666666697</v>
      </c>
      <c r="AJ468" s="275">
        <v>2.68</v>
      </c>
      <c r="AK468" s="233">
        <v>2.58</v>
      </c>
      <c r="AL468" s="216">
        <v>0.7</v>
      </c>
      <c r="AM468" s="236">
        <v>88</v>
      </c>
      <c r="AN468" s="231">
        <v>38</v>
      </c>
      <c r="AO468" s="231">
        <v>33</v>
      </c>
      <c r="AP468" s="231">
        <v>0</v>
      </c>
      <c r="AQ468" s="231">
        <v>1094</v>
      </c>
      <c r="AR468" s="236">
        <v>0</v>
      </c>
      <c r="AS468" s="236">
        <v>0</v>
      </c>
      <c r="AT468" s="236">
        <v>0</v>
      </c>
      <c r="AU468" s="236">
        <v>0</v>
      </c>
      <c r="AV468" s="231"/>
      <c r="AW468" s="236">
        <v>9.5510000000000002</v>
      </c>
      <c r="AX468" s="244">
        <v>6.86</v>
      </c>
      <c r="AY468" s="244">
        <v>5.0999999999999997E-2</v>
      </c>
      <c r="AZ468" s="244">
        <v>2.4169999999999998</v>
      </c>
      <c r="BA468" s="244">
        <v>3.2000000000000001E-2</v>
      </c>
      <c r="BB468" s="244">
        <v>3.7999999999999999E-2</v>
      </c>
      <c r="BC468" s="244">
        <v>8.9999999999999993E-3</v>
      </c>
      <c r="BD468" s="244">
        <v>11.738</v>
      </c>
      <c r="BE468" s="244">
        <v>2.4E-2</v>
      </c>
      <c r="BF468" s="244">
        <v>0.91800000000000004</v>
      </c>
      <c r="BG468" s="244">
        <v>10.701000000000001</v>
      </c>
      <c r="BH468" s="244">
        <v>4.2039999999999997</v>
      </c>
      <c r="BI468" s="244">
        <v>3.5379999999999998</v>
      </c>
      <c r="BJ468" s="244">
        <v>0.10299999999999999</v>
      </c>
      <c r="BK468" s="244">
        <v>0</v>
      </c>
      <c r="BL468" s="244">
        <v>1.0999999999999999E-2</v>
      </c>
      <c r="BM468" s="244">
        <v>0.114</v>
      </c>
      <c r="BN468" s="244"/>
      <c r="BO468" s="204">
        <v>2000</v>
      </c>
      <c r="BP468" s="204"/>
      <c r="BQ468" s="204">
        <v>1104</v>
      </c>
      <c r="BR468" s="204">
        <v>414</v>
      </c>
      <c r="BS468" s="204">
        <v>238</v>
      </c>
      <c r="BT468" s="204">
        <v>709</v>
      </c>
      <c r="BU468" s="204">
        <v>883</v>
      </c>
      <c r="BV468" s="204">
        <v>994</v>
      </c>
      <c r="BW468" s="204">
        <v>1387</v>
      </c>
      <c r="BX468" s="204">
        <v>934</v>
      </c>
      <c r="BY468" s="204">
        <v>1130</v>
      </c>
      <c r="BZ468" s="204">
        <v>391</v>
      </c>
      <c r="CA468" s="204">
        <v>290</v>
      </c>
      <c r="CB468" s="204">
        <v>701</v>
      </c>
      <c r="CC468" s="204">
        <v>817</v>
      </c>
      <c r="CD468" s="204">
        <v>1361</v>
      </c>
      <c r="CE468" s="204">
        <v>1995</v>
      </c>
      <c r="CF468" s="204">
        <v>692</v>
      </c>
      <c r="CG468" s="204">
        <v>678</v>
      </c>
      <c r="CH468" s="204">
        <v>1351</v>
      </c>
      <c r="CI468" s="231"/>
    </row>
    <row r="469" spans="1:87" ht="25.2" customHeight="1" outlineLevel="1">
      <c r="A469" s="204">
        <v>443</v>
      </c>
      <c r="B469" s="207">
        <v>9003</v>
      </c>
      <c r="C469" s="208" t="s">
        <v>642</v>
      </c>
      <c r="D469" s="194" t="s">
        <v>468</v>
      </c>
      <c r="E469" s="209">
        <f t="shared" si="51"/>
        <v>46.100000000000101</v>
      </c>
      <c r="F469" s="216">
        <v>88</v>
      </c>
      <c r="G469" s="217">
        <v>10.3</v>
      </c>
      <c r="H469" s="218">
        <v>0.1</v>
      </c>
      <c r="I469" s="230">
        <f t="shared" si="52"/>
        <v>1.00000000000001</v>
      </c>
      <c r="J469" s="216">
        <v>0</v>
      </c>
      <c r="K469" s="216">
        <v>0.6</v>
      </c>
      <c r="L469" s="233">
        <v>0.71</v>
      </c>
      <c r="M469" s="216">
        <v>19</v>
      </c>
      <c r="N469" s="216">
        <v>16</v>
      </c>
      <c r="O469" s="216">
        <v>0.3</v>
      </c>
      <c r="P469" s="216">
        <v>0</v>
      </c>
      <c r="Q469" s="216">
        <v>6.0000000000000001E-3</v>
      </c>
      <c r="R469" s="216">
        <v>0.26</v>
      </c>
      <c r="S469" s="216">
        <v>7.0000000000000007E-2</v>
      </c>
      <c r="T469" s="240">
        <v>215</v>
      </c>
      <c r="U469" s="240">
        <v>172</v>
      </c>
      <c r="V469" s="240">
        <v>7</v>
      </c>
      <c r="W469" s="241">
        <v>1.0999999999999999E-2</v>
      </c>
      <c r="X469" s="233">
        <v>0.2</v>
      </c>
      <c r="Y469" s="240">
        <v>25</v>
      </c>
      <c r="Z469" s="216">
        <v>6.8</v>
      </c>
      <c r="AA469" s="241">
        <v>0.19</v>
      </c>
      <c r="AB469" s="241">
        <v>5.0000000000000001E-3</v>
      </c>
      <c r="AC469" s="240">
        <v>4</v>
      </c>
      <c r="AD469" s="240">
        <v>0</v>
      </c>
      <c r="AE469" s="233">
        <v>0</v>
      </c>
      <c r="AF469" s="233">
        <v>0.09</v>
      </c>
      <c r="AG469" s="240">
        <v>0</v>
      </c>
      <c r="AH469" s="240">
        <f t="shared" si="54"/>
        <v>0</v>
      </c>
      <c r="AI469" s="236">
        <f t="shared" si="53"/>
        <v>0</v>
      </c>
      <c r="AJ469" s="275"/>
      <c r="AK469" s="233"/>
      <c r="AL469" s="216"/>
      <c r="AM469" s="236">
        <v>0</v>
      </c>
      <c r="AN469" s="236">
        <v>0</v>
      </c>
      <c r="AO469" s="236">
        <v>0</v>
      </c>
      <c r="AP469" s="236">
        <v>0</v>
      </c>
      <c r="AQ469" s="236">
        <v>0</v>
      </c>
      <c r="AR469" s="236">
        <v>0</v>
      </c>
      <c r="AS469" s="236">
        <v>0</v>
      </c>
      <c r="AT469" s="236">
        <v>0</v>
      </c>
      <c r="AU469" s="236">
        <v>0</v>
      </c>
      <c r="AV469" s="231"/>
      <c r="AW469" s="236">
        <v>0</v>
      </c>
      <c r="AX469" s="242">
        <v>0</v>
      </c>
      <c r="AY469" s="242">
        <v>0</v>
      </c>
      <c r="AZ469" s="242">
        <v>0</v>
      </c>
      <c r="BA469" s="242">
        <v>0</v>
      </c>
      <c r="BB469" s="242">
        <v>0</v>
      </c>
      <c r="BC469" s="242">
        <v>0</v>
      </c>
      <c r="BD469" s="242">
        <v>0</v>
      </c>
      <c r="BE469" s="231">
        <v>0</v>
      </c>
      <c r="BF469" s="242">
        <v>0</v>
      </c>
      <c r="BG469" s="242">
        <v>0</v>
      </c>
      <c r="BH469" s="242">
        <v>0</v>
      </c>
      <c r="BI469" s="242">
        <v>0</v>
      </c>
      <c r="BJ469" s="242">
        <v>0</v>
      </c>
      <c r="BK469" s="242">
        <v>0</v>
      </c>
      <c r="BL469" s="242">
        <v>0</v>
      </c>
      <c r="BM469" s="242">
        <v>0</v>
      </c>
      <c r="BN469" s="242"/>
      <c r="BO469" s="231">
        <v>0</v>
      </c>
      <c r="BP469" s="231"/>
      <c r="BQ469" s="204">
        <v>665</v>
      </c>
      <c r="BR469" s="204">
        <v>420</v>
      </c>
      <c r="BS469" s="204">
        <v>166</v>
      </c>
      <c r="BT469" s="204">
        <v>679</v>
      </c>
      <c r="BU469" s="204">
        <v>481</v>
      </c>
      <c r="BV469" s="204">
        <v>809</v>
      </c>
      <c r="BW469" s="204">
        <v>940</v>
      </c>
      <c r="BX469" s="204">
        <v>659</v>
      </c>
      <c r="BY469" s="204">
        <v>631</v>
      </c>
      <c r="BZ469" s="204">
        <v>245</v>
      </c>
      <c r="CA469" s="204">
        <v>268</v>
      </c>
      <c r="CB469" s="204">
        <v>434</v>
      </c>
      <c r="CC469" s="204">
        <v>697</v>
      </c>
      <c r="CD469" s="204">
        <v>956</v>
      </c>
      <c r="CE469" s="204">
        <v>1507</v>
      </c>
      <c r="CF469" s="204">
        <v>404</v>
      </c>
      <c r="CG469" s="204">
        <v>406</v>
      </c>
      <c r="CH469" s="204">
        <v>797</v>
      </c>
      <c r="CI469" s="231"/>
    </row>
    <row r="470" spans="1:87" ht="25.2" customHeight="1" outlineLevel="1">
      <c r="A470" s="204">
        <v>444</v>
      </c>
      <c r="B470" s="207">
        <v>9004</v>
      </c>
      <c r="C470" s="208" t="s">
        <v>643</v>
      </c>
      <c r="D470" s="194" t="s">
        <v>468</v>
      </c>
      <c r="E470" s="209">
        <f t="shared" si="51"/>
        <v>172.02</v>
      </c>
      <c r="F470" s="216">
        <v>70.849999999999994</v>
      </c>
      <c r="G470" s="217">
        <v>13.02</v>
      </c>
      <c r="H470" s="218">
        <v>12.02</v>
      </c>
      <c r="I470" s="230">
        <f t="shared" si="52"/>
        <v>2.9400000000000102</v>
      </c>
      <c r="J470" s="216">
        <v>0</v>
      </c>
      <c r="K470" s="216">
        <v>1.17</v>
      </c>
      <c r="L470" s="233">
        <v>0.93</v>
      </c>
      <c r="M470" s="216">
        <v>71</v>
      </c>
      <c r="N470" s="216">
        <v>210</v>
      </c>
      <c r="O470" s="216">
        <v>3.2</v>
      </c>
      <c r="P470" s="216">
        <v>0</v>
      </c>
      <c r="Q470" s="216">
        <v>0.2</v>
      </c>
      <c r="R470" s="216">
        <v>0.2</v>
      </c>
      <c r="S470" s="216">
        <v>0.1</v>
      </c>
      <c r="T470" s="240">
        <v>191</v>
      </c>
      <c r="U470" s="240">
        <v>258</v>
      </c>
      <c r="V470" s="240">
        <v>17</v>
      </c>
      <c r="W470" s="241">
        <v>3.7999999999999999E-2</v>
      </c>
      <c r="X470" s="233">
        <v>0.8</v>
      </c>
      <c r="Y470" s="240">
        <v>62</v>
      </c>
      <c r="Z470" s="216">
        <v>36.4</v>
      </c>
      <c r="AA470" s="241">
        <v>1.8620000000000001</v>
      </c>
      <c r="AB470" s="241">
        <v>0.25</v>
      </c>
      <c r="AC470" s="240">
        <v>16.75</v>
      </c>
      <c r="AD470" s="240">
        <v>0</v>
      </c>
      <c r="AE470" s="233"/>
      <c r="AF470" s="233">
        <v>5.4</v>
      </c>
      <c r="AG470" s="240">
        <v>230.74</v>
      </c>
      <c r="AH470" s="240">
        <f t="shared" si="54"/>
        <v>768.36419999999998</v>
      </c>
      <c r="AI470" s="236">
        <f t="shared" si="53"/>
        <v>232.40666666666701</v>
      </c>
      <c r="AJ470" s="275">
        <f>69/40</f>
        <v>1.7250000000000001</v>
      </c>
      <c r="AK470" s="233">
        <v>9.19</v>
      </c>
      <c r="AL470" s="216">
        <v>0.4</v>
      </c>
      <c r="AM470" s="236">
        <v>14</v>
      </c>
      <c r="AN470" s="231">
        <v>0</v>
      </c>
      <c r="AO470" s="231">
        <v>12</v>
      </c>
      <c r="AP470" s="231">
        <v>0</v>
      </c>
      <c r="AQ470" s="231">
        <v>459</v>
      </c>
      <c r="AR470" s="236">
        <v>0</v>
      </c>
      <c r="AS470" s="236">
        <v>0</v>
      </c>
      <c r="AT470" s="236">
        <v>0</v>
      </c>
      <c r="AU470" s="236">
        <v>0</v>
      </c>
      <c r="AV470" s="231"/>
      <c r="AW470" s="236">
        <v>3.681</v>
      </c>
      <c r="AX470" s="242">
        <v>2.996</v>
      </c>
      <c r="AY470" s="242">
        <v>0</v>
      </c>
      <c r="AZ470" s="242">
        <v>0.63200000000000001</v>
      </c>
      <c r="BA470" s="242">
        <v>0</v>
      </c>
      <c r="BB470" s="242">
        <v>0</v>
      </c>
      <c r="BC470" s="242">
        <v>0</v>
      </c>
      <c r="BD470" s="242">
        <v>6.5250000000000004</v>
      </c>
      <c r="BE470" s="231">
        <v>0</v>
      </c>
      <c r="BF470" s="242">
        <v>0.441</v>
      </c>
      <c r="BG470" s="242">
        <v>6.0839999999999996</v>
      </c>
      <c r="BH470" s="242">
        <v>1.2230000000000001</v>
      </c>
      <c r="BI470" s="242">
        <v>0.55800000000000005</v>
      </c>
      <c r="BJ470" s="242">
        <v>0.10199999999999999</v>
      </c>
      <c r="BK470" s="242">
        <v>0.31900000000000001</v>
      </c>
      <c r="BL470" s="242">
        <v>0</v>
      </c>
      <c r="BM470" s="242">
        <v>0</v>
      </c>
      <c r="BN470" s="242"/>
      <c r="BO470" s="231">
        <v>884</v>
      </c>
      <c r="BP470" s="231"/>
      <c r="BQ470" s="204">
        <v>951</v>
      </c>
      <c r="BR470" s="204">
        <v>576</v>
      </c>
      <c r="BS470" s="204">
        <v>260</v>
      </c>
      <c r="BT470" s="204">
        <v>840</v>
      </c>
      <c r="BU470" s="204">
        <v>736</v>
      </c>
      <c r="BV470" s="204">
        <v>885</v>
      </c>
      <c r="BW470" s="204">
        <v>1097</v>
      </c>
      <c r="BX470" s="204">
        <v>598</v>
      </c>
      <c r="BY470" s="204">
        <v>765</v>
      </c>
      <c r="BZ470" s="204">
        <v>320</v>
      </c>
      <c r="CA470" s="204">
        <v>285</v>
      </c>
      <c r="CB470" s="204">
        <v>613</v>
      </c>
      <c r="CC470" s="204">
        <v>631</v>
      </c>
      <c r="CD470" s="204">
        <v>777</v>
      </c>
      <c r="CE470" s="204">
        <v>1789</v>
      </c>
      <c r="CF470" s="204">
        <v>422</v>
      </c>
      <c r="CG470" s="204">
        <v>480</v>
      </c>
      <c r="CH470" s="204">
        <v>963</v>
      </c>
      <c r="CI470" s="231"/>
    </row>
    <row r="471" spans="1:87" ht="25.2" customHeight="1" outlineLevel="1">
      <c r="A471" s="204">
        <v>445</v>
      </c>
      <c r="B471" s="207">
        <v>9005</v>
      </c>
      <c r="C471" s="208" t="s">
        <v>644</v>
      </c>
      <c r="D471" s="194" t="s">
        <v>468</v>
      </c>
      <c r="E471" s="209">
        <f t="shared" si="51"/>
        <v>364.3</v>
      </c>
      <c r="F471" s="216">
        <v>47.5</v>
      </c>
      <c r="G471" s="217">
        <v>13.6</v>
      </c>
      <c r="H471" s="218">
        <v>32.299999999999997</v>
      </c>
      <c r="I471" s="230">
        <f t="shared" si="52"/>
        <v>4.8</v>
      </c>
      <c r="J471" s="216">
        <v>0</v>
      </c>
      <c r="K471" s="216">
        <v>1.8</v>
      </c>
      <c r="L471" s="233"/>
      <c r="M471" s="216">
        <v>146</v>
      </c>
      <c r="N471" s="216">
        <v>328</v>
      </c>
      <c r="O471" s="216">
        <v>5.6</v>
      </c>
      <c r="P471" s="216">
        <v>0</v>
      </c>
      <c r="Q471" s="216">
        <v>0.54</v>
      </c>
      <c r="R471" s="216">
        <v>0.94</v>
      </c>
      <c r="S471" s="216">
        <v>0.2</v>
      </c>
      <c r="T471" s="240"/>
      <c r="U471" s="240"/>
      <c r="V471" s="240"/>
      <c r="W471" s="241"/>
      <c r="X471" s="233"/>
      <c r="Y471" s="240"/>
      <c r="Z471" s="216"/>
      <c r="AA471" s="241"/>
      <c r="AB471" s="241"/>
      <c r="AC471" s="240"/>
      <c r="AD471" s="240"/>
      <c r="AE471" s="233"/>
      <c r="AF471" s="233"/>
      <c r="AG471" s="240">
        <v>1625</v>
      </c>
      <c r="AH471" s="240">
        <f t="shared" si="54"/>
        <v>5411.25</v>
      </c>
      <c r="AI471" s="236">
        <f t="shared" si="53"/>
        <v>1682.9166666666699</v>
      </c>
      <c r="AJ471" s="252"/>
      <c r="AK471" s="233"/>
      <c r="AL471" s="216"/>
      <c r="AM471" s="236">
        <v>695</v>
      </c>
      <c r="AN471" s="231"/>
      <c r="AO471" s="231"/>
      <c r="AP471" s="231"/>
      <c r="AQ471" s="231"/>
      <c r="AR471" s="236">
        <v>0</v>
      </c>
      <c r="AS471" s="236">
        <v>0</v>
      </c>
      <c r="AT471" s="236">
        <v>0</v>
      </c>
      <c r="AU471" s="236">
        <v>0</v>
      </c>
      <c r="AV471" s="231"/>
      <c r="AW471" s="236"/>
      <c r="AX471" s="242"/>
      <c r="AY471" s="242"/>
      <c r="AZ471" s="242"/>
      <c r="BA471" s="242"/>
      <c r="BB471" s="242"/>
      <c r="BC471" s="242"/>
      <c r="BD471" s="242"/>
      <c r="BE471" s="231"/>
      <c r="BF471" s="242"/>
      <c r="BG471" s="242"/>
      <c r="BH471" s="242"/>
      <c r="BI471" s="242"/>
      <c r="BJ471" s="242"/>
      <c r="BK471" s="242"/>
      <c r="BL471" s="242"/>
      <c r="BM471" s="242"/>
      <c r="BN471" s="242"/>
      <c r="BO471" s="231"/>
      <c r="BP471" s="231"/>
      <c r="BQ471" s="204">
        <v>1180</v>
      </c>
      <c r="BR471" s="204">
        <v>434</v>
      </c>
      <c r="BS471" s="204">
        <v>204</v>
      </c>
      <c r="BT471" s="204">
        <v>679</v>
      </c>
      <c r="BU471" s="204">
        <v>868</v>
      </c>
      <c r="BV471" s="204">
        <v>963</v>
      </c>
      <c r="BW471" s="204">
        <v>1315</v>
      </c>
      <c r="BX471" s="204">
        <v>827</v>
      </c>
      <c r="BY471" s="204">
        <v>801</v>
      </c>
      <c r="BZ471" s="204">
        <v>447</v>
      </c>
      <c r="CA471" s="204">
        <v>191</v>
      </c>
      <c r="CB471" s="204">
        <v>705</v>
      </c>
      <c r="CC471" s="204">
        <v>705</v>
      </c>
      <c r="CD471" s="204">
        <v>1398</v>
      </c>
      <c r="CE471" s="204">
        <v>1736</v>
      </c>
      <c r="CF471" s="204">
        <v>462</v>
      </c>
      <c r="CG471" s="204">
        <v>1059</v>
      </c>
      <c r="CH471" s="204">
        <v>1207</v>
      </c>
      <c r="CI471" s="231"/>
    </row>
    <row r="472" spans="1:87" ht="25.2" customHeight="1" outlineLevel="1">
      <c r="A472" s="204">
        <v>446</v>
      </c>
      <c r="B472" s="207">
        <v>9006</v>
      </c>
      <c r="C472" s="208" t="s">
        <v>645</v>
      </c>
      <c r="D472" s="194" t="s">
        <v>468</v>
      </c>
      <c r="E472" s="209">
        <f t="shared" si="51"/>
        <v>46.9</v>
      </c>
      <c r="F472" s="216">
        <v>87.8</v>
      </c>
      <c r="G472" s="217">
        <v>10.7</v>
      </c>
      <c r="H472" s="218">
        <v>0.1</v>
      </c>
      <c r="I472" s="230">
        <f t="shared" si="52"/>
        <v>0.80000000000001104</v>
      </c>
      <c r="J472" s="216">
        <v>0</v>
      </c>
      <c r="K472" s="216">
        <v>0.6</v>
      </c>
      <c r="L472" s="233">
        <v>0</v>
      </c>
      <c r="M472" s="216">
        <v>6</v>
      </c>
      <c r="N472" s="216">
        <v>8</v>
      </c>
      <c r="O472" s="216" t="s">
        <v>266</v>
      </c>
      <c r="P472" s="216">
        <v>0</v>
      </c>
      <c r="Q472" s="216"/>
      <c r="R472" s="216">
        <v>0.2</v>
      </c>
      <c r="S472" s="216">
        <v>0.2</v>
      </c>
      <c r="T472" s="274"/>
      <c r="U472" s="274"/>
      <c r="V472" s="274"/>
      <c r="W472" s="266"/>
      <c r="X472" s="267"/>
      <c r="Y472" s="265"/>
      <c r="Z472" s="274"/>
      <c r="AA472" s="241"/>
      <c r="AB472" s="241"/>
      <c r="AC472" s="240"/>
      <c r="AD472" s="240"/>
      <c r="AE472" s="233"/>
      <c r="AF472" s="233"/>
      <c r="AG472" s="240">
        <v>0</v>
      </c>
      <c r="AH472" s="240">
        <f t="shared" si="54"/>
        <v>0</v>
      </c>
      <c r="AI472" s="236">
        <f t="shared" si="53"/>
        <v>0</v>
      </c>
      <c r="AJ472" s="252"/>
      <c r="AK472" s="233"/>
      <c r="AL472" s="216"/>
      <c r="AM472" s="236">
        <v>0</v>
      </c>
      <c r="AN472" s="236">
        <v>0</v>
      </c>
      <c r="AO472" s="236">
        <v>0</v>
      </c>
      <c r="AP472" s="236">
        <v>0</v>
      </c>
      <c r="AQ472" s="236">
        <v>0</v>
      </c>
      <c r="AR472" s="236">
        <v>0</v>
      </c>
      <c r="AS472" s="236">
        <v>0</v>
      </c>
      <c r="AT472" s="236">
        <v>0</v>
      </c>
      <c r="AU472" s="236">
        <v>0</v>
      </c>
      <c r="AV472" s="231"/>
      <c r="AW472" s="236"/>
      <c r="AX472" s="242"/>
      <c r="AY472" s="242"/>
      <c r="AZ472" s="242"/>
      <c r="BA472" s="242"/>
      <c r="BB472" s="242"/>
      <c r="BC472" s="242"/>
      <c r="BD472" s="242"/>
      <c r="BE472" s="231"/>
      <c r="BF472" s="242"/>
      <c r="BG472" s="242"/>
      <c r="BH472" s="242"/>
      <c r="BI472" s="242"/>
      <c r="BJ472" s="242"/>
      <c r="BK472" s="242"/>
      <c r="BL472" s="242"/>
      <c r="BM472" s="242"/>
      <c r="BN472" s="242"/>
      <c r="BO472" s="231"/>
      <c r="BP472" s="231"/>
      <c r="BQ472" s="204">
        <v>759</v>
      </c>
      <c r="BR472" s="204">
        <v>694</v>
      </c>
      <c r="BS472" s="204">
        <v>150</v>
      </c>
      <c r="BT472" s="204">
        <v>780</v>
      </c>
      <c r="BU472" s="204">
        <v>802</v>
      </c>
      <c r="BV472" s="204">
        <v>845</v>
      </c>
      <c r="BW472" s="204">
        <v>1026</v>
      </c>
      <c r="BX472" s="204">
        <v>535</v>
      </c>
      <c r="BY472" s="204">
        <v>428</v>
      </c>
      <c r="BZ472" s="204">
        <v>267</v>
      </c>
      <c r="CA472" s="204">
        <v>203</v>
      </c>
      <c r="CB472" s="204">
        <v>588</v>
      </c>
      <c r="CC472" s="204">
        <v>493</v>
      </c>
      <c r="CD472" s="204">
        <v>1069</v>
      </c>
      <c r="CE472" s="204">
        <v>1635</v>
      </c>
      <c r="CF472" s="204">
        <v>407</v>
      </c>
      <c r="CG472" s="204">
        <v>780</v>
      </c>
      <c r="CH472" s="204">
        <v>994</v>
      </c>
      <c r="CI472" s="231"/>
    </row>
    <row r="473" spans="1:87" ht="25.2" customHeight="1" outlineLevel="1">
      <c r="A473" s="204">
        <v>447</v>
      </c>
      <c r="B473" s="207">
        <v>9007</v>
      </c>
      <c r="C473" s="208" t="s">
        <v>646</v>
      </c>
      <c r="D473" s="194" t="s">
        <v>468</v>
      </c>
      <c r="E473" s="209">
        <f t="shared" si="51"/>
        <v>156.91</v>
      </c>
      <c r="F473" s="233">
        <v>72.67</v>
      </c>
      <c r="G473" s="270">
        <v>12.78</v>
      </c>
      <c r="H473" s="271">
        <v>10.47</v>
      </c>
      <c r="I473" s="230">
        <f t="shared" si="52"/>
        <v>2.89</v>
      </c>
      <c r="J473" s="233">
        <v>0</v>
      </c>
      <c r="K473" s="233">
        <v>1.19</v>
      </c>
      <c r="L473" s="233">
        <v>0.41</v>
      </c>
      <c r="M473" s="241">
        <v>59.83</v>
      </c>
      <c r="N473" s="241">
        <v>226</v>
      </c>
      <c r="O473" s="241">
        <v>3.65</v>
      </c>
      <c r="P473" s="241">
        <v>0</v>
      </c>
      <c r="Q473" s="241">
        <v>0.13</v>
      </c>
      <c r="R473" s="241">
        <v>0.79</v>
      </c>
      <c r="S473" s="241">
        <v>0.15</v>
      </c>
      <c r="T473" s="236">
        <v>141</v>
      </c>
      <c r="U473" s="236">
        <v>132</v>
      </c>
      <c r="V473" s="236">
        <v>13</v>
      </c>
      <c r="W473" s="241">
        <v>3.7999999999999999E-2</v>
      </c>
      <c r="X473" s="233">
        <v>1.47</v>
      </c>
      <c r="Y473" s="240">
        <v>62</v>
      </c>
      <c r="Z473" s="236">
        <v>32</v>
      </c>
      <c r="AA473" s="241">
        <v>1.7609999999999999</v>
      </c>
      <c r="AB473" s="241">
        <v>0.15</v>
      </c>
      <c r="AC473" s="240">
        <v>105.7</v>
      </c>
      <c r="AD473" s="240">
        <v>0</v>
      </c>
      <c r="AE473" s="233"/>
      <c r="AF473" s="233">
        <v>1.58</v>
      </c>
      <c r="AG473" s="240">
        <v>299.2</v>
      </c>
      <c r="AH473" s="240">
        <f t="shared" si="54"/>
        <v>996.33600000000001</v>
      </c>
      <c r="AI473" s="236">
        <f t="shared" si="53"/>
        <v>300.53333333333302</v>
      </c>
      <c r="AJ473" s="275">
        <f>55/40</f>
        <v>1.375</v>
      </c>
      <c r="AK473" s="233">
        <v>1.08</v>
      </c>
      <c r="AL473" s="216">
        <v>0.3</v>
      </c>
      <c r="AM473" s="236">
        <v>11</v>
      </c>
      <c r="AN473" s="231">
        <v>0</v>
      </c>
      <c r="AO473" s="231">
        <v>10</v>
      </c>
      <c r="AP473" s="231">
        <v>0</v>
      </c>
      <c r="AQ473" s="231">
        <v>369</v>
      </c>
      <c r="AR473" s="236">
        <v>0</v>
      </c>
      <c r="AS473" s="236">
        <v>0</v>
      </c>
      <c r="AT473" s="236">
        <v>0</v>
      </c>
      <c r="AU473" s="236">
        <v>0</v>
      </c>
      <c r="AV473" s="231"/>
      <c r="AW473" s="236">
        <v>3.5569999999999999</v>
      </c>
      <c r="AX473" s="242">
        <v>2.6659999999999999</v>
      </c>
      <c r="AY473" s="242">
        <v>0</v>
      </c>
      <c r="AZ473" s="242">
        <v>0.83799999999999997</v>
      </c>
      <c r="BA473" s="242">
        <v>0</v>
      </c>
      <c r="BB473" s="242">
        <v>0</v>
      </c>
      <c r="BC473" s="242">
        <v>0</v>
      </c>
      <c r="BD473" s="242">
        <v>4.3239999999999998</v>
      </c>
      <c r="BE473" s="231">
        <v>0</v>
      </c>
      <c r="BF473" s="242">
        <v>0.47299999999999998</v>
      </c>
      <c r="BG473" s="242">
        <v>3.851</v>
      </c>
      <c r="BH473" s="242">
        <v>1.3240000000000001</v>
      </c>
      <c r="BI473" s="242">
        <v>0.94</v>
      </c>
      <c r="BJ473" s="242">
        <v>4.3999999999999997E-2</v>
      </c>
      <c r="BK473" s="242">
        <v>0.122</v>
      </c>
      <c r="BL473" s="242">
        <v>0</v>
      </c>
      <c r="BM473" s="242">
        <v>0</v>
      </c>
      <c r="BN473" s="242"/>
      <c r="BO473" s="231">
        <v>844</v>
      </c>
      <c r="BP473" s="231"/>
      <c r="BQ473" s="204">
        <v>881</v>
      </c>
      <c r="BR473" s="204">
        <v>421</v>
      </c>
      <c r="BS473" s="204">
        <v>209</v>
      </c>
      <c r="BT473" s="204">
        <v>737</v>
      </c>
      <c r="BU473" s="204">
        <v>641</v>
      </c>
      <c r="BV473" s="204">
        <v>940</v>
      </c>
      <c r="BW473" s="204">
        <v>1146</v>
      </c>
      <c r="BX473" s="204">
        <v>816</v>
      </c>
      <c r="BY473" s="204">
        <v>835</v>
      </c>
      <c r="BZ473" s="204">
        <v>315</v>
      </c>
      <c r="CA473" s="204">
        <v>311</v>
      </c>
      <c r="CB473" s="204">
        <v>543</v>
      </c>
      <c r="CC473" s="204">
        <v>762</v>
      </c>
      <c r="CD473" s="204">
        <v>1294</v>
      </c>
      <c r="CE473" s="204">
        <v>1662</v>
      </c>
      <c r="CF473" s="204">
        <v>434</v>
      </c>
      <c r="CG473" s="204">
        <v>518</v>
      </c>
      <c r="CH473" s="204">
        <v>992</v>
      </c>
      <c r="CI473" s="231"/>
    </row>
    <row r="474" spans="1:87" ht="25.2" customHeight="1" outlineLevel="1">
      <c r="A474" s="204">
        <v>448</v>
      </c>
      <c r="B474" s="207">
        <v>9008</v>
      </c>
      <c r="C474" s="208" t="s">
        <v>647</v>
      </c>
      <c r="D474" s="194" t="s">
        <v>468</v>
      </c>
      <c r="E474" s="209">
        <f t="shared" si="51"/>
        <v>171.1</v>
      </c>
      <c r="F474" s="216">
        <v>64.900000000000006</v>
      </c>
      <c r="G474" s="217">
        <v>20.5</v>
      </c>
      <c r="H474" s="218">
        <v>9.9</v>
      </c>
      <c r="I474" s="230">
        <f t="shared" si="52"/>
        <v>0</v>
      </c>
      <c r="J474" s="216">
        <v>0</v>
      </c>
      <c r="K474" s="216">
        <v>4.7</v>
      </c>
      <c r="L474" s="233"/>
      <c r="M474" s="216">
        <v>28</v>
      </c>
      <c r="N474" s="216">
        <v>230</v>
      </c>
      <c r="O474" s="216">
        <v>1.1000000000000001</v>
      </c>
      <c r="P474" s="216">
        <v>24</v>
      </c>
      <c r="Q474" s="216">
        <v>0.93</v>
      </c>
      <c r="R474" s="216">
        <v>0.65</v>
      </c>
      <c r="S474" s="216">
        <v>1.5</v>
      </c>
      <c r="T474" s="274"/>
      <c r="U474" s="274"/>
      <c r="V474" s="274"/>
      <c r="W474" s="266"/>
      <c r="X474" s="267"/>
      <c r="Y474" s="265"/>
      <c r="Z474" s="274"/>
      <c r="AA474" s="241"/>
      <c r="AB474" s="241"/>
      <c r="AC474" s="240"/>
      <c r="AD474" s="240"/>
      <c r="AE474" s="233"/>
      <c r="AF474" s="233"/>
      <c r="AG474" s="240"/>
      <c r="AH474" s="240">
        <f t="shared" si="54"/>
        <v>0</v>
      </c>
      <c r="AI474" s="236">
        <f t="shared" si="53"/>
        <v>0</v>
      </c>
      <c r="AJ474" s="252"/>
      <c r="AK474" s="233"/>
      <c r="AL474" s="216"/>
      <c r="AM474" s="236"/>
      <c r="AN474" s="231"/>
      <c r="AO474" s="231"/>
      <c r="AP474" s="231"/>
      <c r="AQ474" s="231"/>
      <c r="AR474" s="236"/>
      <c r="AS474" s="236"/>
      <c r="AT474" s="236"/>
      <c r="AU474" s="236"/>
      <c r="AV474" s="231"/>
      <c r="AW474" s="236"/>
      <c r="AX474" s="242">
        <v>1.1000000000000001</v>
      </c>
      <c r="AY474" s="242"/>
      <c r="AZ474" s="242">
        <v>0.16</v>
      </c>
      <c r="BA474" s="242"/>
      <c r="BB474" s="242"/>
      <c r="BC474" s="242"/>
      <c r="BD474" s="242"/>
      <c r="BE474" s="231"/>
      <c r="BF474" s="242"/>
      <c r="BG474" s="242"/>
      <c r="BH474" s="242"/>
      <c r="BI474" s="242">
        <v>0.24</v>
      </c>
      <c r="BJ474" s="242">
        <v>0.37</v>
      </c>
      <c r="BK474" s="242"/>
      <c r="BL474" s="242"/>
      <c r="BM474" s="242"/>
      <c r="BN474" s="242"/>
      <c r="BO474" s="231"/>
      <c r="BP474" s="231"/>
      <c r="BQ474" s="204"/>
      <c r="BR474" s="204"/>
      <c r="BS474" s="204"/>
      <c r="BT474" s="204"/>
      <c r="BU474" s="204"/>
      <c r="BV474" s="204"/>
      <c r="BW474" s="204"/>
      <c r="BX474" s="204"/>
      <c r="BY474" s="204"/>
      <c r="BZ474" s="204"/>
      <c r="CA474" s="204"/>
      <c r="CB474" s="204"/>
      <c r="CC474" s="204"/>
      <c r="CD474" s="204"/>
      <c r="CE474" s="204"/>
      <c r="CF474" s="204"/>
      <c r="CG474" s="204"/>
      <c r="CH474" s="204"/>
      <c r="CI474" s="231"/>
    </row>
    <row r="475" spans="1:87" ht="25.2" customHeight="1" outlineLevel="1">
      <c r="A475" s="204">
        <v>449</v>
      </c>
      <c r="B475" s="207">
        <v>9009</v>
      </c>
      <c r="C475" s="208" t="s">
        <v>648</v>
      </c>
      <c r="D475" s="194" t="s">
        <v>468</v>
      </c>
      <c r="E475" s="209">
        <f t="shared" si="51"/>
        <v>273.5</v>
      </c>
      <c r="F475" s="233">
        <v>47.5</v>
      </c>
      <c r="G475" s="270">
        <v>24.6</v>
      </c>
      <c r="H475" s="271">
        <v>17.899999999999999</v>
      </c>
      <c r="I475" s="230">
        <f t="shared" si="52"/>
        <v>3.5</v>
      </c>
      <c r="J475" s="233">
        <v>0</v>
      </c>
      <c r="K475" s="233">
        <v>6.5</v>
      </c>
      <c r="L475" s="233">
        <v>0</v>
      </c>
      <c r="M475" s="216">
        <v>275</v>
      </c>
      <c r="N475" s="216">
        <v>356</v>
      </c>
      <c r="O475" s="216">
        <v>11.88</v>
      </c>
      <c r="P475" s="216">
        <v>0</v>
      </c>
      <c r="Q475" s="216">
        <v>0.19</v>
      </c>
      <c r="R475" s="216">
        <v>0.62</v>
      </c>
      <c r="S475" s="216">
        <v>0.12</v>
      </c>
      <c r="T475" s="231">
        <v>1500</v>
      </c>
      <c r="U475" s="231">
        <v>181</v>
      </c>
      <c r="V475" s="231">
        <v>300</v>
      </c>
      <c r="W475" s="242">
        <v>0.05</v>
      </c>
      <c r="X475" s="232">
        <v>0.95</v>
      </c>
      <c r="Y475" s="231">
        <v>110</v>
      </c>
      <c r="Z475" s="231">
        <v>65.5</v>
      </c>
      <c r="AA475" s="241">
        <v>3.5</v>
      </c>
      <c r="AB475" s="241">
        <v>0.32</v>
      </c>
      <c r="AC475" s="240">
        <v>50</v>
      </c>
      <c r="AD475" s="240">
        <v>0</v>
      </c>
      <c r="AE475" s="233"/>
      <c r="AF475" s="233">
        <v>20</v>
      </c>
      <c r="AG475" s="240">
        <v>561</v>
      </c>
      <c r="AH475" s="240">
        <f t="shared" si="54"/>
        <v>1868.13</v>
      </c>
      <c r="AI475" s="236">
        <f t="shared" si="53"/>
        <v>561</v>
      </c>
      <c r="AJ475" s="252">
        <v>5.8</v>
      </c>
      <c r="AK475" s="233">
        <v>7</v>
      </c>
      <c r="AL475" s="216">
        <v>0.7</v>
      </c>
      <c r="AM475" s="236">
        <v>0</v>
      </c>
      <c r="AN475" s="231">
        <v>0</v>
      </c>
      <c r="AO475" s="231">
        <v>0</v>
      </c>
      <c r="AP475" s="231">
        <v>0</v>
      </c>
      <c r="AQ475" s="231">
        <v>720</v>
      </c>
      <c r="AR475" s="236">
        <v>0</v>
      </c>
      <c r="AS475" s="236">
        <v>0</v>
      </c>
      <c r="AT475" s="236">
        <v>0</v>
      </c>
      <c r="AU475" s="236">
        <v>0</v>
      </c>
      <c r="AV475" s="231"/>
      <c r="AW475" s="236">
        <v>4.0599999999999996</v>
      </c>
      <c r="AX475" s="242">
        <v>3.5550000000000002</v>
      </c>
      <c r="AY475" s="242">
        <v>0</v>
      </c>
      <c r="AZ475" s="242">
        <v>0.29299999999999998</v>
      </c>
      <c r="BA475" s="242">
        <v>0</v>
      </c>
      <c r="BB475" s="242">
        <v>0</v>
      </c>
      <c r="BC475" s="242">
        <v>0</v>
      </c>
      <c r="BD475" s="242">
        <v>4.6310000000000002</v>
      </c>
      <c r="BE475" s="231">
        <v>0</v>
      </c>
      <c r="BF475" s="242">
        <v>1.0429999999999999</v>
      </c>
      <c r="BG475" s="242">
        <v>3.165</v>
      </c>
      <c r="BH475" s="242">
        <v>7.4050000000000002</v>
      </c>
      <c r="BI475" s="242">
        <v>8.1000000000000003E-2</v>
      </c>
      <c r="BJ475" s="242">
        <v>1.7000000000000001E-2</v>
      </c>
      <c r="BK475" s="242">
        <v>0.505</v>
      </c>
      <c r="BL475" s="242">
        <v>2.7410000000000001</v>
      </c>
      <c r="BM475" s="242">
        <v>3.8</v>
      </c>
      <c r="BN475" s="242"/>
      <c r="BO475" s="231">
        <v>588</v>
      </c>
      <c r="BP475" s="231"/>
      <c r="BQ475" s="204">
        <v>1834</v>
      </c>
      <c r="BR475" s="204">
        <v>646</v>
      </c>
      <c r="BS475" s="204">
        <v>323</v>
      </c>
      <c r="BT475" s="204">
        <v>1071</v>
      </c>
      <c r="BU475" s="204">
        <v>1263</v>
      </c>
      <c r="BV475" s="204">
        <v>1263</v>
      </c>
      <c r="BW475" s="204">
        <v>2133</v>
      </c>
      <c r="BX475" s="204">
        <v>1035</v>
      </c>
      <c r="BY475" s="204">
        <v>1590</v>
      </c>
      <c r="BZ475" s="204">
        <v>649</v>
      </c>
      <c r="CA475" s="204">
        <v>449</v>
      </c>
      <c r="CB475" s="204">
        <v>968</v>
      </c>
      <c r="CC475" s="204">
        <v>1653</v>
      </c>
      <c r="CD475" s="204">
        <v>2385</v>
      </c>
      <c r="CE475" s="204">
        <v>3633</v>
      </c>
      <c r="CF475" s="204">
        <v>740</v>
      </c>
      <c r="CG475" s="204">
        <v>1200</v>
      </c>
      <c r="CH475" s="204">
        <v>1897</v>
      </c>
      <c r="CI475" s="231"/>
    </row>
    <row r="476" spans="1:87" ht="25.2" customHeight="1" outlineLevel="1">
      <c r="A476" s="204">
        <v>450</v>
      </c>
      <c r="B476" s="207">
        <v>9010</v>
      </c>
      <c r="C476" s="208" t="s">
        <v>649</v>
      </c>
      <c r="D476" s="194" t="s">
        <v>468</v>
      </c>
      <c r="E476" s="209">
        <f t="shared" si="51"/>
        <v>182</v>
      </c>
      <c r="F476" s="216">
        <v>67</v>
      </c>
      <c r="G476" s="217">
        <v>13.6</v>
      </c>
      <c r="H476" s="218">
        <v>12.4</v>
      </c>
      <c r="I476" s="230">
        <f t="shared" si="52"/>
        <v>4</v>
      </c>
      <c r="J476" s="216">
        <v>0</v>
      </c>
      <c r="K476" s="216">
        <v>3</v>
      </c>
      <c r="L476" s="233"/>
      <c r="M476" s="216">
        <v>81</v>
      </c>
      <c r="N476" s="216">
        <v>212</v>
      </c>
      <c r="O476" s="216">
        <v>3</v>
      </c>
      <c r="P476" s="216">
        <v>3</v>
      </c>
      <c r="Q476" s="216">
        <v>0.12</v>
      </c>
      <c r="R476" s="216">
        <v>0.25</v>
      </c>
      <c r="S476" s="216">
        <v>0.8</v>
      </c>
      <c r="T476" s="231">
        <v>94</v>
      </c>
      <c r="U476" s="231">
        <v>131</v>
      </c>
      <c r="V476" s="231">
        <v>15</v>
      </c>
      <c r="W476" s="242"/>
      <c r="X476" s="232"/>
      <c r="Y476" s="231"/>
      <c r="Z476" s="231"/>
      <c r="AA476" s="241"/>
      <c r="AB476" s="241"/>
      <c r="AC476" s="240"/>
      <c r="AD476" s="240"/>
      <c r="AE476" s="233"/>
      <c r="AF476" s="233"/>
      <c r="AG476" s="240">
        <v>875</v>
      </c>
      <c r="AH476" s="240">
        <f t="shared" si="54"/>
        <v>2913.75</v>
      </c>
      <c r="AI476" s="236">
        <f t="shared" si="53"/>
        <v>911.25</v>
      </c>
      <c r="AJ476" s="275"/>
      <c r="AK476" s="233"/>
      <c r="AL476" s="216"/>
      <c r="AM476" s="236">
        <v>435</v>
      </c>
      <c r="AN476" s="231"/>
      <c r="AO476" s="231"/>
      <c r="AP476" s="231"/>
      <c r="AQ476" s="231"/>
      <c r="AR476" s="236">
        <v>0</v>
      </c>
      <c r="AS476" s="236">
        <v>0</v>
      </c>
      <c r="AT476" s="236">
        <v>0</v>
      </c>
      <c r="AU476" s="236">
        <v>0</v>
      </c>
      <c r="AV476" s="231"/>
      <c r="AW476" s="236"/>
      <c r="AX476" s="242"/>
      <c r="AY476" s="242"/>
      <c r="AZ476" s="242"/>
      <c r="BA476" s="242"/>
      <c r="BB476" s="242"/>
      <c r="BC476" s="242"/>
      <c r="BD476" s="242"/>
      <c r="BE476" s="231"/>
      <c r="BF476" s="242"/>
      <c r="BG476" s="242"/>
      <c r="BH476" s="242"/>
      <c r="BI476" s="242"/>
      <c r="BJ476" s="242"/>
      <c r="BK476" s="242"/>
      <c r="BL476" s="242"/>
      <c r="BM476" s="242"/>
      <c r="BN476" s="242"/>
      <c r="BO476" s="231"/>
      <c r="BP476" s="231"/>
      <c r="BQ476" s="257"/>
      <c r="BR476" s="231"/>
      <c r="BS476" s="231"/>
      <c r="BT476" s="204"/>
      <c r="BU476" s="204"/>
      <c r="BV476" s="204"/>
      <c r="BW476" s="204"/>
      <c r="BX476" s="204"/>
      <c r="BY476" s="204"/>
      <c r="BZ476" s="204"/>
      <c r="CA476" s="204"/>
      <c r="CB476" s="204"/>
      <c r="CC476" s="204"/>
      <c r="CD476" s="204"/>
      <c r="CE476" s="204"/>
      <c r="CF476" s="204"/>
      <c r="CG476" s="204"/>
      <c r="CH476" s="204"/>
      <c r="CI476" s="231"/>
    </row>
    <row r="477" spans="1:87" ht="25.2" customHeight="1" outlineLevel="1">
      <c r="A477" s="204">
        <v>451</v>
      </c>
      <c r="B477" s="207">
        <v>9011</v>
      </c>
      <c r="C477" s="208" t="s">
        <v>650</v>
      </c>
      <c r="D477" s="194" t="s">
        <v>468</v>
      </c>
      <c r="E477" s="209">
        <f t="shared" si="51"/>
        <v>563</v>
      </c>
      <c r="F477" s="216">
        <v>8.5</v>
      </c>
      <c r="G477" s="217">
        <v>44</v>
      </c>
      <c r="H477" s="218">
        <v>42.2</v>
      </c>
      <c r="I477" s="230">
        <f t="shared" si="52"/>
        <v>1.8</v>
      </c>
      <c r="J477" s="216">
        <v>0</v>
      </c>
      <c r="K477" s="216">
        <v>3.5</v>
      </c>
      <c r="L477" s="233"/>
      <c r="M477" s="216">
        <v>186</v>
      </c>
      <c r="N477" s="216">
        <v>786</v>
      </c>
      <c r="O477" s="216">
        <v>9.3000000000000007</v>
      </c>
      <c r="P477" s="216"/>
      <c r="Q477" s="216">
        <v>0.35</v>
      </c>
      <c r="R477" s="216">
        <v>1.23</v>
      </c>
      <c r="S477" s="216">
        <v>0.2</v>
      </c>
      <c r="T477" s="231"/>
      <c r="U477" s="231"/>
      <c r="V477" s="231"/>
      <c r="W477" s="242"/>
      <c r="X477" s="232"/>
      <c r="Y477" s="231"/>
      <c r="Z477" s="231"/>
      <c r="AA477" s="241"/>
      <c r="AB477" s="241"/>
      <c r="AC477" s="240"/>
      <c r="AD477" s="240"/>
      <c r="AE477" s="233"/>
      <c r="AF477" s="233"/>
      <c r="AG477" s="240">
        <v>1340</v>
      </c>
      <c r="AH477" s="240">
        <f t="shared" si="54"/>
        <v>4462.2</v>
      </c>
      <c r="AI477" s="236">
        <f t="shared" si="53"/>
        <v>1404.1666666666699</v>
      </c>
      <c r="AJ477" s="252"/>
      <c r="AK477" s="233"/>
      <c r="AL477" s="216"/>
      <c r="AM477" s="236">
        <v>770</v>
      </c>
      <c r="AN477" s="231"/>
      <c r="AO477" s="231"/>
      <c r="AP477" s="231"/>
      <c r="AQ477" s="231"/>
      <c r="AR477" s="236">
        <v>0</v>
      </c>
      <c r="AS477" s="236">
        <v>0</v>
      </c>
      <c r="AT477" s="236">
        <v>0</v>
      </c>
      <c r="AU477" s="236">
        <v>0</v>
      </c>
      <c r="AV477" s="231"/>
      <c r="AW477" s="236"/>
      <c r="AX477" s="242"/>
      <c r="AY477" s="242"/>
      <c r="AZ477" s="242"/>
      <c r="BA477" s="242"/>
      <c r="BB477" s="242"/>
      <c r="BC477" s="242"/>
      <c r="BD477" s="242"/>
      <c r="BE477" s="231"/>
      <c r="BF477" s="242"/>
      <c r="BG477" s="242"/>
      <c r="BH477" s="242"/>
      <c r="BI477" s="242"/>
      <c r="BJ477" s="242"/>
      <c r="BK477" s="242"/>
      <c r="BL477" s="242"/>
      <c r="BM477" s="242"/>
      <c r="BN477" s="242"/>
      <c r="BO477" s="231"/>
      <c r="BP477" s="231"/>
      <c r="BQ477" s="231"/>
      <c r="BR477" s="231"/>
      <c r="BS477" s="231"/>
      <c r="BT477" s="231"/>
      <c r="BU477" s="231"/>
      <c r="BV477" s="231"/>
      <c r="BW477" s="231"/>
      <c r="BX477" s="231"/>
      <c r="BY477" s="231"/>
      <c r="BZ477" s="231"/>
      <c r="CA477" s="231"/>
      <c r="CB477" s="231"/>
      <c r="CC477" s="231"/>
      <c r="CD477" s="231"/>
      <c r="CE477" s="231"/>
      <c r="CF477" s="231"/>
      <c r="CG477" s="231"/>
      <c r="CH477" s="231"/>
      <c r="CI477" s="231"/>
    </row>
    <row r="478" spans="1:87" ht="25.2" customHeight="1">
      <c r="A478" s="204">
        <v>452</v>
      </c>
      <c r="B478" s="207">
        <v>9012</v>
      </c>
      <c r="C478" s="208" t="s">
        <v>651</v>
      </c>
      <c r="D478" s="194" t="s">
        <v>468</v>
      </c>
      <c r="E478" s="209">
        <f t="shared" si="51"/>
        <v>132.25</v>
      </c>
      <c r="F478" s="216">
        <v>76.23</v>
      </c>
      <c r="G478" s="217">
        <v>12.79</v>
      </c>
      <c r="H478" s="218">
        <v>8.17</v>
      </c>
      <c r="I478" s="230">
        <f t="shared" si="52"/>
        <v>1.8899999999999899</v>
      </c>
      <c r="J478" s="216"/>
      <c r="K478" s="216">
        <v>0.92</v>
      </c>
      <c r="L478" s="233"/>
      <c r="M478" s="216"/>
      <c r="N478" s="216"/>
      <c r="O478" s="216"/>
      <c r="P478" s="216"/>
      <c r="Q478" s="216">
        <v>0.09</v>
      </c>
      <c r="R478" s="216">
        <v>0.18</v>
      </c>
      <c r="S478" s="216"/>
      <c r="T478" s="231"/>
      <c r="U478" s="231"/>
      <c r="V478" s="231"/>
      <c r="W478" s="242"/>
      <c r="X478" s="232"/>
      <c r="Y478" s="231"/>
      <c r="Z478" s="231"/>
      <c r="AA478" s="241"/>
      <c r="AB478" s="241"/>
      <c r="AC478" s="240">
        <v>16.600000000000001</v>
      </c>
      <c r="AD478" s="240"/>
      <c r="AE478" s="233"/>
      <c r="AF478" s="233"/>
      <c r="AG478" s="240">
        <v>166.4</v>
      </c>
      <c r="AH478" s="240">
        <f t="shared" si="54"/>
        <v>554.11199999999997</v>
      </c>
      <c r="AI478" s="236">
        <f t="shared" si="53"/>
        <v>166.4</v>
      </c>
      <c r="AJ478" s="275">
        <f>82/40</f>
        <v>2.0499999999999998</v>
      </c>
      <c r="AK478" s="233">
        <v>9.18</v>
      </c>
      <c r="AL478" s="216"/>
      <c r="AM478" s="236"/>
      <c r="AN478" s="231"/>
      <c r="AO478" s="231"/>
      <c r="AP478" s="231"/>
      <c r="AQ478" s="231"/>
      <c r="AR478" s="236"/>
      <c r="AS478" s="236"/>
      <c r="AT478" s="236"/>
      <c r="AU478" s="236"/>
      <c r="AV478" s="231"/>
      <c r="AW478" s="236"/>
      <c r="AX478" s="242"/>
      <c r="AY478" s="242"/>
      <c r="AZ478" s="242"/>
      <c r="BA478" s="242"/>
      <c r="BB478" s="242"/>
      <c r="BC478" s="242"/>
      <c r="BD478" s="242"/>
      <c r="BE478" s="231"/>
      <c r="BF478" s="242"/>
      <c r="BG478" s="242"/>
      <c r="BH478" s="242"/>
      <c r="BI478" s="242"/>
      <c r="BJ478" s="242"/>
      <c r="BK478" s="242"/>
      <c r="BL478" s="242"/>
      <c r="BM478" s="242"/>
      <c r="BN478" s="242"/>
      <c r="BO478" s="231"/>
      <c r="BP478" s="231"/>
      <c r="BQ478" s="231"/>
      <c r="BR478" s="231"/>
      <c r="BS478" s="231"/>
      <c r="BT478" s="231"/>
      <c r="BU478" s="231"/>
      <c r="BV478" s="231"/>
      <c r="BW478" s="231"/>
      <c r="BX478" s="231"/>
      <c r="BY478" s="231"/>
      <c r="BZ478" s="231"/>
      <c r="CA478" s="231"/>
      <c r="CB478" s="231"/>
      <c r="CC478" s="231"/>
      <c r="CD478" s="231"/>
      <c r="CE478" s="231"/>
      <c r="CF478" s="231"/>
      <c r="CG478" s="231"/>
      <c r="CH478" s="231"/>
      <c r="CI478" s="231"/>
    </row>
    <row r="479" spans="1:87" s="169" customFormat="1" ht="7.05" customHeight="1">
      <c r="A479" s="196"/>
      <c r="B479" s="196"/>
      <c r="C479" s="197"/>
      <c r="D479" s="198"/>
      <c r="E479" s="199"/>
      <c r="F479" s="199"/>
      <c r="G479" s="200"/>
      <c r="H479" s="201"/>
      <c r="I479" s="228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  <c r="AG479" s="199"/>
      <c r="AH479" s="199"/>
      <c r="AI479" s="199"/>
      <c r="AJ479" s="250"/>
      <c r="AK479" s="199"/>
      <c r="AL479" s="199"/>
      <c r="AM479" s="199"/>
      <c r="AN479" s="199"/>
      <c r="AO479" s="199"/>
      <c r="AP479" s="199"/>
      <c r="AQ479" s="199"/>
      <c r="AR479" s="199"/>
      <c r="AS479" s="199"/>
      <c r="AT479" s="199"/>
      <c r="AU479" s="199"/>
      <c r="AV479" s="199"/>
      <c r="AW479" s="199"/>
      <c r="AX479" s="199"/>
      <c r="AY479" s="199"/>
      <c r="AZ479" s="199"/>
      <c r="BA479" s="199"/>
      <c r="BB479" s="199"/>
      <c r="BC479" s="199"/>
      <c r="BD479" s="199"/>
      <c r="BE479" s="199"/>
      <c r="BF479" s="199"/>
      <c r="BG479" s="199"/>
      <c r="BH479" s="199"/>
      <c r="BI479" s="199"/>
      <c r="BJ479" s="199"/>
      <c r="BK479" s="199"/>
      <c r="BL479" s="199"/>
      <c r="BM479" s="199"/>
      <c r="BN479" s="199"/>
      <c r="BO479" s="199"/>
      <c r="BP479" s="199"/>
      <c r="BQ479" s="199"/>
      <c r="BR479" s="199"/>
      <c r="BS479" s="199"/>
      <c r="BT479" s="199"/>
      <c r="BU479" s="199"/>
      <c r="BV479" s="199"/>
      <c r="BW479" s="199"/>
      <c r="BX479" s="199"/>
      <c r="BY479" s="199"/>
      <c r="BZ479" s="199"/>
      <c r="CA479" s="199"/>
      <c r="CB479" s="199"/>
      <c r="CC479" s="199"/>
      <c r="CD479" s="199"/>
      <c r="CE479" s="199"/>
      <c r="CF479" s="199"/>
      <c r="CG479" s="199"/>
      <c r="CH479" s="199"/>
      <c r="CI479" s="199"/>
    </row>
    <row r="480" spans="1:87" ht="25.2" customHeight="1">
      <c r="A480" s="204"/>
      <c r="B480" s="202"/>
      <c r="C480" s="203" t="s">
        <v>652</v>
      </c>
      <c r="D480" s="194"/>
      <c r="E480" s="209"/>
      <c r="F480" s="204"/>
      <c r="G480" s="205"/>
      <c r="H480" s="206"/>
      <c r="I480" s="230"/>
      <c r="J480" s="204"/>
      <c r="K480" s="204"/>
      <c r="L480" s="213"/>
      <c r="M480" s="237"/>
      <c r="N480" s="237"/>
      <c r="O480" s="237"/>
      <c r="P480" s="237"/>
      <c r="Q480" s="237"/>
      <c r="R480" s="237"/>
      <c r="S480" s="237"/>
      <c r="T480" s="231"/>
      <c r="U480" s="231"/>
      <c r="V480" s="231"/>
      <c r="W480" s="242"/>
      <c r="X480" s="232"/>
      <c r="Y480" s="231"/>
      <c r="Z480" s="231"/>
      <c r="AA480" s="244"/>
      <c r="AB480" s="244"/>
      <c r="AC480" s="243"/>
      <c r="AD480" s="243"/>
      <c r="AE480" s="204"/>
      <c r="AF480" s="204"/>
      <c r="AG480" s="243"/>
      <c r="AH480" s="243"/>
      <c r="AI480" s="204"/>
      <c r="AJ480" s="253"/>
      <c r="AK480" s="213"/>
      <c r="AL480" s="237"/>
      <c r="AM480" s="204"/>
      <c r="AN480" s="231"/>
      <c r="AO480" s="231"/>
      <c r="AP480" s="231"/>
      <c r="AQ480" s="231"/>
      <c r="AR480" s="231"/>
      <c r="AS480" s="231"/>
      <c r="AT480" s="231"/>
      <c r="AU480" s="231"/>
      <c r="AV480" s="231"/>
      <c r="AW480" s="204"/>
      <c r="AX480" s="276"/>
      <c r="AY480" s="276"/>
      <c r="AZ480" s="276"/>
      <c r="BA480" s="276"/>
      <c r="BB480" s="276"/>
      <c r="BC480" s="276"/>
      <c r="BD480" s="276"/>
      <c r="BE480" s="257"/>
      <c r="BF480" s="276"/>
      <c r="BG480" s="276"/>
      <c r="BH480" s="276"/>
      <c r="BI480" s="276"/>
      <c r="BJ480" s="276"/>
      <c r="BK480" s="276"/>
      <c r="BL480" s="276"/>
      <c r="BM480" s="276"/>
      <c r="BN480" s="276"/>
      <c r="BO480" s="257"/>
      <c r="BP480" s="257"/>
      <c r="BQ480" s="231"/>
      <c r="BR480" s="231"/>
      <c r="BS480" s="231"/>
      <c r="BT480" s="231"/>
      <c r="BU480" s="231"/>
      <c r="BV480" s="231"/>
      <c r="BW480" s="231"/>
      <c r="BX480" s="231"/>
      <c r="BY480" s="231"/>
      <c r="BZ480" s="231"/>
      <c r="CA480" s="231"/>
      <c r="CB480" s="231"/>
      <c r="CC480" s="231"/>
      <c r="CD480" s="231"/>
      <c r="CE480" s="231"/>
      <c r="CF480" s="231"/>
      <c r="CG480" s="231"/>
      <c r="CH480" s="231"/>
      <c r="CI480" s="231"/>
    </row>
    <row r="481" spans="1:87" ht="25.2" customHeight="1">
      <c r="A481" s="204">
        <v>453</v>
      </c>
      <c r="B481" s="207">
        <v>10001</v>
      </c>
      <c r="C481" s="208" t="s">
        <v>653</v>
      </c>
      <c r="D481" s="194" t="s">
        <v>468</v>
      </c>
      <c r="E481" s="209">
        <f t="shared" ref="E481:E489" si="55">G481*4+H481*9+I481*4</f>
        <v>74.399999999999906</v>
      </c>
      <c r="F481" s="216">
        <v>86.2</v>
      </c>
      <c r="G481" s="217">
        <v>3.9</v>
      </c>
      <c r="H481" s="218">
        <v>4.4000000000000004</v>
      </c>
      <c r="I481" s="230">
        <f t="shared" ref="I481:I489" si="56">100-SUM(F481,G481,H481,K481)</f>
        <v>4.7999999999999803</v>
      </c>
      <c r="J481" s="216">
        <v>0</v>
      </c>
      <c r="K481" s="216">
        <v>0.7</v>
      </c>
      <c r="L481" s="233">
        <v>5.26</v>
      </c>
      <c r="M481" s="216">
        <v>120</v>
      </c>
      <c r="N481" s="216">
        <v>95</v>
      </c>
      <c r="O481" s="216">
        <v>0.1</v>
      </c>
      <c r="P481" s="216">
        <v>1</v>
      </c>
      <c r="Q481" s="216">
        <v>0.05</v>
      </c>
      <c r="R481" s="216">
        <v>0.19</v>
      </c>
      <c r="S481" s="216">
        <v>0.1</v>
      </c>
      <c r="T481" s="240">
        <v>380</v>
      </c>
      <c r="U481" s="240">
        <v>143</v>
      </c>
      <c r="V481" s="240">
        <v>16</v>
      </c>
      <c r="W481" s="241">
        <v>3.0000000000000001E-3</v>
      </c>
      <c r="X481" s="233">
        <v>0.4</v>
      </c>
      <c r="Y481" s="240">
        <v>20</v>
      </c>
      <c r="Z481" s="216">
        <v>1.2</v>
      </c>
      <c r="AA481" s="241">
        <v>0.36199999999999999</v>
      </c>
      <c r="AB481" s="241">
        <v>3.5999999999999997E-2</v>
      </c>
      <c r="AC481" s="240">
        <v>5</v>
      </c>
      <c r="AD481" s="240">
        <v>0</v>
      </c>
      <c r="AE481" s="233">
        <v>1.4</v>
      </c>
      <c r="AF481" s="233">
        <v>0.44</v>
      </c>
      <c r="AG481" s="240">
        <v>50</v>
      </c>
      <c r="AH481" s="240">
        <f t="shared" ref="AH481:AH489" si="57">AG481*3.33</f>
        <v>166.5</v>
      </c>
      <c r="AI481" s="236">
        <f t="shared" ref="AI481:AI489" si="58">AG481+AM481/12+AN481/24+AO481/24</f>
        <v>51.8333333333333</v>
      </c>
      <c r="AJ481" s="252">
        <v>1</v>
      </c>
      <c r="AK481" s="233">
        <v>0.06</v>
      </c>
      <c r="AL481" s="216">
        <v>0.2</v>
      </c>
      <c r="AM481" s="236">
        <v>22</v>
      </c>
      <c r="AN481" s="231">
        <v>0</v>
      </c>
      <c r="AO481" s="231">
        <v>0</v>
      </c>
      <c r="AP481" s="231">
        <v>0</v>
      </c>
      <c r="AQ481" s="231">
        <v>0</v>
      </c>
      <c r="AR481" s="231">
        <v>0</v>
      </c>
      <c r="AS481" s="231">
        <v>0</v>
      </c>
      <c r="AT481" s="231">
        <v>0</v>
      </c>
      <c r="AU481" s="231">
        <v>0</v>
      </c>
      <c r="AV481" s="231"/>
      <c r="AW481" s="236">
        <v>1.865</v>
      </c>
      <c r="AX481" s="244">
        <v>0.82899999999999996</v>
      </c>
      <c r="AY481" s="244">
        <v>0</v>
      </c>
      <c r="AZ481" s="244">
        <v>0.36499999999999999</v>
      </c>
      <c r="BA481" s="244">
        <v>0</v>
      </c>
      <c r="BB481" s="244">
        <v>0</v>
      </c>
      <c r="BC481" s="244">
        <v>0</v>
      </c>
      <c r="BD481" s="244">
        <v>0.81200000000000006</v>
      </c>
      <c r="BE481" s="237">
        <v>0</v>
      </c>
      <c r="BF481" s="244">
        <v>0</v>
      </c>
      <c r="BG481" s="244">
        <v>0.81200000000000006</v>
      </c>
      <c r="BH481" s="244">
        <v>0.19500000000000001</v>
      </c>
      <c r="BI481" s="244">
        <v>0.12</v>
      </c>
      <c r="BJ481" s="244">
        <v>7.4999999999999997E-2</v>
      </c>
      <c r="BK481" s="244">
        <v>0</v>
      </c>
      <c r="BL481" s="244">
        <v>0</v>
      </c>
      <c r="BM481" s="244">
        <v>0</v>
      </c>
      <c r="BN481" s="244"/>
      <c r="BO481" s="204">
        <v>42</v>
      </c>
      <c r="BP481" s="204"/>
      <c r="BQ481" s="204">
        <v>320</v>
      </c>
      <c r="BR481" s="204">
        <v>90</v>
      </c>
      <c r="BS481" s="204">
        <v>50</v>
      </c>
      <c r="BT481" s="204">
        <v>180</v>
      </c>
      <c r="BU481" s="204">
        <v>190</v>
      </c>
      <c r="BV481" s="204">
        <v>240</v>
      </c>
      <c r="BW481" s="204">
        <v>460</v>
      </c>
      <c r="BX481" s="204">
        <v>250</v>
      </c>
      <c r="BY481" s="204">
        <v>170</v>
      </c>
      <c r="BZ481" s="204">
        <v>100</v>
      </c>
      <c r="CA481" s="204">
        <v>28</v>
      </c>
      <c r="CB481" s="204">
        <v>137</v>
      </c>
      <c r="CC481" s="204">
        <v>95</v>
      </c>
      <c r="CD481" s="204">
        <v>221</v>
      </c>
      <c r="CE481" s="204">
        <v>640</v>
      </c>
      <c r="CF481" s="204">
        <v>57</v>
      </c>
      <c r="CG481" s="204">
        <v>297</v>
      </c>
      <c r="CH481" s="204">
        <v>167</v>
      </c>
      <c r="CI481" s="231"/>
    </row>
    <row r="482" spans="1:87" ht="25.2" customHeight="1" outlineLevel="1">
      <c r="A482" s="204">
        <v>454</v>
      </c>
      <c r="B482" s="207">
        <v>10002</v>
      </c>
      <c r="C482" s="208" t="s">
        <v>654</v>
      </c>
      <c r="D482" s="194" t="s">
        <v>468</v>
      </c>
      <c r="E482" s="209">
        <f t="shared" si="55"/>
        <v>68.900000000000006</v>
      </c>
      <c r="F482" s="216">
        <v>87.2</v>
      </c>
      <c r="G482" s="217">
        <v>3.5</v>
      </c>
      <c r="H482" s="218">
        <v>4.0999999999999996</v>
      </c>
      <c r="I482" s="230">
        <f t="shared" si="56"/>
        <v>4.5</v>
      </c>
      <c r="J482" s="216">
        <v>0</v>
      </c>
      <c r="K482" s="216">
        <v>0.7</v>
      </c>
      <c r="L482" s="233">
        <v>4.45</v>
      </c>
      <c r="M482" s="216">
        <v>147</v>
      </c>
      <c r="N482" s="216">
        <v>126</v>
      </c>
      <c r="O482" s="216">
        <v>0.1</v>
      </c>
      <c r="P482" s="216">
        <v>3</v>
      </c>
      <c r="Q482" s="216">
        <v>0.04</v>
      </c>
      <c r="R482" s="216">
        <v>0.18</v>
      </c>
      <c r="S482" s="216">
        <v>0.3</v>
      </c>
      <c r="T482" s="231">
        <v>50</v>
      </c>
      <c r="U482" s="231">
        <v>204</v>
      </c>
      <c r="V482" s="231">
        <v>14</v>
      </c>
      <c r="W482" s="242">
        <v>1.7999999999999999E-2</v>
      </c>
      <c r="X482" s="232">
        <v>0.3</v>
      </c>
      <c r="Y482" s="231">
        <v>46</v>
      </c>
      <c r="Z482" s="231">
        <v>1.4</v>
      </c>
      <c r="AA482" s="241">
        <v>0.31</v>
      </c>
      <c r="AB482" s="241">
        <v>4.5999999999999999E-2</v>
      </c>
      <c r="AC482" s="240">
        <v>1</v>
      </c>
      <c r="AD482" s="240">
        <v>0</v>
      </c>
      <c r="AE482" s="233">
        <v>2</v>
      </c>
      <c r="AF482" s="233">
        <v>7.0000000000000007E-2</v>
      </c>
      <c r="AG482" s="240">
        <v>50</v>
      </c>
      <c r="AH482" s="240">
        <f t="shared" si="57"/>
        <v>166.5</v>
      </c>
      <c r="AI482" s="236">
        <f t="shared" si="58"/>
        <v>51.6666666666667</v>
      </c>
      <c r="AJ482" s="252">
        <v>0.3</v>
      </c>
      <c r="AK482" s="233">
        <v>7.0000000000000007E-2</v>
      </c>
      <c r="AL482" s="216">
        <v>0.3</v>
      </c>
      <c r="AM482" s="236">
        <v>20</v>
      </c>
      <c r="AN482" s="231">
        <v>0</v>
      </c>
      <c r="AO482" s="231">
        <v>0</v>
      </c>
      <c r="AP482" s="231">
        <v>0</v>
      </c>
      <c r="AQ482" s="231">
        <v>0</v>
      </c>
      <c r="AR482" s="231">
        <v>0</v>
      </c>
      <c r="AS482" s="231">
        <v>0</v>
      </c>
      <c r="AT482" s="231">
        <v>0</v>
      </c>
      <c r="AU482" s="231">
        <v>0</v>
      </c>
      <c r="AV482" s="231"/>
      <c r="AW482" s="236">
        <v>2.6669999999999998</v>
      </c>
      <c r="AX482" s="244">
        <v>0.91100000000000003</v>
      </c>
      <c r="AY482" s="244">
        <v>0</v>
      </c>
      <c r="AZ482" s="244">
        <v>0.441</v>
      </c>
      <c r="BA482" s="244">
        <v>0</v>
      </c>
      <c r="BB482" s="244">
        <v>0</v>
      </c>
      <c r="BC482" s="244">
        <v>0</v>
      </c>
      <c r="BD482" s="244">
        <v>1.109</v>
      </c>
      <c r="BE482" s="237">
        <v>0</v>
      </c>
      <c r="BF482" s="244">
        <v>8.2000000000000003E-2</v>
      </c>
      <c r="BG482" s="244">
        <v>0.97699999999999998</v>
      </c>
      <c r="BH482" s="244">
        <v>0.14899999999999999</v>
      </c>
      <c r="BI482" s="244">
        <v>0.109</v>
      </c>
      <c r="BJ482" s="244">
        <v>0.04</v>
      </c>
      <c r="BK482" s="244">
        <v>0</v>
      </c>
      <c r="BL482" s="244">
        <v>0</v>
      </c>
      <c r="BM482" s="244">
        <v>0</v>
      </c>
      <c r="BN482" s="244"/>
      <c r="BO482" s="204">
        <v>2</v>
      </c>
      <c r="BP482" s="204"/>
      <c r="BQ482" s="204">
        <v>249</v>
      </c>
      <c r="BR482" s="204">
        <v>80</v>
      </c>
      <c r="BS482" s="204">
        <v>42</v>
      </c>
      <c r="BT482" s="204">
        <v>191</v>
      </c>
      <c r="BU482" s="204">
        <v>161</v>
      </c>
      <c r="BV482" s="204">
        <v>207</v>
      </c>
      <c r="BW482" s="204">
        <v>313</v>
      </c>
      <c r="BX482" s="204">
        <v>159</v>
      </c>
      <c r="BY482" s="204">
        <v>101</v>
      </c>
      <c r="BZ482" s="204">
        <v>85</v>
      </c>
      <c r="CA482" s="204">
        <v>85</v>
      </c>
      <c r="CB482" s="204">
        <v>212</v>
      </c>
      <c r="CC482" s="204">
        <v>106</v>
      </c>
      <c r="CD482" s="204">
        <v>244</v>
      </c>
      <c r="CE482" s="204">
        <v>636</v>
      </c>
      <c r="CF482" s="204">
        <v>58</v>
      </c>
      <c r="CG482" s="204">
        <v>350</v>
      </c>
      <c r="CH482" s="204">
        <v>170</v>
      </c>
      <c r="CI482" s="231"/>
    </row>
    <row r="483" spans="1:87" ht="25.2" customHeight="1" outlineLevel="1">
      <c r="A483" s="204">
        <v>455</v>
      </c>
      <c r="B483" s="207">
        <v>10003</v>
      </c>
      <c r="C483" s="208" t="s">
        <v>655</v>
      </c>
      <c r="D483" s="194" t="s">
        <v>468</v>
      </c>
      <c r="E483" s="209">
        <f t="shared" si="55"/>
        <v>61</v>
      </c>
      <c r="F483" s="216">
        <v>88.3</v>
      </c>
      <c r="G483" s="217">
        <v>1.5</v>
      </c>
      <c r="H483" s="218">
        <v>3</v>
      </c>
      <c r="I483" s="230">
        <f t="shared" si="56"/>
        <v>7</v>
      </c>
      <c r="J483" s="216">
        <v>0</v>
      </c>
      <c r="K483" s="216">
        <v>0.2</v>
      </c>
      <c r="L483" s="233">
        <v>6.89</v>
      </c>
      <c r="M483" s="216">
        <v>34</v>
      </c>
      <c r="N483" s="216">
        <v>15</v>
      </c>
      <c r="O483" s="216">
        <v>0.1</v>
      </c>
      <c r="P483" s="216">
        <v>6</v>
      </c>
      <c r="Q483" s="216">
        <v>0.01</v>
      </c>
      <c r="R483" s="216">
        <v>0.04</v>
      </c>
      <c r="S483" s="216">
        <v>0.1</v>
      </c>
      <c r="T483" s="240">
        <v>15</v>
      </c>
      <c r="U483" s="240">
        <v>41</v>
      </c>
      <c r="V483" s="240">
        <v>2</v>
      </c>
      <c r="W483" s="241">
        <v>0.01</v>
      </c>
      <c r="X483" s="233">
        <v>0.4</v>
      </c>
      <c r="Y483" s="240">
        <v>14</v>
      </c>
      <c r="Z483" s="216">
        <v>1.8</v>
      </c>
      <c r="AA483" s="241">
        <v>0.223</v>
      </c>
      <c r="AB483" s="241">
        <v>1.0999999999999999E-2</v>
      </c>
      <c r="AC483" s="240">
        <v>5</v>
      </c>
      <c r="AD483" s="240">
        <v>0</v>
      </c>
      <c r="AE483" s="233">
        <v>0.7</v>
      </c>
      <c r="AF483" s="233">
        <v>0.05</v>
      </c>
      <c r="AG483" s="240">
        <v>90</v>
      </c>
      <c r="AH483" s="240">
        <f t="shared" si="57"/>
        <v>299.7</v>
      </c>
      <c r="AI483" s="236">
        <f t="shared" si="58"/>
        <v>90.0833333333333</v>
      </c>
      <c r="AJ483" s="252">
        <v>0.1</v>
      </c>
      <c r="AK483" s="233">
        <v>0.08</v>
      </c>
      <c r="AL483" s="216">
        <v>0.3</v>
      </c>
      <c r="AM483" s="236">
        <v>1</v>
      </c>
      <c r="AN483" s="231">
        <v>0</v>
      </c>
      <c r="AO483" s="231">
        <v>0</v>
      </c>
      <c r="AP483" s="231">
        <v>3</v>
      </c>
      <c r="AQ483" s="231">
        <v>1</v>
      </c>
      <c r="AR483" s="231"/>
      <c r="AS483" s="231"/>
      <c r="AT483" s="231"/>
      <c r="AU483" s="231"/>
      <c r="AV483" s="231"/>
      <c r="AW483" s="236">
        <v>2.0089999999999999</v>
      </c>
      <c r="AX483" s="244">
        <v>0.91900000000000004</v>
      </c>
      <c r="AY483" s="244">
        <v>0</v>
      </c>
      <c r="AZ483" s="244">
        <v>0.29299999999999998</v>
      </c>
      <c r="BA483" s="244">
        <v>0</v>
      </c>
      <c r="BB483" s="244">
        <v>0</v>
      </c>
      <c r="BC483" s="244">
        <v>0</v>
      </c>
      <c r="BD483" s="244">
        <v>1.6579999999999999</v>
      </c>
      <c r="BE483" s="237">
        <v>0</v>
      </c>
      <c r="BF483" s="244">
        <v>0.129</v>
      </c>
      <c r="BG483" s="244">
        <v>1.4750000000000001</v>
      </c>
      <c r="BH483" s="244">
        <v>0.497</v>
      </c>
      <c r="BI483" s="244">
        <v>0.374</v>
      </c>
      <c r="BJ483" s="244">
        <v>5.1999999999999998E-2</v>
      </c>
      <c r="BK483" s="244">
        <v>2.5999999999999999E-2</v>
      </c>
      <c r="BL483" s="244">
        <v>0</v>
      </c>
      <c r="BM483" s="244">
        <v>0</v>
      </c>
      <c r="BN483" s="244"/>
      <c r="BO483" s="204">
        <v>14</v>
      </c>
      <c r="BP483" s="204"/>
      <c r="BQ483" s="204">
        <v>110</v>
      </c>
      <c r="BR483" s="204">
        <v>40</v>
      </c>
      <c r="BS483" s="204">
        <v>30</v>
      </c>
      <c r="BT483" s="204">
        <v>90</v>
      </c>
      <c r="BU483" s="204">
        <v>70</v>
      </c>
      <c r="BV483" s="204">
        <v>130</v>
      </c>
      <c r="BW483" s="204">
        <v>150</v>
      </c>
      <c r="BX483" s="204">
        <v>110</v>
      </c>
      <c r="BY483" s="204">
        <v>60</v>
      </c>
      <c r="BZ483" s="204">
        <v>59</v>
      </c>
      <c r="CA483" s="204">
        <v>26</v>
      </c>
      <c r="CB483" s="204">
        <v>82</v>
      </c>
      <c r="CC483" s="204">
        <v>58</v>
      </c>
      <c r="CD483" s="204">
        <v>130</v>
      </c>
      <c r="CE483" s="204">
        <v>264</v>
      </c>
      <c r="CF483" s="204">
        <v>34</v>
      </c>
      <c r="CG483" s="204">
        <v>137</v>
      </c>
      <c r="CH483" s="204">
        <v>60</v>
      </c>
      <c r="CI483" s="231"/>
    </row>
    <row r="484" spans="1:87" ht="25.2" customHeight="1" outlineLevel="1">
      <c r="A484" s="204">
        <v>456</v>
      </c>
      <c r="B484" s="207">
        <v>10004</v>
      </c>
      <c r="C484" s="208" t="s">
        <v>656</v>
      </c>
      <c r="D484" s="194" t="s">
        <v>468</v>
      </c>
      <c r="E484" s="209">
        <f t="shared" si="55"/>
        <v>60.9</v>
      </c>
      <c r="F484" s="216">
        <v>88.7</v>
      </c>
      <c r="G484" s="217">
        <v>3.3</v>
      </c>
      <c r="H484" s="218">
        <v>3.7</v>
      </c>
      <c r="I484" s="230">
        <f t="shared" si="56"/>
        <v>3.5999999999999899</v>
      </c>
      <c r="J484" s="216">
        <v>0</v>
      </c>
      <c r="K484" s="216">
        <v>0.7</v>
      </c>
      <c r="L484" s="233">
        <v>4.66</v>
      </c>
      <c r="M484" s="216">
        <v>120</v>
      </c>
      <c r="N484" s="216">
        <v>95</v>
      </c>
      <c r="O484" s="216">
        <v>0.1</v>
      </c>
      <c r="P484" s="216">
        <v>0.7</v>
      </c>
      <c r="Q484" s="216">
        <v>0.04</v>
      </c>
      <c r="R484" s="216">
        <v>0.2</v>
      </c>
      <c r="S484" s="216">
        <v>0.1</v>
      </c>
      <c r="T484" s="231">
        <v>46</v>
      </c>
      <c r="U484" s="231">
        <v>155</v>
      </c>
      <c r="V484" s="231">
        <v>12</v>
      </c>
      <c r="W484" s="242">
        <v>4.0000000000000001E-3</v>
      </c>
      <c r="X484" s="232">
        <v>0.59</v>
      </c>
      <c r="Y484" s="231">
        <v>9</v>
      </c>
      <c r="Z484" s="231">
        <v>2.2000000000000002</v>
      </c>
      <c r="AA484" s="241">
        <v>0.38900000000000001</v>
      </c>
      <c r="AB484" s="241">
        <v>3.2000000000000001E-2</v>
      </c>
      <c r="AC484" s="240">
        <v>7</v>
      </c>
      <c r="AD484" s="240">
        <v>0</v>
      </c>
      <c r="AE484" s="233"/>
      <c r="AF484" s="233">
        <v>0.37</v>
      </c>
      <c r="AG484" s="240">
        <v>25</v>
      </c>
      <c r="AH484" s="240">
        <f t="shared" si="57"/>
        <v>83.25</v>
      </c>
      <c r="AI484" s="236">
        <f t="shared" si="58"/>
        <v>25.9166666666667</v>
      </c>
      <c r="AJ484" s="252"/>
      <c r="AK484" s="233"/>
      <c r="AL484" s="216"/>
      <c r="AM484" s="236">
        <v>11</v>
      </c>
      <c r="AN484" s="231">
        <v>0</v>
      </c>
      <c r="AO484" s="231">
        <v>0</v>
      </c>
      <c r="AP484" s="231">
        <v>0</v>
      </c>
      <c r="AQ484" s="231">
        <v>0</v>
      </c>
      <c r="AR484" s="231">
        <v>0</v>
      </c>
      <c r="AS484" s="231">
        <v>0</v>
      </c>
      <c r="AT484" s="231">
        <v>0</v>
      </c>
      <c r="AU484" s="231">
        <v>0</v>
      </c>
      <c r="AV484" s="231"/>
      <c r="AW484" s="236">
        <v>2.0960000000000001</v>
      </c>
      <c r="AX484" s="242">
        <v>0.88600000000000001</v>
      </c>
      <c r="AY484" s="244">
        <v>0</v>
      </c>
      <c r="AZ484" s="242">
        <v>0.317</v>
      </c>
      <c r="BA484" s="244">
        <v>0</v>
      </c>
      <c r="BB484" s="244">
        <v>0</v>
      </c>
      <c r="BC484" s="244">
        <v>0</v>
      </c>
      <c r="BD484" s="242">
        <v>0.89300000000000002</v>
      </c>
      <c r="BE484" s="237">
        <v>0</v>
      </c>
      <c r="BF484" s="242">
        <v>7.0999999999999994E-2</v>
      </c>
      <c r="BG484" s="242">
        <v>0.74299999999999999</v>
      </c>
      <c r="BH484" s="242">
        <v>9.1999999999999998E-2</v>
      </c>
      <c r="BI484" s="242">
        <v>6.5000000000000002E-2</v>
      </c>
      <c r="BJ484" s="242">
        <v>2.7E-2</v>
      </c>
      <c r="BK484" s="242">
        <v>0</v>
      </c>
      <c r="BL484" s="242">
        <v>0</v>
      </c>
      <c r="BM484" s="242">
        <v>0</v>
      </c>
      <c r="BN484" s="242"/>
      <c r="BO484" s="231">
        <v>13</v>
      </c>
      <c r="BP484" s="231"/>
      <c r="BQ484" s="204">
        <v>360</v>
      </c>
      <c r="BR484" s="204">
        <v>107</v>
      </c>
      <c r="BS484" s="204">
        <v>56</v>
      </c>
      <c r="BT484" s="204">
        <v>199</v>
      </c>
      <c r="BU484" s="204">
        <v>181</v>
      </c>
      <c r="BV484" s="204">
        <v>298</v>
      </c>
      <c r="BW484" s="204">
        <v>388</v>
      </c>
      <c r="BX484" s="204">
        <v>228</v>
      </c>
      <c r="BY484" s="204">
        <v>135</v>
      </c>
      <c r="BZ484" s="204">
        <v>109</v>
      </c>
      <c r="CA484" s="204">
        <v>39</v>
      </c>
      <c r="CB484" s="204">
        <v>192</v>
      </c>
      <c r="CC484" s="204">
        <v>134</v>
      </c>
      <c r="CD484" s="204">
        <v>310</v>
      </c>
      <c r="CE484" s="204">
        <v>898</v>
      </c>
      <c r="CF484" s="204">
        <v>80</v>
      </c>
      <c r="CG484" s="204">
        <v>417</v>
      </c>
      <c r="CH484" s="204">
        <v>234</v>
      </c>
      <c r="CI484" s="231"/>
    </row>
    <row r="485" spans="1:87" ht="25.2" customHeight="1" outlineLevel="1">
      <c r="A485" s="204">
        <v>457</v>
      </c>
      <c r="B485" s="207">
        <v>10005</v>
      </c>
      <c r="C485" s="208" t="s">
        <v>657</v>
      </c>
      <c r="D485" s="194" t="s">
        <v>468</v>
      </c>
      <c r="E485" s="209">
        <f t="shared" si="55"/>
        <v>26</v>
      </c>
      <c r="F485" s="216">
        <v>92.8</v>
      </c>
      <c r="G485" s="217">
        <v>3.4</v>
      </c>
      <c r="H485" s="218">
        <v>0</v>
      </c>
      <c r="I485" s="230">
        <f t="shared" si="56"/>
        <v>3.0999999999999899</v>
      </c>
      <c r="J485" s="216">
        <v>0</v>
      </c>
      <c r="K485" s="216">
        <v>0.7</v>
      </c>
      <c r="L485" s="232">
        <v>14.97</v>
      </c>
      <c r="M485" s="216">
        <v>143</v>
      </c>
      <c r="N485" s="216">
        <v>109</v>
      </c>
      <c r="O485" s="216">
        <v>0.06</v>
      </c>
      <c r="P485" s="216">
        <v>1.35</v>
      </c>
      <c r="Q485" s="216">
        <v>0.04</v>
      </c>
      <c r="R485" s="216">
        <v>0.2</v>
      </c>
      <c r="S485" s="216">
        <v>0.1</v>
      </c>
      <c r="T485" s="231">
        <v>135</v>
      </c>
      <c r="U485" s="231">
        <v>339</v>
      </c>
      <c r="V485" s="231">
        <v>40</v>
      </c>
      <c r="W485" s="231"/>
      <c r="X485" s="231">
        <v>1.1299999999999999</v>
      </c>
      <c r="Y485" s="231">
        <v>209</v>
      </c>
      <c r="Z485" s="231">
        <v>7</v>
      </c>
      <c r="AA485" s="231"/>
      <c r="AB485" s="231">
        <v>4.7E-2</v>
      </c>
      <c r="AC485" s="231">
        <v>12</v>
      </c>
      <c r="AD485" s="231">
        <v>0</v>
      </c>
      <c r="AE485" s="231"/>
      <c r="AF485" s="231">
        <v>0.5</v>
      </c>
      <c r="AG485" s="240">
        <v>4</v>
      </c>
      <c r="AH485" s="240">
        <f t="shared" si="57"/>
        <v>13.32</v>
      </c>
      <c r="AI485" s="236">
        <f t="shared" si="58"/>
        <v>4</v>
      </c>
      <c r="AJ485" s="275"/>
      <c r="AK485" s="233">
        <v>0</v>
      </c>
      <c r="AL485" s="216">
        <v>0</v>
      </c>
      <c r="AM485" s="236"/>
      <c r="AN485" s="231">
        <v>0</v>
      </c>
      <c r="AO485" s="231">
        <v>0</v>
      </c>
      <c r="AP485" s="231">
        <v>0</v>
      </c>
      <c r="AQ485" s="231">
        <v>0</v>
      </c>
      <c r="AR485" s="231">
        <v>0</v>
      </c>
      <c r="AS485" s="231">
        <v>0</v>
      </c>
      <c r="AT485" s="231">
        <v>0</v>
      </c>
      <c r="AU485" s="231">
        <v>0</v>
      </c>
      <c r="AV485" s="231"/>
      <c r="AW485" s="236">
        <v>0</v>
      </c>
      <c r="AX485" s="244">
        <v>0</v>
      </c>
      <c r="AY485" s="244">
        <v>0</v>
      </c>
      <c r="AZ485" s="244">
        <v>0</v>
      </c>
      <c r="BA485" s="244">
        <v>0</v>
      </c>
      <c r="BB485" s="244">
        <v>0</v>
      </c>
      <c r="BC485" s="244">
        <v>0</v>
      </c>
      <c r="BD485" s="244">
        <v>0</v>
      </c>
      <c r="BE485" s="237">
        <v>0</v>
      </c>
      <c r="BF485" s="244">
        <v>0</v>
      </c>
      <c r="BG485" s="244">
        <v>0</v>
      </c>
      <c r="BH485" s="244">
        <v>0</v>
      </c>
      <c r="BI485" s="244">
        <v>0</v>
      </c>
      <c r="BJ485" s="244">
        <v>0</v>
      </c>
      <c r="BK485" s="244">
        <v>0</v>
      </c>
      <c r="BL485" s="244">
        <v>0</v>
      </c>
      <c r="BM485" s="244">
        <v>0</v>
      </c>
      <c r="BN485" s="231"/>
      <c r="BO485" s="231">
        <v>1</v>
      </c>
      <c r="BP485" s="231"/>
      <c r="BQ485" s="231"/>
      <c r="BR485" s="231"/>
      <c r="BS485" s="231"/>
      <c r="BT485" s="231"/>
      <c r="BU485" s="231"/>
      <c r="BV485" s="231"/>
      <c r="BW485" s="231"/>
      <c r="BX485" s="231"/>
      <c r="BY485" s="231"/>
      <c r="BZ485" s="231"/>
      <c r="CA485" s="231"/>
      <c r="CB485" s="231"/>
      <c r="CC485" s="231"/>
      <c r="CD485" s="231"/>
      <c r="CE485" s="231"/>
      <c r="CF485" s="231"/>
      <c r="CG485" s="231"/>
      <c r="CH485" s="231"/>
      <c r="CI485" s="231"/>
    </row>
    <row r="486" spans="1:87" ht="25.2" customHeight="1" outlineLevel="1">
      <c r="A486" s="204">
        <v>458</v>
      </c>
      <c r="B486" s="207">
        <v>10006</v>
      </c>
      <c r="C486" s="208" t="s">
        <v>658</v>
      </c>
      <c r="D486" s="194" t="s">
        <v>468</v>
      </c>
      <c r="E486" s="209">
        <f t="shared" si="55"/>
        <v>494</v>
      </c>
      <c r="F486" s="216">
        <v>3.5</v>
      </c>
      <c r="G486" s="217">
        <v>27</v>
      </c>
      <c r="H486" s="218">
        <v>26</v>
      </c>
      <c r="I486" s="230">
        <f t="shared" si="56"/>
        <v>38</v>
      </c>
      <c r="J486" s="216">
        <v>0</v>
      </c>
      <c r="K486" s="216">
        <v>5.5</v>
      </c>
      <c r="L486" s="233">
        <v>38.42</v>
      </c>
      <c r="M486" s="216">
        <v>939</v>
      </c>
      <c r="N486" s="216">
        <v>790</v>
      </c>
      <c r="O486" s="216">
        <v>0.47</v>
      </c>
      <c r="P486" s="216">
        <v>10</v>
      </c>
      <c r="Q486" s="216">
        <v>0.24</v>
      </c>
      <c r="R486" s="216">
        <v>1.31</v>
      </c>
      <c r="S486" s="216">
        <v>0.7</v>
      </c>
      <c r="T486" s="231">
        <v>371</v>
      </c>
      <c r="U486" s="231">
        <v>1330</v>
      </c>
      <c r="V486" s="231">
        <v>85</v>
      </c>
      <c r="W486" s="242">
        <v>0.04</v>
      </c>
      <c r="X486" s="232">
        <v>3.34</v>
      </c>
      <c r="Y486" s="231">
        <v>80</v>
      </c>
      <c r="Z486" s="231">
        <v>16.3</v>
      </c>
      <c r="AA486" s="241">
        <v>2.2709999999999999</v>
      </c>
      <c r="AB486" s="241">
        <v>0.30199999999999999</v>
      </c>
      <c r="AC486" s="240">
        <v>37</v>
      </c>
      <c r="AD486" s="240">
        <v>0</v>
      </c>
      <c r="AE486" s="233">
        <v>10</v>
      </c>
      <c r="AF486" s="233">
        <v>3.25</v>
      </c>
      <c r="AG486" s="240">
        <v>318.33</v>
      </c>
      <c r="AH486" s="240">
        <f t="shared" si="57"/>
        <v>1060.0389</v>
      </c>
      <c r="AI486" s="236">
        <f t="shared" si="58"/>
        <v>321.91333333333301</v>
      </c>
      <c r="AJ486" s="252">
        <v>7.8</v>
      </c>
      <c r="AK486" s="233">
        <v>0.48</v>
      </c>
      <c r="AL486" s="216">
        <v>1.8</v>
      </c>
      <c r="AM486" s="236">
        <v>43</v>
      </c>
      <c r="AN486" s="231">
        <v>0</v>
      </c>
      <c r="AO486" s="231">
        <v>0</v>
      </c>
      <c r="AP486" s="231">
        <v>0</v>
      </c>
      <c r="AQ486" s="231">
        <v>0</v>
      </c>
      <c r="AR486" s="231">
        <v>0</v>
      </c>
      <c r="AS486" s="231">
        <v>0</v>
      </c>
      <c r="AT486" s="231">
        <v>0</v>
      </c>
      <c r="AU486" s="231">
        <v>0</v>
      </c>
      <c r="AV486" s="231"/>
      <c r="AW486" s="236">
        <v>16.742000000000001</v>
      </c>
      <c r="AX486" s="242">
        <v>7.5220000000000002</v>
      </c>
      <c r="AY486" s="244">
        <v>0</v>
      </c>
      <c r="AZ486" s="242">
        <v>2.8530000000000002</v>
      </c>
      <c r="BA486" s="244">
        <v>0</v>
      </c>
      <c r="BB486" s="244">
        <v>0</v>
      </c>
      <c r="BC486" s="244">
        <v>0</v>
      </c>
      <c r="BD486" s="242">
        <v>7.9240000000000004</v>
      </c>
      <c r="BE486" s="237">
        <v>0</v>
      </c>
      <c r="BF486" s="242">
        <v>1.196</v>
      </c>
      <c r="BG486" s="242">
        <v>6.1920000000000002</v>
      </c>
      <c r="BH486" s="242">
        <v>0.66500000000000004</v>
      </c>
      <c r="BI486" s="242">
        <v>0.46</v>
      </c>
      <c r="BJ486" s="242">
        <v>0.20399999999999999</v>
      </c>
      <c r="BK486" s="242">
        <v>0</v>
      </c>
      <c r="BL486" s="242">
        <v>0</v>
      </c>
      <c r="BM486" s="242">
        <v>0</v>
      </c>
      <c r="BN486" s="242"/>
      <c r="BO486" s="231">
        <v>97</v>
      </c>
      <c r="BP486" s="231"/>
      <c r="BQ486" s="204">
        <v>2230</v>
      </c>
      <c r="BR486" s="204">
        <v>699</v>
      </c>
      <c r="BS486" s="204">
        <v>381</v>
      </c>
      <c r="BT486" s="204">
        <v>1291</v>
      </c>
      <c r="BU486" s="204">
        <v>1231</v>
      </c>
      <c r="BV486" s="204">
        <v>1615</v>
      </c>
      <c r="BW486" s="204">
        <v>2541</v>
      </c>
      <c r="BX486" s="204">
        <v>1301</v>
      </c>
      <c r="BY486" s="204">
        <v>942</v>
      </c>
      <c r="BZ486" s="204">
        <v>772</v>
      </c>
      <c r="CA486" s="204">
        <v>243</v>
      </c>
      <c r="CB486" s="204">
        <v>1366</v>
      </c>
      <c r="CC486" s="204">
        <v>1031</v>
      </c>
      <c r="CD486" s="204">
        <v>1909</v>
      </c>
      <c r="CE486" s="204">
        <v>5697</v>
      </c>
      <c r="CF486" s="204">
        <v>524</v>
      </c>
      <c r="CG486" s="204">
        <v>2471</v>
      </c>
      <c r="CH486" s="204">
        <v>132</v>
      </c>
      <c r="CI486" s="231"/>
    </row>
    <row r="487" spans="1:87" ht="25.2" customHeight="1" outlineLevel="1">
      <c r="A487" s="204">
        <v>459</v>
      </c>
      <c r="B487" s="207">
        <v>10007</v>
      </c>
      <c r="C487" s="208" t="s">
        <v>659</v>
      </c>
      <c r="D487" s="194" t="s">
        <v>468</v>
      </c>
      <c r="E487" s="209">
        <f t="shared" si="55"/>
        <v>357</v>
      </c>
      <c r="F487" s="216">
        <v>4</v>
      </c>
      <c r="G487" s="217">
        <v>35</v>
      </c>
      <c r="H487" s="218">
        <v>1</v>
      </c>
      <c r="I487" s="230">
        <f t="shared" si="56"/>
        <v>52</v>
      </c>
      <c r="J487" s="216">
        <v>0</v>
      </c>
      <c r="K487" s="216">
        <v>8</v>
      </c>
      <c r="L487" s="233">
        <v>51.48</v>
      </c>
      <c r="M487" s="216">
        <v>1246</v>
      </c>
      <c r="N487" s="216">
        <v>980</v>
      </c>
      <c r="O487" s="216">
        <v>0.45</v>
      </c>
      <c r="P487" s="216">
        <v>6</v>
      </c>
      <c r="Q487" s="216">
        <v>0.42</v>
      </c>
      <c r="R487" s="216">
        <v>0.6</v>
      </c>
      <c r="S487" s="216">
        <v>1.2</v>
      </c>
      <c r="T487" s="236">
        <v>535</v>
      </c>
      <c r="U487" s="236">
        <v>1794</v>
      </c>
      <c r="V487" s="236">
        <v>110</v>
      </c>
      <c r="W487" s="241">
        <v>0.02</v>
      </c>
      <c r="X487" s="233">
        <v>4.08</v>
      </c>
      <c r="Y487" s="236">
        <v>41</v>
      </c>
      <c r="Z487" s="236">
        <v>27.3</v>
      </c>
      <c r="AA487" s="241">
        <v>3.5680000000000001</v>
      </c>
      <c r="AB487" s="241">
        <v>0.36099999999999999</v>
      </c>
      <c r="AC487" s="240">
        <v>50</v>
      </c>
      <c r="AD487" s="240">
        <v>0</v>
      </c>
      <c r="AE487" s="233">
        <v>16</v>
      </c>
      <c r="AF487" s="233">
        <v>4.03</v>
      </c>
      <c r="AG487" s="240">
        <v>6</v>
      </c>
      <c r="AH487" s="240">
        <f t="shared" si="57"/>
        <v>19.98</v>
      </c>
      <c r="AI487" s="236">
        <f t="shared" si="58"/>
        <v>6.0833333333333304</v>
      </c>
      <c r="AJ487" s="252">
        <v>8.3000000000000007</v>
      </c>
      <c r="AK487" s="233">
        <v>0</v>
      </c>
      <c r="AL487" s="216">
        <v>0.1</v>
      </c>
      <c r="AM487" s="236">
        <v>1</v>
      </c>
      <c r="AN487" s="231">
        <v>0</v>
      </c>
      <c r="AO487" s="231">
        <v>0</v>
      </c>
      <c r="AP487" s="231">
        <v>0</v>
      </c>
      <c r="AQ487" s="231">
        <v>0</v>
      </c>
      <c r="AR487" s="231">
        <v>0</v>
      </c>
      <c r="AS487" s="231">
        <v>0</v>
      </c>
      <c r="AT487" s="231">
        <v>0</v>
      </c>
      <c r="AU487" s="231">
        <v>0</v>
      </c>
      <c r="AV487" s="231"/>
      <c r="AW487" s="236">
        <v>0.499</v>
      </c>
      <c r="AX487" s="242">
        <v>0.23499999999999999</v>
      </c>
      <c r="AY487" s="244">
        <v>0</v>
      </c>
      <c r="AZ487" s="242">
        <v>8.5000000000000006E-2</v>
      </c>
      <c r="BA487" s="244">
        <v>0</v>
      </c>
      <c r="BB487" s="244">
        <v>0</v>
      </c>
      <c r="BC487" s="244">
        <v>0</v>
      </c>
      <c r="BD487" s="242">
        <v>0.20100000000000001</v>
      </c>
      <c r="BE487" s="237">
        <v>0</v>
      </c>
      <c r="BF487" s="242">
        <v>2.1999999999999999E-2</v>
      </c>
      <c r="BG487" s="242">
        <v>0.16700000000000001</v>
      </c>
      <c r="BH487" s="242">
        <v>0.03</v>
      </c>
      <c r="BI487" s="242">
        <v>1.9E-2</v>
      </c>
      <c r="BJ487" s="242">
        <v>1.0999999999999999E-2</v>
      </c>
      <c r="BK487" s="242">
        <v>0</v>
      </c>
      <c r="BL487" s="242">
        <v>0</v>
      </c>
      <c r="BM487" s="242">
        <v>0</v>
      </c>
      <c r="BN487" s="242"/>
      <c r="BO487" s="231">
        <v>20</v>
      </c>
      <c r="BP487" s="231"/>
      <c r="BQ487" s="204">
        <v>3047</v>
      </c>
      <c r="BR487" s="204">
        <v>1243</v>
      </c>
      <c r="BS487" s="204">
        <v>441</v>
      </c>
      <c r="BT487" s="204">
        <v>1700</v>
      </c>
      <c r="BU487" s="204">
        <v>1542</v>
      </c>
      <c r="BV487" s="204">
        <v>2310</v>
      </c>
      <c r="BW487" s="204">
        <v>3177</v>
      </c>
      <c r="BX487" s="204">
        <v>2278</v>
      </c>
      <c r="BY487" s="204">
        <v>1025</v>
      </c>
      <c r="BZ487" s="204">
        <v>877</v>
      </c>
      <c r="CA487" s="204">
        <v>131</v>
      </c>
      <c r="CB487" s="204">
        <v>1559</v>
      </c>
      <c r="CC487" s="204"/>
      <c r="CD487" s="204"/>
      <c r="CE487" s="204"/>
      <c r="CF487" s="204"/>
      <c r="CG487" s="204"/>
      <c r="CH487" s="204"/>
      <c r="CI487" s="231"/>
    </row>
    <row r="488" spans="1:87" ht="25.2" customHeight="1" outlineLevel="1">
      <c r="A488" s="204">
        <v>460</v>
      </c>
      <c r="B488" s="207">
        <v>10008</v>
      </c>
      <c r="C488" s="208" t="s">
        <v>660</v>
      </c>
      <c r="D488" s="194" t="s">
        <v>468</v>
      </c>
      <c r="E488" s="209">
        <f t="shared" si="55"/>
        <v>335.6</v>
      </c>
      <c r="F488" s="216">
        <v>25.4</v>
      </c>
      <c r="G488" s="217">
        <v>8.1</v>
      </c>
      <c r="H488" s="218">
        <v>8.8000000000000007</v>
      </c>
      <c r="I488" s="230">
        <f t="shared" si="56"/>
        <v>56</v>
      </c>
      <c r="J488" s="216">
        <v>0</v>
      </c>
      <c r="K488" s="216">
        <v>1.7</v>
      </c>
      <c r="L488" s="233"/>
      <c r="M488" s="216">
        <v>307</v>
      </c>
      <c r="N488" s="216">
        <v>219</v>
      </c>
      <c r="O488" s="216">
        <v>0.6</v>
      </c>
      <c r="P488" s="216">
        <v>0</v>
      </c>
      <c r="Q488" s="216">
        <v>0.06</v>
      </c>
      <c r="R488" s="216">
        <v>0.3</v>
      </c>
      <c r="S488" s="216">
        <v>0.2</v>
      </c>
      <c r="T488" s="231"/>
      <c r="U488" s="231"/>
      <c r="V488" s="231"/>
      <c r="W488" s="242"/>
      <c r="X488" s="232"/>
      <c r="Y488" s="231"/>
      <c r="Z488" s="231"/>
      <c r="AA488" s="241"/>
      <c r="AB488" s="241"/>
      <c r="AC488" s="240"/>
      <c r="AD488" s="240"/>
      <c r="AE488" s="233"/>
      <c r="AF488" s="233"/>
      <c r="AG488" s="240">
        <v>58</v>
      </c>
      <c r="AH488" s="240">
        <f t="shared" si="57"/>
        <v>193.14</v>
      </c>
      <c r="AI488" s="236">
        <f t="shared" si="58"/>
        <v>62.1666666666667</v>
      </c>
      <c r="AJ488" s="252"/>
      <c r="AK488" s="233"/>
      <c r="AL488" s="216"/>
      <c r="AM488" s="236">
        <v>50</v>
      </c>
      <c r="AN488" s="231">
        <v>0</v>
      </c>
      <c r="AO488" s="231">
        <v>0</v>
      </c>
      <c r="AP488" s="231">
        <v>0</v>
      </c>
      <c r="AQ488" s="231">
        <v>0</v>
      </c>
      <c r="AR488" s="231">
        <v>0</v>
      </c>
      <c r="AS488" s="231">
        <v>0</v>
      </c>
      <c r="AT488" s="231">
        <v>0</v>
      </c>
      <c r="AU488" s="231">
        <v>0</v>
      </c>
      <c r="AV488" s="204"/>
      <c r="AW488" s="236"/>
      <c r="AX488" s="244"/>
      <c r="AY488" s="244"/>
      <c r="AZ488" s="244"/>
      <c r="BA488" s="244"/>
      <c r="BB488" s="244"/>
      <c r="BC488" s="244"/>
      <c r="BD488" s="244"/>
      <c r="BE488" s="204"/>
      <c r="BF488" s="244"/>
      <c r="BG488" s="244"/>
      <c r="BH488" s="244"/>
      <c r="BI488" s="244"/>
      <c r="BJ488" s="244"/>
      <c r="BK488" s="244"/>
      <c r="BL488" s="244"/>
      <c r="BM488" s="244"/>
      <c r="BN488" s="244"/>
      <c r="BO488" s="204"/>
      <c r="BP488" s="204"/>
      <c r="BQ488" s="204">
        <v>536</v>
      </c>
      <c r="BR488" s="204">
        <v>194</v>
      </c>
      <c r="BS488" s="204">
        <v>101</v>
      </c>
      <c r="BT488" s="204">
        <v>401</v>
      </c>
      <c r="BU488" s="204">
        <v>353</v>
      </c>
      <c r="BV488" s="204">
        <v>494</v>
      </c>
      <c r="BW488" s="204">
        <v>698</v>
      </c>
      <c r="BX488" s="204">
        <v>392</v>
      </c>
      <c r="BY488" s="204">
        <v>263</v>
      </c>
      <c r="BZ488" s="204">
        <v>206</v>
      </c>
      <c r="CA488" s="204">
        <v>68</v>
      </c>
      <c r="CB488" s="204">
        <v>383</v>
      </c>
      <c r="CC488" s="204">
        <v>272</v>
      </c>
      <c r="CD488" s="204">
        <v>648</v>
      </c>
      <c r="CE488" s="204">
        <v>1518</v>
      </c>
      <c r="CF488" s="204">
        <v>185</v>
      </c>
      <c r="CG488" s="204">
        <v>728</v>
      </c>
      <c r="CH488" s="204">
        <v>428</v>
      </c>
      <c r="CI488" s="204"/>
    </row>
    <row r="489" spans="1:87" ht="25.2" customHeight="1" outlineLevel="1">
      <c r="A489" s="204">
        <v>461</v>
      </c>
      <c r="B489" s="207">
        <v>10009</v>
      </c>
      <c r="C489" s="208" t="s">
        <v>661</v>
      </c>
      <c r="D489" s="194" t="s">
        <v>468</v>
      </c>
      <c r="E489" s="209">
        <f t="shared" si="55"/>
        <v>380.1</v>
      </c>
      <c r="F489" s="216">
        <v>38.9</v>
      </c>
      <c r="G489" s="217">
        <v>25.5</v>
      </c>
      <c r="H489" s="218">
        <v>30.9</v>
      </c>
      <c r="I489" s="230">
        <f t="shared" si="56"/>
        <v>0</v>
      </c>
      <c r="J489" s="216">
        <v>0</v>
      </c>
      <c r="K489" s="216">
        <v>4.7</v>
      </c>
      <c r="L489" s="233">
        <v>0.52</v>
      </c>
      <c r="M489" s="216">
        <v>760</v>
      </c>
      <c r="N489" s="216">
        <v>424</v>
      </c>
      <c r="O489" s="216">
        <v>0.5</v>
      </c>
      <c r="P489" s="216">
        <v>0.5</v>
      </c>
      <c r="Q489" s="216">
        <v>0.1</v>
      </c>
      <c r="R489" s="216">
        <v>0.51</v>
      </c>
      <c r="S489" s="216">
        <v>0.1</v>
      </c>
      <c r="T489" s="231">
        <v>621</v>
      </c>
      <c r="U489" s="231">
        <v>98</v>
      </c>
      <c r="V489" s="231">
        <v>28</v>
      </c>
      <c r="W489" s="242">
        <v>0.01</v>
      </c>
      <c r="X489" s="232">
        <v>3.11</v>
      </c>
      <c r="Y489" s="231">
        <v>31</v>
      </c>
      <c r="Z489" s="231">
        <v>13.9</v>
      </c>
      <c r="AA489" s="241">
        <v>0.41299999999999998</v>
      </c>
      <c r="AB489" s="241">
        <v>7.3999999999999996E-2</v>
      </c>
      <c r="AC489" s="240">
        <v>18</v>
      </c>
      <c r="AD489" s="240">
        <v>0</v>
      </c>
      <c r="AE489" s="233">
        <v>1.7</v>
      </c>
      <c r="AF489" s="233">
        <v>0.83</v>
      </c>
      <c r="AG489" s="240">
        <v>275</v>
      </c>
      <c r="AH489" s="240">
        <f t="shared" si="57"/>
        <v>915.75</v>
      </c>
      <c r="AI489" s="236">
        <f t="shared" si="58"/>
        <v>284.83333333333297</v>
      </c>
      <c r="AJ489" s="252">
        <v>0.3</v>
      </c>
      <c r="AK489" s="233">
        <v>0.28999999999999998</v>
      </c>
      <c r="AL489" s="216">
        <v>2.8</v>
      </c>
      <c r="AM489" s="236">
        <v>118</v>
      </c>
      <c r="AN489" s="231">
        <v>0</v>
      </c>
      <c r="AO489" s="231">
        <v>0</v>
      </c>
      <c r="AP489" s="231">
        <v>0</v>
      </c>
      <c r="AQ489" s="231">
        <v>0</v>
      </c>
      <c r="AR489" s="231">
        <v>0</v>
      </c>
      <c r="AS489" s="231">
        <v>0</v>
      </c>
      <c r="AT489" s="231">
        <v>0</v>
      </c>
      <c r="AU489" s="231">
        <v>0</v>
      </c>
      <c r="AV489" s="231"/>
      <c r="AW489" s="236">
        <v>21.091999999999999</v>
      </c>
      <c r="AX489" s="244">
        <v>9.8030000000000008</v>
      </c>
      <c r="AY489" s="244">
        <v>0</v>
      </c>
      <c r="AZ489" s="244">
        <v>4.0069999999999997</v>
      </c>
      <c r="BA489" s="244">
        <v>0</v>
      </c>
      <c r="BB489" s="244">
        <v>0</v>
      </c>
      <c r="BC489" s="244">
        <v>0</v>
      </c>
      <c r="BD489" s="244">
        <v>9.391</v>
      </c>
      <c r="BE489" s="237">
        <v>0</v>
      </c>
      <c r="BF489" s="244">
        <v>1.004</v>
      </c>
      <c r="BG489" s="244">
        <v>7.9050000000000002</v>
      </c>
      <c r="BH489" s="244">
        <v>0.94199999999999995</v>
      </c>
      <c r="BI489" s="244">
        <v>0.57699999999999996</v>
      </c>
      <c r="BJ489" s="244">
        <v>0.36499999999999999</v>
      </c>
      <c r="BK489" s="244">
        <v>0</v>
      </c>
      <c r="BL489" s="244">
        <v>0</v>
      </c>
      <c r="BM489" s="244">
        <v>0</v>
      </c>
      <c r="BN489" s="244"/>
      <c r="BO489" s="204">
        <v>105</v>
      </c>
      <c r="BP489" s="204"/>
      <c r="BQ489" s="204">
        <v>1883</v>
      </c>
      <c r="BR489" s="204">
        <v>596</v>
      </c>
      <c r="BS489" s="204">
        <v>369</v>
      </c>
      <c r="BT489" s="204">
        <v>1286</v>
      </c>
      <c r="BU489" s="204">
        <v>943</v>
      </c>
      <c r="BV489" s="204">
        <v>1618</v>
      </c>
      <c r="BW489" s="204">
        <v>2076</v>
      </c>
      <c r="BX489" s="204">
        <v>1138</v>
      </c>
      <c r="BY489" s="204">
        <v>808</v>
      </c>
      <c r="BZ489" s="204">
        <v>683</v>
      </c>
      <c r="CA489" s="204">
        <v>141</v>
      </c>
      <c r="CB489" s="204">
        <v>1385</v>
      </c>
      <c r="CC489" s="204">
        <v>734</v>
      </c>
      <c r="CD489" s="204">
        <v>1691</v>
      </c>
      <c r="CE489" s="204">
        <v>5631</v>
      </c>
      <c r="CF489" s="204">
        <v>469</v>
      </c>
      <c r="CG489" s="204">
        <v>2612</v>
      </c>
      <c r="CH489" s="204">
        <v>1401</v>
      </c>
      <c r="CI489" s="231"/>
    </row>
    <row r="490" spans="1:87" s="169" customFormat="1" ht="7.05" customHeight="1">
      <c r="A490" s="196"/>
      <c r="B490" s="196"/>
      <c r="C490" s="197"/>
      <c r="D490" s="198"/>
      <c r="E490" s="199"/>
      <c r="F490" s="199"/>
      <c r="G490" s="200"/>
      <c r="H490" s="201"/>
      <c r="I490" s="228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  <c r="AG490" s="199"/>
      <c r="AH490" s="199"/>
      <c r="AI490" s="199"/>
      <c r="AJ490" s="250"/>
      <c r="AK490" s="199"/>
      <c r="AL490" s="199"/>
      <c r="AM490" s="199"/>
      <c r="AN490" s="199"/>
      <c r="AO490" s="199"/>
      <c r="AP490" s="199"/>
      <c r="AQ490" s="199"/>
      <c r="AR490" s="199"/>
      <c r="AS490" s="199"/>
      <c r="AT490" s="199"/>
      <c r="AU490" s="199"/>
      <c r="AV490" s="199"/>
      <c r="AW490" s="199"/>
      <c r="AX490" s="199"/>
      <c r="AY490" s="199"/>
      <c r="AZ490" s="199"/>
      <c r="BA490" s="199"/>
      <c r="BB490" s="199"/>
      <c r="BC490" s="199"/>
      <c r="BD490" s="199"/>
      <c r="BE490" s="199"/>
      <c r="BF490" s="199"/>
      <c r="BG490" s="199"/>
      <c r="BH490" s="199"/>
      <c r="BI490" s="199"/>
      <c r="BJ490" s="199"/>
      <c r="BK490" s="199"/>
      <c r="BL490" s="199"/>
      <c r="BM490" s="199"/>
      <c r="BN490" s="199"/>
      <c r="BO490" s="199"/>
      <c r="BP490" s="199"/>
      <c r="BQ490" s="199"/>
      <c r="BR490" s="199"/>
      <c r="BS490" s="199"/>
      <c r="BT490" s="199"/>
      <c r="BU490" s="199"/>
      <c r="BV490" s="199"/>
      <c r="BW490" s="199"/>
      <c r="BX490" s="199"/>
      <c r="BY490" s="199"/>
      <c r="BZ490" s="199"/>
      <c r="CA490" s="199"/>
      <c r="CB490" s="199"/>
      <c r="CC490" s="199"/>
      <c r="CD490" s="199"/>
      <c r="CE490" s="199"/>
      <c r="CF490" s="199"/>
      <c r="CG490" s="199"/>
      <c r="CH490" s="199"/>
      <c r="CI490" s="199"/>
    </row>
    <row r="491" spans="1:87" ht="25.2" customHeight="1">
      <c r="A491" s="204"/>
      <c r="B491" s="202"/>
      <c r="C491" s="203" t="s">
        <v>662</v>
      </c>
      <c r="D491" s="194"/>
      <c r="E491" s="240"/>
      <c r="F491" s="236"/>
      <c r="G491" s="272"/>
      <c r="H491" s="273"/>
      <c r="I491" s="230"/>
      <c r="J491" s="236"/>
      <c r="K491" s="236"/>
      <c r="L491" s="233"/>
      <c r="M491" s="216"/>
      <c r="N491" s="216"/>
      <c r="O491" s="216"/>
      <c r="P491" s="216"/>
      <c r="Q491" s="216"/>
      <c r="R491" s="216"/>
      <c r="S491" s="216"/>
      <c r="T491" s="231"/>
      <c r="U491" s="231"/>
      <c r="V491" s="231"/>
      <c r="W491" s="242"/>
      <c r="X491" s="232"/>
      <c r="Y491" s="231"/>
      <c r="Z491" s="231"/>
      <c r="AA491" s="241"/>
      <c r="AB491" s="241"/>
      <c r="AC491" s="240"/>
      <c r="AD491" s="240"/>
      <c r="AE491" s="236"/>
      <c r="AF491" s="236"/>
      <c r="AG491" s="240"/>
      <c r="AH491" s="240"/>
      <c r="AI491" s="236"/>
      <c r="AJ491" s="252"/>
      <c r="AK491" s="233"/>
      <c r="AL491" s="216"/>
      <c r="AM491" s="236"/>
      <c r="AN491" s="231"/>
      <c r="AO491" s="231"/>
      <c r="AP491" s="231"/>
      <c r="AQ491" s="231"/>
      <c r="AR491" s="231"/>
      <c r="AS491" s="231"/>
      <c r="AT491" s="231"/>
      <c r="AU491" s="231"/>
      <c r="AV491" s="231"/>
      <c r="AW491" s="236"/>
      <c r="AX491" s="242"/>
      <c r="AY491" s="242"/>
      <c r="AZ491" s="242"/>
      <c r="BA491" s="242"/>
      <c r="BB491" s="242"/>
      <c r="BC491" s="242"/>
      <c r="BD491" s="242"/>
      <c r="BE491" s="231"/>
      <c r="BF491" s="242"/>
      <c r="BG491" s="242"/>
      <c r="BH491" s="242"/>
      <c r="BI491" s="242"/>
      <c r="BJ491" s="242"/>
      <c r="BK491" s="242"/>
      <c r="BL491" s="242"/>
      <c r="BM491" s="242"/>
      <c r="BN491" s="242"/>
      <c r="BO491" s="231"/>
      <c r="BP491" s="231"/>
      <c r="BQ491" s="231"/>
      <c r="BR491" s="231"/>
      <c r="BS491" s="231"/>
      <c r="BT491" s="231"/>
      <c r="BU491" s="231"/>
      <c r="BV491" s="231"/>
      <c r="BW491" s="231"/>
      <c r="BX491" s="231"/>
      <c r="BY491" s="231"/>
      <c r="BZ491" s="231"/>
      <c r="CA491" s="231"/>
      <c r="CB491" s="231"/>
      <c r="CC491" s="231"/>
      <c r="CD491" s="231"/>
      <c r="CE491" s="231"/>
      <c r="CF491" s="231"/>
      <c r="CG491" s="231"/>
      <c r="CH491" s="231"/>
      <c r="CI491" s="231"/>
    </row>
    <row r="492" spans="1:87" ht="25.2" customHeight="1" outlineLevel="1">
      <c r="A492" s="204">
        <v>462</v>
      </c>
      <c r="B492" s="207">
        <v>11001</v>
      </c>
      <c r="C492" s="208" t="s">
        <v>663</v>
      </c>
      <c r="D492" s="194" t="s">
        <v>181</v>
      </c>
      <c r="E492" s="209">
        <f t="shared" ref="E492:E512" si="59">G492*4+H492*9+I492*4</f>
        <v>62.8</v>
      </c>
      <c r="F492" s="231">
        <v>83.9</v>
      </c>
      <c r="G492" s="211">
        <v>0.5</v>
      </c>
      <c r="H492" s="212">
        <v>0</v>
      </c>
      <c r="I492" s="230">
        <f t="shared" ref="I492:I512" si="60">100-SUM(F492,G492,H492,K492)</f>
        <v>15.2</v>
      </c>
      <c r="J492" s="231">
        <v>1.3</v>
      </c>
      <c r="K492" s="231">
        <v>0.4</v>
      </c>
      <c r="L492" s="233"/>
      <c r="M492" s="236">
        <v>12</v>
      </c>
      <c r="N492" s="236">
        <v>160</v>
      </c>
      <c r="O492" s="236">
        <v>0.6</v>
      </c>
      <c r="P492" s="236">
        <v>9</v>
      </c>
      <c r="Q492" s="236"/>
      <c r="R492" s="236"/>
      <c r="S492" s="236"/>
      <c r="T492" s="231"/>
      <c r="U492" s="231"/>
      <c r="V492" s="231"/>
      <c r="W492" s="242"/>
      <c r="X492" s="232"/>
      <c r="Y492" s="231"/>
      <c r="Z492" s="231"/>
      <c r="AA492" s="241"/>
      <c r="AB492" s="241"/>
      <c r="AC492" s="240"/>
      <c r="AD492" s="240"/>
      <c r="AE492" s="236"/>
      <c r="AF492" s="236"/>
      <c r="AG492" s="240"/>
      <c r="AH492" s="240">
        <f t="shared" ref="AH492:AH512" si="61">AG492*3.33</f>
        <v>0</v>
      </c>
      <c r="AI492" s="236">
        <f t="shared" ref="AI492:AI512" si="62">AG492+AM492/12+AN492/24+AO492/24</f>
        <v>0</v>
      </c>
      <c r="AJ492" s="252"/>
      <c r="AK492" s="233"/>
      <c r="AL492" s="216"/>
      <c r="AM492" s="236"/>
      <c r="AN492" s="231">
        <v>0</v>
      </c>
      <c r="AO492" s="231">
        <v>0</v>
      </c>
      <c r="AP492" s="231">
        <v>0</v>
      </c>
      <c r="AQ492" s="231">
        <v>0</v>
      </c>
      <c r="AR492" s="231">
        <v>0</v>
      </c>
      <c r="AS492" s="231">
        <v>0</v>
      </c>
      <c r="AT492" s="231">
        <v>0</v>
      </c>
      <c r="AU492" s="231">
        <v>0</v>
      </c>
      <c r="AV492" s="231"/>
      <c r="AW492" s="236"/>
      <c r="AX492" s="242"/>
      <c r="AY492" s="242"/>
      <c r="AZ492" s="242"/>
      <c r="BA492" s="242"/>
      <c r="BB492" s="242"/>
      <c r="BC492" s="242"/>
      <c r="BD492" s="242"/>
      <c r="BE492" s="231"/>
      <c r="BF492" s="242"/>
      <c r="BG492" s="242"/>
      <c r="BH492" s="242"/>
      <c r="BI492" s="242"/>
      <c r="BJ492" s="242"/>
      <c r="BK492" s="242"/>
      <c r="BL492" s="242"/>
      <c r="BM492" s="242"/>
      <c r="BN492" s="242"/>
      <c r="BO492" s="231">
        <v>0</v>
      </c>
      <c r="BP492" s="231"/>
      <c r="BQ492" s="231"/>
      <c r="BR492" s="231"/>
      <c r="BS492" s="231"/>
      <c r="BT492" s="231"/>
      <c r="BU492" s="231"/>
      <c r="BV492" s="231"/>
      <c r="BW492" s="231"/>
      <c r="BX492" s="231"/>
      <c r="BY492" s="231"/>
      <c r="BZ492" s="231"/>
      <c r="CA492" s="231"/>
      <c r="CB492" s="231"/>
      <c r="CC492" s="231"/>
      <c r="CD492" s="231"/>
      <c r="CE492" s="231"/>
      <c r="CF492" s="231"/>
      <c r="CG492" s="231"/>
      <c r="CH492" s="231"/>
      <c r="CI492" s="231"/>
    </row>
    <row r="493" spans="1:87" ht="25.2" customHeight="1" outlineLevel="1">
      <c r="A493" s="204">
        <v>463</v>
      </c>
      <c r="B493" s="207">
        <v>11002</v>
      </c>
      <c r="C493" s="208" t="s">
        <v>664</v>
      </c>
      <c r="D493" s="194" t="s">
        <v>181</v>
      </c>
      <c r="E493" s="209">
        <f t="shared" si="59"/>
        <v>18.399999999999999</v>
      </c>
      <c r="F493" s="216">
        <v>95</v>
      </c>
      <c r="G493" s="217">
        <v>0.3</v>
      </c>
      <c r="H493" s="218">
        <v>0</v>
      </c>
      <c r="I493" s="230">
        <f t="shared" si="60"/>
        <v>4.3</v>
      </c>
      <c r="J493" s="216">
        <v>0.7</v>
      </c>
      <c r="K493" s="216">
        <v>0.4</v>
      </c>
      <c r="L493" s="233">
        <v>1.06</v>
      </c>
      <c r="M493" s="216">
        <v>12</v>
      </c>
      <c r="N493" s="216">
        <v>16</v>
      </c>
      <c r="O493" s="216">
        <v>0.3</v>
      </c>
      <c r="P493" s="216">
        <v>2</v>
      </c>
      <c r="Q493" s="216">
        <v>0.02</v>
      </c>
      <c r="R493" s="216">
        <v>0.03</v>
      </c>
      <c r="S493" s="216">
        <v>0.1</v>
      </c>
      <c r="T493" s="231">
        <v>1208</v>
      </c>
      <c r="U493" s="231">
        <v>23</v>
      </c>
      <c r="V493" s="231">
        <v>4</v>
      </c>
      <c r="W493" s="242">
        <v>1.0999999999999999E-2</v>
      </c>
      <c r="X493" s="232">
        <v>0.02</v>
      </c>
      <c r="Y493" s="231">
        <v>85</v>
      </c>
      <c r="Z493" s="231">
        <v>0</v>
      </c>
      <c r="AA493" s="241">
        <v>3.7999999999999999E-2</v>
      </c>
      <c r="AB493" s="241">
        <v>8.9999999999999993E-3</v>
      </c>
      <c r="AC493" s="240">
        <v>1</v>
      </c>
      <c r="AD493" s="240">
        <v>0</v>
      </c>
      <c r="AE493" s="233"/>
      <c r="AF493" s="233">
        <v>0</v>
      </c>
      <c r="AG493" s="240"/>
      <c r="AH493" s="240">
        <f t="shared" si="61"/>
        <v>0</v>
      </c>
      <c r="AI493" s="236">
        <f t="shared" si="62"/>
        <v>6.5</v>
      </c>
      <c r="AJ493" s="252"/>
      <c r="AK493" s="233">
        <v>0.06</v>
      </c>
      <c r="AL493" s="216">
        <v>13</v>
      </c>
      <c r="AM493" s="236">
        <v>55</v>
      </c>
      <c r="AN493" s="231">
        <v>14</v>
      </c>
      <c r="AO493" s="231">
        <v>32</v>
      </c>
      <c r="AP493" s="231">
        <v>0</v>
      </c>
      <c r="AQ493" s="231">
        <v>29</v>
      </c>
      <c r="AR493" s="231">
        <v>0</v>
      </c>
      <c r="AS493" s="231">
        <v>0</v>
      </c>
      <c r="AT493" s="231">
        <v>0</v>
      </c>
      <c r="AU493" s="231">
        <v>0</v>
      </c>
      <c r="AV493" s="231"/>
      <c r="AW493" s="236">
        <v>5.1999999999999998E-2</v>
      </c>
      <c r="AX493" s="242">
        <v>4.3999999999999997E-2</v>
      </c>
      <c r="AY493" s="242">
        <v>0</v>
      </c>
      <c r="AZ493" s="242">
        <v>5.0000000000000001E-3</v>
      </c>
      <c r="BA493" s="242">
        <v>0</v>
      </c>
      <c r="BB493" s="242">
        <v>0</v>
      </c>
      <c r="BC493" s="242">
        <v>0</v>
      </c>
      <c r="BD493" s="242">
        <v>3.0000000000000001E-3</v>
      </c>
      <c r="BE493" s="231">
        <v>0</v>
      </c>
      <c r="BF493" s="242">
        <v>0</v>
      </c>
      <c r="BG493" s="242">
        <v>3.0000000000000001E-3</v>
      </c>
      <c r="BH493" s="242">
        <v>8.2000000000000003E-2</v>
      </c>
      <c r="BI493" s="242">
        <v>3.5000000000000003E-2</v>
      </c>
      <c r="BJ493" s="242">
        <v>4.7E-2</v>
      </c>
      <c r="BK493" s="242">
        <v>0</v>
      </c>
      <c r="BL493" s="242">
        <v>0</v>
      </c>
      <c r="BM493" s="242">
        <v>0</v>
      </c>
      <c r="BN493" s="242"/>
      <c r="BO493" s="231">
        <v>0</v>
      </c>
      <c r="BP493" s="231">
        <v>14</v>
      </c>
      <c r="BQ493" s="231">
        <v>14</v>
      </c>
      <c r="BR493" s="231">
        <v>3</v>
      </c>
      <c r="BS493" s="231">
        <v>3</v>
      </c>
      <c r="BT493" s="231">
        <v>9</v>
      </c>
      <c r="BU493" s="231">
        <v>9</v>
      </c>
      <c r="BV493" s="231">
        <v>11</v>
      </c>
      <c r="BW493" s="231">
        <v>14</v>
      </c>
      <c r="BX493" s="231">
        <v>10</v>
      </c>
      <c r="BY493" s="231">
        <v>21</v>
      </c>
      <c r="BZ493" s="231">
        <v>5</v>
      </c>
      <c r="CA493" s="231">
        <v>2</v>
      </c>
      <c r="CB493" s="231">
        <v>6</v>
      </c>
      <c r="CC493" s="231">
        <v>11</v>
      </c>
      <c r="CD493" s="231">
        <v>20</v>
      </c>
      <c r="CE493" s="231">
        <v>95</v>
      </c>
      <c r="CF493" s="231">
        <v>12</v>
      </c>
      <c r="CG493" s="231">
        <v>8</v>
      </c>
      <c r="CH493" s="231">
        <v>10</v>
      </c>
      <c r="CI493" s="231"/>
    </row>
    <row r="494" spans="1:87" ht="25.2" customHeight="1" outlineLevel="1">
      <c r="A494" s="204">
        <v>464</v>
      </c>
      <c r="B494" s="207">
        <v>11003</v>
      </c>
      <c r="C494" s="208" t="s">
        <v>665</v>
      </c>
      <c r="D494" s="194" t="s">
        <v>181</v>
      </c>
      <c r="E494" s="209">
        <f t="shared" si="59"/>
        <v>56.8</v>
      </c>
      <c r="F494" s="216">
        <v>85.6</v>
      </c>
      <c r="G494" s="217">
        <v>0.3</v>
      </c>
      <c r="H494" s="218">
        <v>0</v>
      </c>
      <c r="I494" s="230">
        <f t="shared" si="60"/>
        <v>13.9</v>
      </c>
      <c r="J494" s="216">
        <v>0.2</v>
      </c>
      <c r="K494" s="216">
        <v>0.2</v>
      </c>
      <c r="L494" s="233">
        <v>12.65</v>
      </c>
      <c r="M494" s="216">
        <v>20</v>
      </c>
      <c r="N494" s="216">
        <v>12</v>
      </c>
      <c r="O494" s="216">
        <v>0.3</v>
      </c>
      <c r="P494" s="216">
        <v>14</v>
      </c>
      <c r="Q494" s="216">
        <v>0.06</v>
      </c>
      <c r="R494" s="216">
        <v>0.01</v>
      </c>
      <c r="S494" s="216">
        <v>0.2</v>
      </c>
      <c r="T494" s="231">
        <v>1</v>
      </c>
      <c r="U494" s="231">
        <v>105</v>
      </c>
      <c r="V494" s="231">
        <v>16</v>
      </c>
      <c r="W494" s="242">
        <v>1.097</v>
      </c>
      <c r="X494" s="232">
        <v>0.12</v>
      </c>
      <c r="Y494" s="231">
        <v>103</v>
      </c>
      <c r="Z494" s="231">
        <v>0.4</v>
      </c>
      <c r="AA494" s="241">
        <v>0.1</v>
      </c>
      <c r="AB494" s="241">
        <v>7.3999999999999996E-2</v>
      </c>
      <c r="AC494" s="240">
        <v>5</v>
      </c>
      <c r="AD494" s="240">
        <v>0</v>
      </c>
      <c r="AE494" s="233"/>
      <c r="AF494" s="233">
        <v>0</v>
      </c>
      <c r="AG494" s="240"/>
      <c r="AH494" s="240">
        <f t="shared" si="61"/>
        <v>0</v>
      </c>
      <c r="AI494" s="236">
        <f t="shared" si="62"/>
        <v>1.9166666666666701</v>
      </c>
      <c r="AJ494" s="252"/>
      <c r="AK494" s="233">
        <v>0.01</v>
      </c>
      <c r="AL494" s="216">
        <v>0.3</v>
      </c>
      <c r="AM494" s="236">
        <v>23</v>
      </c>
      <c r="AN494" s="231">
        <v>0</v>
      </c>
      <c r="AO494" s="231">
        <v>0</v>
      </c>
      <c r="AP494" s="231">
        <v>0</v>
      </c>
      <c r="AQ494" s="231">
        <v>0</v>
      </c>
      <c r="AR494" s="231">
        <v>0</v>
      </c>
      <c r="AS494" s="231">
        <v>0</v>
      </c>
      <c r="AT494" s="231">
        <v>0</v>
      </c>
      <c r="AU494" s="231">
        <v>0</v>
      </c>
      <c r="AV494" s="231"/>
      <c r="AW494" s="236">
        <v>8.9999999999999993E-3</v>
      </c>
      <c r="AX494" s="242">
        <v>5.0000000000000001E-3</v>
      </c>
      <c r="AY494" s="242">
        <v>0</v>
      </c>
      <c r="AZ494" s="242">
        <v>3.0000000000000001E-3</v>
      </c>
      <c r="BA494" s="242">
        <v>0</v>
      </c>
      <c r="BB494" s="242">
        <v>0</v>
      </c>
      <c r="BC494" s="242">
        <v>0</v>
      </c>
      <c r="BD494" s="242">
        <v>1.2999999999999999E-2</v>
      </c>
      <c r="BE494" s="231">
        <v>0</v>
      </c>
      <c r="BF494" s="242">
        <v>1E-3</v>
      </c>
      <c r="BG494" s="242">
        <v>1.2E-2</v>
      </c>
      <c r="BH494" s="242">
        <v>0.04</v>
      </c>
      <c r="BI494" s="242">
        <v>2.3E-2</v>
      </c>
      <c r="BJ494" s="242">
        <v>1.7000000000000001E-2</v>
      </c>
      <c r="BK494" s="242">
        <v>0</v>
      </c>
      <c r="BL494" s="242">
        <v>0</v>
      </c>
      <c r="BM494" s="242">
        <v>0</v>
      </c>
      <c r="BN494" s="242"/>
      <c r="BO494" s="231">
        <v>0</v>
      </c>
      <c r="BP494" s="231"/>
      <c r="BQ494" s="231">
        <v>16</v>
      </c>
      <c r="BR494" s="231">
        <v>9</v>
      </c>
      <c r="BS494" s="231">
        <v>5</v>
      </c>
      <c r="BT494" s="231">
        <v>9</v>
      </c>
      <c r="BU494" s="231">
        <v>9</v>
      </c>
      <c r="BV494" s="231">
        <v>12</v>
      </c>
      <c r="BW494" s="231">
        <v>14</v>
      </c>
      <c r="BX494" s="231">
        <v>9</v>
      </c>
      <c r="BY494" s="231">
        <v>12</v>
      </c>
      <c r="BZ494" s="231">
        <v>8</v>
      </c>
      <c r="CA494" s="231">
        <v>1</v>
      </c>
      <c r="CB494" s="231">
        <v>9</v>
      </c>
      <c r="CC494" s="231">
        <v>18</v>
      </c>
      <c r="CD494" s="231">
        <v>82</v>
      </c>
      <c r="CE494" s="231">
        <v>41</v>
      </c>
      <c r="CF494" s="231">
        <v>14</v>
      </c>
      <c r="CG494" s="231">
        <v>9</v>
      </c>
      <c r="CH494" s="231">
        <v>19</v>
      </c>
      <c r="CI494" s="231"/>
    </row>
    <row r="495" spans="1:87" ht="25.2" customHeight="1" outlineLevel="1">
      <c r="A495" s="204">
        <v>465</v>
      </c>
      <c r="B495" s="207">
        <v>11004</v>
      </c>
      <c r="C495" s="208" t="s">
        <v>666</v>
      </c>
      <c r="D495" s="194" t="s">
        <v>181</v>
      </c>
      <c r="E495" s="209">
        <f t="shared" si="59"/>
        <v>679.5</v>
      </c>
      <c r="F495" s="216">
        <v>1.8</v>
      </c>
      <c r="G495" s="217">
        <v>25.7</v>
      </c>
      <c r="H495" s="218">
        <v>59.5</v>
      </c>
      <c r="I495" s="230">
        <f t="shared" si="60"/>
        <v>10.3</v>
      </c>
      <c r="J495" s="216" t="s">
        <v>247</v>
      </c>
      <c r="K495" s="216">
        <v>2.7</v>
      </c>
      <c r="L495" s="233"/>
      <c r="M495" s="236"/>
      <c r="N495" s="236"/>
      <c r="O495" s="236"/>
      <c r="P495" s="236">
        <v>0</v>
      </c>
      <c r="Q495" s="236"/>
      <c r="R495" s="236"/>
      <c r="S495" s="236"/>
      <c r="T495" s="231"/>
      <c r="U495" s="231"/>
      <c r="V495" s="231"/>
      <c r="W495" s="242"/>
      <c r="X495" s="232"/>
      <c r="Y495" s="231"/>
      <c r="Z495" s="231"/>
      <c r="AA495" s="241"/>
      <c r="AB495" s="241"/>
      <c r="AC495" s="240"/>
      <c r="AD495" s="240"/>
      <c r="AE495" s="236"/>
      <c r="AF495" s="236"/>
      <c r="AG495" s="240"/>
      <c r="AH495" s="240">
        <f t="shared" si="61"/>
        <v>0</v>
      </c>
      <c r="AI495" s="236">
        <f t="shared" si="62"/>
        <v>0</v>
      </c>
      <c r="AJ495" s="252"/>
      <c r="AK495" s="233"/>
      <c r="AL495" s="216"/>
      <c r="AM495" s="236">
        <v>0</v>
      </c>
      <c r="AN495" s="231">
        <v>0</v>
      </c>
      <c r="AO495" s="231">
        <v>0</v>
      </c>
      <c r="AP495" s="231">
        <v>0</v>
      </c>
      <c r="AQ495" s="231">
        <v>0</v>
      </c>
      <c r="AR495" s="231">
        <v>0</v>
      </c>
      <c r="AS495" s="231">
        <v>0</v>
      </c>
      <c r="AT495" s="231">
        <v>0</v>
      </c>
      <c r="AU495" s="231">
        <v>0</v>
      </c>
      <c r="AV495" s="231"/>
      <c r="AW495" s="236"/>
      <c r="AX495" s="242"/>
      <c r="AY495" s="242"/>
      <c r="AZ495" s="242"/>
      <c r="BA495" s="242"/>
      <c r="BB495" s="242"/>
      <c r="BC495" s="242"/>
      <c r="BD495" s="242"/>
      <c r="BE495" s="231"/>
      <c r="BF495" s="242"/>
      <c r="BG495" s="242"/>
      <c r="BH495" s="242"/>
      <c r="BI495" s="242"/>
      <c r="BJ495" s="242"/>
      <c r="BK495" s="242"/>
      <c r="BL495" s="242"/>
      <c r="BM495" s="242"/>
      <c r="BN495" s="242"/>
      <c r="BO495" s="231">
        <v>0</v>
      </c>
      <c r="BP495" s="231"/>
      <c r="BQ495" s="231"/>
      <c r="BR495" s="231"/>
      <c r="BS495" s="231"/>
      <c r="BT495" s="231"/>
      <c r="BU495" s="231"/>
      <c r="BV495" s="231"/>
      <c r="BW495" s="231"/>
      <c r="BX495" s="231"/>
      <c r="BY495" s="231"/>
      <c r="BZ495" s="231"/>
      <c r="CA495" s="231"/>
      <c r="CB495" s="231"/>
      <c r="CC495" s="231"/>
      <c r="CD495" s="231"/>
      <c r="CE495" s="231"/>
      <c r="CF495" s="231"/>
      <c r="CG495" s="231"/>
      <c r="CH495" s="231"/>
      <c r="CI495" s="231"/>
    </row>
    <row r="496" spans="1:87" ht="25.2" customHeight="1" outlineLevel="1">
      <c r="A496" s="204">
        <v>466</v>
      </c>
      <c r="B496" s="207">
        <v>11005</v>
      </c>
      <c r="C496" s="208" t="s">
        <v>667</v>
      </c>
      <c r="D496" s="194" t="s">
        <v>181</v>
      </c>
      <c r="E496" s="209">
        <f t="shared" si="59"/>
        <v>58.4</v>
      </c>
      <c r="F496" s="216">
        <v>85.1</v>
      </c>
      <c r="G496" s="217">
        <v>0.2</v>
      </c>
      <c r="H496" s="218">
        <v>0</v>
      </c>
      <c r="I496" s="230">
        <f t="shared" si="60"/>
        <v>14.4</v>
      </c>
      <c r="J496" s="216">
        <v>0.7</v>
      </c>
      <c r="K496" s="216">
        <v>0.3</v>
      </c>
      <c r="L496" s="233"/>
      <c r="M496" s="236">
        <v>20</v>
      </c>
      <c r="N496" s="236">
        <v>16</v>
      </c>
      <c r="O496" s="236">
        <v>0.4</v>
      </c>
      <c r="P496" s="236">
        <v>14</v>
      </c>
      <c r="Q496" s="236"/>
      <c r="R496" s="236"/>
      <c r="S496" s="236"/>
      <c r="T496" s="231"/>
      <c r="U496" s="231"/>
      <c r="V496" s="231"/>
      <c r="W496" s="242"/>
      <c r="X496" s="232"/>
      <c r="Y496" s="231"/>
      <c r="Z496" s="231"/>
      <c r="AA496" s="241"/>
      <c r="AB496" s="241"/>
      <c r="AC496" s="240"/>
      <c r="AD496" s="240"/>
      <c r="AE496" s="236"/>
      <c r="AF496" s="236"/>
      <c r="AG496" s="240"/>
      <c r="AH496" s="240">
        <f t="shared" si="61"/>
        <v>0</v>
      </c>
      <c r="AI496" s="236">
        <f t="shared" si="62"/>
        <v>0</v>
      </c>
      <c r="AJ496" s="252"/>
      <c r="AK496" s="233"/>
      <c r="AL496" s="216"/>
      <c r="AM496" s="236">
        <v>0</v>
      </c>
      <c r="AN496" s="231">
        <v>0</v>
      </c>
      <c r="AO496" s="231">
        <v>0</v>
      </c>
      <c r="AP496" s="231">
        <v>0</v>
      </c>
      <c r="AQ496" s="231">
        <v>0</v>
      </c>
      <c r="AR496" s="231">
        <v>0</v>
      </c>
      <c r="AS496" s="231">
        <v>0</v>
      </c>
      <c r="AT496" s="231">
        <v>0</v>
      </c>
      <c r="AU496" s="231">
        <v>0</v>
      </c>
      <c r="AV496" s="231"/>
      <c r="AW496" s="236"/>
      <c r="AX496" s="242"/>
      <c r="AY496" s="242"/>
      <c r="AZ496" s="242"/>
      <c r="BA496" s="242"/>
      <c r="BB496" s="242"/>
      <c r="BC496" s="242"/>
      <c r="BD496" s="242"/>
      <c r="BE496" s="231"/>
      <c r="BF496" s="242"/>
      <c r="BG496" s="242"/>
      <c r="BH496" s="242"/>
      <c r="BI496" s="242"/>
      <c r="BJ496" s="242"/>
      <c r="BK496" s="242"/>
      <c r="BL496" s="242"/>
      <c r="BM496" s="242"/>
      <c r="BN496" s="242"/>
      <c r="BO496" s="231">
        <v>0</v>
      </c>
      <c r="BP496" s="231"/>
      <c r="BQ496" s="231"/>
      <c r="BR496" s="231"/>
      <c r="BS496" s="231"/>
      <c r="BT496" s="231"/>
      <c r="BU496" s="231"/>
      <c r="BV496" s="231"/>
      <c r="BW496" s="231"/>
      <c r="BX496" s="231"/>
      <c r="BY496" s="231"/>
      <c r="BZ496" s="231"/>
      <c r="CA496" s="231"/>
      <c r="CB496" s="231"/>
      <c r="CC496" s="231"/>
      <c r="CD496" s="231"/>
      <c r="CE496" s="231"/>
      <c r="CF496" s="231"/>
      <c r="CG496" s="231"/>
      <c r="CH496" s="231"/>
      <c r="CI496" s="231"/>
    </row>
    <row r="497" spans="1:101" ht="25.2" customHeight="1" outlineLevel="1">
      <c r="A497" s="204">
        <v>467</v>
      </c>
      <c r="B497" s="207">
        <v>11006</v>
      </c>
      <c r="C497" s="208" t="s">
        <v>668</v>
      </c>
      <c r="D497" s="194" t="s">
        <v>181</v>
      </c>
      <c r="E497" s="209">
        <f t="shared" si="59"/>
        <v>61.2</v>
      </c>
      <c r="F497" s="216">
        <v>84.5</v>
      </c>
      <c r="G497" s="217">
        <v>0.3</v>
      </c>
      <c r="H497" s="218">
        <v>0</v>
      </c>
      <c r="I497" s="230">
        <f t="shared" si="60"/>
        <v>15</v>
      </c>
      <c r="J497" s="216">
        <v>1.8</v>
      </c>
      <c r="K497" s="216">
        <v>0.2</v>
      </c>
      <c r="L497" s="233">
        <v>15.35</v>
      </c>
      <c r="M497" s="236">
        <v>16</v>
      </c>
      <c r="N497" s="236">
        <v>15</v>
      </c>
      <c r="O497" s="236">
        <v>0.86</v>
      </c>
      <c r="P497" s="236">
        <v>0.4</v>
      </c>
      <c r="Q497" s="236">
        <v>1.6E-2</v>
      </c>
      <c r="R497" s="236">
        <v>3.9E-2</v>
      </c>
      <c r="S497" s="236">
        <v>0.29699999999999999</v>
      </c>
      <c r="T497" s="231">
        <v>20</v>
      </c>
      <c r="U497" s="231">
        <v>93</v>
      </c>
      <c r="V497" s="231">
        <v>5</v>
      </c>
      <c r="W497" s="242">
        <v>3.2000000000000001E-2</v>
      </c>
      <c r="X497" s="232">
        <v>0.08</v>
      </c>
      <c r="Y497" s="231">
        <v>38</v>
      </c>
      <c r="Z497" s="231">
        <v>0</v>
      </c>
      <c r="AA497" s="241">
        <v>7.1999999999999995E-2</v>
      </c>
      <c r="AB497" s="241">
        <v>2.7E-2</v>
      </c>
      <c r="AC497" s="240">
        <v>3</v>
      </c>
      <c r="AD497" s="240">
        <v>0</v>
      </c>
      <c r="AE497" s="236"/>
      <c r="AF497" s="236">
        <v>0</v>
      </c>
      <c r="AG497" s="240"/>
      <c r="AH497" s="240">
        <f t="shared" si="61"/>
        <v>0</v>
      </c>
      <c r="AI497" s="236">
        <f t="shared" si="62"/>
        <v>11.5416666666667</v>
      </c>
      <c r="AJ497" s="252"/>
      <c r="AK497" s="233">
        <v>0.18</v>
      </c>
      <c r="AL497" s="216">
        <v>4.3</v>
      </c>
      <c r="AM497" s="236">
        <v>127</v>
      </c>
      <c r="AN497" s="231">
        <v>0</v>
      </c>
      <c r="AO497" s="231">
        <v>23</v>
      </c>
      <c r="AP497" s="231">
        <v>0</v>
      </c>
      <c r="AQ497" s="231">
        <v>49</v>
      </c>
      <c r="AR497" s="231">
        <v>0</v>
      </c>
      <c r="AS497" s="231">
        <v>0</v>
      </c>
      <c r="AT497" s="231">
        <v>0</v>
      </c>
      <c r="AU497" s="231">
        <v>0</v>
      </c>
      <c r="AV497" s="231"/>
      <c r="AW497" s="236">
        <v>8.0000000000000002E-3</v>
      </c>
      <c r="AX497" s="242">
        <v>7.0000000000000001E-3</v>
      </c>
      <c r="AY497" s="242">
        <v>0</v>
      </c>
      <c r="AZ497" s="242">
        <v>1E-3</v>
      </c>
      <c r="BA497" s="242">
        <v>0</v>
      </c>
      <c r="BB497" s="242">
        <v>0</v>
      </c>
      <c r="BC497" s="242">
        <v>0</v>
      </c>
      <c r="BD497" s="242">
        <v>6.9000000000000006E-2</v>
      </c>
      <c r="BE497" s="231">
        <v>0</v>
      </c>
      <c r="BF497" s="242">
        <v>1E-3</v>
      </c>
      <c r="BG497" s="242">
        <v>6.8000000000000005E-2</v>
      </c>
      <c r="BH497" s="242">
        <v>2.3E-2</v>
      </c>
      <c r="BI497" s="242">
        <v>2.3E-2</v>
      </c>
      <c r="BJ497" s="242">
        <v>0</v>
      </c>
      <c r="BK497" s="242">
        <v>0</v>
      </c>
      <c r="BL497" s="242">
        <v>0</v>
      </c>
      <c r="BM497" s="242">
        <v>0</v>
      </c>
      <c r="BN497" s="242"/>
      <c r="BO497" s="231">
        <v>0</v>
      </c>
      <c r="BP497" s="231"/>
      <c r="BQ497" s="231">
        <v>8</v>
      </c>
      <c r="BR497" s="231">
        <v>3</v>
      </c>
      <c r="BS497" s="231"/>
      <c r="BT497" s="231">
        <v>8</v>
      </c>
      <c r="BU497" s="231">
        <v>8</v>
      </c>
      <c r="BV497" s="231">
        <v>9</v>
      </c>
      <c r="BW497" s="231">
        <v>10</v>
      </c>
      <c r="BX497" s="231">
        <v>7</v>
      </c>
      <c r="BY497" s="231">
        <v>6</v>
      </c>
      <c r="BZ497" s="231">
        <v>6</v>
      </c>
      <c r="CA497" s="231">
        <v>2</v>
      </c>
      <c r="CB497" s="231">
        <v>3</v>
      </c>
      <c r="CC497" s="231">
        <v>14</v>
      </c>
      <c r="CD497" s="231">
        <v>116</v>
      </c>
      <c r="CE497" s="231">
        <v>17</v>
      </c>
      <c r="CF497" s="231">
        <v>6</v>
      </c>
      <c r="CG497" s="231">
        <v>16</v>
      </c>
      <c r="CH497" s="231">
        <v>9</v>
      </c>
      <c r="CI497" s="231"/>
    </row>
    <row r="498" spans="1:101" ht="25.2" customHeight="1" outlineLevel="1">
      <c r="A498" s="204">
        <v>468</v>
      </c>
      <c r="B498" s="207">
        <v>11007</v>
      </c>
      <c r="C498" s="208" t="s">
        <v>669</v>
      </c>
      <c r="D498" s="194" t="s">
        <v>181</v>
      </c>
      <c r="E498" s="209">
        <f t="shared" si="59"/>
        <v>201.2</v>
      </c>
      <c r="F498" s="216">
        <v>49.4</v>
      </c>
      <c r="G498" s="217">
        <v>0.5</v>
      </c>
      <c r="H498" s="218">
        <v>0</v>
      </c>
      <c r="I498" s="230">
        <f t="shared" si="60"/>
        <v>49.8</v>
      </c>
      <c r="J498" s="216">
        <v>0.7</v>
      </c>
      <c r="K498" s="216">
        <v>0.3</v>
      </c>
      <c r="L498" s="233"/>
      <c r="M498" s="236">
        <v>32</v>
      </c>
      <c r="N498" s="236">
        <v>92</v>
      </c>
      <c r="O498" s="236"/>
      <c r="P498" s="236"/>
      <c r="Q498" s="236"/>
      <c r="R498" s="236"/>
      <c r="S498" s="236"/>
      <c r="T498" s="204"/>
      <c r="U498" s="204"/>
      <c r="V498" s="204"/>
      <c r="W498" s="244"/>
      <c r="X498" s="213"/>
      <c r="Y498" s="204"/>
      <c r="Z498" s="204"/>
      <c r="AA498" s="241"/>
      <c r="AB498" s="241"/>
      <c r="AC498" s="240"/>
      <c r="AD498" s="240"/>
      <c r="AE498" s="236"/>
      <c r="AF498" s="236"/>
      <c r="AG498" s="240"/>
      <c r="AH498" s="240">
        <f t="shared" si="61"/>
        <v>0</v>
      </c>
      <c r="AI498" s="231">
        <f t="shared" si="62"/>
        <v>0</v>
      </c>
      <c r="AJ498" s="252"/>
      <c r="AK498" s="233"/>
      <c r="AL498" s="216"/>
      <c r="AM498" s="231">
        <v>0</v>
      </c>
      <c r="AN498" s="231">
        <v>0</v>
      </c>
      <c r="AO498" s="231">
        <v>0</v>
      </c>
      <c r="AP498" s="231">
        <v>0</v>
      </c>
      <c r="AQ498" s="231">
        <v>0</v>
      </c>
      <c r="AR498" s="231">
        <v>0</v>
      </c>
      <c r="AS498" s="231">
        <v>0</v>
      </c>
      <c r="AT498" s="231">
        <v>0</v>
      </c>
      <c r="AU498" s="231">
        <v>0</v>
      </c>
      <c r="AV498" s="204"/>
      <c r="AW498" s="231"/>
      <c r="AX498" s="244"/>
      <c r="AY498" s="244"/>
      <c r="AZ498" s="244"/>
      <c r="BA498" s="244"/>
      <c r="BB498" s="244"/>
      <c r="BC498" s="244"/>
      <c r="BD498" s="244"/>
      <c r="BE498" s="204"/>
      <c r="BF498" s="244"/>
      <c r="BG498" s="244"/>
      <c r="BH498" s="244"/>
      <c r="BI498" s="244"/>
      <c r="BJ498" s="244"/>
      <c r="BK498" s="244"/>
      <c r="BL498" s="244"/>
      <c r="BM498" s="244"/>
      <c r="BN498" s="244"/>
      <c r="BO498" s="231">
        <v>0</v>
      </c>
      <c r="BP498" s="204"/>
      <c r="BQ498" s="204"/>
      <c r="BR498" s="204"/>
      <c r="BS498" s="204"/>
      <c r="BT498" s="204"/>
      <c r="BU498" s="204"/>
      <c r="BV498" s="204"/>
      <c r="BW498" s="204"/>
      <c r="BX498" s="204"/>
      <c r="BY498" s="204"/>
      <c r="BZ498" s="204"/>
      <c r="CA498" s="204"/>
      <c r="CB498" s="204"/>
      <c r="CC498" s="204"/>
      <c r="CD498" s="204"/>
      <c r="CE498" s="204"/>
      <c r="CF498" s="204"/>
      <c r="CG498" s="204"/>
      <c r="CH498" s="204"/>
      <c r="CI498" s="204"/>
    </row>
    <row r="499" spans="1:101" ht="25.2" customHeight="1" outlineLevel="1">
      <c r="A499" s="204">
        <v>469</v>
      </c>
      <c r="B499" s="207">
        <v>11008</v>
      </c>
      <c r="C499" s="208" t="s">
        <v>670</v>
      </c>
      <c r="D499" s="194" t="s">
        <v>181</v>
      </c>
      <c r="E499" s="209">
        <f t="shared" si="59"/>
        <v>227.2</v>
      </c>
      <c r="F499" s="216">
        <v>42.8</v>
      </c>
      <c r="G499" s="217">
        <v>0.4</v>
      </c>
      <c r="H499" s="218">
        <v>0</v>
      </c>
      <c r="I499" s="230">
        <f t="shared" si="60"/>
        <v>56.4</v>
      </c>
      <c r="J499" s="216">
        <v>2.2000000000000002</v>
      </c>
      <c r="K499" s="216">
        <v>0.4</v>
      </c>
      <c r="L499" s="233"/>
      <c r="M499" s="216">
        <v>28</v>
      </c>
      <c r="N499" s="216">
        <v>22</v>
      </c>
      <c r="O499" s="216">
        <v>0.26</v>
      </c>
      <c r="P499" s="216"/>
      <c r="Q499" s="216">
        <v>0.03</v>
      </c>
      <c r="R499" s="216">
        <v>0.01</v>
      </c>
      <c r="S499" s="216">
        <v>0.03</v>
      </c>
      <c r="T499" s="231"/>
      <c r="U499" s="231"/>
      <c r="V499" s="231"/>
      <c r="W499" s="242"/>
      <c r="X499" s="232"/>
      <c r="Y499" s="231"/>
      <c r="Z499" s="231"/>
      <c r="AA499" s="241"/>
      <c r="AB499" s="241"/>
      <c r="AC499" s="240"/>
      <c r="AD499" s="240"/>
      <c r="AE499" s="233"/>
      <c r="AF499" s="233"/>
      <c r="AG499" s="240"/>
      <c r="AH499" s="240">
        <f t="shared" si="61"/>
        <v>0</v>
      </c>
      <c r="AI499" s="236">
        <f t="shared" si="62"/>
        <v>4.1666666666666696</v>
      </c>
      <c r="AJ499" s="252"/>
      <c r="AK499" s="233"/>
      <c r="AL499" s="216"/>
      <c r="AM499" s="236">
        <v>50</v>
      </c>
      <c r="AN499" s="231"/>
      <c r="AO499" s="231"/>
      <c r="AP499" s="231"/>
      <c r="AQ499" s="231"/>
      <c r="AR499" s="231">
        <v>0</v>
      </c>
      <c r="AS499" s="231">
        <v>0</v>
      </c>
      <c r="AT499" s="231">
        <v>0</v>
      </c>
      <c r="AU499" s="231">
        <v>0</v>
      </c>
      <c r="AV499" s="231"/>
      <c r="AW499" s="236"/>
      <c r="AX499" s="242"/>
      <c r="AY499" s="242"/>
      <c r="AZ499" s="242"/>
      <c r="BA499" s="242"/>
      <c r="BB499" s="242"/>
      <c r="BC499" s="242"/>
      <c r="BD499" s="242"/>
      <c r="BE499" s="231"/>
      <c r="BF499" s="242"/>
      <c r="BG499" s="242"/>
      <c r="BH499" s="242"/>
      <c r="BI499" s="242"/>
      <c r="BJ499" s="242"/>
      <c r="BK499" s="242"/>
      <c r="BL499" s="242"/>
      <c r="BM499" s="242"/>
      <c r="BN499" s="242"/>
      <c r="BO499" s="231">
        <v>0</v>
      </c>
      <c r="BP499" s="231"/>
      <c r="BQ499" s="231"/>
      <c r="BR499" s="231"/>
      <c r="BS499" s="231"/>
      <c r="BT499" s="231"/>
      <c r="BU499" s="231"/>
      <c r="BV499" s="231"/>
      <c r="BW499" s="231"/>
      <c r="BX499" s="231"/>
      <c r="BY499" s="231"/>
      <c r="BZ499" s="231"/>
      <c r="CA499" s="231"/>
      <c r="CB499" s="231"/>
      <c r="CC499" s="231"/>
      <c r="CD499" s="231"/>
      <c r="CE499" s="231"/>
      <c r="CF499" s="231"/>
      <c r="CG499" s="231"/>
      <c r="CH499" s="231"/>
      <c r="CI499" s="231"/>
    </row>
    <row r="500" spans="1:101" ht="25.2" customHeight="1" outlineLevel="1">
      <c r="A500" s="204">
        <v>470</v>
      </c>
      <c r="B500" s="207">
        <v>11009</v>
      </c>
      <c r="C500" s="208" t="s">
        <v>671</v>
      </c>
      <c r="D500" s="194" t="s">
        <v>181</v>
      </c>
      <c r="E500" s="209">
        <f t="shared" si="59"/>
        <v>223.6</v>
      </c>
      <c r="F500" s="216">
        <v>43.8</v>
      </c>
      <c r="G500" s="217">
        <v>0.7</v>
      </c>
      <c r="H500" s="218">
        <v>0</v>
      </c>
      <c r="I500" s="230">
        <f t="shared" si="60"/>
        <v>55.2</v>
      </c>
      <c r="J500" s="216">
        <v>1.3</v>
      </c>
      <c r="K500" s="216">
        <v>0.3</v>
      </c>
      <c r="L500" s="233"/>
      <c r="M500" s="236">
        <v>28</v>
      </c>
      <c r="N500" s="236">
        <v>28</v>
      </c>
      <c r="O500" s="236">
        <v>0.3</v>
      </c>
      <c r="P500" s="236"/>
      <c r="Q500" s="236"/>
      <c r="R500" s="236"/>
      <c r="S500" s="236"/>
      <c r="T500" s="231"/>
      <c r="U500" s="231"/>
      <c r="V500" s="231"/>
      <c r="W500" s="242"/>
      <c r="X500" s="232"/>
      <c r="Y500" s="231"/>
      <c r="Z500" s="231"/>
      <c r="AA500" s="241"/>
      <c r="AB500" s="241"/>
      <c r="AC500" s="240"/>
      <c r="AD500" s="240"/>
      <c r="AE500" s="236"/>
      <c r="AF500" s="236"/>
      <c r="AG500" s="240"/>
      <c r="AH500" s="240">
        <f t="shared" si="61"/>
        <v>0</v>
      </c>
      <c r="AI500" s="231">
        <f t="shared" si="62"/>
        <v>0</v>
      </c>
      <c r="AJ500" s="252"/>
      <c r="AK500" s="233"/>
      <c r="AL500" s="216"/>
      <c r="AM500" s="231">
        <v>0</v>
      </c>
      <c r="AN500" s="231">
        <v>0</v>
      </c>
      <c r="AO500" s="231">
        <v>0</v>
      </c>
      <c r="AP500" s="231">
        <v>0</v>
      </c>
      <c r="AQ500" s="231">
        <v>0</v>
      </c>
      <c r="AR500" s="231">
        <v>0</v>
      </c>
      <c r="AS500" s="231">
        <v>0</v>
      </c>
      <c r="AT500" s="231">
        <v>0</v>
      </c>
      <c r="AU500" s="231">
        <v>0</v>
      </c>
      <c r="AV500" s="231"/>
      <c r="AW500" s="231"/>
      <c r="AX500" s="242"/>
      <c r="AY500" s="242"/>
      <c r="AZ500" s="242"/>
      <c r="BA500" s="242"/>
      <c r="BB500" s="242"/>
      <c r="BC500" s="242"/>
      <c r="BD500" s="242"/>
      <c r="BE500" s="231"/>
      <c r="BF500" s="242"/>
      <c r="BG500" s="242"/>
      <c r="BH500" s="242"/>
      <c r="BI500" s="242"/>
      <c r="BJ500" s="242"/>
      <c r="BK500" s="242"/>
      <c r="BL500" s="242"/>
      <c r="BM500" s="242"/>
      <c r="BN500" s="242"/>
      <c r="BO500" s="231">
        <v>0</v>
      </c>
      <c r="BP500" s="231"/>
      <c r="BQ500" s="231"/>
      <c r="BR500" s="231"/>
      <c r="BS500" s="231"/>
      <c r="BT500" s="231"/>
      <c r="BU500" s="231"/>
      <c r="BV500" s="231"/>
      <c r="BW500" s="231"/>
      <c r="BX500" s="231"/>
      <c r="BY500" s="231"/>
      <c r="BZ500" s="231"/>
      <c r="CA500" s="231"/>
      <c r="CB500" s="231"/>
      <c r="CC500" s="231"/>
      <c r="CD500" s="231"/>
      <c r="CE500" s="231"/>
      <c r="CF500" s="231"/>
      <c r="CG500" s="231"/>
      <c r="CH500" s="231"/>
      <c r="CI500" s="231"/>
    </row>
    <row r="501" spans="1:101" ht="25.2" customHeight="1" outlineLevel="1">
      <c r="A501" s="204">
        <v>471</v>
      </c>
      <c r="B501" s="207">
        <v>11010</v>
      </c>
      <c r="C501" s="208" t="s">
        <v>672</v>
      </c>
      <c r="D501" s="194" t="s">
        <v>181</v>
      </c>
      <c r="E501" s="209">
        <f t="shared" si="59"/>
        <v>209.6</v>
      </c>
      <c r="F501" s="216">
        <v>47.2</v>
      </c>
      <c r="G501" s="217">
        <v>0.5</v>
      </c>
      <c r="H501" s="218">
        <v>0</v>
      </c>
      <c r="I501" s="230">
        <f t="shared" si="60"/>
        <v>51.9</v>
      </c>
      <c r="J501" s="216">
        <v>0.4</v>
      </c>
      <c r="K501" s="216">
        <v>0.4</v>
      </c>
      <c r="L501" s="233"/>
      <c r="M501" s="216">
        <v>20</v>
      </c>
      <c r="N501" s="216">
        <v>16</v>
      </c>
      <c r="O501" s="216">
        <v>0.3</v>
      </c>
      <c r="P501" s="216">
        <v>13</v>
      </c>
      <c r="Q501" s="216">
        <v>0.09</v>
      </c>
      <c r="R501" s="216">
        <v>0.05</v>
      </c>
      <c r="S501" s="216">
        <v>0.3</v>
      </c>
      <c r="T501" s="231"/>
      <c r="U501" s="231"/>
      <c r="V501" s="231"/>
      <c r="W501" s="242"/>
      <c r="X501" s="232"/>
      <c r="Y501" s="231"/>
      <c r="Z501" s="231"/>
      <c r="AA501" s="241"/>
      <c r="AB501" s="241"/>
      <c r="AC501" s="240"/>
      <c r="AD501" s="240"/>
      <c r="AE501" s="233"/>
      <c r="AF501" s="233"/>
      <c r="AG501" s="240"/>
      <c r="AH501" s="240">
        <f t="shared" si="61"/>
        <v>0</v>
      </c>
      <c r="AI501" s="236">
        <f t="shared" si="62"/>
        <v>1.6666666666666701</v>
      </c>
      <c r="AJ501" s="252"/>
      <c r="AK501" s="233"/>
      <c r="AL501" s="216"/>
      <c r="AM501" s="236">
        <v>20</v>
      </c>
      <c r="AN501" s="231"/>
      <c r="AO501" s="231"/>
      <c r="AP501" s="231"/>
      <c r="AQ501" s="231"/>
      <c r="AR501" s="231">
        <v>0</v>
      </c>
      <c r="AS501" s="231">
        <v>0</v>
      </c>
      <c r="AT501" s="231">
        <v>0</v>
      </c>
      <c r="AU501" s="231">
        <v>0</v>
      </c>
      <c r="AV501" s="231"/>
      <c r="AW501" s="236"/>
      <c r="AX501" s="242"/>
      <c r="AY501" s="242"/>
      <c r="AZ501" s="242"/>
      <c r="BA501" s="242"/>
      <c r="BB501" s="242"/>
      <c r="BC501" s="242"/>
      <c r="BD501" s="242"/>
      <c r="BE501" s="231"/>
      <c r="BF501" s="242"/>
      <c r="BG501" s="242"/>
      <c r="BH501" s="242"/>
      <c r="BI501" s="242"/>
      <c r="BJ501" s="242"/>
      <c r="BK501" s="242"/>
      <c r="BL501" s="242"/>
      <c r="BM501" s="242"/>
      <c r="BN501" s="242"/>
      <c r="BO501" s="231">
        <v>0</v>
      </c>
      <c r="BP501" s="231"/>
      <c r="BQ501" s="231"/>
      <c r="BR501" s="231"/>
      <c r="BS501" s="231"/>
      <c r="BT501" s="231"/>
      <c r="BU501" s="231"/>
      <c r="BV501" s="231"/>
      <c r="BW501" s="231"/>
      <c r="BX501" s="231"/>
      <c r="BY501" s="231"/>
      <c r="BZ501" s="231"/>
      <c r="CA501" s="231"/>
      <c r="CB501" s="231"/>
      <c r="CC501" s="231"/>
      <c r="CD501" s="231"/>
      <c r="CE501" s="231"/>
      <c r="CF501" s="231"/>
      <c r="CG501" s="231"/>
      <c r="CH501" s="231"/>
      <c r="CI501" s="231"/>
      <c r="CV501" s="172"/>
      <c r="CW501" s="172"/>
    </row>
    <row r="502" spans="1:101" ht="25.2" customHeight="1" outlineLevel="1">
      <c r="A502" s="204">
        <v>472</v>
      </c>
      <c r="B502" s="207">
        <v>11011</v>
      </c>
      <c r="C502" s="208" t="s">
        <v>673</v>
      </c>
      <c r="D502" s="194" t="s">
        <v>181</v>
      </c>
      <c r="E502" s="209">
        <f t="shared" si="59"/>
        <v>186</v>
      </c>
      <c r="F502" s="216">
        <v>53.2</v>
      </c>
      <c r="G502" s="217">
        <v>0.4</v>
      </c>
      <c r="H502" s="218">
        <v>0</v>
      </c>
      <c r="I502" s="230">
        <f t="shared" si="60"/>
        <v>46.1</v>
      </c>
      <c r="J502" s="216">
        <v>2</v>
      </c>
      <c r="K502" s="216">
        <v>0.3</v>
      </c>
      <c r="L502" s="233"/>
      <c r="M502" s="236">
        <v>24</v>
      </c>
      <c r="N502" s="236">
        <v>30</v>
      </c>
      <c r="O502" s="236"/>
      <c r="P502" s="236"/>
      <c r="Q502" s="236"/>
      <c r="R502" s="236"/>
      <c r="S502" s="236"/>
      <c r="T502" s="231"/>
      <c r="U502" s="231"/>
      <c r="V502" s="231"/>
      <c r="W502" s="242"/>
      <c r="X502" s="232"/>
      <c r="Y502" s="231"/>
      <c r="Z502" s="231"/>
      <c r="AA502" s="241"/>
      <c r="AB502" s="241"/>
      <c r="AC502" s="240"/>
      <c r="AD502" s="240"/>
      <c r="AE502" s="236"/>
      <c r="AF502" s="236"/>
      <c r="AG502" s="240"/>
      <c r="AH502" s="240">
        <f t="shared" si="61"/>
        <v>0</v>
      </c>
      <c r="AI502" s="236">
        <f t="shared" si="62"/>
        <v>0</v>
      </c>
      <c r="AJ502" s="252"/>
      <c r="AK502" s="233"/>
      <c r="AL502" s="216"/>
      <c r="AM502" s="236"/>
      <c r="AN502" s="231"/>
      <c r="AO502" s="231"/>
      <c r="AP502" s="231"/>
      <c r="AQ502" s="231"/>
      <c r="AR502" s="231">
        <v>0</v>
      </c>
      <c r="AS502" s="231">
        <v>0</v>
      </c>
      <c r="AT502" s="231">
        <v>0</v>
      </c>
      <c r="AU502" s="231">
        <v>0</v>
      </c>
      <c r="AV502" s="231"/>
      <c r="AW502" s="236"/>
      <c r="AX502" s="242"/>
      <c r="AY502" s="242"/>
      <c r="AZ502" s="242"/>
      <c r="BA502" s="242"/>
      <c r="BB502" s="242"/>
      <c r="BC502" s="242"/>
      <c r="BD502" s="242"/>
      <c r="BE502" s="231"/>
      <c r="BF502" s="242"/>
      <c r="BG502" s="242"/>
      <c r="BH502" s="242"/>
      <c r="BI502" s="242"/>
      <c r="BJ502" s="242"/>
      <c r="BK502" s="242"/>
      <c r="BL502" s="242"/>
      <c r="BM502" s="242"/>
      <c r="BN502" s="242"/>
      <c r="BO502" s="231">
        <v>0</v>
      </c>
      <c r="BP502" s="231"/>
      <c r="BQ502" s="231"/>
      <c r="BR502" s="231"/>
      <c r="BS502" s="231"/>
      <c r="BT502" s="231"/>
      <c r="BU502" s="231"/>
      <c r="BV502" s="231"/>
      <c r="BW502" s="231"/>
      <c r="BX502" s="231"/>
      <c r="BY502" s="231"/>
      <c r="BZ502" s="231"/>
      <c r="CA502" s="231"/>
      <c r="CB502" s="231"/>
      <c r="CC502" s="231"/>
      <c r="CD502" s="231"/>
      <c r="CE502" s="231"/>
      <c r="CF502" s="231"/>
      <c r="CG502" s="231"/>
      <c r="CH502" s="231"/>
      <c r="CI502" s="231"/>
    </row>
    <row r="503" spans="1:101" ht="25.2" customHeight="1" outlineLevel="1">
      <c r="A503" s="204">
        <v>473</v>
      </c>
      <c r="B503" s="207">
        <v>11012</v>
      </c>
      <c r="C503" s="208" t="s">
        <v>674</v>
      </c>
      <c r="D503" s="194" t="s">
        <v>181</v>
      </c>
      <c r="E503" s="209">
        <f t="shared" si="59"/>
        <v>66</v>
      </c>
      <c r="F503" s="216">
        <v>83.3</v>
      </c>
      <c r="G503" s="217">
        <v>0.5</v>
      </c>
      <c r="H503" s="218">
        <v>0</v>
      </c>
      <c r="I503" s="230">
        <f t="shared" si="60"/>
        <v>16</v>
      </c>
      <c r="J503" s="216">
        <v>1</v>
      </c>
      <c r="K503" s="216">
        <v>0.2</v>
      </c>
      <c r="L503" s="233"/>
      <c r="M503" s="216">
        <v>12</v>
      </c>
      <c r="N503" s="216">
        <v>230</v>
      </c>
      <c r="O503" s="216">
        <v>0.3</v>
      </c>
      <c r="P503" s="216">
        <v>32</v>
      </c>
      <c r="Q503" s="216"/>
      <c r="R503" s="216">
        <v>0.04</v>
      </c>
      <c r="S503" s="216">
        <v>0.1</v>
      </c>
      <c r="T503" s="231"/>
      <c r="U503" s="231"/>
      <c r="V503" s="231"/>
      <c r="W503" s="242"/>
      <c r="X503" s="232"/>
      <c r="Y503" s="231"/>
      <c r="Z503" s="231"/>
      <c r="AA503" s="241"/>
      <c r="AB503" s="241"/>
      <c r="AC503" s="240"/>
      <c r="AD503" s="240"/>
      <c r="AE503" s="233"/>
      <c r="AF503" s="233"/>
      <c r="AG503" s="240"/>
      <c r="AH503" s="240">
        <f t="shared" si="61"/>
        <v>0</v>
      </c>
      <c r="AI503" s="231">
        <f t="shared" si="62"/>
        <v>0</v>
      </c>
      <c r="AJ503" s="252"/>
      <c r="AK503" s="233"/>
      <c r="AL503" s="216"/>
      <c r="AM503" s="231">
        <v>0</v>
      </c>
      <c r="AN503" s="231">
        <v>0</v>
      </c>
      <c r="AO503" s="231">
        <v>0</v>
      </c>
      <c r="AP503" s="231">
        <v>0</v>
      </c>
      <c r="AQ503" s="231">
        <v>0</v>
      </c>
      <c r="AR503" s="231">
        <v>0</v>
      </c>
      <c r="AS503" s="231">
        <v>0</v>
      </c>
      <c r="AT503" s="231">
        <v>0</v>
      </c>
      <c r="AU503" s="231">
        <v>0</v>
      </c>
      <c r="AV503" s="231"/>
      <c r="AW503" s="231"/>
      <c r="AX503" s="242"/>
      <c r="AY503" s="242"/>
      <c r="AZ503" s="242"/>
      <c r="BA503" s="242"/>
      <c r="BB503" s="242"/>
      <c r="BC503" s="242"/>
      <c r="BD503" s="242"/>
      <c r="BE503" s="231"/>
      <c r="BF503" s="242"/>
      <c r="BG503" s="242"/>
      <c r="BH503" s="242"/>
      <c r="BI503" s="242"/>
      <c r="BJ503" s="242"/>
      <c r="BK503" s="242"/>
      <c r="BL503" s="242"/>
      <c r="BM503" s="242"/>
      <c r="BN503" s="242"/>
      <c r="BO503" s="231">
        <v>0</v>
      </c>
      <c r="BP503" s="231"/>
      <c r="BQ503" s="231"/>
      <c r="BR503" s="231"/>
      <c r="BS503" s="231"/>
      <c r="BT503" s="231"/>
      <c r="BU503" s="231"/>
      <c r="BV503" s="231"/>
      <c r="BW503" s="231"/>
      <c r="BX503" s="231"/>
      <c r="BY503" s="231"/>
      <c r="BZ503" s="231"/>
      <c r="CA503" s="231"/>
      <c r="CB503" s="231"/>
      <c r="CC503" s="231"/>
      <c r="CD503" s="231"/>
      <c r="CE503" s="231"/>
      <c r="CF503" s="231"/>
      <c r="CG503" s="231"/>
      <c r="CH503" s="231"/>
      <c r="CI503" s="231"/>
    </row>
    <row r="504" spans="1:101" ht="25.2" customHeight="1" outlineLevel="1">
      <c r="A504" s="204">
        <v>474</v>
      </c>
      <c r="B504" s="207">
        <v>11013</v>
      </c>
      <c r="C504" s="208" t="s">
        <v>675</v>
      </c>
      <c r="D504" s="194" t="s">
        <v>181</v>
      </c>
      <c r="E504" s="209">
        <f t="shared" si="59"/>
        <v>40.4</v>
      </c>
      <c r="F504" s="216">
        <v>89.6</v>
      </c>
      <c r="G504" s="217">
        <v>0.3</v>
      </c>
      <c r="H504" s="218">
        <v>0</v>
      </c>
      <c r="I504" s="230">
        <f t="shared" si="60"/>
        <v>9.8000000000000096</v>
      </c>
      <c r="J504" s="216">
        <v>0.4</v>
      </c>
      <c r="K504" s="216">
        <v>0.3</v>
      </c>
      <c r="L504" s="233">
        <v>9.98</v>
      </c>
      <c r="M504" s="216">
        <v>32</v>
      </c>
      <c r="N504" s="216">
        <v>12</v>
      </c>
      <c r="O504" s="216">
        <v>0.3</v>
      </c>
      <c r="P504" s="216">
        <v>41</v>
      </c>
      <c r="Q504" s="216">
        <v>0.04</v>
      </c>
      <c r="R504" s="216">
        <v>0.01</v>
      </c>
      <c r="S504" s="216">
        <v>0.2</v>
      </c>
      <c r="T504" s="231">
        <v>2</v>
      </c>
      <c r="U504" s="231">
        <v>130</v>
      </c>
      <c r="V504" s="231">
        <v>12</v>
      </c>
      <c r="W504" s="242">
        <v>0.504</v>
      </c>
      <c r="X504" s="232">
        <v>0.11</v>
      </c>
      <c r="Y504" s="231">
        <v>69</v>
      </c>
      <c r="Z504" s="231">
        <v>0.1</v>
      </c>
      <c r="AA504" s="241">
        <v>5.6000000000000001E-2</v>
      </c>
      <c r="AB504" s="241">
        <v>0.1</v>
      </c>
      <c r="AC504" s="240">
        <v>18</v>
      </c>
      <c r="AD504" s="240">
        <v>0</v>
      </c>
      <c r="AE504" s="233"/>
      <c r="AF504" s="233">
        <v>0</v>
      </c>
      <c r="AG504" s="240"/>
      <c r="AH504" s="240">
        <f t="shared" si="61"/>
        <v>0</v>
      </c>
      <c r="AI504" s="236">
        <f t="shared" si="62"/>
        <v>0.25</v>
      </c>
      <c r="AJ504" s="252"/>
      <c r="AK504" s="233">
        <v>0.02</v>
      </c>
      <c r="AL504" s="216">
        <v>0.3</v>
      </c>
      <c r="AM504" s="236">
        <v>3</v>
      </c>
      <c r="AN504" s="231">
        <v>0</v>
      </c>
      <c r="AO504" s="231">
        <v>0</v>
      </c>
      <c r="AP504" s="231">
        <v>0</v>
      </c>
      <c r="AQ504" s="231">
        <v>0</v>
      </c>
      <c r="AR504" s="231">
        <v>0</v>
      </c>
      <c r="AS504" s="231">
        <v>0</v>
      </c>
      <c r="AT504" s="231">
        <v>0</v>
      </c>
      <c r="AU504" s="231">
        <v>0</v>
      </c>
      <c r="AV504" s="231"/>
      <c r="AW504" s="236">
        <v>8.0000000000000002E-3</v>
      </c>
      <c r="AX504" s="242">
        <v>5.0000000000000001E-3</v>
      </c>
      <c r="AY504" s="242">
        <v>0</v>
      </c>
      <c r="AZ504" s="242">
        <v>3.0000000000000001E-3</v>
      </c>
      <c r="BA504" s="242">
        <v>0</v>
      </c>
      <c r="BB504" s="242">
        <v>0</v>
      </c>
      <c r="BC504" s="242">
        <v>0</v>
      </c>
      <c r="BD504" s="242">
        <v>1.4E-2</v>
      </c>
      <c r="BE504" s="231">
        <v>0</v>
      </c>
      <c r="BF504" s="242">
        <v>2E-3</v>
      </c>
      <c r="BG504" s="242">
        <v>1.2E-2</v>
      </c>
      <c r="BH504" s="242">
        <v>4.2000000000000003E-2</v>
      </c>
      <c r="BI504" s="242">
        <v>2.4E-2</v>
      </c>
      <c r="BJ504" s="242">
        <v>1.7999999999999999E-2</v>
      </c>
      <c r="BK504" s="242">
        <v>0</v>
      </c>
      <c r="BL504" s="242">
        <v>0</v>
      </c>
      <c r="BM504" s="242">
        <v>0</v>
      </c>
      <c r="BN504" s="242"/>
      <c r="BO504" s="231">
        <v>0</v>
      </c>
      <c r="BP504" s="231"/>
      <c r="BQ504" s="231"/>
      <c r="BR504" s="231"/>
      <c r="BS504" s="231"/>
      <c r="BT504" s="231"/>
      <c r="BU504" s="231"/>
      <c r="BV504" s="231"/>
      <c r="BW504" s="231"/>
      <c r="BX504" s="231"/>
      <c r="BY504" s="231"/>
      <c r="BZ504" s="231"/>
      <c r="CA504" s="231"/>
      <c r="CB504" s="231"/>
      <c r="CC504" s="231"/>
      <c r="CD504" s="231"/>
      <c r="CE504" s="231"/>
      <c r="CF504" s="231"/>
      <c r="CG504" s="231"/>
      <c r="CH504" s="231"/>
      <c r="CI504" s="231"/>
    </row>
    <row r="505" spans="1:101" s="172" customFormat="1" ht="25.2" customHeight="1">
      <c r="A505" s="204">
        <v>475</v>
      </c>
      <c r="B505" s="207">
        <v>11014</v>
      </c>
      <c r="C505" s="208" t="s">
        <v>676</v>
      </c>
      <c r="D505" s="194" t="s">
        <v>181</v>
      </c>
      <c r="E505" s="209">
        <f t="shared" si="59"/>
        <v>64.8</v>
      </c>
      <c r="F505" s="216">
        <v>83.6</v>
      </c>
      <c r="G505" s="217">
        <v>0.4</v>
      </c>
      <c r="H505" s="218">
        <v>0</v>
      </c>
      <c r="I505" s="230">
        <f t="shared" si="60"/>
        <v>15.8</v>
      </c>
      <c r="J505" s="216">
        <v>1.1000000000000001</v>
      </c>
      <c r="K505" s="216">
        <v>0.2</v>
      </c>
      <c r="L505" s="233"/>
      <c r="M505" s="216">
        <v>8</v>
      </c>
      <c r="N505" s="216">
        <v>160</v>
      </c>
      <c r="O505" s="216">
        <v>0.6</v>
      </c>
      <c r="P505" s="216">
        <v>10</v>
      </c>
      <c r="Q505" s="216"/>
      <c r="R505" s="216">
        <v>0.04</v>
      </c>
      <c r="S505" s="216">
        <v>0.1</v>
      </c>
      <c r="T505" s="231"/>
      <c r="U505" s="231"/>
      <c r="V505" s="231"/>
      <c r="W505" s="242"/>
      <c r="X505" s="232"/>
      <c r="Y505" s="231"/>
      <c r="Z505" s="231"/>
      <c r="AA505" s="241"/>
      <c r="AB505" s="241"/>
      <c r="AC505" s="240"/>
      <c r="AD505" s="240"/>
      <c r="AE505" s="233"/>
      <c r="AF505" s="233"/>
      <c r="AG505" s="240"/>
      <c r="AH505" s="240">
        <f t="shared" si="61"/>
        <v>0</v>
      </c>
      <c r="AI505" s="236">
        <f t="shared" si="62"/>
        <v>0</v>
      </c>
      <c r="AJ505" s="252"/>
      <c r="AK505" s="233"/>
      <c r="AL505" s="216"/>
      <c r="AM505" s="236">
        <v>0</v>
      </c>
      <c r="AN505" s="236">
        <v>0</v>
      </c>
      <c r="AO505" s="236">
        <v>0</v>
      </c>
      <c r="AP505" s="236">
        <v>0</v>
      </c>
      <c r="AQ505" s="236">
        <v>0</v>
      </c>
      <c r="AR505" s="231">
        <v>0</v>
      </c>
      <c r="AS505" s="231">
        <v>0</v>
      </c>
      <c r="AT505" s="231">
        <v>0</v>
      </c>
      <c r="AU505" s="231">
        <v>0</v>
      </c>
      <c r="AV505" s="231"/>
      <c r="AW505" s="236"/>
      <c r="AX505" s="242"/>
      <c r="AY505" s="242"/>
      <c r="AZ505" s="242"/>
      <c r="BA505" s="242"/>
      <c r="BB505" s="242"/>
      <c r="BC505" s="242"/>
      <c r="BD505" s="242"/>
      <c r="BE505" s="231"/>
      <c r="BF505" s="242"/>
      <c r="BG505" s="242"/>
      <c r="BH505" s="242"/>
      <c r="BI505" s="242"/>
      <c r="BJ505" s="242"/>
      <c r="BK505" s="242"/>
      <c r="BL505" s="242"/>
      <c r="BM505" s="242"/>
      <c r="BN505" s="242"/>
      <c r="BO505" s="231">
        <v>0</v>
      </c>
      <c r="BP505" s="231"/>
      <c r="BQ505" s="231"/>
      <c r="BR505" s="231"/>
      <c r="BS505" s="231"/>
      <c r="BT505" s="231"/>
      <c r="BU505" s="231"/>
      <c r="BV505" s="231"/>
      <c r="BW505" s="231"/>
      <c r="BX505" s="231"/>
      <c r="BY505" s="231"/>
      <c r="BZ505" s="231"/>
      <c r="CA505" s="231"/>
      <c r="CB505" s="231"/>
      <c r="CC505" s="231"/>
      <c r="CD505" s="231"/>
      <c r="CE505" s="231"/>
      <c r="CF505" s="231"/>
      <c r="CG505" s="231"/>
      <c r="CH505" s="231"/>
      <c r="CI505" s="231"/>
      <c r="CM505" s="173"/>
      <c r="CN505" s="173"/>
      <c r="CO505" s="173"/>
      <c r="CP505" s="173"/>
      <c r="CQ505" s="173"/>
      <c r="CR505" s="173"/>
      <c r="CS505" s="173"/>
      <c r="CT505" s="173"/>
      <c r="CU505" s="173"/>
      <c r="CV505" s="173"/>
      <c r="CW505" s="173"/>
    </row>
    <row r="506" spans="1:101" ht="25.2" customHeight="1" outlineLevel="1">
      <c r="A506" s="204">
        <v>476</v>
      </c>
      <c r="B506" s="207">
        <v>11015</v>
      </c>
      <c r="C506" s="208" t="s">
        <v>677</v>
      </c>
      <c r="D506" s="194" t="s">
        <v>468</v>
      </c>
      <c r="E506" s="209">
        <f t="shared" si="59"/>
        <v>207.2</v>
      </c>
      <c r="F506" s="216">
        <v>57.5</v>
      </c>
      <c r="G506" s="217">
        <v>24.8</v>
      </c>
      <c r="H506" s="218">
        <v>12</v>
      </c>
      <c r="I506" s="230">
        <f t="shared" si="60"/>
        <v>0</v>
      </c>
      <c r="J506" s="216" t="s">
        <v>247</v>
      </c>
      <c r="K506" s="216">
        <v>5.7</v>
      </c>
      <c r="L506" s="233">
        <v>0</v>
      </c>
      <c r="M506" s="216">
        <v>50</v>
      </c>
      <c r="N506" s="216">
        <v>260</v>
      </c>
      <c r="O506" s="216">
        <v>1.6</v>
      </c>
      <c r="P506" s="216"/>
      <c r="Q506" s="216">
        <v>0.02</v>
      </c>
      <c r="R506" s="216">
        <v>0.1</v>
      </c>
      <c r="S506" s="216">
        <v>6.5</v>
      </c>
      <c r="T506" s="231"/>
      <c r="U506" s="231"/>
      <c r="V506" s="231"/>
      <c r="W506" s="242"/>
      <c r="X506" s="232"/>
      <c r="Y506" s="231"/>
      <c r="Z506" s="231"/>
      <c r="AA506" s="241"/>
      <c r="AB506" s="241"/>
      <c r="AC506" s="240"/>
      <c r="AD506" s="240"/>
      <c r="AE506" s="233">
        <v>7</v>
      </c>
      <c r="AF506" s="233"/>
      <c r="AG506" s="240"/>
      <c r="AH506" s="240">
        <f t="shared" si="61"/>
        <v>0</v>
      </c>
      <c r="AI506" s="231">
        <f t="shared" si="62"/>
        <v>0</v>
      </c>
      <c r="AJ506" s="252"/>
      <c r="AK506" s="233"/>
      <c r="AL506" s="216"/>
      <c r="AM506" s="231">
        <v>0</v>
      </c>
      <c r="AN506" s="231">
        <v>0</v>
      </c>
      <c r="AO506" s="231">
        <v>0</v>
      </c>
      <c r="AP506" s="231">
        <v>0</v>
      </c>
      <c r="AQ506" s="231">
        <v>0</v>
      </c>
      <c r="AR506" s="231">
        <v>0</v>
      </c>
      <c r="AS506" s="231">
        <v>0</v>
      </c>
      <c r="AT506" s="231">
        <v>0</v>
      </c>
      <c r="AU506" s="231">
        <v>0</v>
      </c>
      <c r="AV506" s="231"/>
      <c r="AW506" s="231"/>
      <c r="AX506" s="242"/>
      <c r="AY506" s="242"/>
      <c r="AZ506" s="242"/>
      <c r="BA506" s="242"/>
      <c r="BB506" s="242"/>
      <c r="BC506" s="242"/>
      <c r="BD506" s="242"/>
      <c r="BE506" s="231"/>
      <c r="BF506" s="242"/>
      <c r="BG506" s="242"/>
      <c r="BH506" s="242"/>
      <c r="BI506" s="242"/>
      <c r="BJ506" s="242"/>
      <c r="BK506" s="242"/>
      <c r="BL506" s="242"/>
      <c r="BM506" s="242"/>
      <c r="BN506" s="242"/>
      <c r="BO506" s="231"/>
      <c r="BP506" s="231"/>
      <c r="BQ506" s="231"/>
      <c r="BR506" s="231"/>
      <c r="BS506" s="231"/>
      <c r="BT506" s="231"/>
      <c r="BU506" s="231"/>
      <c r="BV506" s="231"/>
      <c r="BW506" s="231"/>
      <c r="BX506" s="231"/>
      <c r="BY506" s="231"/>
      <c r="BZ506" s="231"/>
      <c r="CA506" s="231"/>
      <c r="CB506" s="231"/>
      <c r="CC506" s="231"/>
      <c r="CD506" s="231"/>
      <c r="CE506" s="231"/>
      <c r="CF506" s="231"/>
      <c r="CG506" s="231"/>
      <c r="CH506" s="231"/>
      <c r="CI506" s="231"/>
    </row>
    <row r="507" spans="1:101" ht="25.2" customHeight="1" outlineLevel="1">
      <c r="A507" s="204">
        <v>477</v>
      </c>
      <c r="B507" s="207">
        <v>11016</v>
      </c>
      <c r="C507" s="208" t="s">
        <v>678</v>
      </c>
      <c r="D507" s="194" t="s">
        <v>468</v>
      </c>
      <c r="E507" s="209">
        <f t="shared" si="59"/>
        <v>232.8</v>
      </c>
      <c r="F507" s="216">
        <v>56.7</v>
      </c>
      <c r="G507" s="217">
        <v>22.3</v>
      </c>
      <c r="H507" s="218">
        <v>14.4</v>
      </c>
      <c r="I507" s="230">
        <f t="shared" si="60"/>
        <v>3.5</v>
      </c>
      <c r="J507" s="216" t="s">
        <v>247</v>
      </c>
      <c r="K507" s="216">
        <v>3.1</v>
      </c>
      <c r="L507" s="233"/>
      <c r="M507" s="216">
        <v>86</v>
      </c>
      <c r="N507" s="216">
        <v>437</v>
      </c>
      <c r="O507" s="216">
        <v>2.2999999999999998</v>
      </c>
      <c r="P507" s="216"/>
      <c r="Q507" s="216">
        <v>1.6E-2</v>
      </c>
      <c r="R507" s="216">
        <v>0.121</v>
      </c>
      <c r="S507" s="216">
        <v>2.4900000000000002</v>
      </c>
      <c r="T507" s="231"/>
      <c r="U507" s="231"/>
      <c r="V507" s="231"/>
      <c r="W507" s="242"/>
      <c r="X507" s="232"/>
      <c r="Y507" s="231"/>
      <c r="Z507" s="231"/>
      <c r="AA507" s="241"/>
      <c r="AB507" s="241"/>
      <c r="AC507" s="240"/>
      <c r="AD507" s="240"/>
      <c r="AE507" s="233"/>
      <c r="AF507" s="233"/>
      <c r="AG507" s="240">
        <v>28</v>
      </c>
      <c r="AH507" s="240">
        <f t="shared" si="61"/>
        <v>93.24</v>
      </c>
      <c r="AI507" s="231">
        <f t="shared" si="62"/>
        <v>28</v>
      </c>
      <c r="AJ507" s="252"/>
      <c r="AK507" s="233"/>
      <c r="AL507" s="216"/>
      <c r="AM507" s="231">
        <v>0</v>
      </c>
      <c r="AN507" s="231">
        <v>0</v>
      </c>
      <c r="AO507" s="231">
        <v>0</v>
      </c>
      <c r="AP507" s="231">
        <v>0</v>
      </c>
      <c r="AQ507" s="231">
        <v>0</v>
      </c>
      <c r="AR507" s="231">
        <v>0</v>
      </c>
      <c r="AS507" s="231">
        <v>0</v>
      </c>
      <c r="AT507" s="231">
        <v>0</v>
      </c>
      <c r="AU507" s="231">
        <v>0</v>
      </c>
      <c r="AV507" s="231"/>
      <c r="AW507" s="231"/>
      <c r="AX507" s="276"/>
      <c r="AY507" s="276"/>
      <c r="AZ507" s="276"/>
      <c r="BA507" s="276"/>
      <c r="BB507" s="276"/>
      <c r="BC507" s="276"/>
      <c r="BD507" s="276"/>
      <c r="BE507" s="257"/>
      <c r="BF507" s="276"/>
      <c r="BG507" s="276"/>
      <c r="BH507" s="276"/>
      <c r="BI507" s="276"/>
      <c r="BJ507" s="276"/>
      <c r="BK507" s="276"/>
      <c r="BL507" s="276"/>
      <c r="BM507" s="276"/>
      <c r="BN507" s="276"/>
      <c r="BO507" s="204"/>
      <c r="BP507" s="204"/>
      <c r="BQ507" s="204">
        <v>1539</v>
      </c>
      <c r="BR507" s="204">
        <v>587</v>
      </c>
      <c r="BS507" s="204">
        <v>227</v>
      </c>
      <c r="BT507" s="204">
        <v>697</v>
      </c>
      <c r="BU507" s="204">
        <v>845</v>
      </c>
      <c r="BV507" s="204">
        <v>1204</v>
      </c>
      <c r="BW507" s="204">
        <v>1539</v>
      </c>
      <c r="BX507" s="204">
        <v>1013</v>
      </c>
      <c r="BY507" s="204">
        <v>1141</v>
      </c>
      <c r="BZ507" s="204">
        <v>414</v>
      </c>
      <c r="CA507" s="204">
        <v>217</v>
      </c>
      <c r="CB507" s="204">
        <v>656</v>
      </c>
      <c r="CC507" s="204">
        <v>1202</v>
      </c>
      <c r="CD507" s="204">
        <v>1854</v>
      </c>
      <c r="CE507" s="204">
        <v>2778</v>
      </c>
      <c r="CF507" s="204">
        <v>1202</v>
      </c>
      <c r="CG507" s="204">
        <v>1162</v>
      </c>
      <c r="CH507" s="204">
        <v>1042</v>
      </c>
      <c r="CI507" s="231"/>
    </row>
    <row r="508" spans="1:101" ht="25.2" customHeight="1" outlineLevel="1">
      <c r="A508" s="204">
        <v>478</v>
      </c>
      <c r="B508" s="207">
        <v>11017</v>
      </c>
      <c r="C508" s="208" t="s">
        <v>679</v>
      </c>
      <c r="D508" s="194" t="s">
        <v>468</v>
      </c>
      <c r="E508" s="209">
        <f t="shared" si="59"/>
        <v>251</v>
      </c>
      <c r="F508" s="216">
        <v>61.4</v>
      </c>
      <c r="G508" s="217">
        <v>16.399999999999999</v>
      </c>
      <c r="H508" s="218">
        <v>20.6</v>
      </c>
      <c r="I508" s="230">
        <f t="shared" si="60"/>
        <v>0</v>
      </c>
      <c r="J508" s="216" t="s">
        <v>247</v>
      </c>
      <c r="K508" s="216">
        <v>1.6</v>
      </c>
      <c r="L508" s="233">
        <v>0</v>
      </c>
      <c r="M508" s="216">
        <v>13</v>
      </c>
      <c r="N508" s="216">
        <v>250</v>
      </c>
      <c r="O508" s="216">
        <v>2.9</v>
      </c>
      <c r="P508" s="216"/>
      <c r="Q508" s="216"/>
      <c r="R508" s="216">
        <v>0.23</v>
      </c>
      <c r="S508" s="216">
        <v>2.5</v>
      </c>
      <c r="T508" s="231"/>
      <c r="U508" s="231"/>
      <c r="V508" s="231"/>
      <c r="W508" s="242"/>
      <c r="X508" s="232"/>
      <c r="Y508" s="231"/>
      <c r="Z508" s="231"/>
      <c r="AA508" s="241"/>
      <c r="AB508" s="241"/>
      <c r="AC508" s="240"/>
      <c r="AD508" s="240"/>
      <c r="AE508" s="233"/>
      <c r="AF508" s="233"/>
      <c r="AG508" s="240"/>
      <c r="AH508" s="240">
        <f t="shared" si="61"/>
        <v>0</v>
      </c>
      <c r="AI508" s="231">
        <f t="shared" si="62"/>
        <v>0</v>
      </c>
      <c r="AJ508" s="252"/>
      <c r="AK508" s="233"/>
      <c r="AL508" s="216"/>
      <c r="AM508" s="231">
        <v>0</v>
      </c>
      <c r="AN508" s="231">
        <v>0</v>
      </c>
      <c r="AO508" s="231">
        <v>0</v>
      </c>
      <c r="AP508" s="231">
        <v>0</v>
      </c>
      <c r="AQ508" s="231">
        <v>0</v>
      </c>
      <c r="AR508" s="231">
        <v>0</v>
      </c>
      <c r="AS508" s="231">
        <v>0</v>
      </c>
      <c r="AT508" s="231">
        <v>0</v>
      </c>
      <c r="AU508" s="231">
        <v>0</v>
      </c>
      <c r="AV508" s="231"/>
      <c r="AW508" s="231"/>
      <c r="AX508" s="244">
        <v>3.3</v>
      </c>
      <c r="AY508" s="244">
        <v>0</v>
      </c>
      <c r="AZ508" s="244">
        <v>2.7</v>
      </c>
      <c r="BA508" s="244">
        <v>0</v>
      </c>
      <c r="BB508" s="244">
        <v>0</v>
      </c>
      <c r="BC508" s="244">
        <v>0</v>
      </c>
      <c r="BD508" s="244"/>
      <c r="BE508" s="237"/>
      <c r="BF508" s="244"/>
      <c r="BG508" s="244"/>
      <c r="BH508" s="244"/>
      <c r="BI508" s="244">
        <v>0.7</v>
      </c>
      <c r="BJ508" s="244">
        <v>0.22</v>
      </c>
      <c r="BK508" s="244"/>
      <c r="BL508" s="244"/>
      <c r="BM508" s="244"/>
      <c r="BN508" s="244"/>
      <c r="BO508" s="231"/>
      <c r="BP508" s="231"/>
      <c r="BQ508" s="231"/>
      <c r="BR508" s="231"/>
      <c r="BS508" s="231"/>
      <c r="BT508" s="231"/>
      <c r="BU508" s="231"/>
      <c r="BV508" s="231"/>
      <c r="BW508" s="231"/>
      <c r="BX508" s="231"/>
      <c r="BY508" s="231"/>
      <c r="BZ508" s="231"/>
      <c r="CA508" s="231"/>
      <c r="CB508" s="231"/>
      <c r="CC508" s="231"/>
      <c r="CD508" s="231"/>
      <c r="CE508" s="231"/>
      <c r="CF508" s="231"/>
      <c r="CG508" s="231"/>
      <c r="CH508" s="231"/>
      <c r="CI508" s="231"/>
    </row>
    <row r="509" spans="1:101" ht="25.2" customHeight="1" outlineLevel="1">
      <c r="A509" s="204">
        <v>479</v>
      </c>
      <c r="B509" s="207">
        <v>11018</v>
      </c>
      <c r="C509" s="208" t="s">
        <v>680</v>
      </c>
      <c r="D509" s="194" t="s">
        <v>468</v>
      </c>
      <c r="E509" s="209">
        <f t="shared" si="59"/>
        <v>273.2</v>
      </c>
      <c r="F509" s="216">
        <v>59</v>
      </c>
      <c r="G509" s="217">
        <v>17</v>
      </c>
      <c r="H509" s="218">
        <v>22.8</v>
      </c>
      <c r="I509" s="230">
        <f t="shared" si="60"/>
        <v>0</v>
      </c>
      <c r="J509" s="216" t="s">
        <v>247</v>
      </c>
      <c r="K509" s="216">
        <v>1.2</v>
      </c>
      <c r="L509" s="233">
        <v>0</v>
      </c>
      <c r="M509" s="216">
        <v>108</v>
      </c>
      <c r="N509" s="216">
        <v>138</v>
      </c>
      <c r="O509" s="216">
        <v>2.8</v>
      </c>
      <c r="P509" s="216"/>
      <c r="Q509" s="216">
        <v>0.09</v>
      </c>
      <c r="R509" s="216">
        <v>0.37</v>
      </c>
      <c r="S509" s="216">
        <v>2.41</v>
      </c>
      <c r="T509" s="231"/>
      <c r="U509" s="231"/>
      <c r="V509" s="231"/>
      <c r="W509" s="242"/>
      <c r="X509" s="232"/>
      <c r="Y509" s="231"/>
      <c r="Z509" s="231"/>
      <c r="AA509" s="241"/>
      <c r="AB509" s="241"/>
      <c r="AC509" s="240"/>
      <c r="AD509" s="240"/>
      <c r="AE509" s="233"/>
      <c r="AF509" s="233"/>
      <c r="AG509" s="240">
        <v>520</v>
      </c>
      <c r="AH509" s="240">
        <f t="shared" si="61"/>
        <v>1731.6</v>
      </c>
      <c r="AI509" s="231">
        <f t="shared" si="62"/>
        <v>520</v>
      </c>
      <c r="AJ509" s="252"/>
      <c r="AK509" s="233"/>
      <c r="AL509" s="216"/>
      <c r="AM509" s="231">
        <v>0</v>
      </c>
      <c r="AN509" s="231">
        <v>0</v>
      </c>
      <c r="AO509" s="231">
        <v>0</v>
      </c>
      <c r="AP509" s="231">
        <v>0</v>
      </c>
      <c r="AQ509" s="231">
        <v>0</v>
      </c>
      <c r="AR509" s="231">
        <v>0</v>
      </c>
      <c r="AS509" s="231">
        <v>0</v>
      </c>
      <c r="AT509" s="231">
        <v>0</v>
      </c>
      <c r="AU509" s="231">
        <v>0</v>
      </c>
      <c r="AV509" s="231"/>
      <c r="AW509" s="231"/>
      <c r="AX509" s="242"/>
      <c r="AY509" s="242"/>
      <c r="AZ509" s="242"/>
      <c r="BA509" s="242"/>
      <c r="BB509" s="242"/>
      <c r="BC509" s="242"/>
      <c r="BD509" s="242"/>
      <c r="BE509" s="231"/>
      <c r="BF509" s="242"/>
      <c r="BG509" s="242"/>
      <c r="BH509" s="242"/>
      <c r="BI509" s="242"/>
      <c r="BJ509" s="242"/>
      <c r="BK509" s="242"/>
      <c r="BL509" s="242"/>
      <c r="BM509" s="242"/>
      <c r="BN509" s="242"/>
      <c r="BO509" s="231"/>
      <c r="BP509" s="231"/>
      <c r="BQ509" s="231"/>
      <c r="BR509" s="231"/>
      <c r="BS509" s="231"/>
      <c r="BT509" s="231"/>
      <c r="BU509" s="231"/>
      <c r="BV509" s="231"/>
      <c r="BW509" s="231"/>
      <c r="BX509" s="231"/>
      <c r="BY509" s="231"/>
      <c r="BZ509" s="231"/>
      <c r="CA509" s="231"/>
      <c r="CB509" s="231"/>
      <c r="CC509" s="231"/>
      <c r="CD509" s="231"/>
      <c r="CE509" s="231"/>
      <c r="CF509" s="231"/>
      <c r="CG509" s="231"/>
      <c r="CH509" s="231"/>
      <c r="CI509" s="231"/>
    </row>
    <row r="510" spans="1:101" ht="25.2" customHeight="1" outlineLevel="1">
      <c r="A510" s="204">
        <v>480</v>
      </c>
      <c r="B510" s="207">
        <v>11019</v>
      </c>
      <c r="C510" s="208" t="s">
        <v>681</v>
      </c>
      <c r="D510" s="194" t="s">
        <v>468</v>
      </c>
      <c r="E510" s="209">
        <f t="shared" si="59"/>
        <v>343.7</v>
      </c>
      <c r="F510" s="216">
        <v>49</v>
      </c>
      <c r="G510" s="217">
        <v>17.3</v>
      </c>
      <c r="H510" s="218">
        <v>29.3</v>
      </c>
      <c r="I510" s="230">
        <f t="shared" si="60"/>
        <v>2.7</v>
      </c>
      <c r="J510" s="216" t="s">
        <v>247</v>
      </c>
      <c r="K510" s="216">
        <v>1.7</v>
      </c>
      <c r="L510" s="233"/>
      <c r="M510" s="216">
        <v>9</v>
      </c>
      <c r="N510" s="216">
        <v>200</v>
      </c>
      <c r="O510" s="216">
        <v>1.2</v>
      </c>
      <c r="P510" s="216">
        <v>0</v>
      </c>
      <c r="Q510" s="216">
        <v>0.19</v>
      </c>
      <c r="R510" s="216">
        <v>0.21</v>
      </c>
      <c r="S510" s="216">
        <v>3.2</v>
      </c>
      <c r="T510" s="231"/>
      <c r="U510" s="231"/>
      <c r="V510" s="231"/>
      <c r="W510" s="242"/>
      <c r="X510" s="232"/>
      <c r="Y510" s="231"/>
      <c r="Z510" s="231"/>
      <c r="AA510" s="241"/>
      <c r="AB510" s="241"/>
      <c r="AC510" s="240"/>
      <c r="AD510" s="240"/>
      <c r="AE510" s="233"/>
      <c r="AF510" s="233"/>
      <c r="AG510" s="240"/>
      <c r="AH510" s="240">
        <f t="shared" si="61"/>
        <v>0</v>
      </c>
      <c r="AI510" s="231">
        <f t="shared" si="62"/>
        <v>0</v>
      </c>
      <c r="AJ510" s="252"/>
      <c r="AK510" s="233"/>
      <c r="AL510" s="216"/>
      <c r="AM510" s="231">
        <v>0</v>
      </c>
      <c r="AN510" s="231">
        <v>0</v>
      </c>
      <c r="AO510" s="231">
        <v>0</v>
      </c>
      <c r="AP510" s="231">
        <v>0</v>
      </c>
      <c r="AQ510" s="231">
        <v>0</v>
      </c>
      <c r="AR510" s="231">
        <v>0</v>
      </c>
      <c r="AS510" s="231">
        <v>0</v>
      </c>
      <c r="AT510" s="231">
        <v>0</v>
      </c>
      <c r="AU510" s="231">
        <v>0</v>
      </c>
      <c r="AV510" s="231"/>
      <c r="AW510" s="231"/>
      <c r="AX510" s="244">
        <v>2.1</v>
      </c>
      <c r="AY510" s="244">
        <v>0</v>
      </c>
      <c r="AZ510" s="244">
        <v>0.45</v>
      </c>
      <c r="BA510" s="244">
        <v>0</v>
      </c>
      <c r="BB510" s="244">
        <v>0</v>
      </c>
      <c r="BC510" s="244">
        <v>0</v>
      </c>
      <c r="BD510" s="244"/>
      <c r="BE510" s="237"/>
      <c r="BF510" s="244"/>
      <c r="BG510" s="244"/>
      <c r="BH510" s="244"/>
      <c r="BI510" s="244">
        <v>3.94</v>
      </c>
      <c r="BJ510" s="244">
        <v>0.43</v>
      </c>
      <c r="BK510" s="244"/>
      <c r="BL510" s="244"/>
      <c r="BM510" s="244"/>
      <c r="BN510" s="244"/>
      <c r="BO510" s="231"/>
      <c r="BP510" s="231"/>
      <c r="BQ510" s="231"/>
      <c r="BR510" s="231"/>
      <c r="BS510" s="231"/>
      <c r="BT510" s="231"/>
      <c r="BU510" s="231"/>
      <c r="BV510" s="231"/>
      <c r="BW510" s="231"/>
      <c r="BX510" s="231"/>
      <c r="BY510" s="231"/>
      <c r="BZ510" s="231"/>
      <c r="CA510" s="231"/>
      <c r="CB510" s="231"/>
      <c r="CC510" s="231"/>
      <c r="CD510" s="231"/>
      <c r="CE510" s="231"/>
      <c r="CF510" s="231"/>
      <c r="CG510" s="231"/>
      <c r="CH510" s="231"/>
      <c r="CI510" s="231"/>
    </row>
    <row r="511" spans="1:101" ht="25.2" customHeight="1" outlineLevel="1">
      <c r="A511" s="204">
        <v>481</v>
      </c>
      <c r="B511" s="207">
        <v>11020</v>
      </c>
      <c r="C511" s="208" t="s">
        <v>682</v>
      </c>
      <c r="D511" s="194" t="s">
        <v>468</v>
      </c>
      <c r="E511" s="209">
        <f t="shared" si="59"/>
        <v>244</v>
      </c>
      <c r="F511" s="216">
        <v>62.8</v>
      </c>
      <c r="G511" s="217">
        <v>16</v>
      </c>
      <c r="H511" s="218">
        <v>20</v>
      </c>
      <c r="I511" s="230">
        <f t="shared" si="60"/>
        <v>0</v>
      </c>
      <c r="J511" s="216" t="s">
        <v>247</v>
      </c>
      <c r="K511" s="216">
        <v>1.2</v>
      </c>
      <c r="L511" s="233">
        <v>0</v>
      </c>
      <c r="M511" s="216">
        <v>8</v>
      </c>
      <c r="N511" s="216">
        <v>120</v>
      </c>
      <c r="O511" s="216">
        <v>2.1</v>
      </c>
      <c r="P511" s="216">
        <v>0.8</v>
      </c>
      <c r="Q511" s="216">
        <v>0.26</v>
      </c>
      <c r="R511" s="216">
        <v>0.19</v>
      </c>
      <c r="S511" s="216">
        <v>5.5</v>
      </c>
      <c r="T511" s="231"/>
      <c r="U511" s="231"/>
      <c r="V511" s="231"/>
      <c r="W511" s="242"/>
      <c r="X511" s="232"/>
      <c r="Y511" s="231"/>
      <c r="Z511" s="231"/>
      <c r="AA511" s="241"/>
      <c r="AB511" s="241"/>
      <c r="AC511" s="240"/>
      <c r="AD511" s="240"/>
      <c r="AE511" s="233"/>
      <c r="AF511" s="233"/>
      <c r="AG511" s="240">
        <v>8</v>
      </c>
      <c r="AH511" s="240">
        <f t="shared" si="61"/>
        <v>26.64</v>
      </c>
      <c r="AI511" s="231">
        <f t="shared" si="62"/>
        <v>8</v>
      </c>
      <c r="AJ511" s="252"/>
      <c r="AK511" s="233"/>
      <c r="AL511" s="216"/>
      <c r="AM511" s="231">
        <v>0</v>
      </c>
      <c r="AN511" s="231">
        <v>0</v>
      </c>
      <c r="AO511" s="231">
        <v>0</v>
      </c>
      <c r="AP511" s="231">
        <v>0</v>
      </c>
      <c r="AQ511" s="231">
        <v>0</v>
      </c>
      <c r="AR511" s="231">
        <v>0</v>
      </c>
      <c r="AS511" s="231">
        <v>0</v>
      </c>
      <c r="AT511" s="231">
        <v>0</v>
      </c>
      <c r="AU511" s="231">
        <v>0</v>
      </c>
      <c r="AV511" s="231"/>
      <c r="AW511" s="231"/>
      <c r="AX511" s="244"/>
      <c r="AY511" s="244"/>
      <c r="AZ511" s="244"/>
      <c r="BA511" s="244"/>
      <c r="BB511" s="244"/>
      <c r="BC511" s="244"/>
      <c r="BD511" s="244"/>
      <c r="BE511" s="204"/>
      <c r="BF511" s="244"/>
      <c r="BG511" s="244"/>
      <c r="BH511" s="244"/>
      <c r="BI511" s="244"/>
      <c r="BJ511" s="244"/>
      <c r="BK511" s="244"/>
      <c r="BL511" s="244"/>
      <c r="BM511" s="244"/>
      <c r="BN511" s="244"/>
      <c r="BO511" s="231"/>
      <c r="BP511" s="231"/>
      <c r="BQ511" s="231"/>
      <c r="BR511" s="231"/>
      <c r="BS511" s="231"/>
      <c r="BT511" s="231"/>
      <c r="BU511" s="231"/>
      <c r="BV511" s="231"/>
      <c r="BW511" s="231"/>
      <c r="BX511" s="231"/>
      <c r="BY511" s="231"/>
      <c r="BZ511" s="231"/>
      <c r="CA511" s="231"/>
      <c r="CB511" s="231"/>
      <c r="CC511" s="231"/>
      <c r="CD511" s="231"/>
      <c r="CE511" s="231"/>
      <c r="CF511" s="231"/>
      <c r="CG511" s="231"/>
      <c r="CH511" s="231"/>
      <c r="CI511" s="231"/>
    </row>
    <row r="512" spans="1:101" ht="25.2" customHeight="1" outlineLevel="1">
      <c r="A512" s="204">
        <v>482</v>
      </c>
      <c r="B512" s="207">
        <v>11021</v>
      </c>
      <c r="C512" s="208" t="s">
        <v>683</v>
      </c>
      <c r="D512" s="194" t="s">
        <v>468</v>
      </c>
      <c r="E512" s="209">
        <f t="shared" si="59"/>
        <v>224.2</v>
      </c>
      <c r="F512" s="216">
        <v>59.9</v>
      </c>
      <c r="G512" s="217">
        <v>19.600000000000001</v>
      </c>
      <c r="H512" s="218">
        <v>16.2</v>
      </c>
      <c r="I512" s="230">
        <f t="shared" si="60"/>
        <v>0</v>
      </c>
      <c r="J512" s="216" t="s">
        <v>247</v>
      </c>
      <c r="K512" s="216">
        <v>4.3</v>
      </c>
      <c r="L512" s="233">
        <v>0</v>
      </c>
      <c r="M512" s="233"/>
      <c r="N512" s="233"/>
      <c r="O512" s="233"/>
      <c r="P512" s="233">
        <v>0</v>
      </c>
      <c r="Q512" s="233"/>
      <c r="R512" s="233"/>
      <c r="S512" s="233"/>
      <c r="T512" s="231"/>
      <c r="U512" s="231"/>
      <c r="V512" s="231"/>
      <c r="W512" s="242"/>
      <c r="X512" s="232"/>
      <c r="Y512" s="231"/>
      <c r="Z512" s="231"/>
      <c r="AA512" s="241"/>
      <c r="AB512" s="241"/>
      <c r="AC512" s="240"/>
      <c r="AD512" s="240"/>
      <c r="AE512" s="233"/>
      <c r="AF512" s="233"/>
      <c r="AG512" s="240"/>
      <c r="AH512" s="240">
        <f t="shared" si="61"/>
        <v>0</v>
      </c>
      <c r="AI512" s="231">
        <f t="shared" si="62"/>
        <v>0</v>
      </c>
      <c r="AJ512" s="252"/>
      <c r="AK512" s="233"/>
      <c r="AL512" s="216"/>
      <c r="AM512" s="231">
        <v>0</v>
      </c>
      <c r="AN512" s="231">
        <v>0</v>
      </c>
      <c r="AO512" s="231">
        <v>0</v>
      </c>
      <c r="AP512" s="231">
        <v>0</v>
      </c>
      <c r="AQ512" s="231">
        <v>0</v>
      </c>
      <c r="AR512" s="231">
        <v>0</v>
      </c>
      <c r="AS512" s="231">
        <v>0</v>
      </c>
      <c r="AT512" s="231">
        <v>0</v>
      </c>
      <c r="AU512" s="231">
        <v>0</v>
      </c>
      <c r="AV512" s="231"/>
      <c r="AW512" s="231"/>
      <c r="AX512" s="276"/>
      <c r="AY512" s="276"/>
      <c r="AZ512" s="276"/>
      <c r="BA512" s="276"/>
      <c r="BB512" s="276"/>
      <c r="BC512" s="276"/>
      <c r="BD512" s="276"/>
      <c r="BE512" s="257"/>
      <c r="BF512" s="276"/>
      <c r="BG512" s="276"/>
      <c r="BH512" s="276"/>
      <c r="BI512" s="276"/>
      <c r="BJ512" s="276"/>
      <c r="BK512" s="276"/>
      <c r="BL512" s="276"/>
      <c r="BM512" s="276"/>
      <c r="BN512" s="276"/>
      <c r="BO512" s="231"/>
      <c r="BP512" s="231"/>
      <c r="BQ512" s="231"/>
      <c r="BR512" s="231"/>
      <c r="BS512" s="231"/>
      <c r="BT512" s="231"/>
      <c r="BU512" s="231"/>
      <c r="BV512" s="231"/>
      <c r="BW512" s="231"/>
      <c r="BX512" s="231"/>
      <c r="BY512" s="231"/>
      <c r="BZ512" s="231"/>
      <c r="CA512" s="231"/>
      <c r="CB512" s="231"/>
      <c r="CC512" s="231"/>
      <c r="CD512" s="231"/>
      <c r="CE512" s="231"/>
      <c r="CF512" s="231"/>
      <c r="CG512" s="231"/>
      <c r="CH512" s="231"/>
      <c r="CI512" s="231"/>
    </row>
    <row r="513" spans="1:87" s="169" customFormat="1" ht="7.05" customHeight="1">
      <c r="A513" s="196"/>
      <c r="B513" s="196"/>
      <c r="C513" s="197"/>
      <c r="D513" s="198"/>
      <c r="E513" s="199"/>
      <c r="F513" s="199"/>
      <c r="G513" s="200"/>
      <c r="H513" s="201"/>
      <c r="I513" s="228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  <c r="AG513" s="199"/>
      <c r="AH513" s="199"/>
      <c r="AI513" s="199"/>
      <c r="AJ513" s="250"/>
      <c r="AK513" s="199"/>
      <c r="AL513" s="199"/>
      <c r="AM513" s="199"/>
      <c r="AN513" s="199"/>
      <c r="AO513" s="199"/>
      <c r="AP513" s="199"/>
      <c r="AQ513" s="199"/>
      <c r="AR513" s="199"/>
      <c r="AS513" s="199"/>
      <c r="AT513" s="199"/>
      <c r="AU513" s="199"/>
      <c r="AV513" s="199"/>
      <c r="AW513" s="199"/>
      <c r="AX513" s="199"/>
      <c r="AY513" s="199"/>
      <c r="AZ513" s="199"/>
      <c r="BA513" s="199"/>
      <c r="BB513" s="199"/>
      <c r="BC513" s="199"/>
      <c r="BD513" s="199"/>
      <c r="BE513" s="199"/>
      <c r="BF513" s="199"/>
      <c r="BG513" s="199"/>
      <c r="BH513" s="199"/>
      <c r="BI513" s="199"/>
      <c r="BJ513" s="199"/>
      <c r="BK513" s="199"/>
      <c r="BL513" s="199"/>
      <c r="BM513" s="199"/>
      <c r="BN513" s="199"/>
      <c r="BO513" s="199"/>
      <c r="BP513" s="199"/>
      <c r="BQ513" s="199"/>
      <c r="BR513" s="199"/>
      <c r="BS513" s="199"/>
      <c r="BT513" s="199"/>
      <c r="BU513" s="199"/>
      <c r="BV513" s="199"/>
      <c r="BW513" s="199"/>
      <c r="BX513" s="199"/>
      <c r="BY513" s="199"/>
      <c r="BZ513" s="199"/>
      <c r="CA513" s="199"/>
      <c r="CB513" s="199"/>
      <c r="CC513" s="199"/>
      <c r="CD513" s="199"/>
      <c r="CE513" s="199"/>
      <c r="CF513" s="199"/>
      <c r="CG513" s="199"/>
      <c r="CH513" s="199"/>
      <c r="CI513" s="199"/>
    </row>
    <row r="514" spans="1:87" ht="25.2" customHeight="1">
      <c r="A514" s="204"/>
      <c r="B514" s="202"/>
      <c r="C514" s="203" t="s">
        <v>684</v>
      </c>
      <c r="D514" s="194"/>
      <c r="E514" s="209"/>
      <c r="F514" s="204"/>
      <c r="G514" s="205"/>
      <c r="H514" s="206"/>
      <c r="I514" s="230"/>
      <c r="J514" s="204"/>
      <c r="K514" s="204"/>
      <c r="L514" s="213"/>
      <c r="M514" s="237"/>
      <c r="N514" s="237"/>
      <c r="O514" s="237"/>
      <c r="P514" s="237"/>
      <c r="Q514" s="237"/>
      <c r="R514" s="237"/>
      <c r="S514" s="237"/>
      <c r="T514" s="231"/>
      <c r="U514" s="231"/>
      <c r="V514" s="231"/>
      <c r="W514" s="242"/>
      <c r="X514" s="232"/>
      <c r="Y514" s="231"/>
      <c r="Z514" s="231"/>
      <c r="AA514" s="244"/>
      <c r="AB514" s="244"/>
      <c r="AC514" s="243"/>
      <c r="AD514" s="243"/>
      <c r="AE514" s="204"/>
      <c r="AF514" s="204"/>
      <c r="AG514" s="243"/>
      <c r="AH514" s="243"/>
      <c r="AI514" s="204"/>
      <c r="AJ514" s="253"/>
      <c r="AK514" s="213"/>
      <c r="AL514" s="237"/>
      <c r="AM514" s="204"/>
      <c r="AN514" s="231"/>
      <c r="AO514" s="231"/>
      <c r="AP514" s="231"/>
      <c r="AQ514" s="231"/>
      <c r="AR514" s="231"/>
      <c r="AS514" s="231"/>
      <c r="AT514" s="231"/>
      <c r="AU514" s="231"/>
      <c r="AV514" s="231"/>
      <c r="AW514" s="204"/>
      <c r="AX514" s="242"/>
      <c r="AY514" s="242"/>
      <c r="AZ514" s="242"/>
      <c r="BA514" s="242"/>
      <c r="BB514" s="242"/>
      <c r="BC514" s="242"/>
      <c r="BD514" s="242"/>
      <c r="BE514" s="231"/>
      <c r="BF514" s="242"/>
      <c r="BG514" s="242"/>
      <c r="BH514" s="242"/>
      <c r="BI514" s="242"/>
      <c r="BJ514" s="242"/>
      <c r="BK514" s="242"/>
      <c r="BL514" s="242"/>
      <c r="BM514" s="242"/>
      <c r="BN514" s="242"/>
      <c r="BO514" s="231"/>
      <c r="BP514" s="231"/>
      <c r="BQ514" s="231"/>
      <c r="BR514" s="231"/>
      <c r="BS514" s="231"/>
      <c r="BT514" s="231"/>
      <c r="BU514" s="231"/>
      <c r="BV514" s="231"/>
      <c r="BW514" s="231"/>
      <c r="BX514" s="231"/>
      <c r="BY514" s="231"/>
      <c r="BZ514" s="231"/>
      <c r="CA514" s="231"/>
      <c r="CB514" s="231"/>
      <c r="CC514" s="231"/>
      <c r="CD514" s="231"/>
      <c r="CE514" s="231"/>
      <c r="CF514" s="231"/>
      <c r="CG514" s="231"/>
      <c r="CH514" s="231"/>
      <c r="CI514" s="231"/>
    </row>
    <row r="515" spans="1:87" ht="25.2" customHeight="1" outlineLevel="1">
      <c r="A515" s="204">
        <v>483</v>
      </c>
      <c r="B515" s="204">
        <v>12001</v>
      </c>
      <c r="C515" s="208" t="s">
        <v>685</v>
      </c>
      <c r="D515" s="194" t="s">
        <v>181</v>
      </c>
      <c r="E515" s="209">
        <f t="shared" ref="E515:E541" si="63">G515*4+H515*9+I515*4</f>
        <v>349.3</v>
      </c>
      <c r="F515" s="216">
        <v>12</v>
      </c>
      <c r="G515" s="217">
        <v>12.3</v>
      </c>
      <c r="H515" s="218">
        <v>1.3</v>
      </c>
      <c r="I515" s="230">
        <f t="shared" ref="I515:I541" si="64">100-SUM(F515,G515,H515,K515)</f>
        <v>72.099999999999994</v>
      </c>
      <c r="J515" s="216">
        <v>0.8</v>
      </c>
      <c r="K515" s="216">
        <v>2.2999999999999998</v>
      </c>
      <c r="L515" s="233"/>
      <c r="M515" s="216">
        <v>39</v>
      </c>
      <c r="N515" s="216">
        <v>231</v>
      </c>
      <c r="O515" s="216">
        <v>2.7</v>
      </c>
      <c r="P515" s="216">
        <v>0</v>
      </c>
      <c r="Q515" s="216">
        <v>0.36</v>
      </c>
      <c r="R515" s="216">
        <v>0.18</v>
      </c>
      <c r="S515" s="216">
        <v>0.2</v>
      </c>
      <c r="T515" s="231"/>
      <c r="U515" s="231"/>
      <c r="V515" s="231"/>
      <c r="W515" s="242"/>
      <c r="X515" s="232"/>
      <c r="Y515" s="231"/>
      <c r="Z515" s="231"/>
      <c r="AA515" s="241"/>
      <c r="AB515" s="241"/>
      <c r="AC515" s="240"/>
      <c r="AD515" s="240"/>
      <c r="AE515" s="233"/>
      <c r="AF515" s="233"/>
      <c r="AG515" s="240">
        <v>86.17</v>
      </c>
      <c r="AH515" s="240">
        <f t="shared" ref="AH515:AH541" si="65">AG515*3.33</f>
        <v>286.9461</v>
      </c>
      <c r="AI515" s="236">
        <f t="shared" ref="AI515:AI541" si="66">AG515+AM515/12+AN515/24+AO515/24</f>
        <v>87.253333333333302</v>
      </c>
      <c r="AJ515" s="252"/>
      <c r="AK515" s="233"/>
      <c r="AL515" s="216"/>
      <c r="AM515" s="236">
        <v>13</v>
      </c>
      <c r="AN515" s="231">
        <v>0</v>
      </c>
      <c r="AO515" s="231">
        <v>0</v>
      </c>
      <c r="AP515" s="231">
        <v>0</v>
      </c>
      <c r="AQ515" s="231">
        <v>0</v>
      </c>
      <c r="AR515" s="231">
        <v>0</v>
      </c>
      <c r="AS515" s="231">
        <v>0</v>
      </c>
      <c r="AT515" s="231">
        <v>0</v>
      </c>
      <c r="AU515" s="231">
        <v>0</v>
      </c>
      <c r="AV515" s="231"/>
      <c r="AW515" s="236"/>
      <c r="AX515" s="242"/>
      <c r="AY515" s="242"/>
      <c r="AZ515" s="242"/>
      <c r="BA515" s="242"/>
      <c r="BB515" s="242"/>
      <c r="BC515" s="242"/>
      <c r="BD515" s="242"/>
      <c r="BE515" s="231"/>
      <c r="BF515" s="242"/>
      <c r="BG515" s="242"/>
      <c r="BH515" s="242"/>
      <c r="BI515" s="242"/>
      <c r="BJ515" s="242"/>
      <c r="BK515" s="242"/>
      <c r="BL515" s="242"/>
      <c r="BM515" s="242"/>
      <c r="BN515" s="242"/>
      <c r="BO515" s="231">
        <v>0</v>
      </c>
      <c r="BP515" s="231"/>
      <c r="BQ515" s="231"/>
      <c r="BR515" s="231"/>
      <c r="BS515" s="231"/>
      <c r="BT515" s="231"/>
      <c r="BU515" s="231"/>
      <c r="BV515" s="231"/>
      <c r="BW515" s="231"/>
      <c r="BX515" s="231"/>
      <c r="BY515" s="231"/>
      <c r="BZ515" s="231"/>
      <c r="CA515" s="231"/>
      <c r="CB515" s="231"/>
      <c r="CC515" s="231"/>
      <c r="CD515" s="231"/>
      <c r="CE515" s="231"/>
      <c r="CF515" s="231"/>
      <c r="CG515" s="231"/>
      <c r="CH515" s="231"/>
      <c r="CI515" s="231"/>
    </row>
    <row r="516" spans="1:87" s="172" customFormat="1" ht="25.2" customHeight="1">
      <c r="A516" s="204">
        <v>484</v>
      </c>
      <c r="B516" s="204">
        <v>12002</v>
      </c>
      <c r="C516" s="208" t="s">
        <v>686</v>
      </c>
      <c r="D516" s="194" t="s">
        <v>181</v>
      </c>
      <c r="E516" s="209">
        <f t="shared" si="63"/>
        <v>378.1</v>
      </c>
      <c r="F516" s="216">
        <v>10.4</v>
      </c>
      <c r="G516" s="217">
        <v>8.8000000000000007</v>
      </c>
      <c r="H516" s="218">
        <v>4.5</v>
      </c>
      <c r="I516" s="230">
        <f t="shared" si="64"/>
        <v>75.599999999999994</v>
      </c>
      <c r="J516" s="216">
        <v>0.5</v>
      </c>
      <c r="K516" s="216">
        <v>0.7</v>
      </c>
      <c r="L516" s="233"/>
      <c r="M516" s="216">
        <v>75.2</v>
      </c>
      <c r="N516" s="216">
        <v>78.900000000000006</v>
      </c>
      <c r="O516" s="216">
        <v>3.6</v>
      </c>
      <c r="P516" s="216">
        <v>0</v>
      </c>
      <c r="Q516" s="216">
        <v>0.4</v>
      </c>
      <c r="R516" s="216">
        <v>0.26</v>
      </c>
      <c r="S516" s="216">
        <v>0.7</v>
      </c>
      <c r="T516" s="231"/>
      <c r="U516" s="231"/>
      <c r="V516" s="231"/>
      <c r="W516" s="242"/>
      <c r="X516" s="232"/>
      <c r="Y516" s="231"/>
      <c r="Z516" s="231"/>
      <c r="AA516" s="241"/>
      <c r="AB516" s="241"/>
      <c r="AC516" s="240"/>
      <c r="AD516" s="240"/>
      <c r="AE516" s="233"/>
      <c r="AF516" s="233"/>
      <c r="AG516" s="240">
        <v>19</v>
      </c>
      <c r="AH516" s="240">
        <f t="shared" si="65"/>
        <v>63.27</v>
      </c>
      <c r="AI516" s="236">
        <f t="shared" si="66"/>
        <v>25.25</v>
      </c>
      <c r="AJ516" s="252"/>
      <c r="AK516" s="233"/>
      <c r="AL516" s="216"/>
      <c r="AM516" s="236">
        <v>75</v>
      </c>
      <c r="AN516" s="231">
        <v>0</v>
      </c>
      <c r="AO516" s="231">
        <v>0</v>
      </c>
      <c r="AP516" s="231">
        <v>0</v>
      </c>
      <c r="AQ516" s="231">
        <v>0</v>
      </c>
      <c r="AR516" s="231">
        <v>0</v>
      </c>
      <c r="AS516" s="231">
        <v>0</v>
      </c>
      <c r="AT516" s="231">
        <v>0</v>
      </c>
      <c r="AU516" s="231">
        <v>0</v>
      </c>
      <c r="AV516" s="231"/>
      <c r="AW516" s="236"/>
      <c r="AX516" s="244">
        <v>0.72</v>
      </c>
      <c r="AY516" s="244"/>
      <c r="AZ516" s="244">
        <v>0.52</v>
      </c>
      <c r="BA516" s="244"/>
      <c r="BB516" s="244"/>
      <c r="BC516" s="244"/>
      <c r="BD516" s="244"/>
      <c r="BE516" s="204"/>
      <c r="BF516" s="244"/>
      <c r="BG516" s="244"/>
      <c r="BH516" s="244"/>
      <c r="BI516" s="244">
        <v>1.63</v>
      </c>
      <c r="BJ516" s="244">
        <v>0.24</v>
      </c>
      <c r="BK516" s="244"/>
      <c r="BL516" s="244"/>
      <c r="BM516" s="244"/>
      <c r="BN516" s="244"/>
      <c r="BO516" s="231">
        <v>0</v>
      </c>
      <c r="BP516" s="231"/>
      <c r="BQ516" s="231"/>
      <c r="BR516" s="231"/>
      <c r="BS516" s="231"/>
      <c r="BT516" s="231"/>
      <c r="BU516" s="231"/>
      <c r="BV516" s="231"/>
      <c r="BW516" s="231"/>
      <c r="BX516" s="231"/>
      <c r="BY516" s="231"/>
      <c r="BZ516" s="231"/>
      <c r="CA516" s="231"/>
      <c r="CB516" s="231"/>
      <c r="CC516" s="231"/>
      <c r="CD516" s="231"/>
      <c r="CE516" s="231"/>
      <c r="CF516" s="231"/>
      <c r="CG516" s="231"/>
      <c r="CH516" s="231"/>
      <c r="CI516" s="231"/>
    </row>
    <row r="517" spans="1:87" ht="25.2" customHeight="1" outlineLevel="1">
      <c r="A517" s="204">
        <v>485</v>
      </c>
      <c r="B517" s="204">
        <v>12003</v>
      </c>
      <c r="C517" s="208" t="s">
        <v>687</v>
      </c>
      <c r="D517" s="194" t="s">
        <v>181</v>
      </c>
      <c r="E517" s="209">
        <f t="shared" si="63"/>
        <v>399</v>
      </c>
      <c r="F517" s="216">
        <v>8</v>
      </c>
      <c r="G517" s="217">
        <v>3.4</v>
      </c>
      <c r="H517" s="218">
        <v>6.6</v>
      </c>
      <c r="I517" s="230">
        <f t="shared" si="64"/>
        <v>81.5</v>
      </c>
      <c r="J517" s="216">
        <v>1</v>
      </c>
      <c r="K517" s="216">
        <v>0.5</v>
      </c>
      <c r="L517" s="233"/>
      <c r="M517" s="216">
        <v>41.7</v>
      </c>
      <c r="N517" s="216">
        <v>29.4</v>
      </c>
      <c r="O517" s="216">
        <v>1.9</v>
      </c>
      <c r="P517" s="216">
        <v>0</v>
      </c>
      <c r="Q517" s="216">
        <v>0.04</v>
      </c>
      <c r="R517" s="216">
        <v>7.0000000000000007E-2</v>
      </c>
      <c r="S517" s="216">
        <v>0.4</v>
      </c>
      <c r="T517" s="231"/>
      <c r="U517" s="231"/>
      <c r="V517" s="231"/>
      <c r="W517" s="242"/>
      <c r="X517" s="232"/>
      <c r="Y517" s="231"/>
      <c r="Z517" s="231"/>
      <c r="AA517" s="241"/>
      <c r="AB517" s="241"/>
      <c r="AC517" s="240"/>
      <c r="AD517" s="240"/>
      <c r="AE517" s="233"/>
      <c r="AF517" s="233"/>
      <c r="AG517" s="240"/>
      <c r="AH517" s="240">
        <f t="shared" si="65"/>
        <v>0</v>
      </c>
      <c r="AI517" s="236">
        <f t="shared" si="66"/>
        <v>0.41666666666666702</v>
      </c>
      <c r="AJ517" s="252"/>
      <c r="AK517" s="233"/>
      <c r="AL517" s="216"/>
      <c r="AM517" s="236">
        <v>5</v>
      </c>
      <c r="AN517" s="231">
        <v>0</v>
      </c>
      <c r="AO517" s="231">
        <v>0</v>
      </c>
      <c r="AP517" s="231">
        <v>0</v>
      </c>
      <c r="AQ517" s="231">
        <v>0</v>
      </c>
      <c r="AR517" s="231">
        <v>0</v>
      </c>
      <c r="AS517" s="231">
        <v>0</v>
      </c>
      <c r="AT517" s="231">
        <v>0</v>
      </c>
      <c r="AU517" s="231">
        <v>0</v>
      </c>
      <c r="AV517" s="231"/>
      <c r="AW517" s="236"/>
      <c r="AX517" s="242"/>
      <c r="AY517" s="242"/>
      <c r="AZ517" s="242"/>
      <c r="BA517" s="242"/>
      <c r="BB517" s="242"/>
      <c r="BC517" s="242"/>
      <c r="BD517" s="242"/>
      <c r="BE517" s="231"/>
      <c r="BF517" s="242"/>
      <c r="BG517" s="242"/>
      <c r="BH517" s="242"/>
      <c r="BI517" s="242"/>
      <c r="BJ517" s="242"/>
      <c r="BK517" s="242"/>
      <c r="BL517" s="242"/>
      <c r="BM517" s="242"/>
      <c r="BN517" s="242"/>
      <c r="BO517" s="231">
        <v>0</v>
      </c>
      <c r="BP517" s="231"/>
      <c r="BQ517" s="231"/>
      <c r="BR517" s="231"/>
      <c r="BS517" s="231"/>
      <c r="BT517" s="231"/>
      <c r="BU517" s="231"/>
      <c r="BV517" s="231"/>
      <c r="BW517" s="231"/>
      <c r="BX517" s="231"/>
      <c r="BY517" s="231"/>
      <c r="BZ517" s="231"/>
      <c r="CA517" s="231"/>
      <c r="CB517" s="231"/>
      <c r="CC517" s="231"/>
      <c r="CD517" s="231"/>
      <c r="CE517" s="231"/>
      <c r="CF517" s="231"/>
      <c r="CG517" s="231"/>
      <c r="CH517" s="231"/>
      <c r="CI517" s="231"/>
    </row>
    <row r="518" spans="1:87" ht="25.2" customHeight="1" outlineLevel="1">
      <c r="A518" s="204">
        <v>486</v>
      </c>
      <c r="B518" s="204">
        <v>12004</v>
      </c>
      <c r="C518" s="208" t="s">
        <v>688</v>
      </c>
      <c r="D518" s="194" t="s">
        <v>181</v>
      </c>
      <c r="E518" s="209">
        <f t="shared" si="63"/>
        <v>369</v>
      </c>
      <c r="F518" s="216">
        <v>10</v>
      </c>
      <c r="G518" s="217">
        <v>7.5</v>
      </c>
      <c r="H518" s="218">
        <v>2.2000000000000002</v>
      </c>
      <c r="I518" s="230">
        <f t="shared" si="64"/>
        <v>79.8</v>
      </c>
      <c r="J518" s="216">
        <v>0.2</v>
      </c>
      <c r="K518" s="216">
        <v>0.5</v>
      </c>
      <c r="L518" s="233"/>
      <c r="M518" s="216">
        <v>54</v>
      </c>
      <c r="N518" s="216">
        <v>98.9</v>
      </c>
      <c r="O518" s="216">
        <v>2.9</v>
      </c>
      <c r="P518" s="216">
        <v>0</v>
      </c>
      <c r="Q518" s="216">
        <v>0.13</v>
      </c>
      <c r="R518" s="216">
        <v>0.13</v>
      </c>
      <c r="S518" s="216">
        <v>0.9</v>
      </c>
      <c r="T518" s="231"/>
      <c r="U518" s="231"/>
      <c r="V518" s="231"/>
      <c r="W518" s="242"/>
      <c r="X518" s="232"/>
      <c r="Y518" s="231"/>
      <c r="Z518" s="231"/>
      <c r="AA518" s="241"/>
      <c r="AB518" s="241"/>
      <c r="AC518" s="240"/>
      <c r="AD518" s="240"/>
      <c r="AE518" s="233"/>
      <c r="AF518" s="233"/>
      <c r="AG518" s="240"/>
      <c r="AH518" s="240">
        <f t="shared" si="65"/>
        <v>0</v>
      </c>
      <c r="AI518" s="236">
        <f t="shared" si="66"/>
        <v>0.41666666666666702</v>
      </c>
      <c r="AJ518" s="252"/>
      <c r="AK518" s="233"/>
      <c r="AL518" s="216"/>
      <c r="AM518" s="236">
        <v>5</v>
      </c>
      <c r="AN518" s="231">
        <v>0</v>
      </c>
      <c r="AO518" s="231">
        <v>0</v>
      </c>
      <c r="AP518" s="231">
        <v>0</v>
      </c>
      <c r="AQ518" s="231">
        <v>0</v>
      </c>
      <c r="AR518" s="231">
        <v>0</v>
      </c>
      <c r="AS518" s="231">
        <v>0</v>
      </c>
      <c r="AT518" s="231">
        <v>0</v>
      </c>
      <c r="AU518" s="231">
        <v>0</v>
      </c>
      <c r="AV518" s="231"/>
      <c r="AW518" s="236"/>
      <c r="AX518" s="242"/>
      <c r="AY518" s="242"/>
      <c r="AZ518" s="242"/>
      <c r="BA518" s="242"/>
      <c r="BB518" s="242"/>
      <c r="BC518" s="242"/>
      <c r="BD518" s="242"/>
      <c r="BE518" s="231"/>
      <c r="BF518" s="242"/>
      <c r="BG518" s="242"/>
      <c r="BH518" s="242"/>
      <c r="BI518" s="242"/>
      <c r="BJ518" s="242"/>
      <c r="BK518" s="242"/>
      <c r="BL518" s="242"/>
      <c r="BM518" s="242"/>
      <c r="BN518" s="242"/>
      <c r="BO518" s="231">
        <v>0</v>
      </c>
      <c r="BP518" s="231"/>
      <c r="BQ518" s="231"/>
      <c r="BR518" s="231"/>
      <c r="BS518" s="231"/>
      <c r="BT518" s="231"/>
      <c r="BU518" s="231"/>
      <c r="BV518" s="231"/>
      <c r="BW518" s="231"/>
      <c r="BX518" s="231"/>
      <c r="BY518" s="231"/>
      <c r="BZ518" s="231"/>
      <c r="CA518" s="231"/>
      <c r="CB518" s="231"/>
      <c r="CC518" s="231"/>
      <c r="CD518" s="231"/>
      <c r="CE518" s="231"/>
      <c r="CF518" s="231"/>
      <c r="CG518" s="231"/>
      <c r="CH518" s="231"/>
      <c r="CI518" s="231"/>
    </row>
    <row r="519" spans="1:87" ht="25.2" customHeight="1" outlineLevel="1">
      <c r="A519" s="204">
        <v>487</v>
      </c>
      <c r="B519" s="204">
        <v>12005</v>
      </c>
      <c r="C519" s="208" t="s">
        <v>689</v>
      </c>
      <c r="D519" s="194" t="s">
        <v>181</v>
      </c>
      <c r="E519" s="209">
        <f t="shared" si="63"/>
        <v>419.9</v>
      </c>
      <c r="F519" s="216">
        <v>6.8</v>
      </c>
      <c r="G519" s="217">
        <v>15.6</v>
      </c>
      <c r="H519" s="218">
        <v>11.5</v>
      </c>
      <c r="I519" s="230">
        <f t="shared" si="64"/>
        <v>63.5</v>
      </c>
      <c r="J519" s="216">
        <v>1.1000000000000001</v>
      </c>
      <c r="K519" s="216">
        <v>2.6</v>
      </c>
      <c r="L519" s="233"/>
      <c r="M519" s="216">
        <v>111</v>
      </c>
      <c r="N519" s="216">
        <v>272.8</v>
      </c>
      <c r="O519" s="216">
        <v>3.4</v>
      </c>
      <c r="P519" s="216">
        <v>0</v>
      </c>
      <c r="Q519" s="216">
        <v>0.2</v>
      </c>
      <c r="R519" s="216">
        <v>0.15</v>
      </c>
      <c r="S519" s="216">
        <v>6.6</v>
      </c>
      <c r="T519" s="204"/>
      <c r="U519" s="204"/>
      <c r="V519" s="204"/>
      <c r="W519" s="244"/>
      <c r="X519" s="213"/>
      <c r="Y519" s="204"/>
      <c r="Z519" s="204"/>
      <c r="AA519" s="241"/>
      <c r="AB519" s="241"/>
      <c r="AC519" s="240"/>
      <c r="AD519" s="240"/>
      <c r="AE519" s="233"/>
      <c r="AF519" s="233"/>
      <c r="AG519" s="240"/>
      <c r="AH519" s="240">
        <f t="shared" si="65"/>
        <v>0</v>
      </c>
      <c r="AI519" s="236">
        <f t="shared" si="66"/>
        <v>8.75</v>
      </c>
      <c r="AJ519" s="252"/>
      <c r="AK519" s="233"/>
      <c r="AL519" s="216"/>
      <c r="AM519" s="236">
        <v>105</v>
      </c>
      <c r="AN519" s="231">
        <v>0</v>
      </c>
      <c r="AO519" s="231">
        <v>0</v>
      </c>
      <c r="AP519" s="231">
        <v>0</v>
      </c>
      <c r="AQ519" s="231">
        <v>0</v>
      </c>
      <c r="AR519" s="231">
        <v>0</v>
      </c>
      <c r="AS519" s="231">
        <v>0</v>
      </c>
      <c r="AT519" s="231">
        <v>0</v>
      </c>
      <c r="AU519" s="231">
        <v>0</v>
      </c>
      <c r="AV519" s="204"/>
      <c r="AW519" s="236"/>
      <c r="AX519" s="244"/>
      <c r="AY519" s="244"/>
      <c r="AZ519" s="244"/>
      <c r="BA519" s="244"/>
      <c r="BB519" s="244"/>
      <c r="BC519" s="244"/>
      <c r="BD519" s="244"/>
      <c r="BE519" s="204"/>
      <c r="BF519" s="244"/>
      <c r="BG519" s="244"/>
      <c r="BH519" s="244"/>
      <c r="BI519" s="244"/>
      <c r="BJ519" s="244"/>
      <c r="BK519" s="244"/>
      <c r="BL519" s="244"/>
      <c r="BM519" s="244"/>
      <c r="BN519" s="244"/>
      <c r="BO519" s="231">
        <v>0</v>
      </c>
      <c r="BP519" s="204"/>
      <c r="BQ519" s="231"/>
      <c r="BR519" s="231"/>
      <c r="BS519" s="231"/>
      <c r="BT519" s="204"/>
      <c r="BU519" s="204"/>
      <c r="BV519" s="204"/>
      <c r="BW519" s="204"/>
      <c r="BX519" s="204"/>
      <c r="BY519" s="204"/>
      <c r="BZ519" s="204"/>
      <c r="CA519" s="204"/>
      <c r="CB519" s="204"/>
      <c r="CC519" s="204"/>
      <c r="CD519" s="204"/>
      <c r="CE519" s="204"/>
      <c r="CF519" s="204"/>
      <c r="CG519" s="204"/>
      <c r="CH519" s="204"/>
      <c r="CI519" s="204"/>
    </row>
    <row r="520" spans="1:87" ht="25.2" customHeight="1" outlineLevel="1">
      <c r="A520" s="204">
        <v>488</v>
      </c>
      <c r="B520" s="204">
        <v>12006</v>
      </c>
      <c r="C520" s="208" t="s">
        <v>690</v>
      </c>
      <c r="D520" s="194" t="s">
        <v>181</v>
      </c>
      <c r="E520" s="209">
        <f t="shared" si="63"/>
        <v>506</v>
      </c>
      <c r="F520" s="216">
        <v>1.9</v>
      </c>
      <c r="G520" s="217">
        <v>8.3000000000000007</v>
      </c>
      <c r="H520" s="218">
        <v>24</v>
      </c>
      <c r="I520" s="230">
        <f t="shared" si="64"/>
        <v>64.2</v>
      </c>
      <c r="J520" s="216">
        <v>3.5</v>
      </c>
      <c r="K520" s="216">
        <v>1.6</v>
      </c>
      <c r="L520" s="233"/>
      <c r="M520" s="216">
        <v>86</v>
      </c>
      <c r="N520" s="216">
        <v>125</v>
      </c>
      <c r="O520" s="216">
        <v>0.8</v>
      </c>
      <c r="P520" s="216">
        <v>0</v>
      </c>
      <c r="Q520" s="216">
        <v>0.12</v>
      </c>
      <c r="R520" s="216">
        <v>0.31</v>
      </c>
      <c r="S520" s="216">
        <v>0.56999999999999995</v>
      </c>
      <c r="T520" s="231"/>
      <c r="U520" s="231"/>
      <c r="V520" s="231"/>
      <c r="W520" s="242"/>
      <c r="X520" s="232"/>
      <c r="Y520" s="231"/>
      <c r="Z520" s="231"/>
      <c r="AA520" s="241"/>
      <c r="AB520" s="241"/>
      <c r="AC520" s="240"/>
      <c r="AD520" s="240"/>
      <c r="AE520" s="233"/>
      <c r="AF520" s="233"/>
      <c r="AG520" s="240">
        <v>84</v>
      </c>
      <c r="AH520" s="240">
        <f t="shared" si="65"/>
        <v>279.72000000000003</v>
      </c>
      <c r="AI520" s="231">
        <f t="shared" si="66"/>
        <v>84</v>
      </c>
      <c r="AJ520" s="252"/>
      <c r="AK520" s="233"/>
      <c r="AL520" s="216"/>
      <c r="AM520" s="231">
        <v>0</v>
      </c>
      <c r="AN520" s="231">
        <v>0</v>
      </c>
      <c r="AO520" s="231">
        <v>0</v>
      </c>
      <c r="AP520" s="231">
        <v>0</v>
      </c>
      <c r="AQ520" s="231">
        <v>0</v>
      </c>
      <c r="AR520" s="231">
        <v>0</v>
      </c>
      <c r="AS520" s="231">
        <v>0</v>
      </c>
      <c r="AT520" s="231">
        <v>0</v>
      </c>
      <c r="AU520" s="231">
        <v>0</v>
      </c>
      <c r="AV520" s="231"/>
      <c r="AW520" s="231"/>
      <c r="AX520" s="244">
        <v>0.12</v>
      </c>
      <c r="AY520" s="244"/>
      <c r="AZ520" s="244">
        <v>0.05</v>
      </c>
      <c r="BA520" s="244"/>
      <c r="BB520" s="244"/>
      <c r="BC520" s="244"/>
      <c r="BD520" s="244"/>
      <c r="BE520" s="237"/>
      <c r="BF520" s="244"/>
      <c r="BG520" s="244"/>
      <c r="BH520" s="244"/>
      <c r="BI520" s="244">
        <v>0.01</v>
      </c>
      <c r="BJ520" s="244">
        <v>0.01</v>
      </c>
      <c r="BK520" s="244"/>
      <c r="BL520" s="244"/>
      <c r="BM520" s="244"/>
      <c r="BN520" s="244"/>
      <c r="BO520" s="231">
        <v>0</v>
      </c>
      <c r="BP520" s="231"/>
      <c r="BQ520" s="231"/>
      <c r="BR520" s="231"/>
      <c r="BS520" s="231"/>
      <c r="BT520" s="231"/>
      <c r="BU520" s="231"/>
      <c r="BV520" s="231"/>
      <c r="BW520" s="231"/>
      <c r="BX520" s="231"/>
      <c r="BY520" s="231"/>
      <c r="BZ520" s="231"/>
      <c r="CA520" s="231"/>
      <c r="CB520" s="231"/>
      <c r="CC520" s="231"/>
      <c r="CD520" s="231"/>
      <c r="CE520" s="231"/>
      <c r="CF520" s="231"/>
      <c r="CG520" s="231"/>
      <c r="CH520" s="231"/>
      <c r="CI520" s="231"/>
    </row>
    <row r="521" spans="1:87" ht="25.2" customHeight="1" outlineLevel="1">
      <c r="A521" s="204">
        <v>489</v>
      </c>
      <c r="B521" s="204">
        <v>12007</v>
      </c>
      <c r="C521" s="208" t="s">
        <v>691</v>
      </c>
      <c r="D521" s="194" t="s">
        <v>181</v>
      </c>
      <c r="E521" s="209">
        <f t="shared" si="63"/>
        <v>377.1</v>
      </c>
      <c r="F521" s="216">
        <v>5.8</v>
      </c>
      <c r="G521" s="217">
        <v>3.2</v>
      </c>
      <c r="H521" s="218">
        <v>0.3</v>
      </c>
      <c r="I521" s="230">
        <f t="shared" si="64"/>
        <v>90.4</v>
      </c>
      <c r="J521" s="216">
        <v>0.2</v>
      </c>
      <c r="K521" s="216">
        <v>0.3</v>
      </c>
      <c r="L521" s="233"/>
      <c r="M521" s="216">
        <v>2.1</v>
      </c>
      <c r="N521" s="216">
        <v>0.9</v>
      </c>
      <c r="O521" s="216">
        <v>0.1</v>
      </c>
      <c r="P521" s="216">
        <v>0</v>
      </c>
      <c r="Q521" s="216">
        <v>0.04</v>
      </c>
      <c r="R521" s="216"/>
      <c r="S521" s="216"/>
      <c r="T521" s="231"/>
      <c r="U521" s="231"/>
      <c r="V521" s="231"/>
      <c r="W521" s="242"/>
      <c r="X521" s="232"/>
      <c r="Y521" s="231"/>
      <c r="Z521" s="231"/>
      <c r="AA521" s="241"/>
      <c r="AB521" s="241"/>
      <c r="AC521" s="240"/>
      <c r="AD521" s="240"/>
      <c r="AE521" s="233"/>
      <c r="AF521" s="233"/>
      <c r="AG521" s="240"/>
      <c r="AH521" s="240">
        <f t="shared" si="65"/>
        <v>0</v>
      </c>
      <c r="AI521" s="231">
        <f t="shared" si="66"/>
        <v>0</v>
      </c>
      <c r="AJ521" s="252"/>
      <c r="AK521" s="233"/>
      <c r="AL521" s="216"/>
      <c r="AM521" s="231">
        <v>0</v>
      </c>
      <c r="AN521" s="231">
        <v>0</v>
      </c>
      <c r="AO521" s="231">
        <v>0</v>
      </c>
      <c r="AP521" s="231">
        <v>0</v>
      </c>
      <c r="AQ521" s="231">
        <v>0</v>
      </c>
      <c r="AR521" s="231">
        <v>0</v>
      </c>
      <c r="AS521" s="231">
        <v>0</v>
      </c>
      <c r="AT521" s="231">
        <v>0</v>
      </c>
      <c r="AU521" s="231">
        <v>0</v>
      </c>
      <c r="AV521" s="231"/>
      <c r="AW521" s="231"/>
      <c r="AX521" s="242"/>
      <c r="AY521" s="242"/>
      <c r="AZ521" s="242"/>
      <c r="BA521" s="242"/>
      <c r="BB521" s="242"/>
      <c r="BC521" s="242"/>
      <c r="BD521" s="242"/>
      <c r="BE521" s="231"/>
      <c r="BF521" s="242"/>
      <c r="BG521" s="242"/>
      <c r="BH521" s="242"/>
      <c r="BI521" s="242"/>
      <c r="BJ521" s="242"/>
      <c r="BK521" s="242"/>
      <c r="BL521" s="242"/>
      <c r="BM521" s="242"/>
      <c r="BN521" s="242"/>
      <c r="BO521" s="231">
        <v>0</v>
      </c>
      <c r="BP521" s="231"/>
      <c r="BQ521" s="231"/>
      <c r="BR521" s="231"/>
      <c r="BS521" s="231"/>
      <c r="BT521" s="231"/>
      <c r="BU521" s="231"/>
      <c r="BV521" s="231"/>
      <c r="BW521" s="231"/>
      <c r="BX521" s="231"/>
      <c r="BY521" s="231"/>
      <c r="BZ521" s="231"/>
      <c r="CA521" s="231"/>
      <c r="CB521" s="231"/>
      <c r="CC521" s="231"/>
      <c r="CD521" s="231"/>
      <c r="CE521" s="231"/>
      <c r="CF521" s="231"/>
      <c r="CG521" s="231"/>
      <c r="CH521" s="231"/>
      <c r="CI521" s="231"/>
    </row>
    <row r="522" spans="1:87" ht="25.2" customHeight="1" outlineLevel="1">
      <c r="A522" s="204">
        <v>490</v>
      </c>
      <c r="B522" s="204">
        <v>12008</v>
      </c>
      <c r="C522" s="208" t="s">
        <v>692</v>
      </c>
      <c r="D522" s="194" t="s">
        <v>181</v>
      </c>
      <c r="E522" s="209">
        <f t="shared" si="63"/>
        <v>436.3</v>
      </c>
      <c r="F522" s="216">
        <v>3.6</v>
      </c>
      <c r="G522" s="217">
        <v>8.3000000000000007</v>
      </c>
      <c r="H522" s="218">
        <v>10.7</v>
      </c>
      <c r="I522" s="230">
        <f t="shared" si="64"/>
        <v>76.7</v>
      </c>
      <c r="J522" s="216">
        <v>0.3</v>
      </c>
      <c r="K522" s="216">
        <v>0.7</v>
      </c>
      <c r="L522" s="233"/>
      <c r="M522" s="216">
        <v>33.1</v>
      </c>
      <c r="N522" s="216">
        <v>115.2</v>
      </c>
      <c r="O522" s="216">
        <v>2</v>
      </c>
      <c r="P522" s="216">
        <v>0</v>
      </c>
      <c r="Q522" s="216">
        <v>0.04</v>
      </c>
      <c r="R522" s="216">
        <v>1.9</v>
      </c>
      <c r="S522" s="216">
        <v>0.7</v>
      </c>
      <c r="T522" s="231"/>
      <c r="U522" s="231"/>
      <c r="V522" s="231"/>
      <c r="W522" s="242"/>
      <c r="X522" s="232"/>
      <c r="Y522" s="231"/>
      <c r="Z522" s="231"/>
      <c r="AA522" s="241"/>
      <c r="AB522" s="241"/>
      <c r="AC522" s="240"/>
      <c r="AD522" s="240"/>
      <c r="AE522" s="233"/>
      <c r="AF522" s="233"/>
      <c r="AG522" s="240">
        <v>12</v>
      </c>
      <c r="AH522" s="240">
        <f t="shared" si="65"/>
        <v>39.96</v>
      </c>
      <c r="AI522" s="236">
        <f t="shared" si="66"/>
        <v>18.25</v>
      </c>
      <c r="AJ522" s="252"/>
      <c r="AK522" s="233"/>
      <c r="AL522" s="216"/>
      <c r="AM522" s="236">
        <v>75</v>
      </c>
      <c r="AN522" s="231">
        <v>0</v>
      </c>
      <c r="AO522" s="231">
        <v>0</v>
      </c>
      <c r="AP522" s="231">
        <v>0</v>
      </c>
      <c r="AQ522" s="231">
        <v>0</v>
      </c>
      <c r="AR522" s="231">
        <v>0</v>
      </c>
      <c r="AS522" s="231">
        <v>0</v>
      </c>
      <c r="AT522" s="231">
        <v>0</v>
      </c>
      <c r="AU522" s="231">
        <v>0</v>
      </c>
      <c r="AV522" s="231"/>
      <c r="AW522" s="236"/>
      <c r="AX522" s="242"/>
      <c r="AY522" s="242"/>
      <c r="AZ522" s="242"/>
      <c r="BA522" s="242"/>
      <c r="BB522" s="242"/>
      <c r="BC522" s="242"/>
      <c r="BD522" s="242"/>
      <c r="BE522" s="231"/>
      <c r="BF522" s="242"/>
      <c r="BG522" s="242"/>
      <c r="BH522" s="242"/>
      <c r="BI522" s="242"/>
      <c r="BJ522" s="242"/>
      <c r="BK522" s="242"/>
      <c r="BL522" s="242"/>
      <c r="BM522" s="242"/>
      <c r="BN522" s="242"/>
      <c r="BO522" s="231">
        <v>0</v>
      </c>
      <c r="BP522" s="231"/>
      <c r="BQ522" s="231"/>
      <c r="BR522" s="231"/>
      <c r="BS522" s="231"/>
      <c r="BT522" s="231"/>
      <c r="BU522" s="231"/>
      <c r="BV522" s="231"/>
      <c r="BW522" s="231"/>
      <c r="BX522" s="231"/>
      <c r="BY522" s="231"/>
      <c r="BZ522" s="231"/>
      <c r="CA522" s="231"/>
      <c r="CB522" s="231"/>
      <c r="CC522" s="231"/>
      <c r="CD522" s="231"/>
      <c r="CE522" s="231"/>
      <c r="CF522" s="231"/>
      <c r="CG522" s="231"/>
      <c r="CH522" s="231"/>
      <c r="CI522" s="231"/>
    </row>
    <row r="523" spans="1:87" ht="25.2" customHeight="1" outlineLevel="1">
      <c r="A523" s="204">
        <v>491</v>
      </c>
      <c r="B523" s="204">
        <v>12009</v>
      </c>
      <c r="C523" s="208" t="s">
        <v>693</v>
      </c>
      <c r="D523" s="194" t="s">
        <v>181</v>
      </c>
      <c r="E523" s="209">
        <f t="shared" si="63"/>
        <v>449.2</v>
      </c>
      <c r="F523" s="216">
        <v>8.5</v>
      </c>
      <c r="G523" s="217">
        <v>3.9</v>
      </c>
      <c r="H523" s="218">
        <v>17.600000000000001</v>
      </c>
      <c r="I523" s="230">
        <f t="shared" si="64"/>
        <v>68.8</v>
      </c>
      <c r="J523" s="216">
        <v>0</v>
      </c>
      <c r="K523" s="216">
        <v>1.2</v>
      </c>
      <c r="L523" s="233"/>
      <c r="M523" s="216">
        <v>58</v>
      </c>
      <c r="N523" s="216">
        <v>142</v>
      </c>
      <c r="O523" s="216">
        <v>3.7</v>
      </c>
      <c r="P523" s="216">
        <v>0</v>
      </c>
      <c r="Q523" s="216">
        <v>0.04</v>
      </c>
      <c r="R523" s="216">
        <v>0.17</v>
      </c>
      <c r="S523" s="216">
        <v>0.39</v>
      </c>
      <c r="T523" s="231"/>
      <c r="U523" s="231"/>
      <c r="V523" s="231"/>
      <c r="W523" s="242"/>
      <c r="X523" s="232"/>
      <c r="Y523" s="231"/>
      <c r="Z523" s="231"/>
      <c r="AA523" s="241"/>
      <c r="AB523" s="241"/>
      <c r="AC523" s="240"/>
      <c r="AD523" s="240"/>
      <c r="AE523" s="233"/>
      <c r="AF523" s="233"/>
      <c r="AG523" s="240">
        <v>13</v>
      </c>
      <c r="AH523" s="240">
        <f t="shared" si="65"/>
        <v>43.29</v>
      </c>
      <c r="AI523" s="236">
        <f t="shared" si="66"/>
        <v>13.8333333333333</v>
      </c>
      <c r="AJ523" s="252"/>
      <c r="AK523" s="233"/>
      <c r="AL523" s="216"/>
      <c r="AM523" s="236">
        <v>10</v>
      </c>
      <c r="AN523" s="231">
        <v>0</v>
      </c>
      <c r="AO523" s="231">
        <v>0</v>
      </c>
      <c r="AP523" s="231">
        <v>0</v>
      </c>
      <c r="AQ523" s="231">
        <v>0</v>
      </c>
      <c r="AR523" s="231">
        <v>0</v>
      </c>
      <c r="AS523" s="231">
        <v>0</v>
      </c>
      <c r="AT523" s="231">
        <v>0</v>
      </c>
      <c r="AU523" s="231">
        <v>0</v>
      </c>
      <c r="AV523" s="231"/>
      <c r="AW523" s="236"/>
      <c r="AX523" s="242"/>
      <c r="AY523" s="242"/>
      <c r="AZ523" s="242"/>
      <c r="BA523" s="242"/>
      <c r="BB523" s="242"/>
      <c r="BC523" s="242"/>
      <c r="BD523" s="242"/>
      <c r="BE523" s="231"/>
      <c r="BF523" s="242"/>
      <c r="BG523" s="242"/>
      <c r="BH523" s="242"/>
      <c r="BI523" s="242"/>
      <c r="BJ523" s="242"/>
      <c r="BK523" s="242"/>
      <c r="BL523" s="242"/>
      <c r="BM523" s="242"/>
      <c r="BN523" s="242"/>
      <c r="BO523" s="231">
        <v>0</v>
      </c>
      <c r="BP523" s="231"/>
      <c r="BQ523" s="231"/>
      <c r="BR523" s="231"/>
      <c r="BS523" s="231"/>
      <c r="BT523" s="231"/>
      <c r="BU523" s="231"/>
      <c r="BV523" s="231"/>
      <c r="BW523" s="231"/>
      <c r="BX523" s="231"/>
      <c r="BY523" s="231"/>
      <c r="BZ523" s="231"/>
      <c r="CA523" s="231"/>
      <c r="CB523" s="231"/>
      <c r="CC523" s="231"/>
      <c r="CD523" s="231"/>
      <c r="CE523" s="231"/>
      <c r="CF523" s="231"/>
      <c r="CG523" s="231"/>
      <c r="CH523" s="231"/>
      <c r="CI523" s="231"/>
    </row>
    <row r="524" spans="1:87" ht="25.2" customHeight="1" outlineLevel="1">
      <c r="A524" s="204">
        <v>492</v>
      </c>
      <c r="B524" s="204">
        <v>12010</v>
      </c>
      <c r="C524" s="208" t="s">
        <v>694</v>
      </c>
      <c r="D524" s="194" t="s">
        <v>181</v>
      </c>
      <c r="E524" s="209">
        <f t="shared" si="63"/>
        <v>543.20000000000005</v>
      </c>
      <c r="F524" s="216">
        <v>0.8</v>
      </c>
      <c r="G524" s="217">
        <v>4.9000000000000004</v>
      </c>
      <c r="H524" s="218">
        <v>30.4</v>
      </c>
      <c r="I524" s="230">
        <f t="shared" si="64"/>
        <v>62.5</v>
      </c>
      <c r="J524" s="216" t="s">
        <v>247</v>
      </c>
      <c r="K524" s="216">
        <v>1.4</v>
      </c>
      <c r="L524" s="233"/>
      <c r="M524" s="216">
        <v>280</v>
      </c>
      <c r="N524" s="216">
        <v>280</v>
      </c>
      <c r="O524" s="216">
        <v>1.5</v>
      </c>
      <c r="P524" s="216">
        <v>0</v>
      </c>
      <c r="Q524" s="216">
        <v>0.03</v>
      </c>
      <c r="R524" s="216">
        <v>0.01</v>
      </c>
      <c r="S524" s="216">
        <v>0.59</v>
      </c>
      <c r="T524" s="231"/>
      <c r="U524" s="231"/>
      <c r="V524" s="231"/>
      <c r="W524" s="242"/>
      <c r="X524" s="232"/>
      <c r="Y524" s="231"/>
      <c r="Z524" s="231"/>
      <c r="AA524" s="241"/>
      <c r="AB524" s="241"/>
      <c r="AC524" s="240"/>
      <c r="AD524" s="240"/>
      <c r="AE524" s="233">
        <v>3</v>
      </c>
      <c r="AF524" s="233"/>
      <c r="AG524" s="240"/>
      <c r="AH524" s="240">
        <f t="shared" si="65"/>
        <v>0</v>
      </c>
      <c r="AI524" s="236">
        <f t="shared" si="66"/>
        <v>0.16666666666666699</v>
      </c>
      <c r="AJ524" s="252"/>
      <c r="AK524" s="233"/>
      <c r="AL524" s="216"/>
      <c r="AM524" s="236">
        <v>2</v>
      </c>
      <c r="AN524" s="231">
        <v>0</v>
      </c>
      <c r="AO524" s="231">
        <v>0</v>
      </c>
      <c r="AP524" s="231">
        <v>0</v>
      </c>
      <c r="AQ524" s="231">
        <v>0</v>
      </c>
      <c r="AR524" s="231">
        <v>0</v>
      </c>
      <c r="AS524" s="231">
        <v>0</v>
      </c>
      <c r="AT524" s="231">
        <v>0</v>
      </c>
      <c r="AU524" s="231">
        <v>0</v>
      </c>
      <c r="AV524" s="231"/>
      <c r="AW524" s="236"/>
      <c r="AX524" s="242"/>
      <c r="AY524" s="242"/>
      <c r="AZ524" s="242"/>
      <c r="BA524" s="242"/>
      <c r="BB524" s="242"/>
      <c r="BC524" s="242"/>
      <c r="BD524" s="242"/>
      <c r="BE524" s="231"/>
      <c r="BF524" s="242"/>
      <c r="BG524" s="242"/>
      <c r="BH524" s="242"/>
      <c r="BI524" s="242"/>
      <c r="BJ524" s="242"/>
      <c r="BK524" s="242"/>
      <c r="BL524" s="242"/>
      <c r="BM524" s="242"/>
      <c r="BN524" s="242"/>
      <c r="BO524" s="231">
        <v>0</v>
      </c>
      <c r="BP524" s="231"/>
      <c r="BQ524" s="231"/>
      <c r="BR524" s="231"/>
      <c r="BS524" s="231"/>
      <c r="BT524" s="231"/>
      <c r="BU524" s="231"/>
      <c r="BV524" s="231"/>
      <c r="BW524" s="231"/>
      <c r="BX524" s="231"/>
      <c r="BY524" s="231"/>
      <c r="BZ524" s="231"/>
      <c r="CA524" s="231"/>
      <c r="CB524" s="231"/>
      <c r="CC524" s="231"/>
      <c r="CD524" s="231"/>
      <c r="CE524" s="231"/>
      <c r="CF524" s="231"/>
      <c r="CG524" s="231"/>
      <c r="CH524" s="231"/>
      <c r="CI524" s="231"/>
    </row>
    <row r="525" spans="1:87" ht="25.2" customHeight="1" outlineLevel="1">
      <c r="A525" s="204">
        <v>493</v>
      </c>
      <c r="B525" s="204">
        <v>12011</v>
      </c>
      <c r="C525" s="208" t="s">
        <v>695</v>
      </c>
      <c r="D525" s="194" t="s">
        <v>181</v>
      </c>
      <c r="E525" s="209">
        <f t="shared" si="63"/>
        <v>369.3</v>
      </c>
      <c r="F525" s="216">
        <v>11.6</v>
      </c>
      <c r="G525" s="217">
        <v>9.6</v>
      </c>
      <c r="H525" s="218">
        <v>3.7</v>
      </c>
      <c r="I525" s="230">
        <f t="shared" si="64"/>
        <v>74.400000000000006</v>
      </c>
      <c r="J525" s="216">
        <v>0.2</v>
      </c>
      <c r="K525" s="216">
        <v>0.7</v>
      </c>
      <c r="L525" s="233"/>
      <c r="M525" s="216">
        <v>76.400000000000006</v>
      </c>
      <c r="N525" s="216">
        <v>140.4</v>
      </c>
      <c r="O525" s="216">
        <v>3.9</v>
      </c>
      <c r="P525" s="216">
        <v>0</v>
      </c>
      <c r="Q525" s="216">
        <v>0.15</v>
      </c>
      <c r="R525" s="216">
        <v>0.36</v>
      </c>
      <c r="S525" s="216">
        <v>0.9</v>
      </c>
      <c r="T525" s="231"/>
      <c r="U525" s="231"/>
      <c r="V525" s="231"/>
      <c r="W525" s="242"/>
      <c r="X525" s="232"/>
      <c r="Y525" s="231"/>
      <c r="Z525" s="231"/>
      <c r="AA525" s="241"/>
      <c r="AB525" s="241"/>
      <c r="AC525" s="240"/>
      <c r="AD525" s="240"/>
      <c r="AE525" s="233"/>
      <c r="AF525" s="233"/>
      <c r="AG525" s="240">
        <v>17</v>
      </c>
      <c r="AH525" s="240">
        <f t="shared" si="65"/>
        <v>56.61</v>
      </c>
      <c r="AI525" s="236">
        <f t="shared" si="66"/>
        <v>25.75</v>
      </c>
      <c r="AJ525" s="252"/>
      <c r="AK525" s="233"/>
      <c r="AL525" s="216"/>
      <c r="AM525" s="236">
        <v>105</v>
      </c>
      <c r="AN525" s="231">
        <v>0</v>
      </c>
      <c r="AO525" s="231">
        <v>0</v>
      </c>
      <c r="AP525" s="231">
        <v>0</v>
      </c>
      <c r="AQ525" s="231">
        <v>0</v>
      </c>
      <c r="AR525" s="231">
        <v>0</v>
      </c>
      <c r="AS525" s="231">
        <v>0</v>
      </c>
      <c r="AT525" s="231">
        <v>0</v>
      </c>
      <c r="AU525" s="231">
        <v>0</v>
      </c>
      <c r="AV525" s="231"/>
      <c r="AW525" s="236"/>
      <c r="AX525" s="244"/>
      <c r="AY525" s="244"/>
      <c r="AZ525" s="244"/>
      <c r="BA525" s="244"/>
      <c r="BB525" s="244"/>
      <c r="BC525" s="244"/>
      <c r="BD525" s="244"/>
      <c r="BE525" s="204"/>
      <c r="BF525" s="244"/>
      <c r="BG525" s="244"/>
      <c r="BH525" s="244"/>
      <c r="BI525" s="244"/>
      <c r="BJ525" s="244"/>
      <c r="BK525" s="244"/>
      <c r="BL525" s="244"/>
      <c r="BM525" s="244"/>
      <c r="BN525" s="244"/>
      <c r="BO525" s="231">
        <v>0</v>
      </c>
      <c r="BP525" s="204"/>
      <c r="BQ525" s="231"/>
      <c r="BR525" s="231"/>
      <c r="BS525" s="231"/>
      <c r="BT525" s="231"/>
      <c r="BU525" s="231"/>
      <c r="BV525" s="231"/>
      <c r="BW525" s="231"/>
      <c r="BX525" s="231"/>
      <c r="BY525" s="231"/>
      <c r="BZ525" s="231"/>
      <c r="CA525" s="231"/>
      <c r="CB525" s="231"/>
      <c r="CC525" s="231"/>
      <c r="CD525" s="231"/>
      <c r="CE525" s="231"/>
      <c r="CF525" s="231"/>
      <c r="CG525" s="231"/>
      <c r="CH525" s="231"/>
      <c r="CI525" s="231"/>
    </row>
    <row r="526" spans="1:87" ht="25.2" customHeight="1" outlineLevel="1">
      <c r="A526" s="204">
        <v>494</v>
      </c>
      <c r="B526" s="204">
        <v>12012</v>
      </c>
      <c r="C526" s="208" t="s">
        <v>696</v>
      </c>
      <c r="D526" s="194" t="s">
        <v>181</v>
      </c>
      <c r="E526" s="209">
        <f t="shared" si="63"/>
        <v>423</v>
      </c>
      <c r="F526" s="216">
        <v>9.4</v>
      </c>
      <c r="G526" s="217">
        <v>23.3</v>
      </c>
      <c r="H526" s="218">
        <v>17</v>
      </c>
      <c r="I526" s="230">
        <f t="shared" si="64"/>
        <v>44.2</v>
      </c>
      <c r="J526" s="216">
        <v>4.5999999999999996</v>
      </c>
      <c r="K526" s="216">
        <v>6.1</v>
      </c>
      <c r="L526" s="233">
        <v>1.75</v>
      </c>
      <c r="M526" s="241">
        <v>128</v>
      </c>
      <c r="N526" s="241">
        <v>734</v>
      </c>
      <c r="O526" s="241">
        <v>13.86</v>
      </c>
      <c r="P526" s="241">
        <v>0</v>
      </c>
      <c r="Q526" s="241">
        <v>7.8E-2</v>
      </c>
      <c r="R526" s="241">
        <v>0.24099999999999999</v>
      </c>
      <c r="S526" s="241">
        <v>2.1850000000000001</v>
      </c>
      <c r="T526" s="231">
        <v>21</v>
      </c>
      <c r="U526" s="231">
        <v>1524</v>
      </c>
      <c r="V526" s="231">
        <v>499</v>
      </c>
      <c r="W526" s="242">
        <v>3.8370000000000002</v>
      </c>
      <c r="X526" s="232">
        <v>6.81</v>
      </c>
      <c r="Y526" s="231">
        <v>3788</v>
      </c>
      <c r="Z526" s="231">
        <v>14.3</v>
      </c>
      <c r="AA526" s="241">
        <v>0.254</v>
      </c>
      <c r="AB526" s="241">
        <v>0.11799999999999999</v>
      </c>
      <c r="AC526" s="240">
        <v>32</v>
      </c>
      <c r="AD526" s="240">
        <v>0</v>
      </c>
      <c r="AE526" s="233"/>
      <c r="AF526" s="233">
        <v>0</v>
      </c>
      <c r="AG526" s="240">
        <v>0</v>
      </c>
      <c r="AH526" s="240">
        <f t="shared" si="65"/>
        <v>0</v>
      </c>
      <c r="AI526" s="236">
        <f t="shared" si="66"/>
        <v>0</v>
      </c>
      <c r="AJ526" s="252"/>
      <c r="AK526" s="233">
        <v>0.1</v>
      </c>
      <c r="AL526" s="216">
        <v>2.5</v>
      </c>
      <c r="AM526" s="236">
        <v>0</v>
      </c>
      <c r="AN526" s="231">
        <v>0</v>
      </c>
      <c r="AO526" s="231">
        <v>0</v>
      </c>
      <c r="AP526" s="231">
        <v>0</v>
      </c>
      <c r="AQ526" s="231">
        <v>38</v>
      </c>
      <c r="AR526" s="231"/>
      <c r="AS526" s="231"/>
      <c r="AT526" s="231"/>
      <c r="AU526" s="231"/>
      <c r="AV526" s="231"/>
      <c r="AW526" s="236">
        <v>8.07</v>
      </c>
      <c r="AX526" s="244">
        <v>3.69</v>
      </c>
      <c r="AY526" s="244">
        <v>0</v>
      </c>
      <c r="AZ526" s="244">
        <v>4.25</v>
      </c>
      <c r="BA526" s="244">
        <v>0</v>
      </c>
      <c r="BB526" s="244">
        <v>0</v>
      </c>
      <c r="BC526" s="244">
        <v>0</v>
      </c>
      <c r="BD526" s="244">
        <v>4.57</v>
      </c>
      <c r="BE526" s="204">
        <v>0</v>
      </c>
      <c r="BF526" s="244">
        <v>0</v>
      </c>
      <c r="BG526" s="244">
        <v>4.57</v>
      </c>
      <c r="BH526" s="244">
        <v>0.44</v>
      </c>
      <c r="BI526" s="244">
        <v>0.44</v>
      </c>
      <c r="BJ526" s="244">
        <v>0</v>
      </c>
      <c r="BK526" s="244">
        <v>0</v>
      </c>
      <c r="BL526" s="244">
        <v>0</v>
      </c>
      <c r="BM526" s="244">
        <v>0</v>
      </c>
      <c r="BN526" s="244"/>
      <c r="BO526" s="231">
        <v>0</v>
      </c>
      <c r="BP526" s="231"/>
      <c r="BQ526" s="231">
        <v>983</v>
      </c>
      <c r="BR526" s="231">
        <v>202</v>
      </c>
      <c r="BS526" s="231">
        <v>293</v>
      </c>
      <c r="BT526" s="231">
        <v>941</v>
      </c>
      <c r="BU526" s="231">
        <v>776</v>
      </c>
      <c r="BV526" s="231">
        <v>1177</v>
      </c>
      <c r="BW526" s="231">
        <v>1189</v>
      </c>
      <c r="BX526" s="231">
        <v>760</v>
      </c>
      <c r="BY526" s="231">
        <v>1111</v>
      </c>
      <c r="BZ526" s="231">
        <v>339</v>
      </c>
      <c r="CA526" s="231">
        <v>239</v>
      </c>
      <c r="CB526" s="231">
        <v>735</v>
      </c>
      <c r="CC526" s="231">
        <v>904</v>
      </c>
      <c r="CD526" s="231">
        <v>1953</v>
      </c>
      <c r="CE526" s="231">
        <v>2948</v>
      </c>
      <c r="CF526" s="231">
        <v>879</v>
      </c>
      <c r="CG526" s="231">
        <v>838</v>
      </c>
      <c r="CH526" s="231">
        <v>846</v>
      </c>
      <c r="CI526" s="231"/>
    </row>
    <row r="527" spans="1:87" ht="25.2" customHeight="1" outlineLevel="1">
      <c r="A527" s="204">
        <v>495</v>
      </c>
      <c r="B527" s="204">
        <v>12013</v>
      </c>
      <c r="C527" s="208" t="s">
        <v>697</v>
      </c>
      <c r="D527" s="194" t="s">
        <v>181</v>
      </c>
      <c r="E527" s="209">
        <f t="shared" si="63"/>
        <v>382.8</v>
      </c>
      <c r="F527" s="216">
        <v>2.4</v>
      </c>
      <c r="G527" s="217">
        <v>1.1000000000000001</v>
      </c>
      <c r="H527" s="218">
        <v>0</v>
      </c>
      <c r="I527" s="230">
        <f t="shared" si="64"/>
        <v>94.6</v>
      </c>
      <c r="J527" s="216" t="s">
        <v>247</v>
      </c>
      <c r="K527" s="216">
        <v>1.9</v>
      </c>
      <c r="L527" s="233">
        <v>96.21</v>
      </c>
      <c r="M527" s="216">
        <v>83</v>
      </c>
      <c r="N527" s="216">
        <v>72</v>
      </c>
      <c r="O527" s="216">
        <v>0.71</v>
      </c>
      <c r="P527" s="216">
        <v>0</v>
      </c>
      <c r="Q527" s="216">
        <v>0.05</v>
      </c>
      <c r="R527" s="216">
        <v>0.1</v>
      </c>
      <c r="S527" s="216">
        <v>0.3</v>
      </c>
      <c r="T527" s="231">
        <v>39</v>
      </c>
      <c r="U527" s="231">
        <v>346</v>
      </c>
      <c r="V527" s="231">
        <v>29</v>
      </c>
      <c r="W527" s="242">
        <v>0.32</v>
      </c>
      <c r="X527" s="232">
        <v>0.18</v>
      </c>
      <c r="Y527" s="231">
        <v>298</v>
      </c>
      <c r="Z527" s="231">
        <v>1.2</v>
      </c>
      <c r="AA527" s="241">
        <v>0.111</v>
      </c>
      <c r="AB527" s="241">
        <v>2.5999999999999999E-2</v>
      </c>
      <c r="AC527" s="241">
        <v>1</v>
      </c>
      <c r="AD527" s="216">
        <v>0</v>
      </c>
      <c r="AE527" s="241">
        <v>0</v>
      </c>
      <c r="AF527" s="241">
        <v>0</v>
      </c>
      <c r="AG527" s="241">
        <v>0</v>
      </c>
      <c r="AH527" s="240">
        <f t="shared" si="65"/>
        <v>0</v>
      </c>
      <c r="AI527" s="231">
        <f t="shared" si="66"/>
        <v>0</v>
      </c>
      <c r="AJ527" s="279">
        <v>0</v>
      </c>
      <c r="AK527" s="241">
        <v>0</v>
      </c>
      <c r="AL527" s="241">
        <v>0</v>
      </c>
      <c r="AM527" s="231">
        <v>0</v>
      </c>
      <c r="AN527" s="231">
        <v>0</v>
      </c>
      <c r="AO527" s="231">
        <v>0</v>
      </c>
      <c r="AP527" s="231">
        <v>0</v>
      </c>
      <c r="AQ527" s="231">
        <v>0</v>
      </c>
      <c r="AR527" s="231">
        <v>0</v>
      </c>
      <c r="AS527" s="231">
        <v>0</v>
      </c>
      <c r="AT527" s="231">
        <v>0</v>
      </c>
      <c r="AU527" s="231">
        <v>0</v>
      </c>
      <c r="AV527" s="231">
        <v>0</v>
      </c>
      <c r="AW527" s="231">
        <v>0</v>
      </c>
      <c r="AX527" s="231">
        <v>0</v>
      </c>
      <c r="AY527" s="231">
        <v>0</v>
      </c>
      <c r="AZ527" s="231">
        <v>0</v>
      </c>
      <c r="BA527" s="231">
        <v>0</v>
      </c>
      <c r="BB527" s="231">
        <v>0</v>
      </c>
      <c r="BC527" s="231">
        <v>0</v>
      </c>
      <c r="BD527" s="231">
        <v>0</v>
      </c>
      <c r="BE527" s="231">
        <v>0</v>
      </c>
      <c r="BF527" s="231">
        <v>0</v>
      </c>
      <c r="BG527" s="231">
        <v>0</v>
      </c>
      <c r="BH527" s="231">
        <v>0</v>
      </c>
      <c r="BI527" s="231">
        <v>0</v>
      </c>
      <c r="BJ527" s="231">
        <v>0</v>
      </c>
      <c r="BK527" s="231">
        <v>0</v>
      </c>
      <c r="BL527" s="231">
        <v>0</v>
      </c>
      <c r="BM527" s="231">
        <v>0</v>
      </c>
      <c r="BN527" s="231">
        <v>0</v>
      </c>
      <c r="BO527" s="231">
        <v>0</v>
      </c>
      <c r="BP527" s="231">
        <v>0</v>
      </c>
      <c r="BQ527" s="231">
        <v>0</v>
      </c>
      <c r="BR527" s="231">
        <v>0</v>
      </c>
      <c r="BS527" s="231">
        <v>0</v>
      </c>
      <c r="BT527" s="231">
        <v>0</v>
      </c>
      <c r="BU527" s="231">
        <v>0</v>
      </c>
      <c r="BV527" s="231">
        <v>0</v>
      </c>
      <c r="BW527" s="231">
        <v>0</v>
      </c>
      <c r="BX527" s="231">
        <v>0</v>
      </c>
      <c r="BY527" s="231">
        <v>0</v>
      </c>
      <c r="BZ527" s="231">
        <v>0</v>
      </c>
      <c r="CA527" s="231">
        <v>0</v>
      </c>
      <c r="CB527" s="231">
        <v>0</v>
      </c>
      <c r="CC527" s="231">
        <v>0</v>
      </c>
      <c r="CD527" s="231">
        <v>0</v>
      </c>
      <c r="CE527" s="231">
        <v>0</v>
      </c>
      <c r="CF527" s="231">
        <v>0</v>
      </c>
      <c r="CG527" s="231">
        <v>0</v>
      </c>
      <c r="CH527" s="231">
        <v>0</v>
      </c>
      <c r="CI527" s="231"/>
    </row>
    <row r="528" spans="1:87" ht="25.2" customHeight="1" outlineLevel="1">
      <c r="A528" s="204">
        <v>496</v>
      </c>
      <c r="B528" s="204">
        <v>12014</v>
      </c>
      <c r="C528" s="208" t="s">
        <v>698</v>
      </c>
      <c r="D528" s="194" t="s">
        <v>181</v>
      </c>
      <c r="E528" s="209">
        <f t="shared" si="63"/>
        <v>397.2</v>
      </c>
      <c r="F528" s="216">
        <v>0.5</v>
      </c>
      <c r="G528" s="217">
        <v>0</v>
      </c>
      <c r="H528" s="218">
        <v>0</v>
      </c>
      <c r="I528" s="230">
        <f t="shared" si="64"/>
        <v>99.3</v>
      </c>
      <c r="J528" s="216" t="s">
        <v>247</v>
      </c>
      <c r="K528" s="216">
        <v>0.2</v>
      </c>
      <c r="L528" s="233"/>
      <c r="M528" s="216">
        <v>0.4</v>
      </c>
      <c r="N528" s="216">
        <v>0.1</v>
      </c>
      <c r="O528" s="216">
        <v>0.06</v>
      </c>
      <c r="P528" s="216">
        <v>0</v>
      </c>
      <c r="Q528" s="216">
        <v>0</v>
      </c>
      <c r="R528" s="216">
        <v>1.9E-2</v>
      </c>
      <c r="S528" s="216">
        <v>0</v>
      </c>
      <c r="T528" s="231">
        <v>0</v>
      </c>
      <c r="U528" s="231">
        <v>2</v>
      </c>
      <c r="V528" s="231">
        <v>0</v>
      </c>
      <c r="W528" s="231">
        <v>0</v>
      </c>
      <c r="X528" s="231">
        <v>0</v>
      </c>
      <c r="Y528" s="231">
        <v>0</v>
      </c>
      <c r="Z528" s="231">
        <v>0.6</v>
      </c>
      <c r="AA528" s="216">
        <v>0</v>
      </c>
      <c r="AB528" s="216">
        <v>0</v>
      </c>
      <c r="AC528" s="216">
        <v>0</v>
      </c>
      <c r="AD528" s="216">
        <v>0</v>
      </c>
      <c r="AE528" s="216">
        <v>0</v>
      </c>
      <c r="AF528" s="216">
        <v>0</v>
      </c>
      <c r="AG528" s="216">
        <v>0</v>
      </c>
      <c r="AH528" s="240">
        <f t="shared" si="65"/>
        <v>0</v>
      </c>
      <c r="AI528" s="231">
        <f t="shared" si="66"/>
        <v>0</v>
      </c>
      <c r="AJ528" s="252">
        <v>0</v>
      </c>
      <c r="AK528" s="216">
        <v>0</v>
      </c>
      <c r="AL528" s="216">
        <v>0</v>
      </c>
      <c r="AM528" s="231">
        <v>0</v>
      </c>
      <c r="AN528" s="231">
        <v>0</v>
      </c>
      <c r="AO528" s="231">
        <v>0</v>
      </c>
      <c r="AP528" s="231">
        <v>0</v>
      </c>
      <c r="AQ528" s="231">
        <v>0</v>
      </c>
      <c r="AR528" s="231">
        <v>0</v>
      </c>
      <c r="AS528" s="231">
        <v>0</v>
      </c>
      <c r="AT528" s="231">
        <v>0</v>
      </c>
      <c r="AU528" s="231">
        <v>0</v>
      </c>
      <c r="AV528" s="231">
        <v>0</v>
      </c>
      <c r="AW528" s="231">
        <v>0</v>
      </c>
      <c r="AX528" s="231">
        <v>0</v>
      </c>
      <c r="AY528" s="231">
        <v>0</v>
      </c>
      <c r="AZ528" s="231">
        <v>0</v>
      </c>
      <c r="BA528" s="231">
        <v>0</v>
      </c>
      <c r="BB528" s="231">
        <v>0</v>
      </c>
      <c r="BC528" s="231">
        <v>0</v>
      </c>
      <c r="BD528" s="231">
        <v>0</v>
      </c>
      <c r="BE528" s="231">
        <v>0</v>
      </c>
      <c r="BF528" s="231">
        <v>0</v>
      </c>
      <c r="BG528" s="231">
        <v>0</v>
      </c>
      <c r="BH528" s="231">
        <v>0</v>
      </c>
      <c r="BI528" s="231">
        <v>0</v>
      </c>
      <c r="BJ528" s="231">
        <v>0</v>
      </c>
      <c r="BK528" s="231">
        <v>0</v>
      </c>
      <c r="BL528" s="231">
        <v>0</v>
      </c>
      <c r="BM528" s="231">
        <v>0</v>
      </c>
      <c r="BN528" s="231">
        <v>0</v>
      </c>
      <c r="BO528" s="231">
        <v>0</v>
      </c>
      <c r="BP528" s="231">
        <v>0</v>
      </c>
      <c r="BQ528" s="231">
        <v>0</v>
      </c>
      <c r="BR528" s="231">
        <v>0</v>
      </c>
      <c r="BS528" s="231">
        <v>0</v>
      </c>
      <c r="BT528" s="231">
        <v>0</v>
      </c>
      <c r="BU528" s="231">
        <v>0</v>
      </c>
      <c r="BV528" s="231">
        <v>0</v>
      </c>
      <c r="BW528" s="231">
        <v>0</v>
      </c>
      <c r="BX528" s="231">
        <v>0</v>
      </c>
      <c r="BY528" s="231">
        <v>0</v>
      </c>
      <c r="BZ528" s="231">
        <v>0</v>
      </c>
      <c r="CA528" s="231">
        <v>0</v>
      </c>
      <c r="CB528" s="231">
        <v>0</v>
      </c>
      <c r="CC528" s="231">
        <v>0</v>
      </c>
      <c r="CD528" s="231">
        <v>0</v>
      </c>
      <c r="CE528" s="231">
        <v>0</v>
      </c>
      <c r="CF528" s="231">
        <v>0</v>
      </c>
      <c r="CG528" s="231">
        <v>0</v>
      </c>
      <c r="CH528" s="231">
        <v>0</v>
      </c>
      <c r="CI528" s="231"/>
    </row>
    <row r="529" spans="1:87" ht="25.2" customHeight="1" outlineLevel="1">
      <c r="A529" s="204">
        <v>497</v>
      </c>
      <c r="B529" s="204">
        <v>12015</v>
      </c>
      <c r="C529" s="208" t="s">
        <v>699</v>
      </c>
      <c r="D529" s="194" t="s">
        <v>181</v>
      </c>
      <c r="E529" s="209">
        <f t="shared" si="63"/>
        <v>447.6</v>
      </c>
      <c r="F529" s="216">
        <v>8.8000000000000007</v>
      </c>
      <c r="G529" s="217">
        <v>2.1</v>
      </c>
      <c r="H529" s="218">
        <v>17.2</v>
      </c>
      <c r="I529" s="230">
        <f t="shared" si="64"/>
        <v>71.099999999999994</v>
      </c>
      <c r="J529" s="216" t="s">
        <v>247</v>
      </c>
      <c r="K529" s="216">
        <v>0.8</v>
      </c>
      <c r="L529" s="233"/>
      <c r="M529" s="216">
        <v>64</v>
      </c>
      <c r="N529" s="216">
        <v>64</v>
      </c>
      <c r="O529" s="216">
        <v>0.76</v>
      </c>
      <c r="P529" s="216">
        <v>0</v>
      </c>
      <c r="Q529" s="216"/>
      <c r="R529" s="216"/>
      <c r="S529" s="216">
        <v>0.4</v>
      </c>
      <c r="T529" s="231"/>
      <c r="U529" s="231"/>
      <c r="V529" s="231"/>
      <c r="W529" s="242"/>
      <c r="X529" s="232"/>
      <c r="Y529" s="231"/>
      <c r="Z529" s="231"/>
      <c r="AA529" s="241"/>
      <c r="AB529" s="241"/>
      <c r="AC529" s="240"/>
      <c r="AD529" s="240"/>
      <c r="AE529" s="236"/>
      <c r="AF529" s="236"/>
      <c r="AG529" s="240"/>
      <c r="AH529" s="240">
        <f t="shared" si="65"/>
        <v>0</v>
      </c>
      <c r="AI529" s="231">
        <f t="shared" si="66"/>
        <v>0</v>
      </c>
      <c r="AJ529" s="252"/>
      <c r="AK529" s="233"/>
      <c r="AL529" s="216"/>
      <c r="AM529" s="231">
        <v>0</v>
      </c>
      <c r="AN529" s="231">
        <v>0</v>
      </c>
      <c r="AO529" s="231">
        <v>0</v>
      </c>
      <c r="AP529" s="231">
        <v>0</v>
      </c>
      <c r="AQ529" s="231">
        <v>0</v>
      </c>
      <c r="AR529" s="231">
        <v>0</v>
      </c>
      <c r="AS529" s="231">
        <v>0</v>
      </c>
      <c r="AT529" s="231">
        <v>0</v>
      </c>
      <c r="AU529" s="231">
        <v>0</v>
      </c>
      <c r="AV529" s="231"/>
      <c r="AW529" s="231"/>
      <c r="AX529" s="242"/>
      <c r="AY529" s="242"/>
      <c r="AZ529" s="242"/>
      <c r="BA529" s="242"/>
      <c r="BB529" s="242"/>
      <c r="BC529" s="242"/>
      <c r="BD529" s="242"/>
      <c r="BE529" s="231"/>
      <c r="BF529" s="242"/>
      <c r="BG529" s="242"/>
      <c r="BH529" s="242"/>
      <c r="BI529" s="242"/>
      <c r="BJ529" s="242"/>
      <c r="BK529" s="242"/>
      <c r="BL529" s="242"/>
      <c r="BM529" s="242"/>
      <c r="BN529" s="242"/>
      <c r="BO529" s="231">
        <v>0</v>
      </c>
      <c r="BP529" s="231"/>
      <c r="BQ529" s="231"/>
      <c r="BR529" s="231"/>
      <c r="BS529" s="231"/>
      <c r="BT529" s="231"/>
      <c r="BU529" s="231"/>
      <c r="BV529" s="231"/>
      <c r="BW529" s="231"/>
      <c r="BX529" s="231"/>
      <c r="BY529" s="231"/>
      <c r="BZ529" s="231"/>
      <c r="CA529" s="231"/>
      <c r="CB529" s="231"/>
      <c r="CC529" s="231"/>
      <c r="CD529" s="231"/>
      <c r="CE529" s="231"/>
      <c r="CF529" s="231"/>
      <c r="CG529" s="231"/>
      <c r="CH529" s="231"/>
      <c r="CI529" s="231"/>
    </row>
    <row r="530" spans="1:87" ht="25.2" customHeight="1" outlineLevel="1">
      <c r="A530" s="204">
        <v>498</v>
      </c>
      <c r="B530" s="204">
        <v>12016</v>
      </c>
      <c r="C530" s="208" t="s">
        <v>700</v>
      </c>
      <c r="D530" s="194" t="s">
        <v>181</v>
      </c>
      <c r="E530" s="209">
        <f t="shared" si="63"/>
        <v>377.7</v>
      </c>
      <c r="F530" s="216">
        <v>6.6</v>
      </c>
      <c r="G530" s="217">
        <v>0</v>
      </c>
      <c r="H530" s="218">
        <v>1.3</v>
      </c>
      <c r="I530" s="230">
        <f t="shared" si="64"/>
        <v>91.5</v>
      </c>
      <c r="J530" s="216" t="s">
        <v>247</v>
      </c>
      <c r="K530" s="216">
        <v>0.6</v>
      </c>
      <c r="L530" s="233"/>
      <c r="M530" s="236"/>
      <c r="N530" s="236"/>
      <c r="O530" s="236"/>
      <c r="P530" s="236">
        <v>0</v>
      </c>
      <c r="Q530" s="236"/>
      <c r="R530" s="236"/>
      <c r="S530" s="236"/>
      <c r="T530" s="231"/>
      <c r="U530" s="231"/>
      <c r="V530" s="231"/>
      <c r="W530" s="242"/>
      <c r="X530" s="232"/>
      <c r="Y530" s="231"/>
      <c r="Z530" s="231"/>
      <c r="AA530" s="241"/>
      <c r="AB530" s="241"/>
      <c r="AC530" s="240"/>
      <c r="AD530" s="240"/>
      <c r="AE530" s="236"/>
      <c r="AF530" s="236"/>
      <c r="AG530" s="240"/>
      <c r="AH530" s="240">
        <f t="shared" si="65"/>
        <v>0</v>
      </c>
      <c r="AI530" s="231">
        <f t="shared" si="66"/>
        <v>0</v>
      </c>
      <c r="AJ530" s="252"/>
      <c r="AK530" s="233"/>
      <c r="AL530" s="216"/>
      <c r="AM530" s="231">
        <v>0</v>
      </c>
      <c r="AN530" s="231">
        <v>0</v>
      </c>
      <c r="AO530" s="231">
        <v>0</v>
      </c>
      <c r="AP530" s="231">
        <v>0</v>
      </c>
      <c r="AQ530" s="231">
        <v>0</v>
      </c>
      <c r="AR530" s="231">
        <v>0</v>
      </c>
      <c r="AS530" s="231">
        <v>0</v>
      </c>
      <c r="AT530" s="231">
        <v>0</v>
      </c>
      <c r="AU530" s="231">
        <v>0</v>
      </c>
      <c r="AV530" s="231"/>
      <c r="AW530" s="231"/>
      <c r="AX530" s="242"/>
      <c r="AY530" s="242"/>
      <c r="AZ530" s="242"/>
      <c r="BA530" s="242"/>
      <c r="BB530" s="242"/>
      <c r="BC530" s="242"/>
      <c r="BD530" s="242"/>
      <c r="BE530" s="231"/>
      <c r="BF530" s="242"/>
      <c r="BG530" s="242"/>
      <c r="BH530" s="242"/>
      <c r="BI530" s="242"/>
      <c r="BJ530" s="242"/>
      <c r="BK530" s="242"/>
      <c r="BL530" s="242"/>
      <c r="BM530" s="242"/>
      <c r="BN530" s="242"/>
      <c r="BO530" s="231">
        <v>0</v>
      </c>
      <c r="BP530" s="231"/>
      <c r="BQ530" s="231"/>
      <c r="BR530" s="231"/>
      <c r="BS530" s="231"/>
      <c r="BT530" s="231"/>
      <c r="BU530" s="231"/>
      <c r="BV530" s="231"/>
      <c r="BW530" s="231"/>
      <c r="BX530" s="231"/>
      <c r="BY530" s="231"/>
      <c r="BZ530" s="231"/>
      <c r="CA530" s="231"/>
      <c r="CB530" s="231"/>
      <c r="CC530" s="231"/>
      <c r="CD530" s="231"/>
      <c r="CE530" s="231"/>
      <c r="CF530" s="231"/>
      <c r="CG530" s="231"/>
      <c r="CH530" s="231"/>
      <c r="CI530" s="231"/>
    </row>
    <row r="531" spans="1:87" ht="25.2" customHeight="1" outlineLevel="1">
      <c r="A531" s="204">
        <v>499</v>
      </c>
      <c r="B531" s="204">
        <v>12017</v>
      </c>
      <c r="C531" s="208" t="s">
        <v>701</v>
      </c>
      <c r="D531" s="194" t="s">
        <v>181</v>
      </c>
      <c r="E531" s="209">
        <f t="shared" si="63"/>
        <v>378.1</v>
      </c>
      <c r="F531" s="216">
        <v>5.4</v>
      </c>
      <c r="G531" s="217">
        <v>0</v>
      </c>
      <c r="H531" s="218">
        <v>0.5</v>
      </c>
      <c r="I531" s="230">
        <f t="shared" si="64"/>
        <v>93.4</v>
      </c>
      <c r="J531" s="216">
        <v>0.3</v>
      </c>
      <c r="K531" s="216">
        <v>0.7</v>
      </c>
      <c r="L531" s="233"/>
      <c r="M531" s="236">
        <v>23</v>
      </c>
      <c r="N531" s="236">
        <v>12</v>
      </c>
      <c r="O531" s="236">
        <v>1.4</v>
      </c>
      <c r="P531" s="236">
        <v>0</v>
      </c>
      <c r="Q531" s="236"/>
      <c r="R531" s="236"/>
      <c r="S531" s="236"/>
      <c r="T531" s="231"/>
      <c r="U531" s="231"/>
      <c r="V531" s="231"/>
      <c r="W531" s="242"/>
      <c r="X531" s="232"/>
      <c r="Y531" s="231"/>
      <c r="Z531" s="231"/>
      <c r="AA531" s="241"/>
      <c r="AB531" s="241"/>
      <c r="AC531" s="240"/>
      <c r="AD531" s="240"/>
      <c r="AE531" s="236"/>
      <c r="AF531" s="236"/>
      <c r="AG531" s="240"/>
      <c r="AH531" s="240">
        <f t="shared" si="65"/>
        <v>0</v>
      </c>
      <c r="AI531" s="231">
        <f t="shared" si="66"/>
        <v>0</v>
      </c>
      <c r="AJ531" s="252"/>
      <c r="AK531" s="233"/>
      <c r="AL531" s="216"/>
      <c r="AM531" s="231">
        <v>0</v>
      </c>
      <c r="AN531" s="231">
        <v>0</v>
      </c>
      <c r="AO531" s="231">
        <v>0</v>
      </c>
      <c r="AP531" s="231">
        <v>0</v>
      </c>
      <c r="AQ531" s="231">
        <v>0</v>
      </c>
      <c r="AR531" s="231">
        <v>0</v>
      </c>
      <c r="AS531" s="231">
        <v>0</v>
      </c>
      <c r="AT531" s="231">
        <v>0</v>
      </c>
      <c r="AU531" s="231">
        <v>0</v>
      </c>
      <c r="AV531" s="231"/>
      <c r="AW531" s="231"/>
      <c r="AX531" s="242"/>
      <c r="AY531" s="242"/>
      <c r="AZ531" s="242"/>
      <c r="BA531" s="242"/>
      <c r="BB531" s="242"/>
      <c r="BC531" s="242"/>
      <c r="BD531" s="242"/>
      <c r="BE531" s="231"/>
      <c r="BF531" s="242"/>
      <c r="BG531" s="242"/>
      <c r="BH531" s="242"/>
      <c r="BI531" s="242"/>
      <c r="BJ531" s="242"/>
      <c r="BK531" s="242"/>
      <c r="BL531" s="242"/>
      <c r="BM531" s="242"/>
      <c r="BN531" s="242"/>
      <c r="BO531" s="231">
        <v>0</v>
      </c>
      <c r="BP531" s="231"/>
      <c r="BQ531" s="231"/>
      <c r="BR531" s="231"/>
      <c r="BS531" s="231"/>
      <c r="BT531" s="231"/>
      <c r="BU531" s="231"/>
      <c r="BV531" s="231"/>
      <c r="BW531" s="231"/>
      <c r="BX531" s="231"/>
      <c r="BY531" s="231"/>
      <c r="BZ531" s="231"/>
      <c r="CA531" s="231"/>
      <c r="CB531" s="231"/>
      <c r="CC531" s="231"/>
      <c r="CD531" s="231"/>
      <c r="CE531" s="231"/>
      <c r="CF531" s="231"/>
      <c r="CG531" s="231"/>
      <c r="CH531" s="231"/>
      <c r="CI531" s="231"/>
    </row>
    <row r="532" spans="1:87" ht="25.2" customHeight="1" outlineLevel="1">
      <c r="A532" s="204">
        <v>500</v>
      </c>
      <c r="B532" s="204">
        <v>12018</v>
      </c>
      <c r="C532" s="208" t="s">
        <v>702</v>
      </c>
      <c r="D532" s="194" t="s">
        <v>181</v>
      </c>
      <c r="E532" s="209">
        <f t="shared" si="63"/>
        <v>424.6</v>
      </c>
      <c r="F532" s="216">
        <v>8.5</v>
      </c>
      <c r="G532" s="217">
        <v>0.6</v>
      </c>
      <c r="H532" s="218">
        <v>12.2</v>
      </c>
      <c r="I532" s="230">
        <f t="shared" si="64"/>
        <v>78.099999999999994</v>
      </c>
      <c r="J532" s="216">
        <v>2.5</v>
      </c>
      <c r="K532" s="216">
        <v>0.6</v>
      </c>
      <c r="L532" s="233"/>
      <c r="M532" s="236">
        <v>15.6</v>
      </c>
      <c r="N532" s="236">
        <v>6.6</v>
      </c>
      <c r="O532" s="236">
        <v>0.4</v>
      </c>
      <c r="P532" s="236">
        <v>0</v>
      </c>
      <c r="Q532" s="236"/>
      <c r="R532" s="236"/>
      <c r="S532" s="236"/>
      <c r="T532" s="231"/>
      <c r="U532" s="231"/>
      <c r="V532" s="231"/>
      <c r="W532" s="242"/>
      <c r="X532" s="232"/>
      <c r="Y532" s="231"/>
      <c r="Z532" s="231"/>
      <c r="AA532" s="241"/>
      <c r="AB532" s="241"/>
      <c r="AC532" s="240"/>
      <c r="AD532" s="240"/>
      <c r="AE532" s="236"/>
      <c r="AF532" s="236"/>
      <c r="AG532" s="240"/>
      <c r="AH532" s="240">
        <f t="shared" si="65"/>
        <v>0</v>
      </c>
      <c r="AI532" s="231">
        <f t="shared" si="66"/>
        <v>0</v>
      </c>
      <c r="AJ532" s="252"/>
      <c r="AK532" s="233"/>
      <c r="AL532" s="216"/>
      <c r="AM532" s="231">
        <v>0</v>
      </c>
      <c r="AN532" s="231">
        <v>0</v>
      </c>
      <c r="AO532" s="231">
        <v>0</v>
      </c>
      <c r="AP532" s="231">
        <v>0</v>
      </c>
      <c r="AQ532" s="231">
        <v>0</v>
      </c>
      <c r="AR532" s="231">
        <v>0</v>
      </c>
      <c r="AS532" s="231">
        <v>0</v>
      </c>
      <c r="AT532" s="231">
        <v>0</v>
      </c>
      <c r="AU532" s="231">
        <v>0</v>
      </c>
      <c r="AV532" s="231"/>
      <c r="AW532" s="231"/>
      <c r="AX532" s="242"/>
      <c r="AY532" s="242"/>
      <c r="AZ532" s="242"/>
      <c r="BA532" s="242"/>
      <c r="BB532" s="242"/>
      <c r="BC532" s="242"/>
      <c r="BD532" s="242"/>
      <c r="BE532" s="231"/>
      <c r="BF532" s="242"/>
      <c r="BG532" s="242"/>
      <c r="BH532" s="242"/>
      <c r="BI532" s="242"/>
      <c r="BJ532" s="242"/>
      <c r="BK532" s="242"/>
      <c r="BL532" s="242"/>
      <c r="BM532" s="242"/>
      <c r="BN532" s="242"/>
      <c r="BO532" s="231">
        <v>0</v>
      </c>
      <c r="BP532" s="231"/>
      <c r="BQ532" s="231"/>
      <c r="BR532" s="231"/>
      <c r="BS532" s="231"/>
      <c r="BT532" s="231"/>
      <c r="BU532" s="231"/>
      <c r="BV532" s="231"/>
      <c r="BW532" s="231"/>
      <c r="BX532" s="231"/>
      <c r="BY532" s="231"/>
      <c r="BZ532" s="231"/>
      <c r="CA532" s="231"/>
      <c r="CB532" s="231"/>
      <c r="CC532" s="231"/>
      <c r="CD532" s="231"/>
      <c r="CE532" s="231"/>
      <c r="CF532" s="231"/>
      <c r="CG532" s="231"/>
      <c r="CH532" s="231"/>
      <c r="CI532" s="231"/>
    </row>
    <row r="533" spans="1:87" ht="25.2" customHeight="1" outlineLevel="1">
      <c r="A533" s="204">
        <v>501</v>
      </c>
      <c r="B533" s="204">
        <v>12019</v>
      </c>
      <c r="C533" s="208" t="s">
        <v>703</v>
      </c>
      <c r="D533" s="194" t="s">
        <v>181</v>
      </c>
      <c r="E533" s="209">
        <f t="shared" si="63"/>
        <v>424.6</v>
      </c>
      <c r="F533" s="216">
        <v>8.5</v>
      </c>
      <c r="G533" s="217">
        <v>0.6</v>
      </c>
      <c r="H533" s="218">
        <v>12.2</v>
      </c>
      <c r="I533" s="230">
        <f t="shared" si="64"/>
        <v>78.099999999999994</v>
      </c>
      <c r="J533" s="216">
        <v>2.5</v>
      </c>
      <c r="K533" s="216">
        <v>0.6</v>
      </c>
      <c r="L533" s="233"/>
      <c r="M533" s="236">
        <v>15.6</v>
      </c>
      <c r="N533" s="236">
        <v>6.6</v>
      </c>
      <c r="O533" s="236">
        <v>0.4</v>
      </c>
      <c r="P533" s="236">
        <v>0</v>
      </c>
      <c r="Q533" s="236"/>
      <c r="R533" s="236"/>
      <c r="S533" s="236"/>
      <c r="T533" s="231"/>
      <c r="U533" s="231"/>
      <c r="V533" s="231"/>
      <c r="W533" s="242"/>
      <c r="X533" s="232"/>
      <c r="Y533" s="231"/>
      <c r="Z533" s="231"/>
      <c r="AA533" s="241"/>
      <c r="AB533" s="241"/>
      <c r="AC533" s="240"/>
      <c r="AD533" s="240"/>
      <c r="AE533" s="236"/>
      <c r="AF533" s="236"/>
      <c r="AG533" s="240"/>
      <c r="AH533" s="240">
        <f t="shared" si="65"/>
        <v>0</v>
      </c>
      <c r="AI533" s="231">
        <f t="shared" si="66"/>
        <v>0</v>
      </c>
      <c r="AJ533" s="252"/>
      <c r="AK533" s="233"/>
      <c r="AL533" s="216"/>
      <c r="AM533" s="231">
        <v>0</v>
      </c>
      <c r="AN533" s="231">
        <v>0</v>
      </c>
      <c r="AO533" s="231">
        <v>0</v>
      </c>
      <c r="AP533" s="231">
        <v>0</v>
      </c>
      <c r="AQ533" s="231">
        <v>0</v>
      </c>
      <c r="AR533" s="231">
        <v>0</v>
      </c>
      <c r="AS533" s="231">
        <v>0</v>
      </c>
      <c r="AT533" s="231">
        <v>0</v>
      </c>
      <c r="AU533" s="231">
        <v>0</v>
      </c>
      <c r="AV533" s="231"/>
      <c r="AW533" s="231"/>
      <c r="AX533" s="242"/>
      <c r="AY533" s="242"/>
      <c r="AZ533" s="242"/>
      <c r="BA533" s="242"/>
      <c r="BB533" s="242"/>
      <c r="BC533" s="242"/>
      <c r="BD533" s="242"/>
      <c r="BE533" s="231"/>
      <c r="BF533" s="242"/>
      <c r="BG533" s="242"/>
      <c r="BH533" s="242"/>
      <c r="BI533" s="242"/>
      <c r="BJ533" s="242"/>
      <c r="BK533" s="242"/>
      <c r="BL533" s="242"/>
      <c r="BM533" s="242"/>
      <c r="BN533" s="242"/>
      <c r="BO533" s="231">
        <v>0</v>
      </c>
      <c r="BP533" s="231"/>
      <c r="BQ533" s="231"/>
      <c r="BR533" s="231"/>
      <c r="BS533" s="231"/>
      <c r="BT533" s="231"/>
      <c r="BU533" s="231"/>
      <c r="BV533" s="231"/>
      <c r="BW533" s="231"/>
      <c r="BX533" s="231"/>
      <c r="BY533" s="231"/>
      <c r="BZ533" s="231"/>
      <c r="CA533" s="231"/>
      <c r="CB533" s="231"/>
      <c r="CC533" s="231"/>
      <c r="CD533" s="231"/>
      <c r="CE533" s="231"/>
      <c r="CF533" s="231"/>
      <c r="CG533" s="231"/>
      <c r="CH533" s="231"/>
      <c r="CI533" s="231"/>
    </row>
    <row r="534" spans="1:87" ht="25.2" customHeight="1" outlineLevel="1">
      <c r="A534" s="204">
        <v>502</v>
      </c>
      <c r="B534" s="204">
        <v>12020</v>
      </c>
      <c r="C534" s="208" t="s">
        <v>704</v>
      </c>
      <c r="D534" s="194" t="s">
        <v>181</v>
      </c>
      <c r="E534" s="209">
        <f t="shared" si="63"/>
        <v>457.7</v>
      </c>
      <c r="F534" s="216">
        <v>5</v>
      </c>
      <c r="G534" s="217">
        <v>10.3</v>
      </c>
      <c r="H534" s="218">
        <v>16.5</v>
      </c>
      <c r="I534" s="230">
        <f t="shared" si="64"/>
        <v>67</v>
      </c>
      <c r="J534" s="216">
        <v>2.2000000000000002</v>
      </c>
      <c r="K534" s="216">
        <v>1.2</v>
      </c>
      <c r="L534" s="233"/>
      <c r="M534" s="236"/>
      <c r="N534" s="236"/>
      <c r="O534" s="236"/>
      <c r="P534" s="236">
        <v>0</v>
      </c>
      <c r="Q534" s="236"/>
      <c r="R534" s="236"/>
      <c r="S534" s="236"/>
      <c r="T534" s="231"/>
      <c r="U534" s="231"/>
      <c r="V534" s="231"/>
      <c r="W534" s="242"/>
      <c r="X534" s="232"/>
      <c r="Y534" s="231"/>
      <c r="Z534" s="231"/>
      <c r="AA534" s="241"/>
      <c r="AB534" s="241"/>
      <c r="AC534" s="240"/>
      <c r="AD534" s="240"/>
      <c r="AE534" s="236"/>
      <c r="AF534" s="236"/>
      <c r="AG534" s="240"/>
      <c r="AH534" s="240">
        <f t="shared" si="65"/>
        <v>0</v>
      </c>
      <c r="AI534" s="231">
        <f t="shared" si="66"/>
        <v>0</v>
      </c>
      <c r="AJ534" s="252"/>
      <c r="AK534" s="233"/>
      <c r="AL534" s="216"/>
      <c r="AM534" s="231">
        <v>0</v>
      </c>
      <c r="AN534" s="231">
        <v>0</v>
      </c>
      <c r="AO534" s="231">
        <v>0</v>
      </c>
      <c r="AP534" s="231">
        <v>0</v>
      </c>
      <c r="AQ534" s="231">
        <v>0</v>
      </c>
      <c r="AR534" s="231">
        <v>0</v>
      </c>
      <c r="AS534" s="231">
        <v>0</v>
      </c>
      <c r="AT534" s="231">
        <v>0</v>
      </c>
      <c r="AU534" s="231">
        <v>0</v>
      </c>
      <c r="AV534" s="231"/>
      <c r="AW534" s="231"/>
      <c r="AX534" s="242"/>
      <c r="AY534" s="242"/>
      <c r="AZ534" s="242"/>
      <c r="BA534" s="242"/>
      <c r="BB534" s="242"/>
      <c r="BC534" s="242"/>
      <c r="BD534" s="242"/>
      <c r="BE534" s="231"/>
      <c r="BF534" s="242"/>
      <c r="BG534" s="242"/>
      <c r="BH534" s="242"/>
      <c r="BI534" s="242"/>
      <c r="BJ534" s="242"/>
      <c r="BK534" s="242"/>
      <c r="BL534" s="242"/>
      <c r="BM534" s="242"/>
      <c r="BN534" s="242"/>
      <c r="BO534" s="231">
        <v>0</v>
      </c>
      <c r="BP534" s="231"/>
      <c r="BQ534" s="231"/>
      <c r="BR534" s="231"/>
      <c r="BS534" s="231"/>
      <c r="BT534" s="231"/>
      <c r="BU534" s="231"/>
      <c r="BV534" s="231"/>
      <c r="BW534" s="231"/>
      <c r="BX534" s="231"/>
      <c r="BY534" s="231"/>
      <c r="BZ534" s="231"/>
      <c r="CA534" s="231"/>
      <c r="CB534" s="231"/>
      <c r="CC534" s="231"/>
      <c r="CD534" s="231"/>
      <c r="CE534" s="231"/>
      <c r="CF534" s="231"/>
      <c r="CG534" s="231"/>
      <c r="CH534" s="231"/>
      <c r="CI534" s="231"/>
    </row>
    <row r="535" spans="1:87" ht="25.2" customHeight="1" outlineLevel="1">
      <c r="A535" s="204">
        <v>503</v>
      </c>
      <c r="B535" s="204">
        <v>12021</v>
      </c>
      <c r="C535" s="208" t="s">
        <v>705</v>
      </c>
      <c r="D535" s="194" t="s">
        <v>181</v>
      </c>
      <c r="E535" s="209">
        <f t="shared" si="63"/>
        <v>356</v>
      </c>
      <c r="F535" s="216">
        <v>10.199999999999999</v>
      </c>
      <c r="G535" s="217">
        <v>5.2</v>
      </c>
      <c r="H535" s="218">
        <v>0</v>
      </c>
      <c r="I535" s="230">
        <f t="shared" si="64"/>
        <v>83.8</v>
      </c>
      <c r="J535" s="216" t="s">
        <v>247</v>
      </c>
      <c r="K535" s="216">
        <v>0.8</v>
      </c>
      <c r="L535" s="233"/>
      <c r="M535" s="236">
        <v>96</v>
      </c>
      <c r="N535" s="236">
        <v>18</v>
      </c>
      <c r="O535" s="236">
        <v>1.6</v>
      </c>
      <c r="P535" s="236">
        <v>0</v>
      </c>
      <c r="Q535" s="236"/>
      <c r="R535" s="236"/>
      <c r="S535" s="236"/>
      <c r="T535" s="231"/>
      <c r="U535" s="231"/>
      <c r="V535" s="231"/>
      <c r="W535" s="242"/>
      <c r="X535" s="232"/>
      <c r="Y535" s="231"/>
      <c r="Z535" s="231"/>
      <c r="AA535" s="241"/>
      <c r="AB535" s="241"/>
      <c r="AC535" s="240"/>
      <c r="AD535" s="240"/>
      <c r="AE535" s="236"/>
      <c r="AF535" s="236"/>
      <c r="AG535" s="240"/>
      <c r="AH535" s="240">
        <f t="shared" si="65"/>
        <v>0</v>
      </c>
      <c r="AI535" s="231">
        <f t="shared" si="66"/>
        <v>0</v>
      </c>
      <c r="AJ535" s="252"/>
      <c r="AK535" s="233"/>
      <c r="AL535" s="216"/>
      <c r="AM535" s="231">
        <v>0</v>
      </c>
      <c r="AN535" s="231">
        <v>0</v>
      </c>
      <c r="AO535" s="231">
        <v>0</v>
      </c>
      <c r="AP535" s="231">
        <v>0</v>
      </c>
      <c r="AQ535" s="231">
        <v>0</v>
      </c>
      <c r="AR535" s="231">
        <v>0</v>
      </c>
      <c r="AS535" s="231">
        <v>0</v>
      </c>
      <c r="AT535" s="231">
        <v>0</v>
      </c>
      <c r="AU535" s="231">
        <v>0</v>
      </c>
      <c r="AV535" s="231"/>
      <c r="AW535" s="231"/>
      <c r="AX535" s="242"/>
      <c r="AY535" s="242"/>
      <c r="AZ535" s="242"/>
      <c r="BA535" s="242"/>
      <c r="BB535" s="242"/>
      <c r="BC535" s="242"/>
      <c r="BD535" s="242"/>
      <c r="BE535" s="231"/>
      <c r="BF535" s="242"/>
      <c r="BG535" s="242"/>
      <c r="BH535" s="242"/>
      <c r="BI535" s="242"/>
      <c r="BJ535" s="242"/>
      <c r="BK535" s="242"/>
      <c r="BL535" s="242"/>
      <c r="BM535" s="242"/>
      <c r="BN535" s="242"/>
      <c r="BO535" s="231">
        <v>0</v>
      </c>
      <c r="BP535" s="231"/>
      <c r="BQ535" s="231"/>
      <c r="BR535" s="231"/>
      <c r="BS535" s="231"/>
      <c r="BT535" s="231"/>
      <c r="BU535" s="231"/>
      <c r="BV535" s="231"/>
      <c r="BW535" s="231"/>
      <c r="BX535" s="231"/>
      <c r="BY535" s="231"/>
      <c r="BZ535" s="231"/>
      <c r="CA535" s="231"/>
      <c r="CB535" s="231"/>
      <c r="CC535" s="231"/>
      <c r="CD535" s="231"/>
      <c r="CE535" s="231"/>
      <c r="CF535" s="231"/>
      <c r="CG535" s="231"/>
      <c r="CH535" s="231"/>
      <c r="CI535" s="231"/>
    </row>
    <row r="536" spans="1:87" s="172" customFormat="1" ht="25.2" customHeight="1">
      <c r="A536" s="204">
        <v>504</v>
      </c>
      <c r="B536" s="204">
        <v>12022</v>
      </c>
      <c r="C536" s="208" t="s">
        <v>706</v>
      </c>
      <c r="D536" s="194" t="s">
        <v>181</v>
      </c>
      <c r="E536" s="209">
        <f t="shared" si="63"/>
        <v>393</v>
      </c>
      <c r="F536" s="216">
        <v>6.8</v>
      </c>
      <c r="G536" s="217">
        <v>1.6</v>
      </c>
      <c r="H536" s="218">
        <v>4.5999999999999996</v>
      </c>
      <c r="I536" s="230">
        <f t="shared" si="64"/>
        <v>86.3</v>
      </c>
      <c r="J536" s="216">
        <v>1.2</v>
      </c>
      <c r="K536" s="216">
        <v>0.7</v>
      </c>
      <c r="L536" s="233"/>
      <c r="M536" s="236"/>
      <c r="N536" s="236"/>
      <c r="O536" s="236"/>
      <c r="P536" s="236">
        <v>0</v>
      </c>
      <c r="Q536" s="236"/>
      <c r="R536" s="236"/>
      <c r="S536" s="236"/>
      <c r="T536" s="231"/>
      <c r="U536" s="231"/>
      <c r="V536" s="231"/>
      <c r="W536" s="242"/>
      <c r="X536" s="232"/>
      <c r="Y536" s="231"/>
      <c r="Z536" s="231"/>
      <c r="AA536" s="241"/>
      <c r="AB536" s="241"/>
      <c r="AC536" s="240"/>
      <c r="AD536" s="240"/>
      <c r="AE536" s="236"/>
      <c r="AF536" s="236"/>
      <c r="AG536" s="240"/>
      <c r="AH536" s="240">
        <f t="shared" si="65"/>
        <v>0</v>
      </c>
      <c r="AI536" s="231">
        <f t="shared" si="66"/>
        <v>0</v>
      </c>
      <c r="AJ536" s="252"/>
      <c r="AK536" s="233"/>
      <c r="AL536" s="216"/>
      <c r="AM536" s="231">
        <v>0</v>
      </c>
      <c r="AN536" s="231">
        <v>0</v>
      </c>
      <c r="AO536" s="231">
        <v>0</v>
      </c>
      <c r="AP536" s="231">
        <v>0</v>
      </c>
      <c r="AQ536" s="231">
        <v>0</v>
      </c>
      <c r="AR536" s="231">
        <v>0</v>
      </c>
      <c r="AS536" s="231">
        <v>0</v>
      </c>
      <c r="AT536" s="231">
        <v>0</v>
      </c>
      <c r="AU536" s="231">
        <v>0</v>
      </c>
      <c r="AV536" s="231"/>
      <c r="AW536" s="231"/>
      <c r="AX536" s="244">
        <v>4.4400000000000004</v>
      </c>
      <c r="AY536" s="244"/>
      <c r="AZ536" s="244">
        <v>5.15</v>
      </c>
      <c r="BA536" s="244"/>
      <c r="BB536" s="244"/>
      <c r="BC536" s="244"/>
      <c r="BD536" s="244"/>
      <c r="BE536" s="237"/>
      <c r="BF536" s="244"/>
      <c r="BG536" s="244"/>
      <c r="BH536" s="244"/>
      <c r="BI536" s="244">
        <v>0.55000000000000004</v>
      </c>
      <c r="BJ536" s="244">
        <v>0.05</v>
      </c>
      <c r="BK536" s="244"/>
      <c r="BL536" s="244"/>
      <c r="BM536" s="244"/>
      <c r="BN536" s="244"/>
      <c r="BO536" s="231">
        <v>0</v>
      </c>
      <c r="BP536" s="231"/>
      <c r="BQ536" s="231"/>
      <c r="BR536" s="231"/>
      <c r="BS536" s="231"/>
      <c r="BT536" s="231"/>
      <c r="BU536" s="231"/>
      <c r="BV536" s="231"/>
      <c r="BW536" s="231"/>
      <c r="BX536" s="231"/>
      <c r="BY536" s="231"/>
      <c r="BZ536" s="231"/>
      <c r="CA536" s="231"/>
      <c r="CB536" s="231"/>
      <c r="CC536" s="231"/>
      <c r="CD536" s="231"/>
      <c r="CE536" s="231"/>
      <c r="CF536" s="231"/>
      <c r="CG536" s="231"/>
      <c r="CH536" s="231"/>
      <c r="CI536" s="231"/>
    </row>
    <row r="537" spans="1:87" ht="25.2" customHeight="1" outlineLevel="1">
      <c r="A537" s="204">
        <v>505</v>
      </c>
      <c r="B537" s="204">
        <v>12023</v>
      </c>
      <c r="C537" s="208" t="s">
        <v>707</v>
      </c>
      <c r="D537" s="194" t="s">
        <v>181</v>
      </c>
      <c r="E537" s="209">
        <f t="shared" si="63"/>
        <v>390.4</v>
      </c>
      <c r="F537" s="216">
        <v>8.4</v>
      </c>
      <c r="G537" s="217">
        <v>2.9</v>
      </c>
      <c r="H537" s="218">
        <v>5.2</v>
      </c>
      <c r="I537" s="230">
        <f t="shared" si="64"/>
        <v>83</v>
      </c>
      <c r="J537" s="216" t="s">
        <v>247</v>
      </c>
      <c r="K537" s="216">
        <v>0.5</v>
      </c>
      <c r="L537" s="233"/>
      <c r="M537" s="236"/>
      <c r="N537" s="236"/>
      <c r="O537" s="236"/>
      <c r="P537" s="236">
        <v>0</v>
      </c>
      <c r="Q537" s="236"/>
      <c r="R537" s="236"/>
      <c r="S537" s="236"/>
      <c r="T537" s="231"/>
      <c r="U537" s="231"/>
      <c r="V537" s="231"/>
      <c r="W537" s="242"/>
      <c r="X537" s="232"/>
      <c r="Y537" s="231"/>
      <c r="Z537" s="231"/>
      <c r="AA537" s="241"/>
      <c r="AB537" s="241"/>
      <c r="AC537" s="240"/>
      <c r="AD537" s="240"/>
      <c r="AE537" s="236"/>
      <c r="AF537" s="236"/>
      <c r="AG537" s="240"/>
      <c r="AH537" s="240">
        <f t="shared" si="65"/>
        <v>0</v>
      </c>
      <c r="AI537" s="231">
        <f t="shared" si="66"/>
        <v>0</v>
      </c>
      <c r="AJ537" s="252"/>
      <c r="AK537" s="233"/>
      <c r="AL537" s="216"/>
      <c r="AM537" s="231">
        <v>0</v>
      </c>
      <c r="AN537" s="231">
        <v>0</v>
      </c>
      <c r="AO537" s="231">
        <v>0</v>
      </c>
      <c r="AP537" s="231">
        <v>0</v>
      </c>
      <c r="AQ537" s="231">
        <v>0</v>
      </c>
      <c r="AR537" s="231">
        <v>0</v>
      </c>
      <c r="AS537" s="231">
        <v>0</v>
      </c>
      <c r="AT537" s="231">
        <v>0</v>
      </c>
      <c r="AU537" s="231">
        <v>0</v>
      </c>
      <c r="AV537" s="231"/>
      <c r="AW537" s="231"/>
      <c r="AX537" s="244">
        <v>8.61</v>
      </c>
      <c r="AY537" s="244"/>
      <c r="AZ537" s="244">
        <v>0.99</v>
      </c>
      <c r="BA537" s="244"/>
      <c r="BB537" s="244"/>
      <c r="BC537" s="244"/>
      <c r="BD537" s="244"/>
      <c r="BE537" s="237"/>
      <c r="BF537" s="244"/>
      <c r="BG537" s="244"/>
      <c r="BH537" s="244"/>
      <c r="BI537" s="244">
        <v>0.11</v>
      </c>
      <c r="BJ537" s="244"/>
      <c r="BK537" s="244"/>
      <c r="BL537" s="244"/>
      <c r="BM537" s="244"/>
      <c r="BN537" s="244"/>
      <c r="BO537" s="231">
        <v>0</v>
      </c>
      <c r="BP537" s="231"/>
      <c r="BQ537" s="231"/>
      <c r="BR537" s="231"/>
      <c r="BS537" s="231"/>
      <c r="BT537" s="231"/>
      <c r="BU537" s="231"/>
      <c r="BV537" s="231"/>
      <c r="BW537" s="231"/>
      <c r="BX537" s="231"/>
      <c r="BY537" s="231"/>
      <c r="BZ537" s="231"/>
      <c r="CA537" s="231"/>
      <c r="CB537" s="231"/>
      <c r="CC537" s="231"/>
      <c r="CD537" s="231"/>
      <c r="CE537" s="231"/>
      <c r="CF537" s="231"/>
      <c r="CG537" s="231"/>
      <c r="CH537" s="231"/>
      <c r="CI537" s="231"/>
    </row>
    <row r="538" spans="1:87" ht="25.2" customHeight="1" outlineLevel="1">
      <c r="A538" s="204">
        <v>506</v>
      </c>
      <c r="B538" s="204">
        <v>12024</v>
      </c>
      <c r="C538" s="208" t="s">
        <v>708</v>
      </c>
      <c r="D538" s="194" t="s">
        <v>181</v>
      </c>
      <c r="E538" s="209">
        <f t="shared" si="63"/>
        <v>423.7</v>
      </c>
      <c r="F538" s="216">
        <v>1.7</v>
      </c>
      <c r="G538" s="217">
        <v>2.8</v>
      </c>
      <c r="H538" s="218">
        <v>6.9</v>
      </c>
      <c r="I538" s="230">
        <f t="shared" si="64"/>
        <v>87.6</v>
      </c>
      <c r="J538" s="216">
        <v>1.7</v>
      </c>
      <c r="K538" s="216">
        <v>1</v>
      </c>
      <c r="L538" s="233"/>
      <c r="M538" s="236"/>
      <c r="N538" s="236"/>
      <c r="O538" s="236"/>
      <c r="P538" s="236">
        <v>0</v>
      </c>
      <c r="Q538" s="236">
        <v>0.05</v>
      </c>
      <c r="R538" s="236">
        <v>0.02</v>
      </c>
      <c r="S538" s="236"/>
      <c r="T538" s="231"/>
      <c r="U538" s="231"/>
      <c r="V538" s="231"/>
      <c r="W538" s="242"/>
      <c r="X538" s="232"/>
      <c r="Y538" s="231"/>
      <c r="Z538" s="231"/>
      <c r="AA538" s="241"/>
      <c r="AB538" s="241"/>
      <c r="AC538" s="240"/>
      <c r="AD538" s="240"/>
      <c r="AE538" s="233"/>
      <c r="AF538" s="233"/>
      <c r="AG538" s="240"/>
      <c r="AH538" s="240">
        <f t="shared" si="65"/>
        <v>0</v>
      </c>
      <c r="AI538" s="231">
        <f t="shared" si="66"/>
        <v>0</v>
      </c>
      <c r="AJ538" s="252"/>
      <c r="AK538" s="233"/>
      <c r="AL538" s="216"/>
      <c r="AM538" s="231">
        <v>0</v>
      </c>
      <c r="AN538" s="231">
        <v>0</v>
      </c>
      <c r="AO538" s="231">
        <v>0</v>
      </c>
      <c r="AP538" s="231">
        <v>0</v>
      </c>
      <c r="AQ538" s="231">
        <v>0</v>
      </c>
      <c r="AR538" s="231">
        <v>0</v>
      </c>
      <c r="AS538" s="231">
        <v>0</v>
      </c>
      <c r="AT538" s="231">
        <v>0</v>
      </c>
      <c r="AU538" s="231">
        <v>0</v>
      </c>
      <c r="AV538" s="231"/>
      <c r="AW538" s="231"/>
      <c r="AX538" s="244">
        <v>0.24</v>
      </c>
      <c r="AY538" s="244"/>
      <c r="AZ538" s="244">
        <v>1.75</v>
      </c>
      <c r="BA538" s="244"/>
      <c r="BB538" s="244"/>
      <c r="BC538" s="244"/>
      <c r="BD538" s="244"/>
      <c r="BE538" s="237"/>
      <c r="BF538" s="244"/>
      <c r="BG538" s="244"/>
      <c r="BH538" s="244"/>
      <c r="BI538" s="244">
        <v>2.5099999999999998</v>
      </c>
      <c r="BJ538" s="244">
        <v>0.49</v>
      </c>
      <c r="BK538" s="244"/>
      <c r="BL538" s="244"/>
      <c r="BM538" s="244"/>
      <c r="BN538" s="244"/>
      <c r="BO538" s="231">
        <v>0</v>
      </c>
      <c r="BP538" s="231"/>
      <c r="BQ538" s="231"/>
      <c r="BR538" s="231"/>
      <c r="BS538" s="231"/>
      <c r="BT538" s="231"/>
      <c r="BU538" s="231"/>
      <c r="BV538" s="231"/>
      <c r="BW538" s="231"/>
      <c r="BX538" s="231"/>
      <c r="BY538" s="231"/>
      <c r="BZ538" s="231"/>
      <c r="CA538" s="231"/>
      <c r="CB538" s="231"/>
      <c r="CC538" s="231"/>
      <c r="CD538" s="231"/>
      <c r="CE538" s="231"/>
      <c r="CF538" s="231"/>
      <c r="CG538" s="231"/>
      <c r="CH538" s="231"/>
      <c r="CI538" s="231"/>
    </row>
    <row r="539" spans="1:87" ht="25.2" customHeight="1" outlineLevel="1">
      <c r="A539" s="204">
        <v>507</v>
      </c>
      <c r="B539" s="204">
        <v>12025</v>
      </c>
      <c r="C539" s="208" t="s">
        <v>709</v>
      </c>
      <c r="D539" s="194" t="s">
        <v>181</v>
      </c>
      <c r="E539" s="209">
        <f t="shared" si="63"/>
        <v>330.8</v>
      </c>
      <c r="F539" s="216">
        <v>15</v>
      </c>
      <c r="G539" s="217">
        <v>0.2</v>
      </c>
      <c r="H539" s="218">
        <v>0</v>
      </c>
      <c r="I539" s="230">
        <f t="shared" si="64"/>
        <v>82.5</v>
      </c>
      <c r="J539" s="216">
        <v>0</v>
      </c>
      <c r="K539" s="216">
        <v>2.2999999999999998</v>
      </c>
      <c r="L539" s="233"/>
      <c r="M539" s="216"/>
      <c r="N539" s="216"/>
      <c r="O539" s="216"/>
      <c r="P539" s="216">
        <v>0</v>
      </c>
      <c r="Q539" s="216"/>
      <c r="R539" s="216">
        <v>0.1</v>
      </c>
      <c r="S539" s="216">
        <v>0.2</v>
      </c>
      <c r="T539" s="231"/>
      <c r="U539" s="231"/>
      <c r="V539" s="231"/>
      <c r="W539" s="242"/>
      <c r="X539" s="232"/>
      <c r="Y539" s="231"/>
      <c r="Z539" s="231"/>
      <c r="AA539" s="241"/>
      <c r="AB539" s="241"/>
      <c r="AC539" s="240"/>
      <c r="AD539" s="240"/>
      <c r="AE539" s="233"/>
      <c r="AF539" s="233"/>
      <c r="AG539" s="240"/>
      <c r="AH539" s="240">
        <f t="shared" si="65"/>
        <v>0</v>
      </c>
      <c r="AI539" s="231">
        <f t="shared" si="66"/>
        <v>0</v>
      </c>
      <c r="AJ539" s="252"/>
      <c r="AK539" s="233"/>
      <c r="AL539" s="216"/>
      <c r="AM539" s="231">
        <v>0</v>
      </c>
      <c r="AN539" s="231">
        <v>0</v>
      </c>
      <c r="AO539" s="231">
        <v>0</v>
      </c>
      <c r="AP539" s="231">
        <v>0</v>
      </c>
      <c r="AQ539" s="231">
        <v>0</v>
      </c>
      <c r="AR539" s="231">
        <v>0</v>
      </c>
      <c r="AS539" s="231">
        <v>0</v>
      </c>
      <c r="AT539" s="231">
        <v>0</v>
      </c>
      <c r="AU539" s="231">
        <v>0</v>
      </c>
      <c r="AV539" s="231"/>
      <c r="AW539" s="231"/>
      <c r="AX539" s="242"/>
      <c r="AY539" s="242"/>
      <c r="AZ539" s="242"/>
      <c r="BA539" s="242"/>
      <c r="BB539" s="242"/>
      <c r="BC539" s="242"/>
      <c r="BD539" s="242"/>
      <c r="BE539" s="231"/>
      <c r="BF539" s="242"/>
      <c r="BG539" s="242"/>
      <c r="BH539" s="242"/>
      <c r="BI539" s="242"/>
      <c r="BJ539" s="242"/>
      <c r="BK539" s="242"/>
      <c r="BL539" s="242"/>
      <c r="BM539" s="242"/>
      <c r="BN539" s="242"/>
      <c r="BO539" s="231">
        <v>0</v>
      </c>
      <c r="BP539" s="231"/>
      <c r="BQ539" s="231"/>
      <c r="BR539" s="231"/>
      <c r="BS539" s="231"/>
      <c r="BT539" s="231"/>
      <c r="BU539" s="231"/>
      <c r="BV539" s="231"/>
      <c r="BW539" s="231"/>
      <c r="BX539" s="231"/>
      <c r="BY539" s="231"/>
      <c r="BZ539" s="231"/>
      <c r="CA539" s="231"/>
      <c r="CB539" s="231"/>
      <c r="CC539" s="231"/>
      <c r="CD539" s="231"/>
      <c r="CE539" s="231"/>
      <c r="CF539" s="231"/>
      <c r="CG539" s="231"/>
      <c r="CH539" s="231"/>
      <c r="CI539" s="231"/>
    </row>
    <row r="540" spans="1:87" ht="25.2" customHeight="1" outlineLevel="1">
      <c r="A540" s="204">
        <v>508</v>
      </c>
      <c r="B540" s="204">
        <v>12026</v>
      </c>
      <c r="C540" s="208" t="s">
        <v>710</v>
      </c>
      <c r="D540" s="194" t="s">
        <v>181</v>
      </c>
      <c r="E540" s="209">
        <f t="shared" si="63"/>
        <v>326.8</v>
      </c>
      <c r="F540" s="216">
        <v>18</v>
      </c>
      <c r="G540" s="217">
        <v>0.4</v>
      </c>
      <c r="H540" s="218">
        <v>0</v>
      </c>
      <c r="I540" s="230">
        <f t="shared" si="64"/>
        <v>81.3</v>
      </c>
      <c r="J540" s="216">
        <v>0</v>
      </c>
      <c r="K540" s="216">
        <v>0.3</v>
      </c>
      <c r="L540" s="233">
        <v>82.12</v>
      </c>
      <c r="M540" s="216">
        <v>5</v>
      </c>
      <c r="N540" s="216">
        <v>16</v>
      </c>
      <c r="O540" s="216">
        <v>0.9</v>
      </c>
      <c r="P540" s="216">
        <v>4</v>
      </c>
      <c r="Q540" s="216"/>
      <c r="R540" s="216">
        <v>0.04</v>
      </c>
      <c r="S540" s="216">
        <v>0.2</v>
      </c>
      <c r="T540" s="231">
        <v>4</v>
      </c>
      <c r="U540" s="231">
        <v>52</v>
      </c>
      <c r="V540" s="231">
        <v>2</v>
      </c>
      <c r="W540" s="242">
        <v>0.08</v>
      </c>
      <c r="X540" s="232">
        <v>0.22</v>
      </c>
      <c r="Y540" s="231">
        <v>36</v>
      </c>
      <c r="Z540" s="231">
        <v>0.8</v>
      </c>
      <c r="AA540" s="241">
        <v>6.8000000000000005E-2</v>
      </c>
      <c r="AB540" s="241">
        <v>2.4E-2</v>
      </c>
      <c r="AC540" s="240">
        <v>2</v>
      </c>
      <c r="AD540" s="240">
        <v>0</v>
      </c>
      <c r="AE540" s="233"/>
      <c r="AF540" s="233">
        <v>0</v>
      </c>
      <c r="AG540" s="233">
        <v>0</v>
      </c>
      <c r="AH540" s="240">
        <f t="shared" si="65"/>
        <v>0</v>
      </c>
      <c r="AI540" s="231">
        <f t="shared" si="66"/>
        <v>0</v>
      </c>
      <c r="AJ540" s="275">
        <v>0</v>
      </c>
      <c r="AK540" s="233">
        <v>0</v>
      </c>
      <c r="AL540" s="233">
        <v>0</v>
      </c>
      <c r="AM540" s="231">
        <v>0</v>
      </c>
      <c r="AN540" s="231">
        <v>0</v>
      </c>
      <c r="AO540" s="231">
        <v>0</v>
      </c>
      <c r="AP540" s="231">
        <v>0</v>
      </c>
      <c r="AQ540" s="231">
        <v>0</v>
      </c>
      <c r="AR540" s="231">
        <v>0</v>
      </c>
      <c r="AS540" s="231">
        <v>0</v>
      </c>
      <c r="AT540" s="231">
        <v>0</v>
      </c>
      <c r="AU540" s="231">
        <v>0</v>
      </c>
      <c r="AV540" s="231"/>
      <c r="AW540" s="231">
        <v>0</v>
      </c>
      <c r="AX540" s="242">
        <v>0</v>
      </c>
      <c r="AY540" s="242">
        <v>0</v>
      </c>
      <c r="AZ540" s="242">
        <v>0</v>
      </c>
      <c r="BA540" s="242">
        <v>0</v>
      </c>
      <c r="BB540" s="242">
        <v>0</v>
      </c>
      <c r="BC540" s="242">
        <v>0</v>
      </c>
      <c r="BD540" s="242">
        <v>0</v>
      </c>
      <c r="BE540" s="242">
        <v>0</v>
      </c>
      <c r="BF540" s="242">
        <v>0</v>
      </c>
      <c r="BG540" s="242">
        <v>0</v>
      </c>
      <c r="BH540" s="242">
        <v>0</v>
      </c>
      <c r="BI540" s="242">
        <v>0</v>
      </c>
      <c r="BJ540" s="242">
        <v>0</v>
      </c>
      <c r="BK540" s="242">
        <v>0</v>
      </c>
      <c r="BL540" s="242">
        <v>0</v>
      </c>
      <c r="BM540" s="242">
        <v>0</v>
      </c>
      <c r="BN540" s="242">
        <v>0</v>
      </c>
      <c r="BO540" s="242">
        <v>0</v>
      </c>
      <c r="BP540" s="242">
        <v>0</v>
      </c>
      <c r="BQ540" s="231">
        <v>8</v>
      </c>
      <c r="BR540" s="231">
        <v>1</v>
      </c>
      <c r="BS540" s="231">
        <v>4</v>
      </c>
      <c r="BT540" s="231">
        <v>11</v>
      </c>
      <c r="BU540" s="231">
        <v>4</v>
      </c>
      <c r="BV540" s="231">
        <v>9</v>
      </c>
      <c r="BW540" s="231">
        <v>10</v>
      </c>
      <c r="BX540" s="231">
        <v>8</v>
      </c>
      <c r="BY540" s="231">
        <v>5</v>
      </c>
      <c r="BZ540" s="231">
        <v>1</v>
      </c>
      <c r="CA540" s="231">
        <v>3</v>
      </c>
      <c r="CB540" s="231">
        <v>8</v>
      </c>
      <c r="CC540" s="231">
        <v>6</v>
      </c>
      <c r="CD540" s="231">
        <v>27</v>
      </c>
      <c r="CE540" s="231">
        <v>18</v>
      </c>
      <c r="CF540" s="231">
        <v>7</v>
      </c>
      <c r="CG540" s="231">
        <v>90</v>
      </c>
      <c r="CH540" s="231">
        <v>6</v>
      </c>
      <c r="CI540" s="231"/>
    </row>
    <row r="541" spans="1:87" ht="25.2" customHeight="1" outlineLevel="1">
      <c r="A541" s="204">
        <v>509</v>
      </c>
      <c r="B541" s="204">
        <v>12027</v>
      </c>
      <c r="C541" s="208" t="s">
        <v>711</v>
      </c>
      <c r="D541" s="194" t="s">
        <v>181</v>
      </c>
      <c r="E541" s="209">
        <f t="shared" si="63"/>
        <v>433.4</v>
      </c>
      <c r="F541" s="216">
        <v>1.8</v>
      </c>
      <c r="G541" s="217">
        <v>5.4</v>
      </c>
      <c r="H541" s="218">
        <v>8.6</v>
      </c>
      <c r="I541" s="230">
        <f t="shared" si="64"/>
        <v>83.6</v>
      </c>
      <c r="J541" s="216">
        <v>0.7</v>
      </c>
      <c r="K541" s="216">
        <v>0.6</v>
      </c>
      <c r="L541" s="233"/>
      <c r="M541" s="216"/>
      <c r="N541" s="216"/>
      <c r="O541" s="216"/>
      <c r="P541" s="216">
        <v>0</v>
      </c>
      <c r="Q541" s="216">
        <v>0.16</v>
      </c>
      <c r="R541" s="216">
        <v>0.03</v>
      </c>
      <c r="S541" s="216">
        <v>3</v>
      </c>
      <c r="T541" s="231"/>
      <c r="U541" s="231"/>
      <c r="V541" s="231"/>
      <c r="W541" s="242"/>
      <c r="X541" s="232"/>
      <c r="Y541" s="231"/>
      <c r="Z541" s="231"/>
      <c r="AA541" s="241"/>
      <c r="AB541" s="241"/>
      <c r="AC541" s="240"/>
      <c r="AD541" s="240"/>
      <c r="AE541" s="233"/>
      <c r="AF541" s="233"/>
      <c r="AG541" s="240"/>
      <c r="AH541" s="240">
        <f t="shared" si="65"/>
        <v>0</v>
      </c>
      <c r="AI541" s="231">
        <f t="shared" si="66"/>
        <v>0</v>
      </c>
      <c r="AJ541" s="252"/>
      <c r="AK541" s="233"/>
      <c r="AL541" s="216"/>
      <c r="AM541" s="231">
        <v>0</v>
      </c>
      <c r="AN541" s="231">
        <v>0</v>
      </c>
      <c r="AO541" s="231">
        <v>0</v>
      </c>
      <c r="AP541" s="231">
        <v>0</v>
      </c>
      <c r="AQ541" s="231">
        <v>0</v>
      </c>
      <c r="AR541" s="231">
        <v>0</v>
      </c>
      <c r="AS541" s="231">
        <v>0</v>
      </c>
      <c r="AT541" s="231">
        <v>0</v>
      </c>
      <c r="AU541" s="231">
        <v>0</v>
      </c>
      <c r="AV541" s="231"/>
      <c r="AW541" s="231"/>
      <c r="AX541" s="242"/>
      <c r="AY541" s="242"/>
      <c r="AZ541" s="242"/>
      <c r="BA541" s="242"/>
      <c r="BB541" s="242"/>
      <c r="BC541" s="242"/>
      <c r="BD541" s="242"/>
      <c r="BE541" s="231"/>
      <c r="BF541" s="242"/>
      <c r="BG541" s="242"/>
      <c r="BH541" s="242"/>
      <c r="BI541" s="242"/>
      <c r="BJ541" s="242"/>
      <c r="BK541" s="242"/>
      <c r="BL541" s="242"/>
      <c r="BM541" s="242"/>
      <c r="BN541" s="242"/>
      <c r="BO541" s="231">
        <v>0</v>
      </c>
      <c r="BP541" s="231"/>
      <c r="BQ541" s="231"/>
      <c r="BR541" s="231"/>
      <c r="BS541" s="231"/>
      <c r="BT541" s="231"/>
      <c r="BU541" s="231"/>
      <c r="BV541" s="231"/>
      <c r="BW541" s="231"/>
      <c r="BX541" s="231"/>
      <c r="BY541" s="231"/>
      <c r="BZ541" s="231"/>
      <c r="CA541" s="231"/>
      <c r="CB541" s="231"/>
      <c r="CC541" s="231"/>
      <c r="CD541" s="231"/>
      <c r="CE541" s="231"/>
      <c r="CF541" s="231"/>
      <c r="CG541" s="231"/>
      <c r="CH541" s="231"/>
      <c r="CI541" s="231"/>
    </row>
    <row r="542" spans="1:87" s="169" customFormat="1" ht="7.05" customHeight="1">
      <c r="A542" s="196"/>
      <c r="B542" s="196"/>
      <c r="C542" s="197"/>
      <c r="D542" s="198"/>
      <c r="E542" s="199"/>
      <c r="F542" s="199"/>
      <c r="G542" s="200"/>
      <c r="H542" s="201"/>
      <c r="I542" s="228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  <c r="AD542" s="199"/>
      <c r="AE542" s="199"/>
      <c r="AF542" s="199"/>
      <c r="AG542" s="199"/>
      <c r="AH542" s="199"/>
      <c r="AI542" s="199"/>
      <c r="AJ542" s="250"/>
      <c r="AK542" s="199"/>
      <c r="AL542" s="199"/>
      <c r="AM542" s="199"/>
      <c r="AN542" s="199"/>
      <c r="AO542" s="199"/>
      <c r="AP542" s="199"/>
      <c r="AQ542" s="199"/>
      <c r="AR542" s="199"/>
      <c r="AS542" s="199"/>
      <c r="AT542" s="199"/>
      <c r="AU542" s="199"/>
      <c r="AV542" s="199"/>
      <c r="AW542" s="199"/>
      <c r="AX542" s="199"/>
      <c r="AY542" s="199"/>
      <c r="AZ542" s="199"/>
      <c r="BA542" s="199"/>
      <c r="BB542" s="199"/>
      <c r="BC542" s="199"/>
      <c r="BD542" s="199"/>
      <c r="BE542" s="199"/>
      <c r="BF542" s="199"/>
      <c r="BG542" s="199"/>
      <c r="BH542" s="199"/>
      <c r="BI542" s="199"/>
      <c r="BJ542" s="199"/>
      <c r="BK542" s="199"/>
      <c r="BL542" s="199"/>
      <c r="BM542" s="199"/>
      <c r="BN542" s="199"/>
      <c r="BO542" s="199"/>
      <c r="BP542" s="199"/>
      <c r="BQ542" s="199"/>
      <c r="BR542" s="199"/>
      <c r="BS542" s="199"/>
      <c r="BT542" s="199"/>
      <c r="BU542" s="199"/>
      <c r="BV542" s="199"/>
      <c r="BW542" s="199"/>
      <c r="BX542" s="199"/>
      <c r="BY542" s="199"/>
      <c r="BZ542" s="199"/>
      <c r="CA542" s="199"/>
      <c r="CB542" s="199"/>
      <c r="CC542" s="199"/>
      <c r="CD542" s="199"/>
      <c r="CE542" s="199"/>
      <c r="CF542" s="199"/>
      <c r="CG542" s="199"/>
      <c r="CH542" s="199"/>
      <c r="CI542" s="199"/>
    </row>
    <row r="543" spans="1:87" ht="25.2" customHeight="1">
      <c r="A543" s="204"/>
      <c r="B543" s="202"/>
      <c r="C543" s="203" t="s">
        <v>712</v>
      </c>
      <c r="D543" s="194"/>
      <c r="E543" s="240"/>
      <c r="F543" s="236"/>
      <c r="G543" s="272"/>
      <c r="H543" s="273"/>
      <c r="I543" s="230"/>
      <c r="J543" s="236"/>
      <c r="K543" s="236"/>
      <c r="L543" s="233"/>
      <c r="M543" s="216"/>
      <c r="N543" s="216"/>
      <c r="O543" s="216"/>
      <c r="P543" s="216"/>
      <c r="Q543" s="216"/>
      <c r="R543" s="216"/>
      <c r="S543" s="216"/>
      <c r="T543" s="231"/>
      <c r="U543" s="231"/>
      <c r="V543" s="231"/>
      <c r="W543" s="242"/>
      <c r="X543" s="232"/>
      <c r="Y543" s="231"/>
      <c r="Z543" s="231"/>
      <c r="AA543" s="241"/>
      <c r="AB543" s="241"/>
      <c r="AC543" s="240"/>
      <c r="AD543" s="240"/>
      <c r="AE543" s="236"/>
      <c r="AF543" s="236"/>
      <c r="AG543" s="240"/>
      <c r="AH543" s="240"/>
      <c r="AI543" s="236"/>
      <c r="AJ543" s="252"/>
      <c r="AK543" s="233"/>
      <c r="AL543" s="216"/>
      <c r="AM543" s="236"/>
      <c r="AN543" s="231"/>
      <c r="AO543" s="231"/>
      <c r="AP543" s="231"/>
      <c r="AQ543" s="231"/>
      <c r="AR543" s="231"/>
      <c r="AS543" s="231"/>
      <c r="AT543" s="231"/>
      <c r="AU543" s="231"/>
      <c r="AV543" s="231"/>
      <c r="AW543" s="236"/>
      <c r="AX543" s="242"/>
      <c r="AY543" s="242"/>
      <c r="AZ543" s="242"/>
      <c r="BA543" s="242"/>
      <c r="BB543" s="242"/>
      <c r="BC543" s="242"/>
      <c r="BD543" s="242"/>
      <c r="BE543" s="231"/>
      <c r="BF543" s="242"/>
      <c r="BG543" s="242"/>
      <c r="BH543" s="242"/>
      <c r="BI543" s="242"/>
      <c r="BJ543" s="242"/>
      <c r="BK543" s="242"/>
      <c r="BL543" s="242"/>
      <c r="BM543" s="242"/>
      <c r="BN543" s="242"/>
      <c r="BO543" s="231"/>
      <c r="BP543" s="231"/>
      <c r="BQ543" s="231"/>
      <c r="BR543" s="231"/>
      <c r="BS543" s="231"/>
      <c r="BT543" s="231"/>
      <c r="BU543" s="231"/>
      <c r="BV543" s="231"/>
      <c r="BW543" s="231"/>
      <c r="BX543" s="231"/>
      <c r="BY543" s="231"/>
      <c r="BZ543" s="231"/>
      <c r="CA543" s="231"/>
      <c r="CB543" s="231"/>
      <c r="CC543" s="231"/>
      <c r="CD543" s="231"/>
      <c r="CE543" s="231"/>
      <c r="CF543" s="231"/>
      <c r="CG543" s="231"/>
      <c r="CH543" s="231"/>
      <c r="CI543" s="231"/>
    </row>
    <row r="544" spans="1:87" ht="25.2" customHeight="1" outlineLevel="1">
      <c r="A544" s="204">
        <v>510</v>
      </c>
      <c r="B544" s="204">
        <v>13001</v>
      </c>
      <c r="C544" s="208" t="s">
        <v>713</v>
      </c>
      <c r="D544" s="194" t="s">
        <v>181</v>
      </c>
      <c r="E544" s="209">
        <f t="shared" ref="E544:E566" si="67">G544*4+H544*9+I544*4</f>
        <v>318.10000000000002</v>
      </c>
      <c r="F544" s="216">
        <v>10</v>
      </c>
      <c r="G544" s="217">
        <v>8.1999999999999993</v>
      </c>
      <c r="H544" s="218">
        <v>7.3</v>
      </c>
      <c r="I544" s="230">
        <f t="shared" ref="I544:I566" si="68">100-SUM(F544,G544,H544,K544)</f>
        <v>54.9</v>
      </c>
      <c r="J544" s="216">
        <v>8.9</v>
      </c>
      <c r="K544" s="216">
        <v>19.600000000000001</v>
      </c>
      <c r="L544" s="233"/>
      <c r="M544" s="216">
        <v>906</v>
      </c>
      <c r="N544" s="216">
        <v>421</v>
      </c>
      <c r="O544" s="216"/>
      <c r="P544" s="216"/>
      <c r="Q544" s="216">
        <v>0.03</v>
      </c>
      <c r="R544" s="216">
        <v>0.4</v>
      </c>
      <c r="S544" s="216">
        <v>2.2999999999999998</v>
      </c>
      <c r="T544" s="231"/>
      <c r="U544" s="231"/>
      <c r="V544" s="231"/>
      <c r="W544" s="242"/>
      <c r="X544" s="232"/>
      <c r="Y544" s="231"/>
      <c r="Z544" s="231"/>
      <c r="AA544" s="241"/>
      <c r="AB544" s="241"/>
      <c r="AC544" s="240"/>
      <c r="AD544" s="240"/>
      <c r="AE544" s="233"/>
      <c r="AF544" s="233"/>
      <c r="AG544" s="240"/>
      <c r="AH544" s="240">
        <f t="shared" ref="AH544:AH566" si="69">AG544*3.33</f>
        <v>0</v>
      </c>
      <c r="AI544" s="236">
        <f t="shared" ref="AI544:AI566" si="70">AG544+AM544/12+AN544/24+AO544/24</f>
        <v>31.6666666666667</v>
      </c>
      <c r="AJ544" s="252"/>
      <c r="AK544" s="233"/>
      <c r="AL544" s="216"/>
      <c r="AM544" s="236">
        <v>380</v>
      </c>
      <c r="AN544" s="231"/>
      <c r="AO544" s="231"/>
      <c r="AP544" s="231"/>
      <c r="AQ544" s="231"/>
      <c r="AR544" s="231">
        <v>0</v>
      </c>
      <c r="AS544" s="231">
        <v>0</v>
      </c>
      <c r="AT544" s="231">
        <v>0</v>
      </c>
      <c r="AU544" s="231">
        <v>0</v>
      </c>
      <c r="AV544" s="231"/>
      <c r="AW544" s="236"/>
      <c r="AX544" s="242"/>
      <c r="AY544" s="242"/>
      <c r="AZ544" s="242"/>
      <c r="BA544" s="242"/>
      <c r="BB544" s="242"/>
      <c r="BC544" s="242"/>
      <c r="BD544" s="242"/>
      <c r="BE544" s="231"/>
      <c r="BF544" s="242"/>
      <c r="BG544" s="242"/>
      <c r="BH544" s="242"/>
      <c r="BI544" s="242"/>
      <c r="BJ544" s="242"/>
      <c r="BK544" s="242"/>
      <c r="BL544" s="242"/>
      <c r="BM544" s="242"/>
      <c r="BN544" s="242"/>
      <c r="BO544" s="231">
        <v>0</v>
      </c>
      <c r="BP544" s="231"/>
      <c r="BQ544" s="231"/>
      <c r="BR544" s="231"/>
      <c r="BS544" s="231"/>
      <c r="BT544" s="231"/>
      <c r="BU544" s="231"/>
      <c r="BV544" s="231"/>
      <c r="BW544" s="231"/>
      <c r="BX544" s="231"/>
      <c r="BY544" s="231"/>
      <c r="BZ544" s="231"/>
      <c r="CA544" s="231"/>
      <c r="CB544" s="231"/>
      <c r="CC544" s="231"/>
      <c r="CD544" s="231"/>
      <c r="CE544" s="231"/>
      <c r="CF544" s="231"/>
      <c r="CG544" s="231"/>
      <c r="CH544" s="231"/>
      <c r="CI544" s="231"/>
    </row>
    <row r="545" spans="1:87" ht="25.2" customHeight="1" outlineLevel="1">
      <c r="A545" s="204">
        <v>511</v>
      </c>
      <c r="B545" s="204">
        <v>13002</v>
      </c>
      <c r="C545" s="208" t="s">
        <v>714</v>
      </c>
      <c r="D545" s="194" t="s">
        <v>181</v>
      </c>
      <c r="E545" s="209">
        <f t="shared" si="67"/>
        <v>372.7</v>
      </c>
      <c r="F545" s="216">
        <v>9.4</v>
      </c>
      <c r="G545" s="217">
        <v>9.1</v>
      </c>
      <c r="H545" s="218">
        <v>5.9</v>
      </c>
      <c r="I545" s="230">
        <f t="shared" si="68"/>
        <v>70.8</v>
      </c>
      <c r="J545" s="216">
        <v>12.5</v>
      </c>
      <c r="K545" s="216">
        <v>4.8</v>
      </c>
      <c r="L545" s="233">
        <v>3.4</v>
      </c>
      <c r="M545" s="216">
        <v>180</v>
      </c>
      <c r="N545" s="216">
        <v>148</v>
      </c>
      <c r="O545" s="216">
        <v>11.52</v>
      </c>
      <c r="P545" s="216">
        <v>7</v>
      </c>
      <c r="Q545" s="216">
        <v>0.16</v>
      </c>
      <c r="R545" s="216">
        <v>0.27</v>
      </c>
      <c r="S545" s="216">
        <v>8.4</v>
      </c>
      <c r="T545" s="231">
        <v>32</v>
      </c>
      <c r="U545" s="231">
        <v>1343</v>
      </c>
      <c r="V545" s="231">
        <v>184</v>
      </c>
      <c r="W545" s="242">
        <v>26.5</v>
      </c>
      <c r="X545" s="232">
        <v>4.72</v>
      </c>
      <c r="Y545" s="231">
        <v>480</v>
      </c>
      <c r="Z545" s="231">
        <v>38.5</v>
      </c>
      <c r="AA545" s="241"/>
      <c r="AB545" s="241">
        <v>0.84</v>
      </c>
      <c r="AC545" s="240">
        <v>39</v>
      </c>
      <c r="AD545" s="240">
        <v>0</v>
      </c>
      <c r="AE545" s="233"/>
      <c r="AF545" s="233">
        <v>0</v>
      </c>
      <c r="AG545" s="240"/>
      <c r="AH545" s="240">
        <f t="shared" si="69"/>
        <v>0</v>
      </c>
      <c r="AI545" s="236">
        <f t="shared" si="70"/>
        <v>7.3333333333333304</v>
      </c>
      <c r="AJ545" s="252"/>
      <c r="AK545" s="233">
        <v>18.02</v>
      </c>
      <c r="AL545" s="216">
        <v>0.8</v>
      </c>
      <c r="AM545" s="236">
        <v>88</v>
      </c>
      <c r="AN545" s="231">
        <v>0</v>
      </c>
      <c r="AO545" s="231">
        <v>0</v>
      </c>
      <c r="AP545" s="231">
        <v>0</v>
      </c>
      <c r="AQ545" s="231">
        <v>0</v>
      </c>
      <c r="AR545" s="231">
        <v>0</v>
      </c>
      <c r="AS545" s="231">
        <v>0</v>
      </c>
      <c r="AT545" s="231">
        <v>0</v>
      </c>
      <c r="AU545" s="231">
        <v>0</v>
      </c>
      <c r="AV545" s="231"/>
      <c r="AW545" s="236">
        <v>1.94</v>
      </c>
      <c r="AX545" s="242">
        <v>1.02</v>
      </c>
      <c r="AY545" s="242">
        <v>0</v>
      </c>
      <c r="AZ545" s="242">
        <v>0.14000000000000001</v>
      </c>
      <c r="BA545" s="242">
        <v>0</v>
      </c>
      <c r="BB545" s="242">
        <v>0</v>
      </c>
      <c r="BC545" s="242">
        <v>0</v>
      </c>
      <c r="BD545" s="242">
        <v>1</v>
      </c>
      <c r="BE545" s="231">
        <v>0</v>
      </c>
      <c r="BF545" s="242">
        <v>0</v>
      </c>
      <c r="BG545" s="242">
        <v>1</v>
      </c>
      <c r="BH545" s="242">
        <v>1.31</v>
      </c>
      <c r="BI545" s="242">
        <v>1.02</v>
      </c>
      <c r="BJ545" s="242">
        <v>0.28999999999999998</v>
      </c>
      <c r="BK545" s="242">
        <v>0</v>
      </c>
      <c r="BL545" s="242">
        <v>0</v>
      </c>
      <c r="BM545" s="242">
        <v>0</v>
      </c>
      <c r="BN545" s="242"/>
      <c r="BO545" s="231">
        <v>0</v>
      </c>
      <c r="BP545" s="231">
        <v>83</v>
      </c>
      <c r="BQ545" s="231">
        <v>299</v>
      </c>
      <c r="BR545" s="231">
        <v>67</v>
      </c>
      <c r="BS545" s="231">
        <v>63</v>
      </c>
      <c r="BT545" s="231">
        <v>236</v>
      </c>
      <c r="BU545" s="231">
        <v>187</v>
      </c>
      <c r="BV545" s="231">
        <v>382</v>
      </c>
      <c r="BW545" s="231">
        <v>387</v>
      </c>
      <c r="BX545" s="231">
        <v>266</v>
      </c>
      <c r="BY545" s="231">
        <v>226</v>
      </c>
      <c r="BZ545" s="231">
        <v>158</v>
      </c>
      <c r="CA545" s="231">
        <v>42</v>
      </c>
      <c r="CB545" s="231">
        <v>102</v>
      </c>
      <c r="CC545" s="231">
        <v>163</v>
      </c>
      <c r="CD545" s="231">
        <v>1090</v>
      </c>
      <c r="CE545" s="231">
        <v>848</v>
      </c>
      <c r="CF545" s="231">
        <v>226</v>
      </c>
      <c r="CG545" s="231">
        <v>216</v>
      </c>
      <c r="CH545" s="231">
        <v>236</v>
      </c>
      <c r="CI545" s="231"/>
    </row>
    <row r="546" spans="1:87" ht="25.2" customHeight="1" outlineLevel="1">
      <c r="A546" s="204">
        <v>512</v>
      </c>
      <c r="B546" s="204">
        <v>13003</v>
      </c>
      <c r="C546" s="208" t="s">
        <v>715</v>
      </c>
      <c r="D546" s="194" t="s">
        <v>181</v>
      </c>
      <c r="E546" s="209">
        <f t="shared" si="67"/>
        <v>42</v>
      </c>
      <c r="F546" s="216">
        <v>90</v>
      </c>
      <c r="G546" s="217">
        <v>0.4</v>
      </c>
      <c r="H546" s="218">
        <v>0.8</v>
      </c>
      <c r="I546" s="230">
        <f t="shared" si="68"/>
        <v>8.3000000000000007</v>
      </c>
      <c r="J546" s="216">
        <v>3.3</v>
      </c>
      <c r="K546" s="216">
        <v>0.5</v>
      </c>
      <c r="L546" s="233">
        <v>1.7</v>
      </c>
      <c r="M546" s="216">
        <v>60</v>
      </c>
      <c r="N546" s="216">
        <v>8</v>
      </c>
      <c r="O546" s="216">
        <v>2.5</v>
      </c>
      <c r="P546" s="216">
        <v>5.3</v>
      </c>
      <c r="Q546" s="216">
        <v>0.04</v>
      </c>
      <c r="R546" s="216">
        <v>0.04</v>
      </c>
      <c r="S546" s="216">
        <v>0.7</v>
      </c>
      <c r="T546" s="240">
        <v>7</v>
      </c>
      <c r="U546" s="240">
        <v>316</v>
      </c>
      <c r="V546" s="240">
        <v>43</v>
      </c>
      <c r="W546" s="241">
        <v>0.22900000000000001</v>
      </c>
      <c r="X546" s="233">
        <v>0.34</v>
      </c>
      <c r="Y546" s="240">
        <v>226</v>
      </c>
      <c r="Z546" s="216">
        <v>0.7</v>
      </c>
      <c r="AA546" s="241">
        <v>0.20300000000000001</v>
      </c>
      <c r="AB546" s="241">
        <v>0.16</v>
      </c>
      <c r="AC546" s="240">
        <v>11</v>
      </c>
      <c r="AD546" s="240">
        <v>0</v>
      </c>
      <c r="AE546" s="233"/>
      <c r="AF546" s="233">
        <v>0</v>
      </c>
      <c r="AG546" s="240"/>
      <c r="AH546" s="240">
        <f t="shared" si="69"/>
        <v>0</v>
      </c>
      <c r="AI546" s="236">
        <f t="shared" si="70"/>
        <v>0</v>
      </c>
      <c r="AJ546" s="252"/>
      <c r="AK546" s="233">
        <v>0.26</v>
      </c>
      <c r="AL546" s="216">
        <v>0.1</v>
      </c>
      <c r="AM546" s="236">
        <v>0</v>
      </c>
      <c r="AN546" s="236">
        <v>0</v>
      </c>
      <c r="AO546" s="236">
        <v>0</v>
      </c>
      <c r="AP546" s="236">
        <v>0</v>
      </c>
      <c r="AQ546" s="236">
        <v>0</v>
      </c>
      <c r="AR546" s="231">
        <v>0</v>
      </c>
      <c r="AS546" s="231">
        <v>0</v>
      </c>
      <c r="AT546" s="231">
        <v>0</v>
      </c>
      <c r="AU546" s="231">
        <v>0</v>
      </c>
      <c r="AV546" s="231"/>
      <c r="AW546" s="236">
        <v>0.20300000000000001</v>
      </c>
      <c r="AX546" s="242">
        <v>0.12</v>
      </c>
      <c r="AY546" s="242">
        <v>0</v>
      </c>
      <c r="AZ546" s="242">
        <v>1.7000000000000001E-2</v>
      </c>
      <c r="BA546" s="242">
        <v>0</v>
      </c>
      <c r="BB546" s="242">
        <v>0</v>
      </c>
      <c r="BC546" s="242">
        <v>0</v>
      </c>
      <c r="BD546" s="242">
        <v>0.154</v>
      </c>
      <c r="BE546" s="231">
        <v>0</v>
      </c>
      <c r="BF546" s="242">
        <v>2.1000000000000001E-2</v>
      </c>
      <c r="BG546" s="242">
        <v>0.11899999999999999</v>
      </c>
      <c r="BH546" s="242">
        <v>0.154</v>
      </c>
      <c r="BI546" s="242">
        <v>0.12</v>
      </c>
      <c r="BJ546" s="242">
        <v>3.4000000000000002E-2</v>
      </c>
      <c r="BK546" s="242">
        <v>0</v>
      </c>
      <c r="BL546" s="242">
        <v>0</v>
      </c>
      <c r="BM546" s="242">
        <v>0</v>
      </c>
      <c r="BN546" s="242"/>
      <c r="BO546" s="231">
        <v>0</v>
      </c>
      <c r="BP546" s="231">
        <v>15</v>
      </c>
      <c r="BQ546" s="231">
        <v>57</v>
      </c>
      <c r="BR546" s="231">
        <v>13</v>
      </c>
      <c r="BS546" s="231">
        <v>12</v>
      </c>
      <c r="BT546" s="231">
        <v>45</v>
      </c>
      <c r="BU546" s="231">
        <v>36</v>
      </c>
      <c r="BV546" s="231">
        <v>73</v>
      </c>
      <c r="BW546" s="231">
        <v>74</v>
      </c>
      <c r="BX546" s="231">
        <v>51</v>
      </c>
      <c r="BY546" s="231">
        <v>43</v>
      </c>
      <c r="BZ546" s="231">
        <v>30</v>
      </c>
      <c r="CA546" s="231">
        <v>8</v>
      </c>
      <c r="CB546" s="231">
        <v>20</v>
      </c>
      <c r="CC546" s="231">
        <v>31</v>
      </c>
      <c r="CD546" s="231">
        <v>208</v>
      </c>
      <c r="CE546" s="231">
        <v>162</v>
      </c>
      <c r="CF546" s="231">
        <v>43</v>
      </c>
      <c r="CG546" s="231">
        <v>41</v>
      </c>
      <c r="CH546" s="231">
        <v>45</v>
      </c>
      <c r="CI546" s="231"/>
    </row>
    <row r="547" spans="1:87" ht="25.2" customHeight="1" outlineLevel="1">
      <c r="A547" s="204">
        <v>513</v>
      </c>
      <c r="B547" s="204">
        <v>13004</v>
      </c>
      <c r="C547" s="208" t="s">
        <v>716</v>
      </c>
      <c r="D547" s="194" t="s">
        <v>181</v>
      </c>
      <c r="E547" s="209">
        <f t="shared" si="67"/>
        <v>365</v>
      </c>
      <c r="F547" s="216">
        <v>13.5</v>
      </c>
      <c r="G547" s="217">
        <v>7</v>
      </c>
      <c r="H547" s="218">
        <v>7.4</v>
      </c>
      <c r="I547" s="230">
        <f t="shared" si="68"/>
        <v>67.599999999999994</v>
      </c>
      <c r="J547" s="216">
        <v>33.5</v>
      </c>
      <c r="K547" s="216">
        <v>4.5</v>
      </c>
      <c r="L547" s="233">
        <v>0.64</v>
      </c>
      <c r="M547" s="216">
        <v>732</v>
      </c>
      <c r="N547" s="216">
        <v>44</v>
      </c>
      <c r="O547" s="216">
        <v>4.5999999999999996</v>
      </c>
      <c r="P547" s="216">
        <v>0</v>
      </c>
      <c r="Q547" s="216">
        <v>0.05</v>
      </c>
      <c r="R547" s="216">
        <v>0.06</v>
      </c>
      <c r="S547" s="216">
        <v>2.6</v>
      </c>
      <c r="T547" s="240">
        <v>44</v>
      </c>
      <c r="U547" s="240">
        <v>1259</v>
      </c>
      <c r="V547" s="240">
        <v>19</v>
      </c>
      <c r="W547" s="241">
        <v>0.1</v>
      </c>
      <c r="X547" s="233">
        <v>0.3</v>
      </c>
      <c r="Y547" s="240">
        <v>100</v>
      </c>
      <c r="Z547" s="216">
        <v>0.7</v>
      </c>
      <c r="AA547" s="241"/>
      <c r="AB547" s="241">
        <v>0.34</v>
      </c>
      <c r="AC547" s="240">
        <v>10</v>
      </c>
      <c r="AD547" s="240">
        <v>0</v>
      </c>
      <c r="AE547" s="233"/>
      <c r="AF547" s="233"/>
      <c r="AG547" s="240"/>
      <c r="AH547" s="240">
        <f t="shared" si="69"/>
        <v>0</v>
      </c>
      <c r="AI547" s="236">
        <f t="shared" si="70"/>
        <v>15</v>
      </c>
      <c r="AJ547" s="252"/>
      <c r="AK547" s="233">
        <v>0.72</v>
      </c>
      <c r="AL547" s="216">
        <v>163.69999999999999</v>
      </c>
      <c r="AM547" s="236">
        <v>156</v>
      </c>
      <c r="AN547" s="231">
        <v>0</v>
      </c>
      <c r="AO547" s="231">
        <v>48</v>
      </c>
      <c r="AP547" s="231">
        <v>6</v>
      </c>
      <c r="AQ547" s="231">
        <v>205</v>
      </c>
      <c r="AR547" s="231">
        <v>0</v>
      </c>
      <c r="AS547" s="231">
        <v>0</v>
      </c>
      <c r="AT547" s="231">
        <v>0</v>
      </c>
      <c r="AU547" s="231">
        <v>0</v>
      </c>
      <c r="AV547" s="231"/>
      <c r="AW547" s="236">
        <v>0.98</v>
      </c>
      <c r="AX547" s="242">
        <v>0.9</v>
      </c>
      <c r="AY547" s="242">
        <v>0</v>
      </c>
      <c r="AZ547" s="242">
        <v>0</v>
      </c>
      <c r="BA547" s="242">
        <v>0</v>
      </c>
      <c r="BB547" s="242">
        <v>0</v>
      </c>
      <c r="BC547" s="242">
        <v>0</v>
      </c>
      <c r="BD547" s="242">
        <v>1.01</v>
      </c>
      <c r="BE547" s="231">
        <v>0</v>
      </c>
      <c r="BF547" s="242">
        <v>0</v>
      </c>
      <c r="BG547" s="242">
        <v>1.01</v>
      </c>
      <c r="BH547" s="242">
        <v>1.1299999999999999</v>
      </c>
      <c r="BI547" s="242">
        <v>0.97</v>
      </c>
      <c r="BJ547" s="242">
        <v>0.16</v>
      </c>
      <c r="BK547" s="242">
        <v>0</v>
      </c>
      <c r="BL547" s="242">
        <v>0</v>
      </c>
      <c r="BM547" s="242">
        <v>0</v>
      </c>
      <c r="BN547" s="242">
        <v>0</v>
      </c>
      <c r="BO547" s="231">
        <v>0</v>
      </c>
      <c r="BP547" s="231">
        <v>92</v>
      </c>
      <c r="BQ547" s="231"/>
      <c r="BR547" s="231"/>
      <c r="BS547" s="231"/>
      <c r="BT547" s="231"/>
      <c r="BU547" s="231"/>
      <c r="BV547" s="231"/>
      <c r="BW547" s="231"/>
      <c r="BX547" s="231"/>
      <c r="BY547" s="231"/>
      <c r="BZ547" s="231"/>
      <c r="CA547" s="231"/>
      <c r="CB547" s="231"/>
      <c r="CC547" s="231"/>
      <c r="CD547" s="231"/>
      <c r="CE547" s="231"/>
      <c r="CF547" s="231"/>
      <c r="CG547" s="231"/>
      <c r="CH547" s="231"/>
      <c r="CI547" s="231"/>
    </row>
    <row r="548" spans="1:87" ht="25.2" customHeight="1" outlineLevel="1">
      <c r="A548" s="204">
        <v>514</v>
      </c>
      <c r="B548" s="204">
        <v>13005</v>
      </c>
      <c r="C548" s="208" t="s">
        <v>717</v>
      </c>
      <c r="D548" s="194" t="s">
        <v>468</v>
      </c>
      <c r="E548" s="209">
        <f t="shared" si="67"/>
        <v>0</v>
      </c>
      <c r="F548" s="216">
        <v>1</v>
      </c>
      <c r="G548" s="217">
        <v>0</v>
      </c>
      <c r="H548" s="218">
        <v>0</v>
      </c>
      <c r="I548" s="230">
        <f t="shared" si="68"/>
        <v>0</v>
      </c>
      <c r="J548" s="216">
        <v>0</v>
      </c>
      <c r="K548" s="216">
        <v>99</v>
      </c>
      <c r="L548" s="233">
        <v>0</v>
      </c>
      <c r="M548" s="236">
        <v>150</v>
      </c>
      <c r="N548" s="236">
        <v>70</v>
      </c>
      <c r="O548" s="236">
        <v>0.81</v>
      </c>
      <c r="P548" s="236">
        <v>0</v>
      </c>
      <c r="Q548" s="236">
        <v>0</v>
      </c>
      <c r="R548" s="236">
        <v>0</v>
      </c>
      <c r="S548" s="236">
        <v>0</v>
      </c>
      <c r="T548" s="231">
        <v>38758</v>
      </c>
      <c r="U548" s="231">
        <v>4</v>
      </c>
      <c r="V548" s="231">
        <v>0</v>
      </c>
      <c r="W548" s="242">
        <v>0</v>
      </c>
      <c r="X548" s="232">
        <v>0</v>
      </c>
      <c r="Y548" s="231">
        <v>0</v>
      </c>
      <c r="Z548" s="231">
        <v>0</v>
      </c>
      <c r="AA548" s="236">
        <v>0</v>
      </c>
      <c r="AB548" s="236">
        <v>0</v>
      </c>
      <c r="AC548" s="236">
        <v>0</v>
      </c>
      <c r="AD548" s="236">
        <v>0</v>
      </c>
      <c r="AE548" s="236">
        <v>0</v>
      </c>
      <c r="AF548" s="236">
        <v>0</v>
      </c>
      <c r="AG548" s="236">
        <v>0</v>
      </c>
      <c r="AH548" s="240">
        <f t="shared" si="69"/>
        <v>0</v>
      </c>
      <c r="AI548" s="231">
        <f t="shared" si="70"/>
        <v>0</v>
      </c>
      <c r="AJ548" s="280">
        <v>0</v>
      </c>
      <c r="AK548" s="236">
        <v>0</v>
      </c>
      <c r="AL548" s="236">
        <v>0</v>
      </c>
      <c r="AM548" s="231">
        <v>0</v>
      </c>
      <c r="AN548" s="231">
        <v>0</v>
      </c>
      <c r="AO548" s="231">
        <v>0</v>
      </c>
      <c r="AP548" s="231">
        <v>0</v>
      </c>
      <c r="AQ548" s="231">
        <v>0</v>
      </c>
      <c r="AR548" s="231">
        <v>0</v>
      </c>
      <c r="AS548" s="231">
        <v>0</v>
      </c>
      <c r="AT548" s="231">
        <v>0</v>
      </c>
      <c r="AU548" s="231">
        <v>0</v>
      </c>
      <c r="AV548" s="231">
        <v>0</v>
      </c>
      <c r="AW548" s="231">
        <v>0</v>
      </c>
      <c r="AX548" s="231">
        <v>0</v>
      </c>
      <c r="AY548" s="231">
        <v>0</v>
      </c>
      <c r="AZ548" s="231">
        <v>0</v>
      </c>
      <c r="BA548" s="231">
        <v>0</v>
      </c>
      <c r="BB548" s="231">
        <v>0</v>
      </c>
      <c r="BC548" s="231">
        <v>0</v>
      </c>
      <c r="BD548" s="231">
        <v>0</v>
      </c>
      <c r="BE548" s="231">
        <v>0</v>
      </c>
      <c r="BF548" s="231">
        <v>0</v>
      </c>
      <c r="BG548" s="231">
        <v>0</v>
      </c>
      <c r="BH548" s="231">
        <v>0</v>
      </c>
      <c r="BI548" s="231">
        <v>0</v>
      </c>
      <c r="BJ548" s="231">
        <v>0</v>
      </c>
      <c r="BK548" s="231">
        <v>0</v>
      </c>
      <c r="BL548" s="231">
        <v>0</v>
      </c>
      <c r="BM548" s="231">
        <v>0</v>
      </c>
      <c r="BN548" s="231">
        <v>0</v>
      </c>
      <c r="BO548" s="231">
        <v>0</v>
      </c>
      <c r="BP548" s="231">
        <v>0</v>
      </c>
      <c r="BQ548" s="231">
        <v>0</v>
      </c>
      <c r="BR548" s="231">
        <v>0</v>
      </c>
      <c r="BS548" s="231">
        <v>0</v>
      </c>
      <c r="BT548" s="231">
        <v>0</v>
      </c>
      <c r="BU548" s="231">
        <v>0</v>
      </c>
      <c r="BV548" s="231">
        <v>0</v>
      </c>
      <c r="BW548" s="231">
        <v>0</v>
      </c>
      <c r="BX548" s="231">
        <v>0</v>
      </c>
      <c r="BY548" s="231">
        <v>0</v>
      </c>
      <c r="BZ548" s="231">
        <v>0</v>
      </c>
      <c r="CA548" s="231">
        <v>0</v>
      </c>
      <c r="CB548" s="231">
        <v>0</v>
      </c>
      <c r="CC548" s="231">
        <v>0</v>
      </c>
      <c r="CD548" s="231">
        <v>0</v>
      </c>
      <c r="CE548" s="231">
        <v>0</v>
      </c>
      <c r="CF548" s="231">
        <v>0</v>
      </c>
      <c r="CG548" s="231">
        <v>0</v>
      </c>
      <c r="CH548" s="231">
        <v>0</v>
      </c>
      <c r="CI548" s="231"/>
    </row>
    <row r="549" spans="1:87" ht="25.2" customHeight="1" outlineLevel="1">
      <c r="A549" s="204">
        <v>515</v>
      </c>
      <c r="B549" s="204">
        <v>13006</v>
      </c>
      <c r="C549" s="208" t="s">
        <v>718</v>
      </c>
      <c r="D549" s="194" t="s">
        <v>181</v>
      </c>
      <c r="E549" s="209">
        <f t="shared" si="67"/>
        <v>379.88</v>
      </c>
      <c r="F549" s="275">
        <v>11.36</v>
      </c>
      <c r="G549" s="270">
        <v>7.83</v>
      </c>
      <c r="H549" s="271">
        <v>9.8800000000000008</v>
      </c>
      <c r="I549" s="230">
        <f t="shared" si="68"/>
        <v>64.91</v>
      </c>
      <c r="J549" s="216">
        <v>21.1</v>
      </c>
      <c r="K549" s="216">
        <v>6.02</v>
      </c>
      <c r="L549" s="233">
        <v>3.21</v>
      </c>
      <c r="M549" s="216">
        <v>146</v>
      </c>
      <c r="N549" s="216">
        <v>284</v>
      </c>
      <c r="O549" s="216">
        <v>18.600000000000001</v>
      </c>
      <c r="P549" s="216">
        <v>25.9</v>
      </c>
      <c r="Q549" s="216">
        <v>0.03</v>
      </c>
      <c r="R549" s="216">
        <v>0.12</v>
      </c>
      <c r="S549" s="216">
        <v>2.2999999999999998</v>
      </c>
      <c r="T549" s="231">
        <v>38</v>
      </c>
      <c r="U549" s="231">
        <v>2525</v>
      </c>
      <c r="V549" s="231">
        <v>193</v>
      </c>
      <c r="W549" s="242">
        <v>7.8330000000000002</v>
      </c>
      <c r="X549" s="232">
        <v>4.3499999999999996</v>
      </c>
      <c r="Y549" s="231">
        <v>603</v>
      </c>
      <c r="Z549" s="231">
        <v>4.5</v>
      </c>
      <c r="AA549" s="241"/>
      <c r="AB549" s="241">
        <v>1.8</v>
      </c>
      <c r="AC549" s="240">
        <v>39</v>
      </c>
      <c r="AD549" s="240">
        <v>0</v>
      </c>
      <c r="AE549" s="233"/>
      <c r="AF549" s="233">
        <v>0</v>
      </c>
      <c r="AG549" s="240"/>
      <c r="AH549" s="240">
        <f t="shared" si="69"/>
        <v>0</v>
      </c>
      <c r="AI549" s="236">
        <f t="shared" si="70"/>
        <v>0</v>
      </c>
      <c r="AJ549" s="252"/>
      <c r="AK549" s="233">
        <v>3.1</v>
      </c>
      <c r="AL549" s="216">
        <v>13.4</v>
      </c>
      <c r="AM549" s="236">
        <v>0</v>
      </c>
      <c r="AN549" s="231">
        <v>0</v>
      </c>
      <c r="AO549" s="231">
        <v>0</v>
      </c>
      <c r="AP549" s="231">
        <v>0</v>
      </c>
      <c r="AQ549" s="231">
        <v>0</v>
      </c>
      <c r="AR549" s="231">
        <v>0</v>
      </c>
      <c r="AS549" s="231">
        <v>0</v>
      </c>
      <c r="AT549" s="231">
        <v>0</v>
      </c>
      <c r="AU549" s="231">
        <v>0</v>
      </c>
      <c r="AV549" s="231"/>
      <c r="AW549" s="236">
        <v>3.12</v>
      </c>
      <c r="AX549" s="242">
        <v>1.6930000000000001</v>
      </c>
      <c r="AY549" s="242">
        <v>0</v>
      </c>
      <c r="AZ549" s="242">
        <v>0.23200000000000001</v>
      </c>
      <c r="BA549" s="242">
        <v>0</v>
      </c>
      <c r="BB549" s="242">
        <v>0</v>
      </c>
      <c r="BC549" s="242">
        <v>0</v>
      </c>
      <c r="BD549" s="242">
        <v>1.66</v>
      </c>
      <c r="BE549" s="231">
        <v>0</v>
      </c>
      <c r="BF549" s="242">
        <v>0</v>
      </c>
      <c r="BG549" s="242">
        <v>1.66</v>
      </c>
      <c r="BH549" s="242">
        <v>2.1800000000000002</v>
      </c>
      <c r="BI549" s="242">
        <v>1.694</v>
      </c>
      <c r="BJ549" s="242">
        <v>0.48199999999999998</v>
      </c>
      <c r="BK549" s="242">
        <v>0</v>
      </c>
      <c r="BL549" s="242">
        <v>0</v>
      </c>
      <c r="BM549" s="242">
        <v>0</v>
      </c>
      <c r="BN549" s="242"/>
      <c r="BO549" s="231">
        <v>0</v>
      </c>
      <c r="BP549" s="231">
        <v>82</v>
      </c>
      <c r="BQ549" s="231"/>
      <c r="BR549" s="231"/>
      <c r="BS549" s="231"/>
      <c r="BT549" s="231"/>
      <c r="BU549" s="231"/>
      <c r="BV549" s="231"/>
      <c r="BW549" s="231"/>
      <c r="BX549" s="231"/>
      <c r="BY549" s="231"/>
      <c r="BZ549" s="231"/>
      <c r="CA549" s="231"/>
      <c r="CB549" s="231"/>
      <c r="CC549" s="231"/>
      <c r="CD549" s="231"/>
      <c r="CE549" s="231"/>
      <c r="CF549" s="231"/>
      <c r="CG549" s="231"/>
      <c r="CH549" s="231"/>
      <c r="CI549" s="231"/>
    </row>
    <row r="550" spans="1:87" ht="25.2" customHeight="1" outlineLevel="1">
      <c r="A550" s="204">
        <v>516</v>
      </c>
      <c r="B550" s="204">
        <v>13007</v>
      </c>
      <c r="C550" s="208" t="s">
        <v>719</v>
      </c>
      <c r="D550" s="194" t="s">
        <v>181</v>
      </c>
      <c r="E550" s="209">
        <f t="shared" si="67"/>
        <v>51.1</v>
      </c>
      <c r="F550" s="252">
        <v>86.7</v>
      </c>
      <c r="G550" s="217">
        <v>1.1000000000000001</v>
      </c>
      <c r="H550" s="218">
        <v>0.3</v>
      </c>
      <c r="I550" s="230">
        <f t="shared" si="68"/>
        <v>11</v>
      </c>
      <c r="J550" s="216">
        <v>6.5</v>
      </c>
      <c r="K550" s="216">
        <v>0.9</v>
      </c>
      <c r="L550" s="233"/>
      <c r="M550" s="216">
        <v>12</v>
      </c>
      <c r="N550" s="216">
        <v>22</v>
      </c>
      <c r="O550" s="216"/>
      <c r="P550" s="216">
        <v>7</v>
      </c>
      <c r="Q550" s="216">
        <v>4.2305956678700398E-3</v>
      </c>
      <c r="R550" s="216">
        <v>1.69223826714801E-2</v>
      </c>
      <c r="S550" s="216">
        <v>0.32434566787003599</v>
      </c>
      <c r="T550" s="240">
        <v>5.3587545126353797</v>
      </c>
      <c r="U550" s="240">
        <v>356.07513537906101</v>
      </c>
      <c r="V550" s="240">
        <v>27.216832129963901</v>
      </c>
      <c r="W550" s="241">
        <v>1.10460852888087</v>
      </c>
      <c r="X550" s="233">
        <v>0.61343637184115496</v>
      </c>
      <c r="Y550" s="240">
        <v>85.034972924187699</v>
      </c>
      <c r="Z550" s="216">
        <v>0.634589350180505</v>
      </c>
      <c r="AA550" s="216"/>
      <c r="AB550" s="241">
        <v>0.253835740072202</v>
      </c>
      <c r="AC550" s="240">
        <v>5.4997743682310496</v>
      </c>
      <c r="AD550" s="231"/>
      <c r="AE550" s="236"/>
      <c r="AF550" s="231"/>
      <c r="AG550" s="240"/>
      <c r="AH550" s="240">
        <f t="shared" si="69"/>
        <v>0</v>
      </c>
      <c r="AI550" s="231">
        <f t="shared" si="70"/>
        <v>0</v>
      </c>
      <c r="AJ550" s="252"/>
      <c r="AK550" s="233">
        <f>AK549*12.5/88.64</f>
        <v>0.43716155234657</v>
      </c>
      <c r="AL550" s="216">
        <f>AL549*12.5/88.64</f>
        <v>1.8896660649819501</v>
      </c>
      <c r="AM550" s="231">
        <v>0</v>
      </c>
      <c r="AN550" s="231">
        <v>0</v>
      </c>
      <c r="AO550" s="231">
        <v>0</v>
      </c>
      <c r="AP550" s="231">
        <v>0</v>
      </c>
      <c r="AQ550" s="231">
        <v>0</v>
      </c>
      <c r="AR550" s="231">
        <v>0</v>
      </c>
      <c r="AS550" s="231">
        <v>0</v>
      </c>
      <c r="AT550" s="231">
        <v>0</v>
      </c>
      <c r="AU550" s="231">
        <v>0</v>
      </c>
      <c r="AV550" s="231"/>
      <c r="AW550" s="231">
        <v>0.43894736842105297</v>
      </c>
      <c r="AX550" s="242">
        <v>0.23818522267206499</v>
      </c>
      <c r="AY550" s="242">
        <v>0</v>
      </c>
      <c r="AZ550" s="242">
        <v>3.26396761133603E-2</v>
      </c>
      <c r="BA550" s="242">
        <v>0</v>
      </c>
      <c r="BB550" s="242">
        <v>0</v>
      </c>
      <c r="BC550" s="242">
        <v>0</v>
      </c>
      <c r="BD550" s="242">
        <v>0.23354251012145699</v>
      </c>
      <c r="BE550" s="242">
        <v>0</v>
      </c>
      <c r="BF550" s="242">
        <v>0</v>
      </c>
      <c r="BG550" s="242">
        <v>0.23354251012145699</v>
      </c>
      <c r="BH550" s="242">
        <v>0.30670040485830002</v>
      </c>
      <c r="BI550" s="242">
        <v>0.238325910931174</v>
      </c>
      <c r="BJ550" s="242">
        <v>6.7811740890688199E-2</v>
      </c>
      <c r="BK550" s="242">
        <v>0</v>
      </c>
      <c r="BL550" s="242">
        <v>0</v>
      </c>
      <c r="BM550" s="242">
        <v>0</v>
      </c>
      <c r="BN550" s="242"/>
      <c r="BO550" s="231">
        <v>0</v>
      </c>
      <c r="BP550" s="231"/>
      <c r="BQ550" s="231"/>
      <c r="BR550" s="231"/>
      <c r="BS550" s="231"/>
      <c r="BT550" s="231"/>
      <c r="BU550" s="231"/>
      <c r="BV550" s="231"/>
      <c r="BW550" s="231"/>
      <c r="BX550" s="231"/>
      <c r="BY550" s="231"/>
      <c r="BZ550" s="231"/>
      <c r="CA550" s="231"/>
      <c r="CB550" s="231"/>
      <c r="CC550" s="231"/>
      <c r="CD550" s="231"/>
      <c r="CE550" s="231"/>
      <c r="CF550" s="231"/>
      <c r="CG550" s="231"/>
      <c r="CH550" s="231"/>
      <c r="CI550" s="231"/>
    </row>
    <row r="551" spans="1:87" ht="25.2" customHeight="1" outlineLevel="1">
      <c r="A551" s="204">
        <v>517</v>
      </c>
      <c r="B551" s="204">
        <v>13008</v>
      </c>
      <c r="C551" s="208" t="s">
        <v>720</v>
      </c>
      <c r="D551" s="194" t="s">
        <v>181</v>
      </c>
      <c r="E551" s="209">
        <f t="shared" si="67"/>
        <v>321.8</v>
      </c>
      <c r="F551" s="216">
        <v>12</v>
      </c>
      <c r="G551" s="217">
        <v>15.6</v>
      </c>
      <c r="H551" s="218">
        <v>4.2</v>
      </c>
      <c r="I551" s="230">
        <f t="shared" si="68"/>
        <v>55.4</v>
      </c>
      <c r="J551" s="216">
        <v>23.6</v>
      </c>
      <c r="K551" s="216">
        <v>12.8</v>
      </c>
      <c r="L551" s="233"/>
      <c r="M551" s="216">
        <v>85</v>
      </c>
      <c r="N551" s="216">
        <v>380</v>
      </c>
      <c r="O551" s="216">
        <v>17</v>
      </c>
      <c r="P551" s="216">
        <v>0</v>
      </c>
      <c r="Q551" s="216">
        <v>0.61</v>
      </c>
      <c r="R551" s="216">
        <v>0.9</v>
      </c>
      <c r="S551" s="216">
        <v>8.1</v>
      </c>
      <c r="T551" s="231"/>
      <c r="U551" s="231"/>
      <c r="V551" s="231"/>
      <c r="W551" s="242"/>
      <c r="X551" s="232"/>
      <c r="Y551" s="231"/>
      <c r="Z551" s="231"/>
      <c r="AA551" s="241"/>
      <c r="AB551" s="241"/>
      <c r="AC551" s="240"/>
      <c r="AD551" s="240"/>
      <c r="AE551" s="233"/>
      <c r="AF551" s="233"/>
      <c r="AG551" s="240"/>
      <c r="AH551" s="240">
        <f t="shared" si="69"/>
        <v>0</v>
      </c>
      <c r="AI551" s="236">
        <f t="shared" si="70"/>
        <v>703.5</v>
      </c>
      <c r="AJ551" s="252"/>
      <c r="AK551" s="233"/>
      <c r="AL551" s="216"/>
      <c r="AM551" s="236">
        <v>8442</v>
      </c>
      <c r="AN551" s="231"/>
      <c r="AO551" s="231"/>
      <c r="AP551" s="231"/>
      <c r="AQ551" s="231"/>
      <c r="AR551" s="231">
        <v>0</v>
      </c>
      <c r="AS551" s="231">
        <v>0</v>
      </c>
      <c r="AT551" s="231">
        <v>0</v>
      </c>
      <c r="AU551" s="231">
        <v>0</v>
      </c>
      <c r="AV551" s="231"/>
      <c r="AW551" s="236"/>
      <c r="AX551" s="242"/>
      <c r="AY551" s="242"/>
      <c r="AZ551" s="242"/>
      <c r="BA551" s="242"/>
      <c r="BB551" s="242"/>
      <c r="BC551" s="242"/>
      <c r="BD551" s="242"/>
      <c r="BE551" s="231"/>
      <c r="BF551" s="242"/>
      <c r="BG551" s="242"/>
      <c r="BH551" s="242"/>
      <c r="BI551" s="242"/>
      <c r="BJ551" s="242"/>
      <c r="BK551" s="242"/>
      <c r="BL551" s="242"/>
      <c r="BM551" s="242"/>
      <c r="BN551" s="242"/>
      <c r="BO551" s="231">
        <v>0</v>
      </c>
      <c r="BP551" s="231"/>
      <c r="BQ551" s="231"/>
      <c r="BR551" s="231"/>
      <c r="BS551" s="231"/>
      <c r="BT551" s="231"/>
      <c r="BU551" s="231"/>
      <c r="BV551" s="231"/>
      <c r="BW551" s="231"/>
      <c r="BX551" s="231"/>
      <c r="BY551" s="231"/>
      <c r="BZ551" s="231"/>
      <c r="CA551" s="231"/>
      <c r="CB551" s="231"/>
      <c r="CC551" s="231"/>
      <c r="CD551" s="231"/>
      <c r="CE551" s="231"/>
      <c r="CF551" s="231"/>
      <c r="CG551" s="231"/>
      <c r="CH551" s="231"/>
      <c r="CI551" s="231"/>
    </row>
    <row r="552" spans="1:87" ht="25.2" customHeight="1" outlineLevel="1">
      <c r="A552" s="204">
        <v>518</v>
      </c>
      <c r="B552" s="204">
        <v>13009</v>
      </c>
      <c r="C552" s="208" t="s">
        <v>721</v>
      </c>
      <c r="D552" s="194" t="s">
        <v>181</v>
      </c>
      <c r="E552" s="209">
        <f t="shared" si="67"/>
        <v>26</v>
      </c>
      <c r="F552" s="216">
        <v>91.7</v>
      </c>
      <c r="G552" s="217">
        <v>0.3</v>
      </c>
      <c r="H552" s="218"/>
      <c r="I552" s="230">
        <f t="shared" si="68"/>
        <v>6.2</v>
      </c>
      <c r="J552" s="216">
        <v>3.7</v>
      </c>
      <c r="K552" s="216">
        <v>1.8</v>
      </c>
      <c r="L552" s="233"/>
      <c r="M552" s="236">
        <v>24</v>
      </c>
      <c r="N552" s="236">
        <v>28</v>
      </c>
      <c r="O552" s="236"/>
      <c r="P552" s="236">
        <v>0</v>
      </c>
      <c r="Q552" s="236"/>
      <c r="R552" s="236"/>
      <c r="S552" s="236"/>
      <c r="T552" s="231"/>
      <c r="U552" s="231"/>
      <c r="V552" s="231"/>
      <c r="W552" s="242"/>
      <c r="X552" s="232"/>
      <c r="Y552" s="231"/>
      <c r="Z552" s="231"/>
      <c r="AA552" s="241"/>
      <c r="AB552" s="241"/>
      <c r="AC552" s="240"/>
      <c r="AD552" s="240"/>
      <c r="AE552" s="236"/>
      <c r="AF552" s="236"/>
      <c r="AG552" s="240"/>
      <c r="AH552" s="240">
        <f t="shared" si="69"/>
        <v>0</v>
      </c>
      <c r="AI552" s="231">
        <f t="shared" si="70"/>
        <v>0</v>
      </c>
      <c r="AJ552" s="252"/>
      <c r="AK552" s="233"/>
      <c r="AL552" s="216"/>
      <c r="AM552" s="231">
        <v>0</v>
      </c>
      <c r="AN552" s="231">
        <v>0</v>
      </c>
      <c r="AO552" s="231">
        <v>0</v>
      </c>
      <c r="AP552" s="231">
        <v>0</v>
      </c>
      <c r="AQ552" s="231">
        <v>0</v>
      </c>
      <c r="AR552" s="231">
        <v>0</v>
      </c>
      <c r="AS552" s="231">
        <v>0</v>
      </c>
      <c r="AT552" s="231">
        <v>0</v>
      </c>
      <c r="AU552" s="231">
        <v>0</v>
      </c>
      <c r="AV552" s="231"/>
      <c r="AW552" s="231"/>
      <c r="AX552" s="242"/>
      <c r="AY552" s="242"/>
      <c r="AZ552" s="242"/>
      <c r="BA552" s="242"/>
      <c r="BB552" s="242"/>
      <c r="BC552" s="242"/>
      <c r="BD552" s="242"/>
      <c r="BE552" s="231"/>
      <c r="BF552" s="242"/>
      <c r="BG552" s="242"/>
      <c r="BH552" s="242"/>
      <c r="BI552" s="242"/>
      <c r="BJ552" s="242"/>
      <c r="BK552" s="242"/>
      <c r="BL552" s="242"/>
      <c r="BM552" s="242"/>
      <c r="BN552" s="242"/>
      <c r="BO552" s="231">
        <v>0</v>
      </c>
      <c r="BP552" s="231"/>
      <c r="BQ552" s="231"/>
      <c r="BR552" s="231"/>
      <c r="BS552" s="231"/>
      <c r="BT552" s="231"/>
      <c r="BU552" s="231"/>
      <c r="BV552" s="231"/>
      <c r="BW552" s="231"/>
      <c r="BX552" s="231"/>
      <c r="BY552" s="231"/>
      <c r="BZ552" s="231"/>
      <c r="CA552" s="231"/>
      <c r="CB552" s="231"/>
      <c r="CC552" s="231"/>
      <c r="CD552" s="231"/>
      <c r="CE552" s="231"/>
      <c r="CF552" s="231"/>
      <c r="CG552" s="231"/>
      <c r="CH552" s="231"/>
      <c r="CI552" s="231"/>
    </row>
    <row r="553" spans="1:87" ht="25.2" customHeight="1" outlineLevel="1">
      <c r="A553" s="204">
        <v>519</v>
      </c>
      <c r="B553" s="204">
        <v>13010</v>
      </c>
      <c r="C553" s="208" t="s">
        <v>722</v>
      </c>
      <c r="D553" s="194"/>
      <c r="E553" s="209">
        <f t="shared" si="67"/>
        <v>65.3</v>
      </c>
      <c r="F553" s="216">
        <v>66</v>
      </c>
      <c r="G553" s="217">
        <v>10</v>
      </c>
      <c r="H553" s="218">
        <v>0.1</v>
      </c>
      <c r="I553" s="230">
        <f t="shared" si="68"/>
        <v>6.1000000000000103</v>
      </c>
      <c r="J553" s="216">
        <v>0</v>
      </c>
      <c r="K553" s="216">
        <v>17.8</v>
      </c>
      <c r="L553" s="233">
        <v>1.7</v>
      </c>
      <c r="M553" s="236">
        <v>20</v>
      </c>
      <c r="N553" s="236">
        <v>130</v>
      </c>
      <c r="O553" s="236">
        <v>2.38</v>
      </c>
      <c r="P553" s="236">
        <v>0</v>
      </c>
      <c r="Q553" s="236">
        <v>5.8999999999999997E-2</v>
      </c>
      <c r="R553" s="236">
        <v>0.152</v>
      </c>
      <c r="S553" s="236">
        <v>3.9510000000000001</v>
      </c>
      <c r="T553" s="231">
        <v>5586</v>
      </c>
      <c r="U553" s="231">
        <v>212</v>
      </c>
      <c r="V553" s="231">
        <v>40</v>
      </c>
      <c r="W553" s="242">
        <v>0.499</v>
      </c>
      <c r="X553" s="232">
        <v>0.43</v>
      </c>
      <c r="Y553" s="231">
        <v>135</v>
      </c>
      <c r="Z553" s="231">
        <v>0.8</v>
      </c>
      <c r="AA553" s="241">
        <v>0.376</v>
      </c>
      <c r="AB553" s="241">
        <v>0.2</v>
      </c>
      <c r="AC553" s="240">
        <v>18</v>
      </c>
      <c r="AD553" s="240">
        <v>0</v>
      </c>
      <c r="AE553" s="236"/>
      <c r="AF553" s="236">
        <v>0</v>
      </c>
      <c r="AG553" s="240">
        <v>0</v>
      </c>
      <c r="AH553" s="240">
        <f t="shared" si="69"/>
        <v>0</v>
      </c>
      <c r="AI553" s="236">
        <f t="shared" si="70"/>
        <v>0</v>
      </c>
      <c r="AJ553" s="252">
        <v>0</v>
      </c>
      <c r="AK553" s="233">
        <v>0</v>
      </c>
      <c r="AL553" s="216">
        <v>0</v>
      </c>
      <c r="AM553" s="236">
        <v>0</v>
      </c>
      <c r="AN553" s="236">
        <v>0</v>
      </c>
      <c r="AO553" s="236">
        <v>0</v>
      </c>
      <c r="AP553" s="236">
        <v>0</v>
      </c>
      <c r="AQ553" s="236">
        <v>0</v>
      </c>
      <c r="AR553" s="236">
        <v>0</v>
      </c>
      <c r="AS553" s="236">
        <v>0</v>
      </c>
      <c r="AT553" s="236">
        <v>0</v>
      </c>
      <c r="AU553" s="236">
        <v>0</v>
      </c>
      <c r="AV553" s="231"/>
      <c r="AW553" s="236">
        <v>1.0999999999999999E-2</v>
      </c>
      <c r="AX553" s="242">
        <v>8.0000000000000002E-3</v>
      </c>
      <c r="AY553" s="242">
        <v>0</v>
      </c>
      <c r="AZ553" s="242">
        <v>3.0000000000000001E-3</v>
      </c>
      <c r="BA553" s="242">
        <v>0</v>
      </c>
      <c r="BB553" s="242">
        <v>0</v>
      </c>
      <c r="BC553" s="242">
        <v>0</v>
      </c>
      <c r="BD553" s="242">
        <v>1.7000000000000001E-2</v>
      </c>
      <c r="BE553" s="231">
        <v>0</v>
      </c>
      <c r="BF553" s="242">
        <v>0</v>
      </c>
      <c r="BG553" s="242">
        <v>1.7000000000000001E-2</v>
      </c>
      <c r="BH553" s="242">
        <v>4.3999999999999997E-2</v>
      </c>
      <c r="BI553" s="242">
        <v>3.9E-2</v>
      </c>
      <c r="BJ553" s="242">
        <v>5.0000000000000001E-3</v>
      </c>
      <c r="BK553" s="242">
        <v>0</v>
      </c>
      <c r="BL553" s="242">
        <v>0</v>
      </c>
      <c r="BM553" s="242">
        <v>0</v>
      </c>
      <c r="BN553" s="242"/>
      <c r="BO553" s="231">
        <v>0</v>
      </c>
      <c r="BP553" s="231"/>
      <c r="BQ553" s="231">
        <v>731</v>
      </c>
      <c r="BR553" s="231">
        <v>167</v>
      </c>
      <c r="BS553" s="231">
        <v>181</v>
      </c>
      <c r="BT553" s="231">
        <v>534</v>
      </c>
      <c r="BU553" s="231">
        <v>407</v>
      </c>
      <c r="BV553" s="231">
        <v>524</v>
      </c>
      <c r="BW553" s="231">
        <v>735</v>
      </c>
      <c r="BX553" s="231">
        <v>487</v>
      </c>
      <c r="BY553" s="231">
        <v>405</v>
      </c>
      <c r="BZ553" s="231">
        <v>215</v>
      </c>
      <c r="CA553" s="231">
        <v>107</v>
      </c>
      <c r="CB553" s="231">
        <v>342</v>
      </c>
      <c r="CC553" s="231">
        <v>536</v>
      </c>
      <c r="CD553" s="231">
        <v>882</v>
      </c>
      <c r="CE553" s="231">
        <v>2411</v>
      </c>
      <c r="CF553" s="231">
        <v>435</v>
      </c>
      <c r="CG553" s="231">
        <v>806</v>
      </c>
      <c r="CH553" s="231">
        <v>483</v>
      </c>
      <c r="CI553" s="231"/>
    </row>
    <row r="554" spans="1:87" ht="25.2" customHeight="1" outlineLevel="1">
      <c r="A554" s="204">
        <v>520</v>
      </c>
      <c r="B554" s="204">
        <v>13011</v>
      </c>
      <c r="C554" s="208" t="s">
        <v>723</v>
      </c>
      <c r="D554" s="194" t="s">
        <v>468</v>
      </c>
      <c r="E554" s="209">
        <f t="shared" si="67"/>
        <v>72.7</v>
      </c>
      <c r="F554" s="216">
        <v>48</v>
      </c>
      <c r="G554" s="217">
        <v>14.8</v>
      </c>
      <c r="H554" s="218">
        <v>1.5</v>
      </c>
      <c r="I554" s="230">
        <f t="shared" si="68"/>
        <v>0</v>
      </c>
      <c r="J554" s="216" t="s">
        <v>247</v>
      </c>
      <c r="K554" s="216">
        <v>35.700000000000003</v>
      </c>
      <c r="L554" s="233">
        <v>0</v>
      </c>
      <c r="M554" s="236">
        <v>646</v>
      </c>
      <c r="N554" s="236"/>
      <c r="O554" s="236"/>
      <c r="P554" s="236">
        <v>0</v>
      </c>
      <c r="Q554" s="236"/>
      <c r="R554" s="236"/>
      <c r="S554" s="236"/>
      <c r="T554" s="231">
        <v>4054</v>
      </c>
      <c r="U554" s="231">
        <v>333</v>
      </c>
      <c r="V554" s="231">
        <v>321</v>
      </c>
      <c r="W554" s="242"/>
      <c r="X554" s="232"/>
      <c r="Y554" s="231"/>
      <c r="Z554" s="231"/>
      <c r="AA554" s="241"/>
      <c r="AB554" s="241"/>
      <c r="AC554" s="240"/>
      <c r="AD554" s="240"/>
      <c r="AE554" s="236"/>
      <c r="AF554" s="236"/>
      <c r="AG554" s="240"/>
      <c r="AH554" s="240">
        <f t="shared" si="69"/>
        <v>0</v>
      </c>
      <c r="AI554" s="231">
        <f t="shared" si="70"/>
        <v>0</v>
      </c>
      <c r="AJ554" s="252"/>
      <c r="AK554" s="233"/>
      <c r="AL554" s="216"/>
      <c r="AM554" s="231">
        <v>0</v>
      </c>
      <c r="AN554" s="231">
        <v>0</v>
      </c>
      <c r="AO554" s="231">
        <v>0</v>
      </c>
      <c r="AP554" s="231">
        <v>0</v>
      </c>
      <c r="AQ554" s="231">
        <v>0</v>
      </c>
      <c r="AR554" s="231">
        <v>0</v>
      </c>
      <c r="AS554" s="231">
        <v>0</v>
      </c>
      <c r="AT554" s="231">
        <v>0</v>
      </c>
      <c r="AU554" s="231">
        <v>0</v>
      </c>
      <c r="AV554" s="231"/>
      <c r="AW554" s="231"/>
      <c r="AX554" s="242"/>
      <c r="AY554" s="242"/>
      <c r="AZ554" s="242"/>
      <c r="BA554" s="242"/>
      <c r="BB554" s="242"/>
      <c r="BC554" s="242"/>
      <c r="BD554" s="242"/>
      <c r="BE554" s="231"/>
      <c r="BF554" s="242"/>
      <c r="BG554" s="242"/>
      <c r="BH554" s="242"/>
      <c r="BI554" s="242"/>
      <c r="BJ554" s="242"/>
      <c r="BK554" s="242"/>
      <c r="BL554" s="242"/>
      <c r="BM554" s="242"/>
      <c r="BN554" s="242"/>
      <c r="BO554" s="231"/>
      <c r="BP554" s="231"/>
      <c r="BQ554" s="231"/>
      <c r="BR554" s="231"/>
      <c r="BS554" s="231"/>
      <c r="BT554" s="231"/>
      <c r="BU554" s="231"/>
      <c r="BV554" s="231"/>
      <c r="BW554" s="231"/>
      <c r="BX554" s="231"/>
      <c r="BY554" s="231"/>
      <c r="BZ554" s="231"/>
      <c r="CA554" s="231"/>
      <c r="CB554" s="231"/>
      <c r="CC554" s="231"/>
      <c r="CD554" s="231"/>
      <c r="CE554" s="231"/>
      <c r="CF554" s="231"/>
      <c r="CG554" s="231"/>
      <c r="CH554" s="231"/>
      <c r="CI554" s="231"/>
    </row>
    <row r="555" spans="1:87" ht="25.2" customHeight="1" outlineLevel="1">
      <c r="A555" s="204">
        <v>521</v>
      </c>
      <c r="B555" s="204">
        <v>13012</v>
      </c>
      <c r="C555" s="208" t="s">
        <v>724</v>
      </c>
      <c r="D555" s="194" t="s">
        <v>468</v>
      </c>
      <c r="E555" s="209">
        <f t="shared" si="67"/>
        <v>43.6</v>
      </c>
      <c r="F555" s="216">
        <v>68.599999999999994</v>
      </c>
      <c r="G555" s="217">
        <v>7</v>
      </c>
      <c r="H555" s="218">
        <v>0.8</v>
      </c>
      <c r="I555" s="230">
        <f t="shared" si="68"/>
        <v>2.1000000000000099</v>
      </c>
      <c r="J555" s="216" t="s">
        <v>247</v>
      </c>
      <c r="K555" s="216">
        <v>21.5</v>
      </c>
      <c r="L555" s="233">
        <v>0</v>
      </c>
      <c r="M555" s="236">
        <v>645</v>
      </c>
      <c r="N555" s="236">
        <v>225.6</v>
      </c>
      <c r="O555" s="236"/>
      <c r="P555" s="236">
        <v>0</v>
      </c>
      <c r="Q555" s="236"/>
      <c r="R555" s="236"/>
      <c r="S555" s="236"/>
      <c r="T555" s="231"/>
      <c r="U555" s="231"/>
      <c r="V555" s="231"/>
      <c r="W555" s="242"/>
      <c r="X555" s="232"/>
      <c r="Y555" s="231"/>
      <c r="Z555" s="231"/>
      <c r="AA555" s="241"/>
      <c r="AB555" s="241"/>
      <c r="AC555" s="240"/>
      <c r="AD555" s="240"/>
      <c r="AE555" s="236"/>
      <c r="AF555" s="236"/>
      <c r="AG555" s="240"/>
      <c r="AH555" s="240">
        <f t="shared" si="69"/>
        <v>0</v>
      </c>
      <c r="AI555" s="231">
        <f t="shared" si="70"/>
        <v>0</v>
      </c>
      <c r="AJ555" s="252"/>
      <c r="AK555" s="233"/>
      <c r="AL555" s="216"/>
      <c r="AM555" s="231">
        <v>0</v>
      </c>
      <c r="AN555" s="231">
        <v>0</v>
      </c>
      <c r="AO555" s="231">
        <v>0</v>
      </c>
      <c r="AP555" s="231">
        <v>0</v>
      </c>
      <c r="AQ555" s="231">
        <v>0</v>
      </c>
      <c r="AR555" s="231">
        <v>0</v>
      </c>
      <c r="AS555" s="231">
        <v>0</v>
      </c>
      <c r="AT555" s="231">
        <v>0</v>
      </c>
      <c r="AU555" s="231">
        <v>0</v>
      </c>
      <c r="AV555" s="231"/>
      <c r="AW555" s="231"/>
      <c r="AX555" s="242"/>
      <c r="AY555" s="242"/>
      <c r="AZ555" s="242"/>
      <c r="BA555" s="242"/>
      <c r="BB555" s="242"/>
      <c r="BC555" s="242"/>
      <c r="BD555" s="242"/>
      <c r="BE555" s="231"/>
      <c r="BF555" s="242"/>
      <c r="BG555" s="242"/>
      <c r="BH555" s="242"/>
      <c r="BI555" s="242"/>
      <c r="BJ555" s="242"/>
      <c r="BK555" s="242"/>
      <c r="BL555" s="242"/>
      <c r="BM555" s="242"/>
      <c r="BN555" s="242"/>
      <c r="BO555" s="231"/>
      <c r="BP555" s="231"/>
      <c r="BQ555" s="231"/>
      <c r="BR555" s="231"/>
      <c r="BS555" s="231"/>
      <c r="BT555" s="231"/>
      <c r="BU555" s="231"/>
      <c r="BV555" s="231"/>
      <c r="BW555" s="231"/>
      <c r="BX555" s="231"/>
      <c r="BY555" s="231"/>
      <c r="BZ555" s="231"/>
      <c r="CA555" s="231"/>
      <c r="CB555" s="231"/>
      <c r="CC555" s="231"/>
      <c r="CD555" s="231"/>
      <c r="CE555" s="231"/>
      <c r="CF555" s="231"/>
      <c r="CG555" s="231"/>
      <c r="CH555" s="231"/>
      <c r="CI555" s="231"/>
    </row>
    <row r="556" spans="1:87" ht="25.2" customHeight="1" outlineLevel="1">
      <c r="A556" s="204">
        <v>522</v>
      </c>
      <c r="B556" s="204">
        <v>13013</v>
      </c>
      <c r="C556" s="208" t="s">
        <v>725</v>
      </c>
      <c r="D556" s="194" t="s">
        <v>468</v>
      </c>
      <c r="E556" s="209">
        <f t="shared" si="67"/>
        <v>67.599999999999994</v>
      </c>
      <c r="F556" s="216">
        <v>55.5</v>
      </c>
      <c r="G556" s="217">
        <v>8.6999999999999993</v>
      </c>
      <c r="H556" s="218">
        <v>1.2</v>
      </c>
      <c r="I556" s="230">
        <f t="shared" si="68"/>
        <v>5.5</v>
      </c>
      <c r="J556" s="216" t="s">
        <v>247</v>
      </c>
      <c r="K556" s="216">
        <v>29.1</v>
      </c>
      <c r="L556" s="233">
        <v>0</v>
      </c>
      <c r="M556" s="236">
        <v>586</v>
      </c>
      <c r="N556" s="236"/>
      <c r="O556" s="236"/>
      <c r="P556" s="236">
        <v>0</v>
      </c>
      <c r="Q556" s="236"/>
      <c r="R556" s="236"/>
      <c r="S556" s="236"/>
      <c r="T556" s="231">
        <v>1087</v>
      </c>
      <c r="U556" s="231">
        <v>104</v>
      </c>
      <c r="V556" s="231">
        <v>121</v>
      </c>
      <c r="W556" s="242"/>
      <c r="X556" s="232"/>
      <c r="Y556" s="231"/>
      <c r="Z556" s="231"/>
      <c r="AA556" s="241"/>
      <c r="AB556" s="241"/>
      <c r="AC556" s="240"/>
      <c r="AD556" s="240"/>
      <c r="AE556" s="236"/>
      <c r="AF556" s="236"/>
      <c r="AG556" s="240"/>
      <c r="AH556" s="240">
        <f t="shared" si="69"/>
        <v>0</v>
      </c>
      <c r="AI556" s="231">
        <f t="shared" si="70"/>
        <v>0</v>
      </c>
      <c r="AJ556" s="252"/>
      <c r="AK556" s="233"/>
      <c r="AL556" s="216"/>
      <c r="AM556" s="231">
        <v>0</v>
      </c>
      <c r="AN556" s="231">
        <v>0</v>
      </c>
      <c r="AO556" s="231">
        <v>0</v>
      </c>
      <c r="AP556" s="231">
        <v>0</v>
      </c>
      <c r="AQ556" s="231">
        <v>0</v>
      </c>
      <c r="AR556" s="231">
        <v>0</v>
      </c>
      <c r="AS556" s="231">
        <v>0</v>
      </c>
      <c r="AT556" s="231">
        <v>0</v>
      </c>
      <c r="AU556" s="231">
        <v>0</v>
      </c>
      <c r="AV556" s="231"/>
      <c r="AW556" s="231"/>
      <c r="AX556" s="242"/>
      <c r="AY556" s="242"/>
      <c r="AZ556" s="242"/>
      <c r="BA556" s="242"/>
      <c r="BB556" s="242"/>
      <c r="BC556" s="242"/>
      <c r="BD556" s="242"/>
      <c r="BE556" s="231"/>
      <c r="BF556" s="242"/>
      <c r="BG556" s="242"/>
      <c r="BH556" s="242"/>
      <c r="BI556" s="242"/>
      <c r="BJ556" s="242"/>
      <c r="BK556" s="242"/>
      <c r="BL556" s="242"/>
      <c r="BM556" s="242"/>
      <c r="BN556" s="242"/>
      <c r="BO556" s="231"/>
      <c r="BP556" s="231"/>
      <c r="BQ556" s="231"/>
      <c r="BR556" s="231"/>
      <c r="BS556" s="231"/>
      <c r="BT556" s="231"/>
      <c r="BU556" s="231"/>
      <c r="BV556" s="231"/>
      <c r="BW556" s="231"/>
      <c r="BX556" s="231"/>
      <c r="BY556" s="231"/>
      <c r="BZ556" s="231"/>
      <c r="CA556" s="231"/>
      <c r="CB556" s="231"/>
      <c r="CC556" s="231"/>
      <c r="CD556" s="231"/>
      <c r="CE556" s="231"/>
      <c r="CF556" s="231"/>
      <c r="CG556" s="231"/>
      <c r="CH556" s="231"/>
      <c r="CI556" s="231"/>
    </row>
    <row r="557" spans="1:87" ht="25.2" customHeight="1" outlineLevel="1">
      <c r="A557" s="204">
        <v>523</v>
      </c>
      <c r="B557" s="204">
        <v>13014</v>
      </c>
      <c r="C557" s="208" t="s">
        <v>726</v>
      </c>
      <c r="D557" s="194" t="s">
        <v>468</v>
      </c>
      <c r="E557" s="209">
        <f t="shared" si="67"/>
        <v>60</v>
      </c>
      <c r="F557" s="216">
        <v>60</v>
      </c>
      <c r="G557" s="217">
        <v>15</v>
      </c>
      <c r="H557" s="218">
        <v>0</v>
      </c>
      <c r="I557" s="230">
        <f t="shared" si="68"/>
        <v>0</v>
      </c>
      <c r="J557" s="216" t="s">
        <v>247</v>
      </c>
      <c r="K557" s="216">
        <v>25</v>
      </c>
      <c r="L557" s="233">
        <v>0</v>
      </c>
      <c r="M557" s="236">
        <v>386.7</v>
      </c>
      <c r="N557" s="236">
        <v>246.7</v>
      </c>
      <c r="O557" s="236">
        <v>2.7</v>
      </c>
      <c r="P557" s="236">
        <v>0</v>
      </c>
      <c r="Q557" s="236">
        <v>0.09</v>
      </c>
      <c r="R557" s="236">
        <v>0.86</v>
      </c>
      <c r="S557" s="236"/>
      <c r="T557" s="231"/>
      <c r="U557" s="231"/>
      <c r="V557" s="231"/>
      <c r="W557" s="242"/>
      <c r="X557" s="232"/>
      <c r="Y557" s="231"/>
      <c r="Z557" s="231"/>
      <c r="AA557" s="241"/>
      <c r="AB557" s="241"/>
      <c r="AC557" s="240"/>
      <c r="AD557" s="240"/>
      <c r="AE557" s="233"/>
      <c r="AF557" s="233"/>
      <c r="AG557" s="240"/>
      <c r="AH557" s="240">
        <f t="shared" si="69"/>
        <v>0</v>
      </c>
      <c r="AI557" s="231">
        <f t="shared" si="70"/>
        <v>0</v>
      </c>
      <c r="AJ557" s="252"/>
      <c r="AK557" s="233"/>
      <c r="AL557" s="216"/>
      <c r="AM557" s="231">
        <v>0</v>
      </c>
      <c r="AN557" s="231">
        <v>0</v>
      </c>
      <c r="AO557" s="231">
        <v>0</v>
      </c>
      <c r="AP557" s="231">
        <v>0</v>
      </c>
      <c r="AQ557" s="231">
        <v>0</v>
      </c>
      <c r="AR557" s="231">
        <v>0</v>
      </c>
      <c r="AS557" s="231">
        <v>0</v>
      </c>
      <c r="AT557" s="231">
        <v>0</v>
      </c>
      <c r="AU557" s="231">
        <v>0</v>
      </c>
      <c r="AV557" s="231"/>
      <c r="AW557" s="231"/>
      <c r="AX557" s="242"/>
      <c r="AY557" s="242"/>
      <c r="AZ557" s="242"/>
      <c r="BA557" s="242"/>
      <c r="BB557" s="242"/>
      <c r="BC557" s="242"/>
      <c r="BD557" s="242"/>
      <c r="BE557" s="231"/>
      <c r="BF557" s="242"/>
      <c r="BG557" s="242"/>
      <c r="BH557" s="242"/>
      <c r="BI557" s="242"/>
      <c r="BJ557" s="242"/>
      <c r="BK557" s="242"/>
      <c r="BL557" s="242"/>
      <c r="BM557" s="242"/>
      <c r="BN557" s="242"/>
      <c r="BO557" s="231"/>
      <c r="BP557" s="231"/>
      <c r="BQ557" s="231"/>
      <c r="BR557" s="231"/>
      <c r="BS557" s="231"/>
      <c r="BT557" s="231"/>
      <c r="BU557" s="231"/>
      <c r="BV557" s="231"/>
      <c r="BW557" s="231"/>
      <c r="BX557" s="231"/>
      <c r="BY557" s="231"/>
      <c r="BZ557" s="231"/>
      <c r="CA557" s="231"/>
      <c r="CB557" s="231"/>
      <c r="CC557" s="231"/>
      <c r="CD557" s="231"/>
      <c r="CE557" s="231"/>
      <c r="CF557" s="231"/>
      <c r="CG557" s="231"/>
      <c r="CH557" s="231"/>
      <c r="CI557" s="231"/>
    </row>
    <row r="558" spans="1:87" ht="25.2" customHeight="1" outlineLevel="1">
      <c r="A558" s="204">
        <v>524</v>
      </c>
      <c r="B558" s="204">
        <v>13015</v>
      </c>
      <c r="C558" s="208" t="s">
        <v>727</v>
      </c>
      <c r="D558" s="194" t="s">
        <v>468</v>
      </c>
      <c r="E558" s="209">
        <f t="shared" si="67"/>
        <v>28.4</v>
      </c>
      <c r="F558" s="216">
        <v>67.900000000000006</v>
      </c>
      <c r="G558" s="217">
        <v>7.1</v>
      </c>
      <c r="H558" s="218">
        <v>0</v>
      </c>
      <c r="I558" s="230">
        <f t="shared" si="68"/>
        <v>0</v>
      </c>
      <c r="J558" s="216">
        <v>0</v>
      </c>
      <c r="K558" s="216">
        <v>25</v>
      </c>
      <c r="L558" s="233"/>
      <c r="M558" s="236">
        <v>386.7</v>
      </c>
      <c r="N558" s="236">
        <v>246.7</v>
      </c>
      <c r="O558" s="236">
        <v>2.7</v>
      </c>
      <c r="P558" s="236">
        <v>0</v>
      </c>
      <c r="Q558" s="236">
        <v>0.03</v>
      </c>
      <c r="R558" s="236">
        <v>0.27</v>
      </c>
      <c r="S558" s="236"/>
      <c r="T558" s="231"/>
      <c r="U558" s="231"/>
      <c r="V558" s="231"/>
      <c r="W558" s="242"/>
      <c r="X558" s="232"/>
      <c r="Y558" s="231"/>
      <c r="Z558" s="231"/>
      <c r="AA558" s="241"/>
      <c r="AB558" s="241"/>
      <c r="AC558" s="240"/>
      <c r="AD558" s="240"/>
      <c r="AE558" s="233"/>
      <c r="AF558" s="233"/>
      <c r="AG558" s="240"/>
      <c r="AH558" s="240">
        <f t="shared" si="69"/>
        <v>0</v>
      </c>
      <c r="AI558" s="231">
        <f t="shared" si="70"/>
        <v>0</v>
      </c>
      <c r="AJ558" s="252"/>
      <c r="AK558" s="233"/>
      <c r="AL558" s="216"/>
      <c r="AM558" s="231"/>
      <c r="AN558" s="231"/>
      <c r="AO558" s="231"/>
      <c r="AP558" s="231"/>
      <c r="AQ558" s="231"/>
      <c r="AR558" s="231"/>
      <c r="AS558" s="231"/>
      <c r="AT558" s="231"/>
      <c r="AU558" s="231"/>
      <c r="AV558" s="231"/>
      <c r="AW558" s="231"/>
      <c r="AX558" s="242"/>
      <c r="AY558" s="242"/>
      <c r="AZ558" s="242"/>
      <c r="BA558" s="242"/>
      <c r="BB558" s="242"/>
      <c r="BC558" s="242"/>
      <c r="BD558" s="242"/>
      <c r="BE558" s="231"/>
      <c r="BF558" s="242"/>
      <c r="BG558" s="242"/>
      <c r="BH558" s="242"/>
      <c r="BI558" s="242"/>
      <c r="BJ558" s="242"/>
      <c r="BK558" s="242"/>
      <c r="BL558" s="242"/>
      <c r="BM558" s="242"/>
      <c r="BN558" s="242"/>
      <c r="BO558" s="231"/>
      <c r="BP558" s="231"/>
      <c r="BQ558" s="231"/>
      <c r="BR558" s="231"/>
      <c r="BS558" s="231"/>
      <c r="BT558" s="231"/>
      <c r="BU558" s="231"/>
      <c r="BV558" s="231"/>
      <c r="BW558" s="231"/>
      <c r="BX558" s="231"/>
      <c r="BY558" s="231"/>
      <c r="BZ558" s="231"/>
      <c r="CA558" s="231"/>
      <c r="CB558" s="231"/>
      <c r="CC558" s="231"/>
      <c r="CD558" s="231"/>
      <c r="CE558" s="231"/>
      <c r="CF558" s="231"/>
      <c r="CG558" s="231"/>
      <c r="CH558" s="231"/>
      <c r="CI558" s="231"/>
    </row>
    <row r="559" spans="1:87" ht="25.2" customHeight="1" outlineLevel="1">
      <c r="A559" s="204">
        <v>525</v>
      </c>
      <c r="B559" s="204">
        <v>13016</v>
      </c>
      <c r="C559" s="208" t="s">
        <v>728</v>
      </c>
      <c r="D559" s="194" t="s">
        <v>468</v>
      </c>
      <c r="E559" s="209">
        <f t="shared" si="67"/>
        <v>20.8</v>
      </c>
      <c r="F559" s="216">
        <v>66.8</v>
      </c>
      <c r="G559" s="217">
        <v>5.2</v>
      </c>
      <c r="H559" s="218">
        <v>0</v>
      </c>
      <c r="I559" s="230">
        <f t="shared" si="68"/>
        <v>0</v>
      </c>
      <c r="J559" s="216">
        <v>0</v>
      </c>
      <c r="K559" s="216">
        <v>28</v>
      </c>
      <c r="L559" s="233"/>
      <c r="M559" s="236">
        <v>313.8</v>
      </c>
      <c r="N559" s="236">
        <v>116.1</v>
      </c>
      <c r="O559" s="236">
        <v>1.9</v>
      </c>
      <c r="P559" s="236"/>
      <c r="Q559" s="236"/>
      <c r="R559" s="236"/>
      <c r="S559" s="236"/>
      <c r="T559" s="231"/>
      <c r="U559" s="231"/>
      <c r="V559" s="231"/>
      <c r="W559" s="242"/>
      <c r="X559" s="232"/>
      <c r="Y559" s="231"/>
      <c r="Z559" s="231"/>
      <c r="AA559" s="241"/>
      <c r="AB559" s="241"/>
      <c r="AC559" s="240"/>
      <c r="AD559" s="240"/>
      <c r="AE559" s="233"/>
      <c r="AF559" s="233"/>
      <c r="AG559" s="240"/>
      <c r="AH559" s="240">
        <f t="shared" si="69"/>
        <v>0</v>
      </c>
      <c r="AI559" s="231">
        <f t="shared" si="70"/>
        <v>0</v>
      </c>
      <c r="AJ559" s="252"/>
      <c r="AK559" s="233"/>
      <c r="AL559" s="216"/>
      <c r="AM559" s="231"/>
      <c r="AN559" s="231"/>
      <c r="AO559" s="231"/>
      <c r="AP559" s="231"/>
      <c r="AQ559" s="231"/>
      <c r="AR559" s="231"/>
      <c r="AS559" s="231"/>
      <c r="AT559" s="231"/>
      <c r="AU559" s="231"/>
      <c r="AV559" s="231"/>
      <c r="AW559" s="231"/>
      <c r="AX559" s="242"/>
      <c r="AY559" s="242"/>
      <c r="AZ559" s="242"/>
      <c r="BA559" s="242"/>
      <c r="BB559" s="242"/>
      <c r="BC559" s="242"/>
      <c r="BD559" s="242"/>
      <c r="BE559" s="231"/>
      <c r="BF559" s="242"/>
      <c r="BG559" s="242"/>
      <c r="BH559" s="242"/>
      <c r="BI559" s="242"/>
      <c r="BJ559" s="242"/>
      <c r="BK559" s="242"/>
      <c r="BL559" s="242"/>
      <c r="BM559" s="242"/>
      <c r="BN559" s="242"/>
      <c r="BO559" s="231"/>
      <c r="BP559" s="231"/>
      <c r="BQ559" s="231"/>
      <c r="BR559" s="231"/>
      <c r="BS559" s="231"/>
      <c r="BT559" s="231"/>
      <c r="BU559" s="231"/>
      <c r="BV559" s="231"/>
      <c r="BW559" s="231"/>
      <c r="BX559" s="231"/>
      <c r="BY559" s="231"/>
      <c r="BZ559" s="231"/>
      <c r="CA559" s="231"/>
      <c r="CB559" s="231"/>
      <c r="CC559" s="231"/>
      <c r="CD559" s="231"/>
      <c r="CE559" s="231"/>
      <c r="CF559" s="231"/>
      <c r="CG559" s="231"/>
      <c r="CH559" s="231"/>
      <c r="CI559" s="231"/>
    </row>
    <row r="560" spans="1:87" ht="25.2" customHeight="1" outlineLevel="1">
      <c r="A560" s="204">
        <v>526</v>
      </c>
      <c r="B560" s="204">
        <v>13017</v>
      </c>
      <c r="C560" s="208" t="s">
        <v>729</v>
      </c>
      <c r="D560" s="194" t="s">
        <v>468</v>
      </c>
      <c r="E560" s="209">
        <f t="shared" si="67"/>
        <v>34.89</v>
      </c>
      <c r="F560" s="233">
        <v>71.069999999999993</v>
      </c>
      <c r="G560" s="270">
        <v>5.0599999999999996</v>
      </c>
      <c r="H560" s="271">
        <v>0.01</v>
      </c>
      <c r="I560" s="230">
        <f t="shared" si="68"/>
        <v>3.64</v>
      </c>
      <c r="J560" s="233">
        <v>0</v>
      </c>
      <c r="K560" s="233">
        <v>20.22</v>
      </c>
      <c r="L560" s="233">
        <v>0</v>
      </c>
      <c r="M560" s="236">
        <v>43</v>
      </c>
      <c r="N560" s="236">
        <v>7</v>
      </c>
      <c r="O560" s="236">
        <v>0.78</v>
      </c>
      <c r="P560" s="236">
        <v>0.5</v>
      </c>
      <c r="Q560" s="236">
        <v>1.2E-2</v>
      </c>
      <c r="R560" s="236">
        <v>5.7000000000000002E-2</v>
      </c>
      <c r="S560" s="236">
        <v>2.3130000000000002</v>
      </c>
      <c r="T560" s="231">
        <v>7720</v>
      </c>
      <c r="U560" s="231">
        <v>288</v>
      </c>
      <c r="V560" s="231">
        <v>175</v>
      </c>
      <c r="W560" s="242">
        <v>0.23300000000000001</v>
      </c>
      <c r="X560" s="232">
        <v>0.2</v>
      </c>
      <c r="Y560" s="231">
        <v>50</v>
      </c>
      <c r="Z560" s="231">
        <v>9.1</v>
      </c>
      <c r="AA560" s="241">
        <v>0.11799999999999999</v>
      </c>
      <c r="AB560" s="241">
        <v>0.39600000000000002</v>
      </c>
      <c r="AC560" s="240">
        <v>51</v>
      </c>
      <c r="AD560" s="240">
        <v>0</v>
      </c>
      <c r="AE560" s="233"/>
      <c r="AF560" s="233">
        <v>0.48</v>
      </c>
      <c r="AG560" s="240">
        <v>4</v>
      </c>
      <c r="AH560" s="240">
        <f t="shared" si="69"/>
        <v>13.32</v>
      </c>
      <c r="AI560" s="231">
        <f t="shared" si="70"/>
        <v>4</v>
      </c>
      <c r="AJ560" s="252">
        <v>0</v>
      </c>
      <c r="AK560" s="233">
        <v>0</v>
      </c>
      <c r="AL560" s="216">
        <v>0</v>
      </c>
      <c r="AM560" s="231">
        <v>0</v>
      </c>
      <c r="AN560" s="231">
        <v>0</v>
      </c>
      <c r="AO560" s="231">
        <v>0</v>
      </c>
      <c r="AP560" s="231">
        <v>0</v>
      </c>
      <c r="AQ560" s="231">
        <v>0</v>
      </c>
      <c r="AR560" s="231">
        <v>0</v>
      </c>
      <c r="AS560" s="231">
        <v>0</v>
      </c>
      <c r="AT560" s="231">
        <v>0</v>
      </c>
      <c r="AU560" s="231">
        <v>0</v>
      </c>
      <c r="AV560" s="231"/>
      <c r="AW560" s="231">
        <v>3.0000000000000001E-3</v>
      </c>
      <c r="AX560" s="242">
        <v>1E-3</v>
      </c>
      <c r="AY560" s="242">
        <v>0</v>
      </c>
      <c r="AZ560" s="242">
        <v>1E-3</v>
      </c>
      <c r="BA560" s="242">
        <v>0</v>
      </c>
      <c r="BB560" s="242">
        <v>0</v>
      </c>
      <c r="BC560" s="242">
        <v>0</v>
      </c>
      <c r="BD560" s="242">
        <v>2E-3</v>
      </c>
      <c r="BE560" s="231">
        <v>0</v>
      </c>
      <c r="BF560" s="242">
        <v>1E-3</v>
      </c>
      <c r="BG560" s="242">
        <v>1E-3</v>
      </c>
      <c r="BH560" s="242">
        <v>3.0000000000000001E-3</v>
      </c>
      <c r="BI560" s="242">
        <v>0</v>
      </c>
      <c r="BJ560" s="242">
        <v>0</v>
      </c>
      <c r="BK560" s="242">
        <v>0</v>
      </c>
      <c r="BL560" s="242">
        <v>1E-3</v>
      </c>
      <c r="BM560" s="242">
        <v>2E-3</v>
      </c>
      <c r="BN560" s="242"/>
      <c r="BO560" s="231">
        <v>0</v>
      </c>
      <c r="BP560" s="231"/>
      <c r="BQ560" s="231"/>
      <c r="BR560" s="231"/>
      <c r="BS560" s="231"/>
      <c r="BT560" s="231"/>
      <c r="BU560" s="231"/>
      <c r="BV560" s="231"/>
      <c r="BW560" s="231"/>
      <c r="BX560" s="231"/>
      <c r="BY560" s="231"/>
      <c r="BZ560" s="231"/>
      <c r="CA560" s="231"/>
      <c r="CB560" s="231"/>
      <c r="CC560" s="231"/>
      <c r="CD560" s="231"/>
      <c r="CE560" s="231"/>
      <c r="CF560" s="231"/>
      <c r="CG560" s="231"/>
      <c r="CH560" s="231"/>
      <c r="CI560" s="231"/>
    </row>
    <row r="561" spans="1:87" ht="25.2" customHeight="1" outlineLevel="1">
      <c r="A561" s="204">
        <v>527</v>
      </c>
      <c r="B561" s="204">
        <v>13018</v>
      </c>
      <c r="C561" s="208" t="s">
        <v>730</v>
      </c>
      <c r="D561" s="194" t="s">
        <v>468</v>
      </c>
      <c r="E561" s="209">
        <f t="shared" si="67"/>
        <v>131.19999999999999</v>
      </c>
      <c r="F561" s="216">
        <v>20.2</v>
      </c>
      <c r="G561" s="217">
        <v>32.799999999999997</v>
      </c>
      <c r="H561" s="218"/>
      <c r="I561" s="230">
        <f t="shared" si="68"/>
        <v>0</v>
      </c>
      <c r="J561" s="216">
        <v>0</v>
      </c>
      <c r="K561" s="216">
        <v>47</v>
      </c>
      <c r="L561" s="233">
        <v>0</v>
      </c>
      <c r="M561" s="236"/>
      <c r="N561" s="236"/>
      <c r="O561" s="236"/>
      <c r="P561" s="236">
        <v>0</v>
      </c>
      <c r="Q561" s="236"/>
      <c r="R561" s="236"/>
      <c r="S561" s="236"/>
      <c r="T561" s="231"/>
      <c r="U561" s="231"/>
      <c r="V561" s="231"/>
      <c r="W561" s="242"/>
      <c r="X561" s="232"/>
      <c r="Y561" s="231"/>
      <c r="Z561" s="231"/>
      <c r="AA561" s="241"/>
      <c r="AB561" s="241"/>
      <c r="AC561" s="240"/>
      <c r="AD561" s="240"/>
      <c r="AE561" s="236"/>
      <c r="AF561" s="236"/>
      <c r="AG561" s="240"/>
      <c r="AH561" s="240">
        <f t="shared" si="69"/>
        <v>0</v>
      </c>
      <c r="AI561" s="231">
        <f t="shared" si="70"/>
        <v>0</v>
      </c>
      <c r="AJ561" s="252"/>
      <c r="AK561" s="233"/>
      <c r="AL561" s="216"/>
      <c r="AM561" s="231">
        <v>0</v>
      </c>
      <c r="AN561" s="231">
        <v>0</v>
      </c>
      <c r="AO561" s="231">
        <v>0</v>
      </c>
      <c r="AP561" s="231">
        <v>0</v>
      </c>
      <c r="AQ561" s="231">
        <v>0</v>
      </c>
      <c r="AR561" s="231">
        <v>0</v>
      </c>
      <c r="AS561" s="231">
        <v>0</v>
      </c>
      <c r="AT561" s="231">
        <v>0</v>
      </c>
      <c r="AU561" s="231">
        <v>0</v>
      </c>
      <c r="AV561" s="231"/>
      <c r="AW561" s="231"/>
      <c r="AX561" s="242"/>
      <c r="AY561" s="242"/>
      <c r="AZ561" s="242"/>
      <c r="BA561" s="242"/>
      <c r="BB561" s="242"/>
      <c r="BC561" s="242"/>
      <c r="BD561" s="242"/>
      <c r="BE561" s="231"/>
      <c r="BF561" s="242"/>
      <c r="BG561" s="242"/>
      <c r="BH561" s="242"/>
      <c r="BI561" s="242"/>
      <c r="BJ561" s="242"/>
      <c r="BK561" s="242"/>
      <c r="BL561" s="242"/>
      <c r="BM561" s="242"/>
      <c r="BN561" s="242"/>
      <c r="BO561" s="231">
        <v>0</v>
      </c>
      <c r="BP561" s="231"/>
      <c r="BQ561" s="231"/>
      <c r="BR561" s="231"/>
      <c r="BS561" s="231"/>
      <c r="BT561" s="231"/>
      <c r="BU561" s="231"/>
      <c r="BV561" s="231"/>
      <c r="BW561" s="231"/>
      <c r="BX561" s="231"/>
      <c r="BY561" s="231"/>
      <c r="BZ561" s="231"/>
      <c r="CA561" s="231"/>
      <c r="CB561" s="231"/>
      <c r="CC561" s="231"/>
      <c r="CD561" s="231"/>
      <c r="CE561" s="231"/>
      <c r="CF561" s="231"/>
      <c r="CG561" s="231"/>
      <c r="CH561" s="231"/>
      <c r="CI561" s="231"/>
    </row>
    <row r="562" spans="1:87" ht="25.2" customHeight="1" outlineLevel="1">
      <c r="A562" s="204">
        <v>528</v>
      </c>
      <c r="B562" s="204">
        <v>13019</v>
      </c>
      <c r="C562" s="208" t="s">
        <v>731</v>
      </c>
      <c r="D562" s="194" t="s">
        <v>181</v>
      </c>
      <c r="E562" s="209">
        <f t="shared" si="67"/>
        <v>74.5</v>
      </c>
      <c r="F562" s="216">
        <v>70.3</v>
      </c>
      <c r="G562" s="217">
        <v>3.9</v>
      </c>
      <c r="H562" s="218">
        <v>0.1</v>
      </c>
      <c r="I562" s="230">
        <f t="shared" si="68"/>
        <v>14.5</v>
      </c>
      <c r="J562" s="216" t="s">
        <v>247</v>
      </c>
      <c r="K562" s="216">
        <v>11.2</v>
      </c>
      <c r="L562" s="233">
        <v>0</v>
      </c>
      <c r="M562" s="236"/>
      <c r="N562" s="236"/>
      <c r="O562" s="236"/>
      <c r="P562" s="236">
        <v>0</v>
      </c>
      <c r="Q562" s="236"/>
      <c r="R562" s="236"/>
      <c r="S562" s="236"/>
      <c r="T562" s="231"/>
      <c r="U562" s="231"/>
      <c r="V562" s="231"/>
      <c r="W562" s="242"/>
      <c r="X562" s="232"/>
      <c r="Y562" s="231"/>
      <c r="Z562" s="231"/>
      <c r="AA562" s="241"/>
      <c r="AB562" s="241"/>
      <c r="AC562" s="240"/>
      <c r="AD562" s="240"/>
      <c r="AE562" s="236"/>
      <c r="AF562" s="236"/>
      <c r="AG562" s="240"/>
      <c r="AH562" s="240">
        <f t="shared" si="69"/>
        <v>0</v>
      </c>
      <c r="AI562" s="236">
        <f t="shared" si="70"/>
        <v>0</v>
      </c>
      <c r="AJ562" s="252"/>
      <c r="AK562" s="233"/>
      <c r="AL562" s="216"/>
      <c r="AM562" s="236"/>
      <c r="AN562" s="231"/>
      <c r="AO562" s="231"/>
      <c r="AP562" s="231"/>
      <c r="AQ562" s="231"/>
      <c r="AR562" s="231"/>
      <c r="AS562" s="231"/>
      <c r="AT562" s="231"/>
      <c r="AU562" s="231"/>
      <c r="AV562" s="231"/>
      <c r="AW562" s="236"/>
      <c r="AX562" s="242"/>
      <c r="AY562" s="242"/>
      <c r="AZ562" s="242"/>
      <c r="BA562" s="242"/>
      <c r="BB562" s="242"/>
      <c r="BC562" s="242"/>
      <c r="BD562" s="242"/>
      <c r="BE562" s="231"/>
      <c r="BF562" s="242"/>
      <c r="BG562" s="242"/>
      <c r="BH562" s="242"/>
      <c r="BI562" s="242"/>
      <c r="BJ562" s="242"/>
      <c r="BK562" s="242"/>
      <c r="BL562" s="242"/>
      <c r="BM562" s="242"/>
      <c r="BN562" s="242"/>
      <c r="BO562" s="231">
        <v>0</v>
      </c>
      <c r="BP562" s="231"/>
      <c r="BQ562" s="231"/>
      <c r="BR562" s="231"/>
      <c r="BS562" s="231"/>
      <c r="BT562" s="231"/>
      <c r="BU562" s="231"/>
      <c r="BV562" s="231"/>
      <c r="BW562" s="231"/>
      <c r="BX562" s="231"/>
      <c r="BY562" s="231"/>
      <c r="BZ562" s="231"/>
      <c r="CA562" s="231"/>
      <c r="CB562" s="231"/>
      <c r="CC562" s="231"/>
      <c r="CD562" s="231"/>
      <c r="CE562" s="231"/>
      <c r="CF562" s="231"/>
      <c r="CG562" s="231"/>
      <c r="CH562" s="231"/>
      <c r="CI562" s="231"/>
    </row>
    <row r="563" spans="1:87" ht="25.2" customHeight="1" outlineLevel="1">
      <c r="A563" s="204">
        <v>529</v>
      </c>
      <c r="B563" s="204">
        <v>13020</v>
      </c>
      <c r="C563" s="208" t="s">
        <v>732</v>
      </c>
      <c r="D563" s="194" t="s">
        <v>181</v>
      </c>
      <c r="E563" s="209">
        <f t="shared" si="67"/>
        <v>86.3</v>
      </c>
      <c r="F563" s="216">
        <v>68.3</v>
      </c>
      <c r="G563" s="217">
        <v>4.3</v>
      </c>
      <c r="H563" s="218">
        <v>0.7</v>
      </c>
      <c r="I563" s="230">
        <f t="shared" si="68"/>
        <v>15.7</v>
      </c>
      <c r="J563" s="216" t="s">
        <v>247</v>
      </c>
      <c r="K563" s="216">
        <v>11</v>
      </c>
      <c r="L563" s="233">
        <v>0</v>
      </c>
      <c r="M563" s="236"/>
      <c r="N563" s="236"/>
      <c r="O563" s="236"/>
      <c r="P563" s="236">
        <v>0</v>
      </c>
      <c r="Q563" s="236"/>
      <c r="R563" s="236"/>
      <c r="S563" s="236"/>
      <c r="T563" s="231"/>
      <c r="U563" s="231"/>
      <c r="V563" s="231"/>
      <c r="W563" s="242"/>
      <c r="X563" s="232"/>
      <c r="Y563" s="231"/>
      <c r="Z563" s="231"/>
      <c r="AA563" s="241"/>
      <c r="AB563" s="241"/>
      <c r="AC563" s="240"/>
      <c r="AD563" s="240"/>
      <c r="AE563" s="236"/>
      <c r="AF563" s="236"/>
      <c r="AG563" s="240"/>
      <c r="AH563" s="240">
        <f t="shared" si="69"/>
        <v>0</v>
      </c>
      <c r="AI563" s="231">
        <f t="shared" si="70"/>
        <v>0</v>
      </c>
      <c r="AJ563" s="252"/>
      <c r="AK563" s="233"/>
      <c r="AL563" s="216"/>
      <c r="AM563" s="231">
        <v>0</v>
      </c>
      <c r="AN563" s="231">
        <v>0</v>
      </c>
      <c r="AO563" s="231">
        <v>0</v>
      </c>
      <c r="AP563" s="231">
        <v>0</v>
      </c>
      <c r="AQ563" s="231">
        <v>0</v>
      </c>
      <c r="AR563" s="231">
        <v>0</v>
      </c>
      <c r="AS563" s="231">
        <v>0</v>
      </c>
      <c r="AT563" s="231">
        <v>0</v>
      </c>
      <c r="AU563" s="231">
        <v>0</v>
      </c>
      <c r="AV563" s="231"/>
      <c r="AW563" s="231"/>
      <c r="AX563" s="242"/>
      <c r="AY563" s="242"/>
      <c r="AZ563" s="242"/>
      <c r="BA563" s="242"/>
      <c r="BB563" s="242"/>
      <c r="BC563" s="242"/>
      <c r="BD563" s="242"/>
      <c r="BE563" s="231"/>
      <c r="BF563" s="242"/>
      <c r="BG563" s="242"/>
      <c r="BH563" s="242"/>
      <c r="BI563" s="242"/>
      <c r="BJ563" s="242"/>
      <c r="BK563" s="242"/>
      <c r="BL563" s="242"/>
      <c r="BM563" s="242"/>
      <c r="BN563" s="242"/>
      <c r="BO563" s="231">
        <v>0</v>
      </c>
      <c r="BP563" s="231"/>
      <c r="BQ563" s="231"/>
      <c r="BR563" s="231"/>
      <c r="BS563" s="231"/>
      <c r="BT563" s="231"/>
      <c r="BU563" s="231"/>
      <c r="BV563" s="231"/>
      <c r="BW563" s="231"/>
      <c r="BX563" s="231"/>
      <c r="BY563" s="231"/>
      <c r="BZ563" s="231"/>
      <c r="CA563" s="231"/>
      <c r="CB563" s="231"/>
      <c r="CC563" s="231"/>
      <c r="CD563" s="231"/>
      <c r="CE563" s="231"/>
      <c r="CF563" s="231"/>
      <c r="CG563" s="231"/>
      <c r="CH563" s="231"/>
      <c r="CI563" s="231"/>
    </row>
    <row r="564" spans="1:87" ht="25.2" customHeight="1" outlineLevel="1">
      <c r="A564" s="204">
        <v>530</v>
      </c>
      <c r="B564" s="204">
        <v>13021</v>
      </c>
      <c r="C564" s="208" t="s">
        <v>733</v>
      </c>
      <c r="D564" s="194" t="s">
        <v>181</v>
      </c>
      <c r="E564" s="209">
        <f t="shared" si="67"/>
        <v>40.5</v>
      </c>
      <c r="F564" s="216">
        <v>84</v>
      </c>
      <c r="G564" s="217">
        <v>0.5</v>
      </c>
      <c r="H564" s="218">
        <v>0.5</v>
      </c>
      <c r="I564" s="230">
        <f t="shared" si="68"/>
        <v>8.5</v>
      </c>
      <c r="J564" s="216">
        <v>0.9</v>
      </c>
      <c r="K564" s="216">
        <v>6.5</v>
      </c>
      <c r="L564" s="233">
        <v>2.5499999999999998</v>
      </c>
      <c r="M564" s="236">
        <v>9</v>
      </c>
      <c r="N564" s="236">
        <v>16</v>
      </c>
      <c r="O564" s="236">
        <v>0.5</v>
      </c>
      <c r="P564" s="236">
        <v>30</v>
      </c>
      <c r="Q564" s="236">
        <v>0.01</v>
      </c>
      <c r="R564" s="236">
        <v>0.09</v>
      </c>
      <c r="S564" s="236">
        <v>0.6</v>
      </c>
      <c r="T564" s="204">
        <v>25</v>
      </c>
      <c r="U564" s="204">
        <v>564</v>
      </c>
      <c r="V564" s="204">
        <v>12</v>
      </c>
      <c r="W564" s="244"/>
      <c r="X564" s="213">
        <v>0.15</v>
      </c>
      <c r="Y564" s="204">
        <v>87</v>
      </c>
      <c r="Z564" s="204">
        <v>0.2</v>
      </c>
      <c r="AA564" s="241"/>
      <c r="AB564" s="241">
        <v>0.14000000000000001</v>
      </c>
      <c r="AC564" s="240">
        <v>11</v>
      </c>
      <c r="AD564" s="240">
        <v>0</v>
      </c>
      <c r="AE564" s="236"/>
      <c r="AF564" s="236">
        <v>0</v>
      </c>
      <c r="AG564" s="240">
        <v>0</v>
      </c>
      <c r="AH564" s="240">
        <f t="shared" si="69"/>
        <v>0</v>
      </c>
      <c r="AI564" s="236">
        <f t="shared" si="70"/>
        <v>22.9166666666667</v>
      </c>
      <c r="AJ564" s="252"/>
      <c r="AK564" s="233">
        <v>0.36</v>
      </c>
      <c r="AL564" s="216">
        <v>6.7</v>
      </c>
      <c r="AM564" s="236">
        <v>257</v>
      </c>
      <c r="AN564" s="204">
        <v>17</v>
      </c>
      <c r="AO564" s="204">
        <v>19</v>
      </c>
      <c r="AP564" s="204">
        <v>0</v>
      </c>
      <c r="AQ564" s="204">
        <v>341</v>
      </c>
      <c r="AR564" s="204"/>
      <c r="AS564" s="204"/>
      <c r="AT564" s="204"/>
      <c r="AU564" s="204"/>
      <c r="AV564" s="204"/>
      <c r="AW564" s="236">
        <v>0.08</v>
      </c>
      <c r="AX564" s="242">
        <v>6.5000000000000002E-2</v>
      </c>
      <c r="AY564" s="242">
        <v>0</v>
      </c>
      <c r="AZ564" s="242">
        <v>1.2999999999999999E-2</v>
      </c>
      <c r="BA564" s="242">
        <v>0</v>
      </c>
      <c r="BB564" s="242">
        <v>0</v>
      </c>
      <c r="BC564" s="242">
        <v>0</v>
      </c>
      <c r="BD564" s="242">
        <v>0.41099999999999998</v>
      </c>
      <c r="BE564" s="231">
        <v>0</v>
      </c>
      <c r="BF564" s="242">
        <v>5.0000000000000001E-3</v>
      </c>
      <c r="BG564" s="242">
        <v>0.40300000000000002</v>
      </c>
      <c r="BH564" s="242">
        <v>7.3999999999999996E-2</v>
      </c>
      <c r="BI564" s="242">
        <v>6.9000000000000006E-2</v>
      </c>
      <c r="BJ564" s="242">
        <v>4.0000000000000001E-3</v>
      </c>
      <c r="BK564" s="242">
        <v>0</v>
      </c>
      <c r="BL564" s="242">
        <v>0</v>
      </c>
      <c r="BM564" s="242">
        <v>0</v>
      </c>
      <c r="BN564" s="242"/>
      <c r="BO564" s="231">
        <v>0</v>
      </c>
      <c r="BP564" s="231"/>
      <c r="BQ564" s="204"/>
      <c r="BR564" s="204"/>
      <c r="BS564" s="204"/>
      <c r="BT564" s="204"/>
      <c r="BU564" s="204"/>
      <c r="BV564" s="204"/>
      <c r="BW564" s="204"/>
      <c r="BX564" s="204"/>
      <c r="BY564" s="204"/>
      <c r="BZ564" s="204"/>
      <c r="CA564" s="204"/>
      <c r="CB564" s="204"/>
      <c r="CC564" s="204"/>
      <c r="CD564" s="204"/>
      <c r="CE564" s="204"/>
      <c r="CF564" s="204"/>
      <c r="CG564" s="204"/>
      <c r="CH564" s="204"/>
      <c r="CI564" s="204"/>
    </row>
    <row r="565" spans="1:87" ht="25.2" customHeight="1" outlineLevel="1">
      <c r="A565" s="204">
        <v>531</v>
      </c>
      <c r="B565" s="204">
        <v>13022</v>
      </c>
      <c r="C565" s="208" t="s">
        <v>734</v>
      </c>
      <c r="D565" s="194" t="s">
        <v>181</v>
      </c>
      <c r="E565" s="209">
        <f t="shared" si="67"/>
        <v>55.4</v>
      </c>
      <c r="F565" s="216">
        <v>70.8</v>
      </c>
      <c r="G565" s="217">
        <v>6.3</v>
      </c>
      <c r="H565" s="218">
        <v>0.04</v>
      </c>
      <c r="I565" s="230">
        <f t="shared" si="68"/>
        <v>7.4599999999999902</v>
      </c>
      <c r="J565" s="216">
        <v>0.8</v>
      </c>
      <c r="K565" s="216">
        <v>15.4</v>
      </c>
      <c r="L565" s="233">
        <v>1.7</v>
      </c>
      <c r="M565" s="241">
        <v>19</v>
      </c>
      <c r="N565" s="241">
        <v>125</v>
      </c>
      <c r="O565" s="241">
        <v>1.93</v>
      </c>
      <c r="P565" s="241">
        <v>0</v>
      </c>
      <c r="Q565" s="241">
        <v>3.3000000000000002E-2</v>
      </c>
      <c r="R565" s="241">
        <v>0.16500000000000001</v>
      </c>
      <c r="S565" s="241">
        <v>2.1960000000000002</v>
      </c>
      <c r="T565" s="231">
        <v>5637</v>
      </c>
      <c r="U565" s="231">
        <v>217</v>
      </c>
      <c r="V565" s="231">
        <v>43</v>
      </c>
      <c r="W565" s="242">
        <v>0.42399999999999999</v>
      </c>
      <c r="X565" s="232">
        <v>0.52</v>
      </c>
      <c r="Y565" s="231">
        <v>104</v>
      </c>
      <c r="Z565" s="231">
        <v>0.5</v>
      </c>
      <c r="AA565" s="241">
        <v>0.29699999999999999</v>
      </c>
      <c r="AB565" s="241">
        <v>0.14799999999999999</v>
      </c>
      <c r="AC565" s="240">
        <v>14</v>
      </c>
      <c r="AD565" s="240">
        <v>0</v>
      </c>
      <c r="AE565" s="233"/>
      <c r="AF565" s="233">
        <v>0</v>
      </c>
      <c r="AG565" s="240">
        <v>0</v>
      </c>
      <c r="AH565" s="240">
        <f t="shared" si="69"/>
        <v>0</v>
      </c>
      <c r="AI565" s="236">
        <f t="shared" si="70"/>
        <v>0</v>
      </c>
      <c r="AJ565" s="252"/>
      <c r="AK565" s="233">
        <v>0</v>
      </c>
      <c r="AL565" s="216">
        <v>0</v>
      </c>
      <c r="AM565" s="236">
        <v>0</v>
      </c>
      <c r="AN565" s="236">
        <v>0</v>
      </c>
      <c r="AO565" s="236">
        <v>0</v>
      </c>
      <c r="AP565" s="236">
        <v>0</v>
      </c>
      <c r="AQ565" s="236">
        <v>0</v>
      </c>
      <c r="AR565" s="236">
        <v>0</v>
      </c>
      <c r="AS565" s="236">
        <v>0</v>
      </c>
      <c r="AT565" s="236">
        <v>0</v>
      </c>
      <c r="AU565" s="236">
        <v>0</v>
      </c>
      <c r="AV565" s="231"/>
      <c r="AW565" s="236">
        <v>5.0000000000000001E-3</v>
      </c>
      <c r="AX565" s="242">
        <v>4.0000000000000001E-3</v>
      </c>
      <c r="AY565" s="242">
        <v>0</v>
      </c>
      <c r="AZ565" s="242">
        <v>1E-3</v>
      </c>
      <c r="BA565" s="242">
        <v>0</v>
      </c>
      <c r="BB565" s="242">
        <v>0</v>
      </c>
      <c r="BC565" s="242">
        <v>0</v>
      </c>
      <c r="BD565" s="242">
        <v>6.0000000000000001E-3</v>
      </c>
      <c r="BE565" s="231">
        <v>0</v>
      </c>
      <c r="BF565" s="242">
        <v>0</v>
      </c>
      <c r="BG565" s="242">
        <v>6.0000000000000001E-3</v>
      </c>
      <c r="BH565" s="242">
        <v>1.9E-2</v>
      </c>
      <c r="BI565" s="242">
        <v>1.6E-2</v>
      </c>
      <c r="BJ565" s="242">
        <v>2E-3</v>
      </c>
      <c r="BK565" s="242">
        <v>0</v>
      </c>
      <c r="BL565" s="242">
        <v>0</v>
      </c>
      <c r="BM565" s="242">
        <v>0</v>
      </c>
      <c r="BN565" s="242"/>
      <c r="BO565" s="231">
        <v>0</v>
      </c>
      <c r="BP565" s="231"/>
      <c r="BQ565" s="231">
        <v>357</v>
      </c>
      <c r="BR565" s="231">
        <v>91</v>
      </c>
      <c r="BS565" s="231">
        <v>90</v>
      </c>
      <c r="BT565" s="231">
        <v>330</v>
      </c>
      <c r="BU565" s="231">
        <v>254</v>
      </c>
      <c r="BV565" s="231">
        <v>311</v>
      </c>
      <c r="BW565" s="231">
        <v>503</v>
      </c>
      <c r="BX565" s="231">
        <v>297</v>
      </c>
      <c r="BY565" s="231">
        <v>433</v>
      </c>
      <c r="BZ565" s="231">
        <v>163</v>
      </c>
      <c r="CA565" s="231">
        <v>110</v>
      </c>
      <c r="CB565" s="231">
        <v>228</v>
      </c>
      <c r="CC565" s="231">
        <v>276</v>
      </c>
      <c r="CD565" s="231">
        <v>674</v>
      </c>
      <c r="CE565" s="231">
        <v>1479</v>
      </c>
      <c r="CF565" s="231">
        <v>278</v>
      </c>
      <c r="CG565" s="231">
        <v>461</v>
      </c>
      <c r="CH565" s="231">
        <v>363</v>
      </c>
      <c r="CI565" s="231"/>
    </row>
    <row r="566" spans="1:87" ht="25.2" customHeight="1" outlineLevel="1">
      <c r="A566" s="204">
        <v>532</v>
      </c>
      <c r="B566" s="204">
        <v>13023</v>
      </c>
      <c r="C566" s="208" t="s">
        <v>735</v>
      </c>
      <c r="D566" s="194" t="s">
        <v>736</v>
      </c>
      <c r="E566" s="209">
        <f t="shared" si="67"/>
        <v>700.6</v>
      </c>
      <c r="F566" s="233">
        <v>21.7</v>
      </c>
      <c r="G566" s="270">
        <v>0</v>
      </c>
      <c r="H566" s="271">
        <v>77.8</v>
      </c>
      <c r="I566" s="230">
        <f t="shared" si="68"/>
        <v>9.9999999999994302E-2</v>
      </c>
      <c r="J566" s="233">
        <v>0</v>
      </c>
      <c r="K566" s="233">
        <v>0.4</v>
      </c>
      <c r="L566" s="233">
        <v>0.3</v>
      </c>
      <c r="M566" s="241">
        <v>7</v>
      </c>
      <c r="N566" s="241">
        <v>25</v>
      </c>
      <c r="O566" s="241">
        <v>0.23</v>
      </c>
      <c r="P566" s="241">
        <v>0</v>
      </c>
      <c r="Q566" s="241">
        <v>0.01</v>
      </c>
      <c r="R566" s="241">
        <v>0.06</v>
      </c>
      <c r="S566" s="241">
        <v>0.01</v>
      </c>
      <c r="T566" s="231">
        <v>486</v>
      </c>
      <c r="U566" s="231">
        <v>14</v>
      </c>
      <c r="V566" s="231">
        <v>1</v>
      </c>
      <c r="W566" s="242"/>
      <c r="X566" s="232">
        <v>0.13</v>
      </c>
      <c r="Y566" s="231">
        <v>0</v>
      </c>
      <c r="Z566" s="231">
        <v>1.6</v>
      </c>
      <c r="AA566" s="241"/>
      <c r="AB566" s="241">
        <v>0.01</v>
      </c>
      <c r="AC566" s="240">
        <v>0</v>
      </c>
      <c r="AD566" s="240">
        <v>0</v>
      </c>
      <c r="AE566" s="233"/>
      <c r="AF566" s="233">
        <v>0</v>
      </c>
      <c r="AG566" s="240"/>
      <c r="AH566" s="240">
        <f t="shared" si="69"/>
        <v>0</v>
      </c>
      <c r="AI566" s="236">
        <f t="shared" si="70"/>
        <v>0</v>
      </c>
      <c r="AJ566" s="252"/>
      <c r="AK566" s="233">
        <v>11.79</v>
      </c>
      <c r="AL566" s="216">
        <v>24.7</v>
      </c>
      <c r="AM566" s="236">
        <v>0</v>
      </c>
      <c r="AN566" s="236">
        <v>0</v>
      </c>
      <c r="AO566" s="236">
        <v>0</v>
      </c>
      <c r="AP566" s="236">
        <v>0</v>
      </c>
      <c r="AQ566" s="236">
        <v>0</v>
      </c>
      <c r="AR566" s="236">
        <v>0</v>
      </c>
      <c r="AS566" s="236">
        <v>0</v>
      </c>
      <c r="AT566" s="236">
        <v>0</v>
      </c>
      <c r="AU566" s="236">
        <v>0</v>
      </c>
      <c r="AV566" s="231"/>
      <c r="AW566" s="236">
        <v>10.784000000000001</v>
      </c>
      <c r="AX566" s="242">
        <v>7.3570000000000002</v>
      </c>
      <c r="AY566" s="242">
        <v>0</v>
      </c>
      <c r="AZ566" s="242">
        <v>1.952</v>
      </c>
      <c r="BA566" s="242">
        <v>0</v>
      </c>
      <c r="BB566" s="242">
        <v>0</v>
      </c>
      <c r="BC566" s="242">
        <v>0</v>
      </c>
      <c r="BD566" s="242">
        <v>18.026</v>
      </c>
      <c r="BE566" s="231">
        <v>0</v>
      </c>
      <c r="BF566" s="242">
        <v>0</v>
      </c>
      <c r="BG566" s="242">
        <v>18.026</v>
      </c>
      <c r="BH566" s="242">
        <v>45.539000000000001</v>
      </c>
      <c r="BI566" s="242">
        <v>40.569000000000003</v>
      </c>
      <c r="BJ566" s="242">
        <v>4.97</v>
      </c>
      <c r="BK566" s="242">
        <v>0</v>
      </c>
      <c r="BL566" s="242">
        <v>0</v>
      </c>
      <c r="BM566" s="242">
        <v>0</v>
      </c>
      <c r="BN566" s="242"/>
      <c r="BO566" s="231">
        <v>0</v>
      </c>
      <c r="BP566" s="231"/>
      <c r="BQ566" s="231"/>
      <c r="BR566" s="231"/>
      <c r="BS566" s="231"/>
      <c r="BT566" s="231"/>
      <c r="BU566" s="231"/>
      <c r="BV566" s="231"/>
      <c r="BW566" s="231"/>
      <c r="BX566" s="231"/>
      <c r="BY566" s="231"/>
      <c r="BZ566" s="231"/>
      <c r="CA566" s="231"/>
      <c r="CB566" s="231"/>
      <c r="CC566" s="231"/>
      <c r="CD566" s="231"/>
      <c r="CE566" s="231"/>
      <c r="CF566" s="231"/>
      <c r="CG566" s="231"/>
      <c r="CH566" s="231"/>
      <c r="CI566" s="231"/>
    </row>
    <row r="567" spans="1:87" s="169" customFormat="1" ht="7.05" customHeight="1">
      <c r="A567" s="196"/>
      <c r="B567" s="196"/>
      <c r="C567" s="197"/>
      <c r="D567" s="198"/>
      <c r="E567" s="199"/>
      <c r="F567" s="199"/>
      <c r="G567" s="200"/>
      <c r="H567" s="201"/>
      <c r="I567" s="228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  <c r="AD567" s="199"/>
      <c r="AE567" s="199"/>
      <c r="AF567" s="199"/>
      <c r="AG567" s="199"/>
      <c r="AH567" s="199"/>
      <c r="AI567" s="199"/>
      <c r="AJ567" s="250"/>
      <c r="AK567" s="199"/>
      <c r="AL567" s="199"/>
      <c r="AM567" s="199"/>
      <c r="AN567" s="199"/>
      <c r="AO567" s="199"/>
      <c r="AP567" s="199"/>
      <c r="AQ567" s="199"/>
      <c r="AR567" s="199"/>
      <c r="AS567" s="199"/>
      <c r="AT567" s="199"/>
      <c r="AU567" s="199"/>
      <c r="AV567" s="199"/>
      <c r="AW567" s="199"/>
      <c r="AX567" s="199"/>
      <c r="AY567" s="199"/>
      <c r="AZ567" s="199"/>
      <c r="BA567" s="199"/>
      <c r="BB567" s="199"/>
      <c r="BC567" s="199"/>
      <c r="BD567" s="199"/>
      <c r="BE567" s="199"/>
      <c r="BF567" s="199"/>
      <c r="BG567" s="199"/>
      <c r="BH567" s="199"/>
      <c r="BI567" s="199"/>
      <c r="BJ567" s="199"/>
      <c r="BK567" s="199"/>
      <c r="BL567" s="199"/>
      <c r="BM567" s="199"/>
      <c r="BN567" s="199"/>
      <c r="BO567" s="199"/>
      <c r="BP567" s="199"/>
      <c r="BQ567" s="199"/>
      <c r="BR567" s="199"/>
      <c r="BS567" s="199"/>
      <c r="BT567" s="199"/>
      <c r="BU567" s="199"/>
      <c r="BV567" s="199"/>
      <c r="BW567" s="199"/>
      <c r="BX567" s="199"/>
      <c r="BY567" s="199"/>
      <c r="BZ567" s="199"/>
      <c r="CA567" s="199"/>
      <c r="CB567" s="199"/>
      <c r="CC567" s="199"/>
      <c r="CD567" s="199"/>
      <c r="CE567" s="199"/>
      <c r="CF567" s="199"/>
      <c r="CG567" s="199"/>
      <c r="CH567" s="199"/>
      <c r="CI567" s="199"/>
    </row>
    <row r="568" spans="1:87" ht="25.2" customHeight="1">
      <c r="A568" s="204"/>
      <c r="B568" s="202"/>
      <c r="C568" s="203" t="s">
        <v>737</v>
      </c>
      <c r="D568" s="194"/>
      <c r="E568" s="240"/>
      <c r="F568" s="236"/>
      <c r="G568" s="272"/>
      <c r="H568" s="273"/>
      <c r="I568" s="230"/>
      <c r="J568" s="236"/>
      <c r="K568" s="236"/>
      <c r="L568" s="233"/>
      <c r="M568" s="216"/>
      <c r="N568" s="216"/>
      <c r="O568" s="216"/>
      <c r="P568" s="216"/>
      <c r="Q568" s="216"/>
      <c r="R568" s="216"/>
      <c r="S568" s="216"/>
      <c r="T568" s="231"/>
      <c r="U568" s="231"/>
      <c r="V568" s="231"/>
      <c r="W568" s="242"/>
      <c r="X568" s="232"/>
      <c r="Y568" s="231"/>
      <c r="Z568" s="231"/>
      <c r="AA568" s="241"/>
      <c r="AB568" s="241"/>
      <c r="AC568" s="240"/>
      <c r="AD568" s="240"/>
      <c r="AE568" s="236"/>
      <c r="AF568" s="236"/>
      <c r="AG568" s="240"/>
      <c r="AH568" s="240"/>
      <c r="AI568" s="236"/>
      <c r="AJ568" s="252"/>
      <c r="AK568" s="233"/>
      <c r="AL568" s="216"/>
      <c r="AM568" s="236"/>
      <c r="AN568" s="231"/>
      <c r="AO568" s="231"/>
      <c r="AP568" s="231"/>
      <c r="AQ568" s="231"/>
      <c r="AR568" s="231"/>
      <c r="AS568" s="231"/>
      <c r="AT568" s="231"/>
      <c r="AU568" s="231"/>
      <c r="AV568" s="231"/>
      <c r="AW568" s="236"/>
      <c r="AX568" s="242"/>
      <c r="AY568" s="242"/>
      <c r="AZ568" s="242"/>
      <c r="BA568" s="242"/>
      <c r="BB568" s="242"/>
      <c r="BC568" s="242"/>
      <c r="BD568" s="242"/>
      <c r="BE568" s="231"/>
      <c r="BF568" s="242"/>
      <c r="BG568" s="242"/>
      <c r="BH568" s="242"/>
      <c r="BI568" s="242"/>
      <c r="BJ568" s="242"/>
      <c r="BK568" s="242"/>
      <c r="BL568" s="242"/>
      <c r="BM568" s="242"/>
      <c r="BN568" s="242"/>
      <c r="BO568" s="231"/>
      <c r="BP568" s="231"/>
      <c r="BQ568" s="231"/>
      <c r="BR568" s="231"/>
      <c r="BS568" s="231"/>
      <c r="BT568" s="231"/>
      <c r="BU568" s="231"/>
      <c r="BV568" s="231"/>
      <c r="BW568" s="231"/>
      <c r="BX568" s="231"/>
      <c r="BY568" s="231"/>
      <c r="BZ568" s="231"/>
      <c r="CA568" s="231"/>
      <c r="CB568" s="231"/>
      <c r="CC568" s="231"/>
      <c r="CD568" s="231"/>
      <c r="CE568" s="231"/>
      <c r="CF568" s="231"/>
      <c r="CG568" s="231"/>
      <c r="CH568" s="231"/>
      <c r="CI568" s="231"/>
    </row>
    <row r="569" spans="1:87" ht="25.2" customHeight="1" outlineLevel="1">
      <c r="A569" s="204">
        <v>533</v>
      </c>
      <c r="B569" s="204">
        <v>14001</v>
      </c>
      <c r="C569" s="208" t="s">
        <v>738</v>
      </c>
      <c r="D569" s="194"/>
      <c r="E569" s="240">
        <v>43</v>
      </c>
      <c r="F569" s="216">
        <v>92.5</v>
      </c>
      <c r="G569" s="217">
        <v>0.5</v>
      </c>
      <c r="H569" s="218"/>
      <c r="I569" s="230">
        <f>100-SUM(F569,G569,H569,K569,4.5)</f>
        <v>2.2999999999999998</v>
      </c>
      <c r="J569" s="216">
        <v>0</v>
      </c>
      <c r="K569" s="216">
        <v>0.2</v>
      </c>
      <c r="L569" s="233"/>
      <c r="M569" s="216">
        <v>6</v>
      </c>
      <c r="N569" s="216">
        <v>26</v>
      </c>
      <c r="O569" s="216">
        <v>0.1</v>
      </c>
      <c r="P569" s="216">
        <v>0</v>
      </c>
      <c r="Q569" s="216">
        <v>0.01</v>
      </c>
      <c r="R569" s="216">
        <v>0.03</v>
      </c>
      <c r="S569" s="216">
        <v>0.8</v>
      </c>
      <c r="T569" s="231">
        <v>4</v>
      </c>
      <c r="U569" s="231">
        <v>27</v>
      </c>
      <c r="V569" s="231">
        <v>6</v>
      </c>
      <c r="W569" s="242">
        <v>8.0000000000000002E-3</v>
      </c>
      <c r="X569" s="232">
        <v>0.01</v>
      </c>
      <c r="Y569" s="231">
        <v>5</v>
      </c>
      <c r="Z569" s="231">
        <v>0.6</v>
      </c>
      <c r="AA569" s="241">
        <v>4.1000000000000002E-2</v>
      </c>
      <c r="AB569" s="241">
        <v>4.5999999999999999E-2</v>
      </c>
      <c r="AC569" s="240">
        <v>6</v>
      </c>
      <c r="AD569" s="240">
        <v>0</v>
      </c>
      <c r="AE569" s="233">
        <v>3</v>
      </c>
      <c r="AF569" s="233">
        <v>0.02</v>
      </c>
      <c r="AG569" s="240"/>
      <c r="AH569" s="240">
        <f t="shared" ref="AH569:AH584" si="71">AG569*3.33</f>
        <v>0</v>
      </c>
      <c r="AI569" s="231">
        <f t="shared" ref="AI569:AI584" si="72">AG569+AM569/12+AN569/24+AO569/24</f>
        <v>0</v>
      </c>
      <c r="AJ569" s="252"/>
      <c r="AK569" s="233"/>
      <c r="AL569" s="216"/>
      <c r="AM569" s="231">
        <v>0</v>
      </c>
      <c r="AN569" s="231">
        <v>0</v>
      </c>
      <c r="AO569" s="231">
        <v>0</v>
      </c>
      <c r="AP569" s="231">
        <v>0</v>
      </c>
      <c r="AQ569" s="231">
        <v>0</v>
      </c>
      <c r="AR569" s="231">
        <v>0</v>
      </c>
      <c r="AS569" s="231">
        <v>0</v>
      </c>
      <c r="AT569" s="231">
        <v>0</v>
      </c>
      <c r="AU569" s="231">
        <v>0</v>
      </c>
      <c r="AV569" s="231"/>
      <c r="AW569" s="231">
        <v>0</v>
      </c>
      <c r="AX569" s="242">
        <v>0</v>
      </c>
      <c r="AY569" s="242">
        <v>0</v>
      </c>
      <c r="AZ569" s="242">
        <v>0</v>
      </c>
      <c r="BA569" s="242">
        <v>0</v>
      </c>
      <c r="BB569" s="242">
        <v>0</v>
      </c>
      <c r="BC569" s="242">
        <v>0</v>
      </c>
      <c r="BD569" s="242">
        <v>0</v>
      </c>
      <c r="BE569" s="242">
        <v>0</v>
      </c>
      <c r="BF569" s="242">
        <v>0</v>
      </c>
      <c r="BG569" s="242">
        <v>0</v>
      </c>
      <c r="BH569" s="242">
        <v>0</v>
      </c>
      <c r="BI569" s="242">
        <v>0</v>
      </c>
      <c r="BJ569" s="242">
        <v>0</v>
      </c>
      <c r="BK569" s="242">
        <v>0</v>
      </c>
      <c r="BL569" s="242">
        <v>0</v>
      </c>
      <c r="BM569" s="242">
        <v>0</v>
      </c>
      <c r="BN569" s="242"/>
      <c r="BO569" s="231">
        <v>0</v>
      </c>
      <c r="BP569" s="231"/>
      <c r="BQ569" s="204">
        <v>14</v>
      </c>
      <c r="BR569" s="204">
        <v>4</v>
      </c>
      <c r="BS569" s="204">
        <v>7</v>
      </c>
      <c r="BT569" s="204">
        <v>11</v>
      </c>
      <c r="BU569" s="204">
        <v>12</v>
      </c>
      <c r="BV569" s="204">
        <v>19</v>
      </c>
      <c r="BW569" s="204">
        <v>14</v>
      </c>
      <c r="BX569" s="204">
        <v>11</v>
      </c>
      <c r="BY569" s="204">
        <v>14</v>
      </c>
      <c r="BZ569" s="204">
        <v>10</v>
      </c>
      <c r="CA569" s="204">
        <v>14</v>
      </c>
      <c r="CB569" s="204">
        <v>7</v>
      </c>
      <c r="CC569" s="204">
        <v>23</v>
      </c>
      <c r="CD569" s="204">
        <v>27</v>
      </c>
      <c r="CE569" s="204">
        <v>74</v>
      </c>
      <c r="CF569" s="204">
        <v>22</v>
      </c>
      <c r="CG569" s="204">
        <v>69</v>
      </c>
      <c r="CH569" s="204">
        <v>15</v>
      </c>
      <c r="CI569" s="231"/>
    </row>
    <row r="570" spans="1:87" ht="25.2" customHeight="1" outlineLevel="1">
      <c r="A570" s="204">
        <v>534</v>
      </c>
      <c r="B570" s="204">
        <v>14002</v>
      </c>
      <c r="C570" s="208" t="s">
        <v>739</v>
      </c>
      <c r="D570" s="194"/>
      <c r="E570" s="240">
        <v>224</v>
      </c>
      <c r="F570" s="216">
        <v>67.8</v>
      </c>
      <c r="G570" s="217">
        <v>0</v>
      </c>
      <c r="H570" s="218">
        <v>0</v>
      </c>
      <c r="I570" s="230">
        <f>100-SUM(F570,G570,H570,K570,32)</f>
        <v>0</v>
      </c>
      <c r="J570" s="216">
        <v>0</v>
      </c>
      <c r="K570" s="216">
        <v>0.2</v>
      </c>
      <c r="L570" s="233"/>
      <c r="M570" s="216"/>
      <c r="N570" s="216"/>
      <c r="O570" s="216"/>
      <c r="P570" s="216">
        <v>0</v>
      </c>
      <c r="Q570" s="216"/>
      <c r="R570" s="216"/>
      <c r="S570" s="216"/>
      <c r="T570" s="231"/>
      <c r="U570" s="231"/>
      <c r="V570" s="231"/>
      <c r="W570" s="242"/>
      <c r="X570" s="232"/>
      <c r="Y570" s="231"/>
      <c r="Z570" s="231"/>
      <c r="AA570" s="241"/>
      <c r="AB570" s="241"/>
      <c r="AC570" s="240"/>
      <c r="AD570" s="240"/>
      <c r="AE570" s="236"/>
      <c r="AF570" s="236"/>
      <c r="AG570" s="240"/>
      <c r="AH570" s="240">
        <f t="shared" si="71"/>
        <v>0</v>
      </c>
      <c r="AI570" s="231">
        <f t="shared" si="72"/>
        <v>0</v>
      </c>
      <c r="AJ570" s="252"/>
      <c r="AK570" s="233"/>
      <c r="AL570" s="216"/>
      <c r="AM570" s="231">
        <v>0</v>
      </c>
      <c r="AN570" s="231">
        <v>0</v>
      </c>
      <c r="AO570" s="231">
        <v>0</v>
      </c>
      <c r="AP570" s="231">
        <v>0</v>
      </c>
      <c r="AQ570" s="231">
        <v>0</v>
      </c>
      <c r="AR570" s="231">
        <v>0</v>
      </c>
      <c r="AS570" s="231">
        <v>0</v>
      </c>
      <c r="AT570" s="231">
        <v>0</v>
      </c>
      <c r="AU570" s="231">
        <v>0</v>
      </c>
      <c r="AV570" s="231"/>
      <c r="AW570" s="231">
        <v>0</v>
      </c>
      <c r="AX570" s="242">
        <v>0</v>
      </c>
      <c r="AY570" s="242">
        <v>0</v>
      </c>
      <c r="AZ570" s="242">
        <v>0</v>
      </c>
      <c r="BA570" s="242">
        <v>0</v>
      </c>
      <c r="BB570" s="242">
        <v>0</v>
      </c>
      <c r="BC570" s="242">
        <v>0</v>
      </c>
      <c r="BD570" s="242">
        <v>0</v>
      </c>
      <c r="BE570" s="242">
        <v>0</v>
      </c>
      <c r="BF570" s="242">
        <v>0</v>
      </c>
      <c r="BG570" s="242">
        <v>0</v>
      </c>
      <c r="BH570" s="242">
        <v>0</v>
      </c>
      <c r="BI570" s="242">
        <v>0</v>
      </c>
      <c r="BJ570" s="242">
        <v>0</v>
      </c>
      <c r="BK570" s="242">
        <v>0</v>
      </c>
      <c r="BL570" s="242">
        <v>0</v>
      </c>
      <c r="BM570" s="242">
        <v>0</v>
      </c>
      <c r="BN570" s="244"/>
      <c r="BO570" s="231">
        <v>0</v>
      </c>
      <c r="BP570" s="204"/>
      <c r="BQ570" s="231">
        <v>0</v>
      </c>
      <c r="BR570" s="231">
        <v>0</v>
      </c>
      <c r="BS570" s="231">
        <v>0</v>
      </c>
      <c r="BT570" s="231">
        <v>0</v>
      </c>
      <c r="BU570" s="231">
        <v>0</v>
      </c>
      <c r="BV570" s="231">
        <v>0</v>
      </c>
      <c r="BW570" s="231">
        <v>0</v>
      </c>
      <c r="BX570" s="231">
        <v>0</v>
      </c>
      <c r="BY570" s="231">
        <v>0</v>
      </c>
      <c r="BZ570" s="231">
        <v>0</v>
      </c>
      <c r="CA570" s="231">
        <v>0</v>
      </c>
      <c r="CB570" s="231">
        <v>0</v>
      </c>
      <c r="CC570" s="231">
        <v>0</v>
      </c>
      <c r="CD570" s="231">
        <v>0</v>
      </c>
      <c r="CE570" s="231">
        <v>0</v>
      </c>
      <c r="CF570" s="231">
        <v>0</v>
      </c>
      <c r="CG570" s="231">
        <v>0</v>
      </c>
      <c r="CH570" s="231">
        <v>0</v>
      </c>
      <c r="CI570" s="231"/>
    </row>
    <row r="571" spans="1:87" ht="25.2" customHeight="1" outlineLevel="1">
      <c r="A571" s="204">
        <v>535</v>
      </c>
      <c r="B571" s="204">
        <v>14003</v>
      </c>
      <c r="C571" s="208" t="s">
        <v>740</v>
      </c>
      <c r="D571" s="194"/>
      <c r="E571" s="240">
        <v>155</v>
      </c>
      <c r="F571" s="216">
        <v>71</v>
      </c>
      <c r="G571" s="217">
        <v>0</v>
      </c>
      <c r="H571" s="218"/>
      <c r="I571" s="230">
        <f>100-SUM(F571,G571,H571,K571,13)</f>
        <v>15.74</v>
      </c>
      <c r="J571" s="216">
        <v>0</v>
      </c>
      <c r="K571" s="216">
        <v>0.26</v>
      </c>
      <c r="L571" s="233"/>
      <c r="M571" s="216">
        <v>6</v>
      </c>
      <c r="N571" s="216">
        <v>6</v>
      </c>
      <c r="O571" s="216">
        <v>0.36</v>
      </c>
      <c r="P571" s="216">
        <v>0</v>
      </c>
      <c r="Q571" s="216"/>
      <c r="R571" s="216"/>
      <c r="S571" s="216">
        <v>0.04</v>
      </c>
      <c r="T571" s="231"/>
      <c r="U571" s="231"/>
      <c r="V571" s="231"/>
      <c r="W571" s="242"/>
      <c r="X571" s="232"/>
      <c r="Y571" s="231"/>
      <c r="Z571" s="231"/>
      <c r="AA571" s="241"/>
      <c r="AB571" s="241"/>
      <c r="AC571" s="240"/>
      <c r="AD571" s="240"/>
      <c r="AE571" s="236"/>
      <c r="AF571" s="236"/>
      <c r="AG571" s="240"/>
      <c r="AH571" s="240">
        <f t="shared" si="71"/>
        <v>0</v>
      </c>
      <c r="AI571" s="231">
        <f t="shared" si="72"/>
        <v>0</v>
      </c>
      <c r="AJ571" s="252"/>
      <c r="AK571" s="233"/>
      <c r="AL571" s="216"/>
      <c r="AM571" s="231">
        <v>0</v>
      </c>
      <c r="AN571" s="231">
        <v>0</v>
      </c>
      <c r="AO571" s="231">
        <v>0</v>
      </c>
      <c r="AP571" s="231">
        <v>0</v>
      </c>
      <c r="AQ571" s="231">
        <v>0</v>
      </c>
      <c r="AR571" s="231">
        <v>0</v>
      </c>
      <c r="AS571" s="231">
        <v>0</v>
      </c>
      <c r="AT571" s="231">
        <v>0</v>
      </c>
      <c r="AU571" s="231">
        <v>0</v>
      </c>
      <c r="AV571" s="231"/>
      <c r="AW571" s="231">
        <v>0</v>
      </c>
      <c r="AX571" s="242">
        <v>0</v>
      </c>
      <c r="AY571" s="242">
        <v>0</v>
      </c>
      <c r="AZ571" s="242">
        <v>0</v>
      </c>
      <c r="BA571" s="242">
        <v>0</v>
      </c>
      <c r="BB571" s="242">
        <v>0</v>
      </c>
      <c r="BC571" s="242">
        <v>0</v>
      </c>
      <c r="BD571" s="242">
        <v>0</v>
      </c>
      <c r="BE571" s="242">
        <v>0</v>
      </c>
      <c r="BF571" s="242">
        <v>0</v>
      </c>
      <c r="BG571" s="242">
        <v>0</v>
      </c>
      <c r="BH571" s="242">
        <v>0</v>
      </c>
      <c r="BI571" s="242">
        <v>0</v>
      </c>
      <c r="BJ571" s="242">
        <v>0</v>
      </c>
      <c r="BK571" s="242">
        <v>0</v>
      </c>
      <c r="BL571" s="242">
        <v>0</v>
      </c>
      <c r="BM571" s="242">
        <v>0</v>
      </c>
      <c r="BN571" s="242"/>
      <c r="BO571" s="231">
        <v>0</v>
      </c>
      <c r="BP571" s="231"/>
      <c r="BQ571" s="231">
        <v>0</v>
      </c>
      <c r="BR571" s="231">
        <v>0</v>
      </c>
      <c r="BS571" s="231">
        <v>0</v>
      </c>
      <c r="BT571" s="231">
        <v>0</v>
      </c>
      <c r="BU571" s="231">
        <v>0</v>
      </c>
      <c r="BV571" s="231">
        <v>0</v>
      </c>
      <c r="BW571" s="231">
        <v>0</v>
      </c>
      <c r="BX571" s="231">
        <v>0</v>
      </c>
      <c r="BY571" s="231">
        <v>0</v>
      </c>
      <c r="BZ571" s="231">
        <v>0</v>
      </c>
      <c r="CA571" s="231">
        <v>0</v>
      </c>
      <c r="CB571" s="231">
        <v>0</v>
      </c>
      <c r="CC571" s="231">
        <v>0</v>
      </c>
      <c r="CD571" s="231">
        <v>0</v>
      </c>
      <c r="CE571" s="231">
        <v>0</v>
      </c>
      <c r="CF571" s="231">
        <v>0</v>
      </c>
      <c r="CG571" s="231">
        <v>0</v>
      </c>
      <c r="CH571" s="231">
        <v>0</v>
      </c>
      <c r="CI571" s="231"/>
    </row>
    <row r="572" spans="1:87" ht="25.2" customHeight="1" outlineLevel="1">
      <c r="A572" s="204">
        <v>536</v>
      </c>
      <c r="B572" s="204">
        <v>14004</v>
      </c>
      <c r="C572" s="208" t="s">
        <v>741</v>
      </c>
      <c r="D572" s="194"/>
      <c r="E572" s="209">
        <f t="shared" ref="E572:E577" si="73">G572*4+H572*9+I572*4</f>
        <v>41.6</v>
      </c>
      <c r="F572" s="216">
        <v>89.4</v>
      </c>
      <c r="G572" s="217">
        <v>0</v>
      </c>
      <c r="H572" s="218"/>
      <c r="I572" s="230">
        <f t="shared" ref="I572:I577" si="74">100-SUM(F572,G572,H572,K572)</f>
        <v>10.4</v>
      </c>
      <c r="J572" s="216">
        <v>0</v>
      </c>
      <c r="K572" s="216">
        <v>0.2</v>
      </c>
      <c r="L572" s="233"/>
      <c r="M572" s="216">
        <v>8</v>
      </c>
      <c r="N572" s="216">
        <v>15</v>
      </c>
      <c r="O572" s="216">
        <v>0</v>
      </c>
      <c r="P572" s="216">
        <v>0</v>
      </c>
      <c r="Q572" s="216"/>
      <c r="R572" s="216"/>
      <c r="S572" s="216"/>
      <c r="T572" s="204"/>
      <c r="U572" s="204"/>
      <c r="V572" s="204"/>
      <c r="W572" s="244"/>
      <c r="X572" s="213"/>
      <c r="Y572" s="204"/>
      <c r="Z572" s="204"/>
      <c r="AA572" s="241"/>
      <c r="AB572" s="241"/>
      <c r="AC572" s="240"/>
      <c r="AD572" s="240"/>
      <c r="AE572" s="236"/>
      <c r="AF572" s="236"/>
      <c r="AG572" s="240"/>
      <c r="AH572" s="240">
        <f t="shared" si="71"/>
        <v>0</v>
      </c>
      <c r="AI572" s="231">
        <f t="shared" si="72"/>
        <v>0</v>
      </c>
      <c r="AJ572" s="252"/>
      <c r="AK572" s="233"/>
      <c r="AL572" s="216"/>
      <c r="AM572" s="231">
        <v>0</v>
      </c>
      <c r="AN572" s="231">
        <v>0</v>
      </c>
      <c r="AO572" s="231">
        <v>0</v>
      </c>
      <c r="AP572" s="231">
        <v>0</v>
      </c>
      <c r="AQ572" s="231">
        <v>0</v>
      </c>
      <c r="AR572" s="231">
        <v>0</v>
      </c>
      <c r="AS572" s="231">
        <v>0</v>
      </c>
      <c r="AT572" s="231">
        <v>0</v>
      </c>
      <c r="AU572" s="231">
        <v>0</v>
      </c>
      <c r="AV572" s="204"/>
      <c r="AW572" s="231">
        <v>0</v>
      </c>
      <c r="AX572" s="242">
        <v>0</v>
      </c>
      <c r="AY572" s="242">
        <v>0</v>
      </c>
      <c r="AZ572" s="242">
        <v>0</v>
      </c>
      <c r="BA572" s="242">
        <v>0</v>
      </c>
      <c r="BB572" s="242">
        <v>0</v>
      </c>
      <c r="BC572" s="242">
        <v>0</v>
      </c>
      <c r="BD572" s="242">
        <v>0</v>
      </c>
      <c r="BE572" s="242">
        <v>0</v>
      </c>
      <c r="BF572" s="242">
        <v>0</v>
      </c>
      <c r="BG572" s="242">
        <v>0</v>
      </c>
      <c r="BH572" s="242">
        <v>0</v>
      </c>
      <c r="BI572" s="242">
        <v>0</v>
      </c>
      <c r="BJ572" s="242">
        <v>0</v>
      </c>
      <c r="BK572" s="242">
        <v>0</v>
      </c>
      <c r="BL572" s="242">
        <v>0</v>
      </c>
      <c r="BM572" s="242">
        <v>0</v>
      </c>
      <c r="BN572" s="242"/>
      <c r="BO572" s="231">
        <v>0</v>
      </c>
      <c r="BP572" s="231"/>
      <c r="BQ572" s="231">
        <v>0</v>
      </c>
      <c r="BR572" s="231">
        <v>0</v>
      </c>
      <c r="BS572" s="231">
        <v>0</v>
      </c>
      <c r="BT572" s="231">
        <v>0</v>
      </c>
      <c r="BU572" s="231">
        <v>0</v>
      </c>
      <c r="BV572" s="231">
        <v>0</v>
      </c>
      <c r="BW572" s="231">
        <v>0</v>
      </c>
      <c r="BX572" s="231">
        <v>0</v>
      </c>
      <c r="BY572" s="231">
        <v>0</v>
      </c>
      <c r="BZ572" s="231">
        <v>0</v>
      </c>
      <c r="CA572" s="231">
        <v>0</v>
      </c>
      <c r="CB572" s="231">
        <v>0</v>
      </c>
      <c r="CC572" s="231">
        <v>0</v>
      </c>
      <c r="CD572" s="231">
        <v>0</v>
      </c>
      <c r="CE572" s="231">
        <v>0</v>
      </c>
      <c r="CF572" s="231">
        <v>0</v>
      </c>
      <c r="CG572" s="231">
        <v>0</v>
      </c>
      <c r="CH572" s="231">
        <v>0</v>
      </c>
      <c r="CI572" s="204"/>
    </row>
    <row r="573" spans="1:87" ht="25.2" customHeight="1" outlineLevel="1">
      <c r="A573" s="204">
        <v>537</v>
      </c>
      <c r="B573" s="204">
        <v>14005</v>
      </c>
      <c r="C573" s="208" t="s">
        <v>742</v>
      </c>
      <c r="D573" s="194" t="s">
        <v>181</v>
      </c>
      <c r="E573" s="209">
        <f t="shared" si="73"/>
        <v>23.4</v>
      </c>
      <c r="F573" s="216">
        <v>94.1</v>
      </c>
      <c r="G573" s="217">
        <v>0.7</v>
      </c>
      <c r="H573" s="218">
        <v>0.2</v>
      </c>
      <c r="I573" s="230">
        <f t="shared" si="74"/>
        <v>4.7</v>
      </c>
      <c r="J573" s="216" t="s">
        <v>247</v>
      </c>
      <c r="K573" s="216">
        <v>0.3</v>
      </c>
      <c r="L573" s="233">
        <v>8.4</v>
      </c>
      <c r="M573" s="216">
        <v>26</v>
      </c>
      <c r="N573" s="216">
        <v>16</v>
      </c>
      <c r="O573" s="216">
        <v>0.3</v>
      </c>
      <c r="P573" s="216">
        <v>54</v>
      </c>
      <c r="Q573" s="216">
        <v>0.09</v>
      </c>
      <c r="R573" s="216">
        <v>0.03</v>
      </c>
      <c r="S573" s="216">
        <v>0.4</v>
      </c>
      <c r="T573" s="231">
        <v>1</v>
      </c>
      <c r="U573" s="231">
        <v>200</v>
      </c>
      <c r="V573" s="231">
        <v>11</v>
      </c>
      <c r="W573" s="242">
        <v>1.4E-2</v>
      </c>
      <c r="X573" s="232">
        <v>0.05</v>
      </c>
      <c r="Y573" s="231">
        <v>44</v>
      </c>
      <c r="Z573" s="231">
        <v>0.1</v>
      </c>
      <c r="AA573" s="241">
        <v>0.19</v>
      </c>
      <c r="AB573" s="241">
        <v>0.04</v>
      </c>
      <c r="AC573" s="240">
        <v>30</v>
      </c>
      <c r="AD573" s="240">
        <v>0</v>
      </c>
      <c r="AE573" s="236"/>
      <c r="AF573" s="236">
        <v>0</v>
      </c>
      <c r="AG573" s="240"/>
      <c r="AH573" s="240">
        <f t="shared" si="71"/>
        <v>0</v>
      </c>
      <c r="AI573" s="236">
        <f t="shared" si="72"/>
        <v>10.0416666666667</v>
      </c>
      <c r="AJ573" s="252"/>
      <c r="AK573" s="233">
        <v>0.04</v>
      </c>
      <c r="AL573" s="216">
        <v>0.1</v>
      </c>
      <c r="AM573" s="236">
        <v>33</v>
      </c>
      <c r="AN573" s="231">
        <v>6</v>
      </c>
      <c r="AO573" s="231">
        <v>169</v>
      </c>
      <c r="AP573" s="231">
        <v>0</v>
      </c>
      <c r="AQ573" s="231">
        <v>115</v>
      </c>
      <c r="AR573" s="231">
        <v>0</v>
      </c>
      <c r="AS573" s="231">
        <v>0</v>
      </c>
      <c r="AT573" s="231">
        <v>0</v>
      </c>
      <c r="AU573" s="231">
        <v>0</v>
      </c>
      <c r="AV573" s="231"/>
      <c r="AW573" s="236"/>
      <c r="AX573" s="242"/>
      <c r="AY573" s="242"/>
      <c r="AZ573" s="242"/>
      <c r="BA573" s="242"/>
      <c r="BB573" s="242"/>
      <c r="BC573" s="242"/>
      <c r="BD573" s="242"/>
      <c r="BE573" s="231"/>
      <c r="BF573" s="242"/>
      <c r="BG573" s="242"/>
      <c r="BH573" s="242"/>
      <c r="BI573" s="242"/>
      <c r="BJ573" s="242"/>
      <c r="BK573" s="242"/>
      <c r="BL573" s="242"/>
      <c r="BM573" s="242"/>
      <c r="BN573" s="242"/>
      <c r="BO573" s="231">
        <v>0</v>
      </c>
      <c r="BP573" s="231"/>
      <c r="BQ573" s="231">
        <v>9</v>
      </c>
      <c r="BR573" s="231">
        <v>3</v>
      </c>
      <c r="BS573" s="231">
        <v>2</v>
      </c>
      <c r="BT573" s="231">
        <v>9</v>
      </c>
      <c r="BU573" s="231">
        <v>8</v>
      </c>
      <c r="BV573" s="231">
        <v>11</v>
      </c>
      <c r="BW573" s="231">
        <v>13</v>
      </c>
      <c r="BX573" s="231">
        <v>8</v>
      </c>
      <c r="BY573" s="231">
        <v>47</v>
      </c>
      <c r="BZ573" s="231">
        <v>3</v>
      </c>
      <c r="CA573" s="231">
        <v>5</v>
      </c>
      <c r="CB573" s="231">
        <v>4</v>
      </c>
      <c r="CC573" s="231">
        <v>15</v>
      </c>
      <c r="CD573" s="231">
        <v>75</v>
      </c>
      <c r="CE573" s="231">
        <v>33</v>
      </c>
      <c r="CF573" s="231">
        <v>9</v>
      </c>
      <c r="CG573" s="231">
        <v>44</v>
      </c>
      <c r="CH573" s="231">
        <v>13</v>
      </c>
      <c r="CI573" s="231"/>
    </row>
    <row r="574" spans="1:87" ht="25.2" customHeight="1" outlineLevel="1">
      <c r="A574" s="204">
        <v>538</v>
      </c>
      <c r="B574" s="204">
        <v>14006</v>
      </c>
      <c r="C574" s="208" t="s">
        <v>743</v>
      </c>
      <c r="D574" s="194" t="s">
        <v>181</v>
      </c>
      <c r="E574" s="209">
        <f t="shared" si="73"/>
        <v>20.799999999999901</v>
      </c>
      <c r="F574" s="216">
        <v>94.4</v>
      </c>
      <c r="G574" s="217">
        <v>0.4</v>
      </c>
      <c r="H574" s="218"/>
      <c r="I574" s="230">
        <f t="shared" si="74"/>
        <v>4.7999999999999803</v>
      </c>
      <c r="J574" s="216">
        <v>0</v>
      </c>
      <c r="K574" s="216">
        <v>0.4</v>
      </c>
      <c r="L574" s="233"/>
      <c r="M574" s="216">
        <v>60</v>
      </c>
      <c r="N574" s="216">
        <v>29</v>
      </c>
      <c r="O574" s="216">
        <v>0.3</v>
      </c>
      <c r="P574" s="216">
        <v>1</v>
      </c>
      <c r="Q574" s="216"/>
      <c r="R574" s="216"/>
      <c r="S574" s="216"/>
      <c r="T574" s="231"/>
      <c r="U574" s="231"/>
      <c r="V574" s="231"/>
      <c r="W574" s="242"/>
      <c r="X574" s="232"/>
      <c r="Y574" s="231"/>
      <c r="Z574" s="231"/>
      <c r="AA574" s="241"/>
      <c r="AB574" s="241"/>
      <c r="AC574" s="240"/>
      <c r="AD574" s="240"/>
      <c r="AE574" s="236"/>
      <c r="AF574" s="236"/>
      <c r="AG574" s="240"/>
      <c r="AH574" s="240">
        <f t="shared" si="71"/>
        <v>0</v>
      </c>
      <c r="AI574" s="231">
        <f t="shared" si="72"/>
        <v>0</v>
      </c>
      <c r="AJ574" s="252"/>
      <c r="AK574" s="233"/>
      <c r="AL574" s="216"/>
      <c r="AM574" s="231">
        <v>0</v>
      </c>
      <c r="AN574" s="231">
        <v>0</v>
      </c>
      <c r="AO574" s="231">
        <v>0</v>
      </c>
      <c r="AP574" s="231">
        <v>0</v>
      </c>
      <c r="AQ574" s="231">
        <v>0</v>
      </c>
      <c r="AR574" s="231">
        <v>0</v>
      </c>
      <c r="AS574" s="231">
        <v>0</v>
      </c>
      <c r="AT574" s="231">
        <v>0</v>
      </c>
      <c r="AU574" s="231">
        <v>0</v>
      </c>
      <c r="AV574" s="231"/>
      <c r="AW574" s="231">
        <v>2.4E-2</v>
      </c>
      <c r="AX574" s="242">
        <v>2.1000000000000001E-2</v>
      </c>
      <c r="AY574" s="242">
        <v>0</v>
      </c>
      <c r="AZ574" s="242">
        <v>1E-3</v>
      </c>
      <c r="BA574" s="242">
        <v>0</v>
      </c>
      <c r="BB574" s="242">
        <v>0</v>
      </c>
      <c r="BC574" s="242">
        <v>0</v>
      </c>
      <c r="BD574" s="242">
        <v>3.5999999999999997E-2</v>
      </c>
      <c r="BE574" s="231">
        <v>0</v>
      </c>
      <c r="BF574" s="242">
        <v>5.0000000000000001E-3</v>
      </c>
      <c r="BG574" s="242">
        <v>3.2000000000000001E-2</v>
      </c>
      <c r="BH574" s="242">
        <v>0.04</v>
      </c>
      <c r="BI574" s="242">
        <v>2.9000000000000001E-2</v>
      </c>
      <c r="BJ574" s="242">
        <v>1.0999999999999999E-2</v>
      </c>
      <c r="BK574" s="242">
        <v>0</v>
      </c>
      <c r="BL574" s="242">
        <v>0</v>
      </c>
      <c r="BM574" s="242">
        <v>0</v>
      </c>
      <c r="BN574" s="242"/>
      <c r="BO574" s="231">
        <v>0</v>
      </c>
      <c r="BP574" s="231"/>
      <c r="BQ574" s="231"/>
      <c r="BR574" s="231"/>
      <c r="BS574" s="231"/>
      <c r="BT574" s="231"/>
      <c r="BU574" s="231"/>
      <c r="BV574" s="231"/>
      <c r="BW574" s="231"/>
      <c r="BX574" s="231"/>
      <c r="BY574" s="231"/>
      <c r="BZ574" s="231"/>
      <c r="CA574" s="231"/>
      <c r="CB574" s="231"/>
      <c r="CC574" s="231"/>
      <c r="CD574" s="231"/>
      <c r="CE574" s="231"/>
      <c r="CF574" s="231"/>
      <c r="CG574" s="231"/>
      <c r="CH574" s="231"/>
      <c r="CI574" s="231"/>
    </row>
    <row r="575" spans="1:87" ht="25.2" customHeight="1" outlineLevel="1">
      <c r="A575" s="204">
        <v>539</v>
      </c>
      <c r="B575" s="204">
        <v>14007</v>
      </c>
      <c r="C575" s="208" t="s">
        <v>744</v>
      </c>
      <c r="D575" s="194" t="s">
        <v>181</v>
      </c>
      <c r="E575" s="209">
        <f t="shared" si="73"/>
        <v>20.600000000000101</v>
      </c>
      <c r="F575" s="216">
        <v>94.6</v>
      </c>
      <c r="G575" s="217">
        <v>0.8</v>
      </c>
      <c r="H575" s="218">
        <v>0.6</v>
      </c>
      <c r="I575" s="230">
        <f t="shared" si="74"/>
        <v>3.0000000000000102</v>
      </c>
      <c r="J575" s="216">
        <v>0.4</v>
      </c>
      <c r="K575" s="216">
        <v>1</v>
      </c>
      <c r="L575" s="233"/>
      <c r="M575" s="216">
        <v>8</v>
      </c>
      <c r="N575" s="216">
        <v>13</v>
      </c>
      <c r="O575" s="216">
        <v>0.3</v>
      </c>
      <c r="P575" s="216">
        <v>6.5</v>
      </c>
      <c r="Q575" s="216">
        <v>0.03</v>
      </c>
      <c r="R575" s="216">
        <v>0.03</v>
      </c>
      <c r="S575" s="216">
        <v>0.69</v>
      </c>
      <c r="T575" s="231">
        <v>10</v>
      </c>
      <c r="U575" s="231">
        <v>229</v>
      </c>
      <c r="V575" s="231">
        <v>11</v>
      </c>
      <c r="W575" s="242">
        <v>7.0000000000000007E-2</v>
      </c>
      <c r="X575" s="232">
        <v>0.15</v>
      </c>
      <c r="Y575" s="231">
        <v>61</v>
      </c>
      <c r="Z575" s="231">
        <v>0.3</v>
      </c>
      <c r="AA575" s="241">
        <v>0.25</v>
      </c>
      <c r="AB575" s="241">
        <v>0.111</v>
      </c>
      <c r="AC575" s="240">
        <v>20</v>
      </c>
      <c r="AD575" s="240">
        <v>0</v>
      </c>
      <c r="AE575" s="233"/>
      <c r="AF575" s="233"/>
      <c r="AG575" s="240"/>
      <c r="AH575" s="240">
        <f t="shared" si="71"/>
        <v>0</v>
      </c>
      <c r="AI575" s="236">
        <f t="shared" si="72"/>
        <v>22.5</v>
      </c>
      <c r="AJ575" s="252"/>
      <c r="AK575" s="233">
        <v>0.32</v>
      </c>
      <c r="AL575" s="216">
        <v>2.2999999999999998</v>
      </c>
      <c r="AM575" s="236">
        <v>270</v>
      </c>
      <c r="AN575" s="231">
        <v>0</v>
      </c>
      <c r="AO575" s="231">
        <v>0</v>
      </c>
      <c r="AP575" s="231">
        <v>9037</v>
      </c>
      <c r="AQ575" s="231">
        <v>60</v>
      </c>
      <c r="AR575" s="231">
        <v>0</v>
      </c>
      <c r="AS575" s="231">
        <v>0</v>
      </c>
      <c r="AT575" s="231">
        <v>0</v>
      </c>
      <c r="AU575" s="231">
        <v>0</v>
      </c>
      <c r="AV575" s="231"/>
      <c r="AW575" s="236">
        <v>8.0000000000000002E-3</v>
      </c>
      <c r="AX575" s="242">
        <v>6.0000000000000001E-3</v>
      </c>
      <c r="AY575" s="242">
        <v>0</v>
      </c>
      <c r="AZ575" s="242">
        <v>2E-3</v>
      </c>
      <c r="BA575" s="242">
        <v>0</v>
      </c>
      <c r="BB575" s="242">
        <v>0</v>
      </c>
      <c r="BC575" s="242">
        <v>0</v>
      </c>
      <c r="BD575" s="242">
        <v>8.9999999999999993E-3</v>
      </c>
      <c r="BE575" s="231">
        <v>0</v>
      </c>
      <c r="BF575" s="242">
        <v>0</v>
      </c>
      <c r="BG575" s="242">
        <v>8.9999999999999993E-3</v>
      </c>
      <c r="BH575" s="242">
        <v>2.4E-2</v>
      </c>
      <c r="BI575" s="242">
        <v>2.3E-2</v>
      </c>
      <c r="BJ575" s="242">
        <v>1E-3</v>
      </c>
      <c r="BK575" s="242">
        <v>0</v>
      </c>
      <c r="BL575" s="242">
        <v>0</v>
      </c>
      <c r="BM575" s="242">
        <v>0</v>
      </c>
      <c r="BN575" s="242">
        <v>0</v>
      </c>
      <c r="BO575" s="231">
        <v>0</v>
      </c>
      <c r="BP575" s="231"/>
      <c r="BQ575" s="204">
        <v>31</v>
      </c>
      <c r="BR575" s="204">
        <v>2</v>
      </c>
      <c r="BS575" s="204">
        <v>6</v>
      </c>
      <c r="BT575" s="204">
        <v>21</v>
      </c>
      <c r="BU575" s="204">
        <v>21</v>
      </c>
      <c r="BV575" s="204">
        <v>21</v>
      </c>
      <c r="BW575" s="204">
        <v>31</v>
      </c>
      <c r="BX575" s="204">
        <v>19</v>
      </c>
      <c r="BY575" s="204">
        <v>19</v>
      </c>
      <c r="BZ575" s="204">
        <v>20</v>
      </c>
      <c r="CA575" s="204">
        <v>12</v>
      </c>
      <c r="CB575" s="204">
        <v>11</v>
      </c>
      <c r="CC575" s="204">
        <v>14</v>
      </c>
      <c r="CD575" s="204">
        <v>23</v>
      </c>
      <c r="CE575" s="204">
        <v>114</v>
      </c>
      <c r="CF575" s="204">
        <v>229</v>
      </c>
      <c r="CG575" s="204">
        <v>20</v>
      </c>
      <c r="CH575" s="204">
        <v>15</v>
      </c>
      <c r="CI575" s="231"/>
    </row>
    <row r="576" spans="1:87" ht="25.2" customHeight="1" outlineLevel="1">
      <c r="A576" s="204">
        <v>540</v>
      </c>
      <c r="B576" s="204">
        <v>14008</v>
      </c>
      <c r="C576" s="208" t="s">
        <v>745</v>
      </c>
      <c r="D576" s="194"/>
      <c r="E576" s="209">
        <f t="shared" si="73"/>
        <v>7.9999999999984098E-2</v>
      </c>
      <c r="F576" s="216">
        <v>99.7</v>
      </c>
      <c r="G576" s="217">
        <v>0</v>
      </c>
      <c r="H576" s="218">
        <v>0</v>
      </c>
      <c r="I576" s="230">
        <f t="shared" si="74"/>
        <v>1.9999999999996E-2</v>
      </c>
      <c r="J576" s="216">
        <v>0</v>
      </c>
      <c r="K576" s="216">
        <v>0.28000000000000003</v>
      </c>
      <c r="L576" s="233">
        <v>0</v>
      </c>
      <c r="M576" s="236">
        <v>4.9000000000000004</v>
      </c>
      <c r="N576" s="236">
        <v>0.1</v>
      </c>
      <c r="O576" s="236">
        <v>0.01</v>
      </c>
      <c r="P576" s="236">
        <v>0</v>
      </c>
      <c r="Q576" s="236"/>
      <c r="R576" s="236" t="s">
        <v>746</v>
      </c>
      <c r="S576" s="236" t="s">
        <v>746</v>
      </c>
      <c r="T576" s="231"/>
      <c r="U576" s="231"/>
      <c r="V576" s="231"/>
      <c r="W576" s="242"/>
      <c r="X576" s="232"/>
      <c r="Y576" s="231"/>
      <c r="Z576" s="231"/>
      <c r="AA576" s="241"/>
      <c r="AB576" s="241"/>
      <c r="AC576" s="240"/>
      <c r="AD576" s="240"/>
      <c r="AE576" s="236"/>
      <c r="AF576" s="236"/>
      <c r="AG576" s="240"/>
      <c r="AH576" s="240">
        <f t="shared" si="71"/>
        <v>0</v>
      </c>
      <c r="AI576" s="231">
        <f t="shared" si="72"/>
        <v>0</v>
      </c>
      <c r="AJ576" s="252"/>
      <c r="AK576" s="233"/>
      <c r="AL576" s="216"/>
      <c r="AM576" s="231">
        <v>0</v>
      </c>
      <c r="AN576" s="231">
        <v>0</v>
      </c>
      <c r="AO576" s="231">
        <v>0</v>
      </c>
      <c r="AP576" s="231">
        <v>0</v>
      </c>
      <c r="AQ576" s="231">
        <v>0</v>
      </c>
      <c r="AR576" s="231">
        <v>0</v>
      </c>
      <c r="AS576" s="231">
        <v>0</v>
      </c>
      <c r="AT576" s="231">
        <v>0</v>
      </c>
      <c r="AU576" s="231">
        <v>0</v>
      </c>
      <c r="AV576" s="231"/>
      <c r="AW576" s="231"/>
      <c r="AX576" s="242"/>
      <c r="AY576" s="242"/>
      <c r="AZ576" s="242"/>
      <c r="BA576" s="242"/>
      <c r="BB576" s="242"/>
      <c r="BC576" s="242"/>
      <c r="BD576" s="242"/>
      <c r="BE576" s="231"/>
      <c r="BF576" s="242"/>
      <c r="BG576" s="242"/>
      <c r="BH576" s="242"/>
      <c r="BI576" s="242"/>
      <c r="BJ576" s="242"/>
      <c r="BK576" s="242"/>
      <c r="BL576" s="242"/>
      <c r="BM576" s="242"/>
      <c r="BN576" s="242"/>
      <c r="BO576" s="231">
        <v>0</v>
      </c>
      <c r="BP576" s="231"/>
      <c r="BQ576" s="231">
        <v>0</v>
      </c>
      <c r="BR576" s="231">
        <v>0</v>
      </c>
      <c r="BS576" s="231">
        <v>0</v>
      </c>
      <c r="BT576" s="231">
        <v>0</v>
      </c>
      <c r="BU576" s="231">
        <v>0</v>
      </c>
      <c r="BV576" s="231">
        <v>0</v>
      </c>
      <c r="BW576" s="231">
        <v>0</v>
      </c>
      <c r="BX576" s="231">
        <v>0</v>
      </c>
      <c r="BY576" s="231">
        <v>0</v>
      </c>
      <c r="BZ576" s="231">
        <v>0</v>
      </c>
      <c r="CA576" s="231">
        <v>0</v>
      </c>
      <c r="CB576" s="231">
        <v>0</v>
      </c>
      <c r="CC576" s="231">
        <v>0</v>
      </c>
      <c r="CD576" s="231">
        <v>0</v>
      </c>
      <c r="CE576" s="231">
        <v>0</v>
      </c>
      <c r="CF576" s="231">
        <v>0</v>
      </c>
      <c r="CG576" s="231">
        <v>0</v>
      </c>
      <c r="CH576" s="231">
        <v>0</v>
      </c>
      <c r="CI576" s="231"/>
    </row>
    <row r="577" spans="1:87" ht="25.2" customHeight="1" outlineLevel="1">
      <c r="A577" s="204">
        <v>541</v>
      </c>
      <c r="B577" s="204">
        <v>14009</v>
      </c>
      <c r="C577" s="208" t="s">
        <v>747</v>
      </c>
      <c r="D577" s="194" t="s">
        <v>181</v>
      </c>
      <c r="E577" s="209">
        <f t="shared" si="73"/>
        <v>24.6</v>
      </c>
      <c r="F577" s="216">
        <v>93.8</v>
      </c>
      <c r="G577" s="217">
        <v>0.4</v>
      </c>
      <c r="H577" s="218">
        <v>0.2</v>
      </c>
      <c r="I577" s="230">
        <f t="shared" si="74"/>
        <v>5.3</v>
      </c>
      <c r="J577" s="216">
        <v>0.2</v>
      </c>
      <c r="K577" s="216">
        <v>0.3</v>
      </c>
      <c r="L577" s="233">
        <v>9.9</v>
      </c>
      <c r="M577" s="236">
        <v>20</v>
      </c>
      <c r="N577" s="236">
        <v>24</v>
      </c>
      <c r="O577" s="236">
        <v>0.2</v>
      </c>
      <c r="P577" s="236">
        <v>47</v>
      </c>
      <c r="Q577" s="236">
        <v>0.06</v>
      </c>
      <c r="R577" s="236">
        <v>0.02</v>
      </c>
      <c r="S577" s="236">
        <v>0.1</v>
      </c>
      <c r="T577" s="231">
        <v>1</v>
      </c>
      <c r="U577" s="231">
        <v>178</v>
      </c>
      <c r="V577" s="231">
        <v>8</v>
      </c>
      <c r="W577" s="242">
        <v>3.6999999999999998E-2</v>
      </c>
      <c r="X577" s="232">
        <v>0.03</v>
      </c>
      <c r="Y577" s="231">
        <v>25</v>
      </c>
      <c r="Z577" s="231">
        <v>0.1</v>
      </c>
      <c r="AA577" s="241">
        <v>0.125</v>
      </c>
      <c r="AB577" s="241">
        <v>4.2000000000000003E-2</v>
      </c>
      <c r="AC577" s="240">
        <v>5</v>
      </c>
      <c r="AD577" s="240">
        <v>0</v>
      </c>
      <c r="AE577" s="236"/>
      <c r="AF577" s="236">
        <v>0</v>
      </c>
      <c r="AG577" s="240"/>
      <c r="AH577" s="240">
        <f t="shared" si="71"/>
        <v>0</v>
      </c>
      <c r="AI577" s="236">
        <f t="shared" si="72"/>
        <v>12.6666666666667</v>
      </c>
      <c r="AJ577" s="252"/>
      <c r="AK577" s="233">
        <v>0.13</v>
      </c>
      <c r="AL577" s="216">
        <v>0</v>
      </c>
      <c r="AM577" s="236">
        <v>38</v>
      </c>
      <c r="AN577" s="231">
        <v>14</v>
      </c>
      <c r="AO577" s="231">
        <v>214</v>
      </c>
      <c r="AP577" s="231">
        <v>0</v>
      </c>
      <c r="AQ577" s="231">
        <v>166</v>
      </c>
      <c r="AR577" s="231">
        <v>0</v>
      </c>
      <c r="AS577" s="231">
        <v>0</v>
      </c>
      <c r="AT577" s="231">
        <v>0</v>
      </c>
      <c r="AU577" s="231">
        <v>0</v>
      </c>
      <c r="AV577" s="231"/>
      <c r="AW577" s="236"/>
      <c r="AX577" s="242"/>
      <c r="AY577" s="242"/>
      <c r="AZ577" s="242"/>
      <c r="BA577" s="242"/>
      <c r="BB577" s="242"/>
      <c r="BC577" s="242"/>
      <c r="BD577" s="242"/>
      <c r="BE577" s="231"/>
      <c r="BF577" s="242"/>
      <c r="BG577" s="242"/>
      <c r="BH577" s="242"/>
      <c r="BI577" s="242"/>
      <c r="BJ577" s="242"/>
      <c r="BK577" s="242"/>
      <c r="BL577" s="242"/>
      <c r="BM577" s="242"/>
      <c r="BN577" s="242"/>
      <c r="BO577" s="231">
        <v>0</v>
      </c>
      <c r="BP577" s="231"/>
      <c r="BQ577" s="231">
        <v>7</v>
      </c>
      <c r="BR577" s="231">
        <v>2</v>
      </c>
      <c r="BS577" s="231">
        <v>1</v>
      </c>
      <c r="BT577" s="231">
        <v>6</v>
      </c>
      <c r="BU577" s="231">
        <v>6</v>
      </c>
      <c r="BV577" s="231">
        <v>8</v>
      </c>
      <c r="BW577" s="231">
        <v>10</v>
      </c>
      <c r="BX577" s="231">
        <v>5</v>
      </c>
      <c r="BY577" s="231">
        <v>34</v>
      </c>
      <c r="BZ577" s="231">
        <v>2</v>
      </c>
      <c r="CA577" s="231">
        <v>4</v>
      </c>
      <c r="CB577" s="231">
        <v>3</v>
      </c>
      <c r="CC577" s="231">
        <v>11</v>
      </c>
      <c r="CD577" s="231">
        <v>53</v>
      </c>
      <c r="CE577" s="231">
        <v>24</v>
      </c>
      <c r="CF577" s="231">
        <v>7</v>
      </c>
      <c r="CG577" s="231">
        <v>31</v>
      </c>
      <c r="CH577" s="231">
        <v>9</v>
      </c>
      <c r="CI577" s="231"/>
    </row>
    <row r="578" spans="1:87" ht="25.2" customHeight="1" outlineLevel="1">
      <c r="A578" s="204">
        <v>542</v>
      </c>
      <c r="B578" s="204">
        <v>14010</v>
      </c>
      <c r="C578" s="208" t="s">
        <v>748</v>
      </c>
      <c r="D578" s="194"/>
      <c r="E578" s="209">
        <f>G578*4+H578*9+I578*4+24.2*7</f>
        <v>169.4</v>
      </c>
      <c r="F578" s="216">
        <v>75.8</v>
      </c>
      <c r="G578" s="217">
        <v>0</v>
      </c>
      <c r="H578" s="218">
        <v>0</v>
      </c>
      <c r="I578" s="230">
        <f>100-SUM(F578,G578,H578,K578,24.2)</f>
        <v>0</v>
      </c>
      <c r="J578" s="216">
        <v>0</v>
      </c>
      <c r="K578" s="216"/>
      <c r="L578" s="233"/>
      <c r="M578" s="236"/>
      <c r="N578" s="236"/>
      <c r="O578" s="236"/>
      <c r="P578" s="236">
        <v>0</v>
      </c>
      <c r="Q578" s="236"/>
      <c r="R578" s="236" t="s">
        <v>746</v>
      </c>
      <c r="S578" s="236" t="s">
        <v>746</v>
      </c>
      <c r="T578" s="231"/>
      <c r="U578" s="231"/>
      <c r="V578" s="231"/>
      <c r="W578" s="242"/>
      <c r="X578" s="232"/>
      <c r="Y578" s="231"/>
      <c r="Z578" s="231"/>
      <c r="AA578" s="241"/>
      <c r="AB578" s="241"/>
      <c r="AC578" s="240"/>
      <c r="AD578" s="240"/>
      <c r="AE578" s="236"/>
      <c r="AF578" s="236"/>
      <c r="AG578" s="240"/>
      <c r="AH578" s="240">
        <f t="shared" si="71"/>
        <v>0</v>
      </c>
      <c r="AI578" s="231">
        <f t="shared" si="72"/>
        <v>0</v>
      </c>
      <c r="AJ578" s="252"/>
      <c r="AK578" s="233"/>
      <c r="AL578" s="216"/>
      <c r="AM578" s="231">
        <v>0</v>
      </c>
      <c r="AN578" s="231">
        <v>0</v>
      </c>
      <c r="AO578" s="231">
        <v>0</v>
      </c>
      <c r="AP578" s="231">
        <v>0</v>
      </c>
      <c r="AQ578" s="231">
        <v>0</v>
      </c>
      <c r="AR578" s="231">
        <v>0</v>
      </c>
      <c r="AS578" s="231">
        <v>0</v>
      </c>
      <c r="AT578" s="231">
        <v>0</v>
      </c>
      <c r="AU578" s="231">
        <v>0</v>
      </c>
      <c r="AV578" s="231"/>
      <c r="AW578" s="231">
        <v>0</v>
      </c>
      <c r="AX578" s="242">
        <v>0</v>
      </c>
      <c r="AY578" s="242">
        <v>0</v>
      </c>
      <c r="AZ578" s="242">
        <v>0</v>
      </c>
      <c r="BA578" s="242">
        <v>0</v>
      </c>
      <c r="BB578" s="242">
        <v>0</v>
      </c>
      <c r="BC578" s="242">
        <v>0</v>
      </c>
      <c r="BD578" s="242">
        <v>0</v>
      </c>
      <c r="BE578" s="242">
        <v>0</v>
      </c>
      <c r="BF578" s="242">
        <v>0</v>
      </c>
      <c r="BG578" s="242">
        <v>0</v>
      </c>
      <c r="BH578" s="242">
        <v>0</v>
      </c>
      <c r="BI578" s="242">
        <v>0</v>
      </c>
      <c r="BJ578" s="242">
        <v>0</v>
      </c>
      <c r="BK578" s="242">
        <v>0</v>
      </c>
      <c r="BL578" s="242">
        <v>0</v>
      </c>
      <c r="BM578" s="242">
        <v>0</v>
      </c>
      <c r="BN578" s="242"/>
      <c r="BO578" s="231">
        <v>0</v>
      </c>
      <c r="BP578" s="231"/>
      <c r="BQ578" s="231">
        <v>0</v>
      </c>
      <c r="BR578" s="231">
        <v>0</v>
      </c>
      <c r="BS578" s="231">
        <v>0</v>
      </c>
      <c r="BT578" s="231">
        <v>0</v>
      </c>
      <c r="BU578" s="231">
        <v>0</v>
      </c>
      <c r="BV578" s="231">
        <v>0</v>
      </c>
      <c r="BW578" s="231">
        <v>0</v>
      </c>
      <c r="BX578" s="231">
        <v>0</v>
      </c>
      <c r="BY578" s="231">
        <v>0</v>
      </c>
      <c r="BZ578" s="231">
        <v>0</v>
      </c>
      <c r="CA578" s="231">
        <v>0</v>
      </c>
      <c r="CB578" s="231">
        <v>0</v>
      </c>
      <c r="CC578" s="231">
        <v>0</v>
      </c>
      <c r="CD578" s="231">
        <v>0</v>
      </c>
      <c r="CE578" s="231">
        <v>0</v>
      </c>
      <c r="CF578" s="231">
        <v>0</v>
      </c>
      <c r="CG578" s="231">
        <v>0</v>
      </c>
      <c r="CH578" s="231">
        <v>0</v>
      </c>
      <c r="CI578" s="231"/>
    </row>
    <row r="579" spans="1:87" ht="25.2" customHeight="1" outlineLevel="1">
      <c r="A579" s="204">
        <v>543</v>
      </c>
      <c r="B579" s="204">
        <v>14011</v>
      </c>
      <c r="C579" s="208" t="s">
        <v>749</v>
      </c>
      <c r="D579" s="194"/>
      <c r="E579" s="209">
        <f>G579*4+H579*9+I579*4+5*7</f>
        <v>202.6</v>
      </c>
      <c r="F579" s="216">
        <v>52.4</v>
      </c>
      <c r="G579" s="217">
        <v>4</v>
      </c>
      <c r="H579" s="218"/>
      <c r="I579" s="230">
        <f>100-SUM(F579,G579,H579,K579,5)</f>
        <v>37.9</v>
      </c>
      <c r="J579" s="216">
        <v>0.2</v>
      </c>
      <c r="K579" s="216">
        <v>0.7</v>
      </c>
      <c r="L579" s="233"/>
      <c r="M579" s="236"/>
      <c r="N579" s="236"/>
      <c r="O579" s="236"/>
      <c r="P579" s="236">
        <v>0</v>
      </c>
      <c r="Q579" s="236"/>
      <c r="R579" s="236" t="s">
        <v>746</v>
      </c>
      <c r="S579" s="236" t="s">
        <v>746</v>
      </c>
      <c r="T579" s="231"/>
      <c r="U579" s="231"/>
      <c r="V579" s="231"/>
      <c r="W579" s="242"/>
      <c r="X579" s="232"/>
      <c r="Y579" s="231"/>
      <c r="Z579" s="231"/>
      <c r="AA579" s="241"/>
      <c r="AB579" s="241"/>
      <c r="AC579" s="240"/>
      <c r="AD579" s="240"/>
      <c r="AE579" s="236"/>
      <c r="AF579" s="236"/>
      <c r="AG579" s="240"/>
      <c r="AH579" s="240">
        <f t="shared" si="71"/>
        <v>0</v>
      </c>
      <c r="AI579" s="231">
        <f t="shared" si="72"/>
        <v>0</v>
      </c>
      <c r="AJ579" s="252"/>
      <c r="AK579" s="233"/>
      <c r="AL579" s="216"/>
      <c r="AM579" s="231">
        <v>0</v>
      </c>
      <c r="AN579" s="231">
        <v>0</v>
      </c>
      <c r="AO579" s="231">
        <v>0</v>
      </c>
      <c r="AP579" s="231">
        <v>0</v>
      </c>
      <c r="AQ579" s="231">
        <v>0</v>
      </c>
      <c r="AR579" s="231">
        <v>0</v>
      </c>
      <c r="AS579" s="231">
        <v>0</v>
      </c>
      <c r="AT579" s="231">
        <v>0</v>
      </c>
      <c r="AU579" s="231">
        <v>0</v>
      </c>
      <c r="AV579" s="231"/>
      <c r="AW579" s="231">
        <v>0</v>
      </c>
      <c r="AX579" s="242">
        <v>0</v>
      </c>
      <c r="AY579" s="242">
        <v>0</v>
      </c>
      <c r="AZ579" s="242">
        <v>0</v>
      </c>
      <c r="BA579" s="242">
        <v>0</v>
      </c>
      <c r="BB579" s="242">
        <v>0</v>
      </c>
      <c r="BC579" s="242">
        <v>0</v>
      </c>
      <c r="BD579" s="242">
        <v>0</v>
      </c>
      <c r="BE579" s="242">
        <v>0</v>
      </c>
      <c r="BF579" s="242">
        <v>0</v>
      </c>
      <c r="BG579" s="242">
        <v>0</v>
      </c>
      <c r="BH579" s="242">
        <v>0</v>
      </c>
      <c r="BI579" s="242">
        <v>0</v>
      </c>
      <c r="BJ579" s="242">
        <v>0</v>
      </c>
      <c r="BK579" s="242">
        <v>0</v>
      </c>
      <c r="BL579" s="242">
        <v>0</v>
      </c>
      <c r="BM579" s="242">
        <v>0</v>
      </c>
      <c r="BN579" s="242"/>
      <c r="BO579" s="231">
        <v>0</v>
      </c>
      <c r="BP579" s="231"/>
      <c r="BQ579" s="231"/>
      <c r="BR579" s="231"/>
      <c r="BS579" s="231"/>
      <c r="BT579" s="231"/>
      <c r="BU579" s="231"/>
      <c r="BV579" s="231"/>
      <c r="BW579" s="231"/>
      <c r="BX579" s="231"/>
      <c r="BY579" s="231"/>
      <c r="BZ579" s="231"/>
      <c r="CA579" s="231"/>
      <c r="CB579" s="231"/>
      <c r="CC579" s="231"/>
      <c r="CD579" s="231"/>
      <c r="CE579" s="231"/>
      <c r="CF579" s="231"/>
      <c r="CG579" s="231"/>
      <c r="CH579" s="231"/>
      <c r="CI579" s="231"/>
    </row>
    <row r="580" spans="1:87" ht="25.2" customHeight="1" outlineLevel="1">
      <c r="A580" s="204">
        <v>544</v>
      </c>
      <c r="B580" s="204">
        <v>14012</v>
      </c>
      <c r="C580" s="208" t="s">
        <v>750</v>
      </c>
      <c r="D580" s="194"/>
      <c r="E580" s="209">
        <f>G580*4+H580*9+I580*4+39*7</f>
        <v>273</v>
      </c>
      <c r="F580" s="216">
        <v>61</v>
      </c>
      <c r="G580" s="217"/>
      <c r="H580" s="218"/>
      <c r="I580" s="230">
        <f>100-SUM(F580,G580,H580,K580,39)</f>
        <v>0</v>
      </c>
      <c r="J580" s="216">
        <v>0</v>
      </c>
      <c r="K580" s="216"/>
      <c r="L580" s="233"/>
      <c r="M580" s="236"/>
      <c r="N580" s="236"/>
      <c r="O580" s="236"/>
      <c r="P580" s="236">
        <v>0</v>
      </c>
      <c r="Q580" s="236"/>
      <c r="R580" s="236" t="s">
        <v>746</v>
      </c>
      <c r="S580" s="236" t="s">
        <v>746</v>
      </c>
      <c r="T580" s="231"/>
      <c r="U580" s="231"/>
      <c r="V580" s="231"/>
      <c r="W580" s="242"/>
      <c r="X580" s="232"/>
      <c r="Y580" s="231"/>
      <c r="Z580" s="231"/>
      <c r="AA580" s="241"/>
      <c r="AB580" s="241"/>
      <c r="AC580" s="240"/>
      <c r="AD580" s="240"/>
      <c r="AE580" s="236"/>
      <c r="AF580" s="236"/>
      <c r="AG580" s="240"/>
      <c r="AH580" s="240">
        <f t="shared" si="71"/>
        <v>0</v>
      </c>
      <c r="AI580" s="231">
        <f t="shared" si="72"/>
        <v>0</v>
      </c>
      <c r="AJ580" s="252"/>
      <c r="AK580" s="233"/>
      <c r="AL580" s="216"/>
      <c r="AM580" s="231">
        <v>0</v>
      </c>
      <c r="AN580" s="231">
        <v>0</v>
      </c>
      <c r="AO580" s="231">
        <v>0</v>
      </c>
      <c r="AP580" s="231">
        <v>0</v>
      </c>
      <c r="AQ580" s="231">
        <v>0</v>
      </c>
      <c r="AR580" s="231">
        <v>0</v>
      </c>
      <c r="AS580" s="231">
        <v>0</v>
      </c>
      <c r="AT580" s="231">
        <v>0</v>
      </c>
      <c r="AU580" s="231">
        <v>0</v>
      </c>
      <c r="AV580" s="231"/>
      <c r="AW580" s="231">
        <v>0</v>
      </c>
      <c r="AX580" s="242">
        <v>0</v>
      </c>
      <c r="AY580" s="242">
        <v>0</v>
      </c>
      <c r="AZ580" s="242">
        <v>0</v>
      </c>
      <c r="BA580" s="242">
        <v>0</v>
      </c>
      <c r="BB580" s="242">
        <v>0</v>
      </c>
      <c r="BC580" s="242">
        <v>0</v>
      </c>
      <c r="BD580" s="242">
        <v>0</v>
      </c>
      <c r="BE580" s="242">
        <v>0</v>
      </c>
      <c r="BF580" s="242">
        <v>0</v>
      </c>
      <c r="BG580" s="242">
        <v>0</v>
      </c>
      <c r="BH580" s="242">
        <v>0</v>
      </c>
      <c r="BI580" s="242">
        <v>0</v>
      </c>
      <c r="BJ580" s="242">
        <v>0</v>
      </c>
      <c r="BK580" s="242">
        <v>0</v>
      </c>
      <c r="BL580" s="242">
        <v>0</v>
      </c>
      <c r="BM580" s="242">
        <v>0</v>
      </c>
      <c r="BN580" s="242"/>
      <c r="BO580" s="231">
        <v>0</v>
      </c>
      <c r="BP580" s="231"/>
      <c r="BQ580" s="231"/>
      <c r="BR580" s="231"/>
      <c r="BS580" s="231"/>
      <c r="BT580" s="231"/>
      <c r="BU580" s="231"/>
      <c r="BV580" s="231"/>
      <c r="BW580" s="231"/>
      <c r="BX580" s="231"/>
      <c r="BY580" s="231"/>
      <c r="BZ580" s="231"/>
      <c r="CA580" s="231"/>
      <c r="CB580" s="231"/>
      <c r="CC580" s="231"/>
      <c r="CD580" s="231"/>
      <c r="CE580" s="231"/>
      <c r="CF580" s="231"/>
      <c r="CG580" s="231"/>
      <c r="CH580" s="231"/>
      <c r="CI580" s="231"/>
    </row>
    <row r="581" spans="1:87" ht="25.2" customHeight="1" outlineLevel="1">
      <c r="A581" s="204">
        <v>545</v>
      </c>
      <c r="B581" s="204">
        <v>14013</v>
      </c>
      <c r="C581" s="208" t="s">
        <v>751</v>
      </c>
      <c r="D581" s="194"/>
      <c r="E581" s="209">
        <f>G581*4+H581*9+I581*4+9.5*7</f>
        <v>75.38</v>
      </c>
      <c r="F581" s="216">
        <v>88</v>
      </c>
      <c r="G581" s="217">
        <v>0.2</v>
      </c>
      <c r="H581" s="218"/>
      <c r="I581" s="230">
        <f>100-SUM(F581,G581,H581,K581,9.5)</f>
        <v>2.02</v>
      </c>
      <c r="J581" s="216">
        <v>0</v>
      </c>
      <c r="K581" s="216">
        <v>0.28000000000000003</v>
      </c>
      <c r="L581" s="233"/>
      <c r="M581" s="216">
        <v>7.8</v>
      </c>
      <c r="N581" s="216">
        <v>10</v>
      </c>
      <c r="O581" s="216">
        <v>0.82</v>
      </c>
      <c r="P581" s="216">
        <v>0</v>
      </c>
      <c r="Q581" s="216"/>
      <c r="R581" s="216">
        <v>0.02</v>
      </c>
      <c r="S581" s="216">
        <v>0.09</v>
      </c>
      <c r="T581" s="231"/>
      <c r="U581" s="231"/>
      <c r="V581" s="231"/>
      <c r="W581" s="242"/>
      <c r="X581" s="232"/>
      <c r="Y581" s="231"/>
      <c r="Z581" s="231"/>
      <c r="AA581" s="241"/>
      <c r="AB581" s="241"/>
      <c r="AC581" s="240"/>
      <c r="AD581" s="240"/>
      <c r="AE581" s="233"/>
      <c r="AF581" s="233"/>
      <c r="AG581" s="240"/>
      <c r="AH581" s="240">
        <f t="shared" si="71"/>
        <v>0</v>
      </c>
      <c r="AI581" s="231">
        <f t="shared" si="72"/>
        <v>0</v>
      </c>
      <c r="AJ581" s="252"/>
      <c r="AK581" s="233"/>
      <c r="AL581" s="216"/>
      <c r="AM581" s="231">
        <v>0</v>
      </c>
      <c r="AN581" s="231">
        <v>0</v>
      </c>
      <c r="AO581" s="231">
        <v>0</v>
      </c>
      <c r="AP581" s="231">
        <v>0</v>
      </c>
      <c r="AQ581" s="231">
        <v>0</v>
      </c>
      <c r="AR581" s="231">
        <v>0</v>
      </c>
      <c r="AS581" s="231">
        <v>0</v>
      </c>
      <c r="AT581" s="231">
        <v>0</v>
      </c>
      <c r="AU581" s="231">
        <v>0</v>
      </c>
      <c r="AV581" s="231"/>
      <c r="AW581" s="231">
        <v>0</v>
      </c>
      <c r="AX581" s="242">
        <v>0</v>
      </c>
      <c r="AY581" s="242">
        <v>0</v>
      </c>
      <c r="AZ581" s="242">
        <v>0</v>
      </c>
      <c r="BA581" s="242">
        <v>0</v>
      </c>
      <c r="BB581" s="242">
        <v>0</v>
      </c>
      <c r="BC581" s="242">
        <v>0</v>
      </c>
      <c r="BD581" s="242">
        <v>0</v>
      </c>
      <c r="BE581" s="242">
        <v>0</v>
      </c>
      <c r="BF581" s="242">
        <v>0</v>
      </c>
      <c r="BG581" s="242">
        <v>0</v>
      </c>
      <c r="BH581" s="242">
        <v>0</v>
      </c>
      <c r="BI581" s="242">
        <v>0</v>
      </c>
      <c r="BJ581" s="242">
        <v>0</v>
      </c>
      <c r="BK581" s="242">
        <v>0</v>
      </c>
      <c r="BL581" s="242">
        <v>0</v>
      </c>
      <c r="BM581" s="242">
        <v>0</v>
      </c>
      <c r="BN581" s="242"/>
      <c r="BO581" s="231">
        <v>0</v>
      </c>
      <c r="BP581" s="231"/>
      <c r="BQ581" s="231"/>
      <c r="BR581" s="231"/>
      <c r="BS581" s="231"/>
      <c r="BT581" s="231"/>
      <c r="BU581" s="231"/>
      <c r="BV581" s="231"/>
      <c r="BW581" s="231"/>
      <c r="BX581" s="231"/>
      <c r="BY581" s="231"/>
      <c r="BZ581" s="231"/>
      <c r="CA581" s="231"/>
      <c r="CB581" s="231"/>
      <c r="CC581" s="231"/>
      <c r="CD581" s="231"/>
      <c r="CE581" s="231"/>
      <c r="CF581" s="231"/>
      <c r="CG581" s="231"/>
      <c r="CH581" s="231"/>
      <c r="CI581" s="231"/>
    </row>
    <row r="582" spans="1:87" ht="25.2" customHeight="1" outlineLevel="1">
      <c r="A582" s="204">
        <v>546</v>
      </c>
      <c r="B582" s="204">
        <v>14014</v>
      </c>
      <c r="C582" s="208" t="s">
        <v>752</v>
      </c>
      <c r="D582" s="194"/>
      <c r="E582" s="209">
        <f>G582*4+H582*9+I582*4+9.5*7</f>
        <v>67.7</v>
      </c>
      <c r="F582" s="237">
        <v>89.9</v>
      </c>
      <c r="G582" s="259">
        <v>0.1</v>
      </c>
      <c r="H582" s="260">
        <v>0</v>
      </c>
      <c r="I582" s="230">
        <f>100-SUM(F582:H582,K582,9.5)</f>
        <v>0.20000000000000301</v>
      </c>
      <c r="J582" s="237">
        <v>0</v>
      </c>
      <c r="K582" s="237">
        <v>0.3</v>
      </c>
      <c r="L582" s="213">
        <v>0.2</v>
      </c>
      <c r="M582" s="237">
        <v>9</v>
      </c>
      <c r="N582" s="237">
        <v>6</v>
      </c>
      <c r="O582" s="237">
        <v>0.5</v>
      </c>
      <c r="P582" s="237">
        <v>0</v>
      </c>
      <c r="Q582" s="237">
        <v>0</v>
      </c>
      <c r="R582" s="237">
        <v>0.01</v>
      </c>
      <c r="S582" s="237">
        <v>0.09</v>
      </c>
      <c r="T582" s="204">
        <v>4</v>
      </c>
      <c r="U582" s="204">
        <v>61</v>
      </c>
      <c r="V582" s="204">
        <v>8</v>
      </c>
      <c r="W582" s="244">
        <v>2.1999999999999999E-2</v>
      </c>
      <c r="X582" s="213">
        <v>0.06</v>
      </c>
      <c r="Y582" s="204">
        <v>40</v>
      </c>
      <c r="Z582" s="204">
        <v>0</v>
      </c>
      <c r="AA582" s="244">
        <v>0.03</v>
      </c>
      <c r="AB582" s="244">
        <v>0.02</v>
      </c>
      <c r="AC582" s="243">
        <v>0</v>
      </c>
      <c r="AD582" s="243">
        <v>0</v>
      </c>
      <c r="AE582" s="213"/>
      <c r="AF582" s="213">
        <v>0</v>
      </c>
      <c r="AG582" s="243">
        <v>0</v>
      </c>
      <c r="AH582" s="240">
        <f t="shared" si="71"/>
        <v>0</v>
      </c>
      <c r="AI582" s="204">
        <f t="shared" si="72"/>
        <v>0</v>
      </c>
      <c r="AJ582" s="253">
        <v>0</v>
      </c>
      <c r="AK582" s="213">
        <v>0</v>
      </c>
      <c r="AL582" s="237">
        <v>0</v>
      </c>
      <c r="AM582" s="204">
        <v>0</v>
      </c>
      <c r="AN582" s="204">
        <v>0</v>
      </c>
      <c r="AO582" s="204">
        <v>0</v>
      </c>
      <c r="AP582" s="204">
        <v>0</v>
      </c>
      <c r="AQ582" s="204">
        <v>0</v>
      </c>
      <c r="AR582" s="204">
        <v>0</v>
      </c>
      <c r="AS582" s="204">
        <v>0</v>
      </c>
      <c r="AT582" s="204">
        <v>0</v>
      </c>
      <c r="AU582" s="204">
        <v>0</v>
      </c>
      <c r="AV582" s="204"/>
      <c r="AW582" s="204">
        <v>0</v>
      </c>
      <c r="AX582" s="244">
        <v>0</v>
      </c>
      <c r="AY582" s="244">
        <v>0</v>
      </c>
      <c r="AZ582" s="244">
        <v>0</v>
      </c>
      <c r="BA582" s="244">
        <v>0</v>
      </c>
      <c r="BB582" s="244">
        <v>0</v>
      </c>
      <c r="BC582" s="244">
        <v>0</v>
      </c>
      <c r="BD582" s="244">
        <v>0</v>
      </c>
      <c r="BE582" s="244">
        <v>0</v>
      </c>
      <c r="BF582" s="244">
        <v>0</v>
      </c>
      <c r="BG582" s="244">
        <v>0</v>
      </c>
      <c r="BH582" s="244">
        <v>0</v>
      </c>
      <c r="BI582" s="244">
        <v>0</v>
      </c>
      <c r="BJ582" s="244">
        <v>0</v>
      </c>
      <c r="BK582" s="244">
        <v>0</v>
      </c>
      <c r="BL582" s="244">
        <v>0</v>
      </c>
      <c r="BM582" s="244">
        <v>0</v>
      </c>
      <c r="BN582" s="244"/>
      <c r="BO582" s="204">
        <v>0</v>
      </c>
      <c r="BP582" s="231"/>
      <c r="BQ582" s="231"/>
      <c r="BR582" s="231"/>
      <c r="BS582" s="231"/>
      <c r="BT582" s="231"/>
      <c r="BU582" s="231"/>
      <c r="BV582" s="231"/>
      <c r="BW582" s="231"/>
      <c r="BX582" s="231"/>
      <c r="BY582" s="231"/>
      <c r="BZ582" s="231"/>
      <c r="CA582" s="231"/>
      <c r="CB582" s="231"/>
      <c r="CC582" s="231"/>
      <c r="CD582" s="231"/>
      <c r="CE582" s="231"/>
      <c r="CF582" s="231"/>
      <c r="CG582" s="231"/>
      <c r="CH582" s="231"/>
      <c r="CI582" s="231"/>
    </row>
    <row r="583" spans="1:87" ht="25.2" customHeight="1" outlineLevel="1">
      <c r="A583" s="204">
        <v>547</v>
      </c>
      <c r="B583" s="204">
        <v>14015</v>
      </c>
      <c r="C583" s="208" t="s">
        <v>753</v>
      </c>
      <c r="D583" s="194"/>
      <c r="E583" s="209">
        <f>G583*4+H583*9+I583*4+10.2*7</f>
        <v>95.8</v>
      </c>
      <c r="F583" s="237">
        <v>83.4</v>
      </c>
      <c r="G583" s="259">
        <v>0.2</v>
      </c>
      <c r="H583" s="260">
        <v>0</v>
      </c>
      <c r="I583" s="230">
        <f>100-SUM(F583:H583,K583,10.2)</f>
        <v>5.8999999999999897</v>
      </c>
      <c r="J583" s="237">
        <v>0</v>
      </c>
      <c r="K583" s="237">
        <v>0.3</v>
      </c>
      <c r="L583" s="213">
        <v>5.9</v>
      </c>
      <c r="M583" s="237">
        <v>14</v>
      </c>
      <c r="N583" s="237">
        <v>13</v>
      </c>
      <c r="O583" s="237">
        <v>0.57999999999999996</v>
      </c>
      <c r="P583" s="237">
        <v>0</v>
      </c>
      <c r="Q583" s="237">
        <v>0</v>
      </c>
      <c r="R583" s="237">
        <v>0.01</v>
      </c>
      <c r="S583" s="237">
        <v>0.08</v>
      </c>
      <c r="T583" s="204">
        <v>13</v>
      </c>
      <c r="U583" s="204">
        <v>110</v>
      </c>
      <c r="V583" s="204">
        <v>11</v>
      </c>
      <c r="W583" s="244">
        <v>2.1999999999999999E-2</v>
      </c>
      <c r="X583" s="213">
        <v>0.06</v>
      </c>
      <c r="Y583" s="204">
        <v>40</v>
      </c>
      <c r="Z583" s="204">
        <v>0</v>
      </c>
      <c r="AA583" s="244">
        <v>0.03</v>
      </c>
      <c r="AB583" s="244">
        <v>1.2E-2</v>
      </c>
      <c r="AC583" s="243">
        <v>0</v>
      </c>
      <c r="AD583" s="243">
        <v>0</v>
      </c>
      <c r="AE583" s="213"/>
      <c r="AF583" s="213">
        <v>0</v>
      </c>
      <c r="AG583" s="243">
        <v>0</v>
      </c>
      <c r="AH583" s="240">
        <f t="shared" si="71"/>
        <v>0</v>
      </c>
      <c r="AI583" s="204">
        <f t="shared" si="72"/>
        <v>0</v>
      </c>
      <c r="AJ583" s="253">
        <v>0</v>
      </c>
      <c r="AK583" s="213">
        <v>0</v>
      </c>
      <c r="AL583" s="237">
        <v>0</v>
      </c>
      <c r="AM583" s="204">
        <v>0</v>
      </c>
      <c r="AN583" s="204">
        <v>0</v>
      </c>
      <c r="AO583" s="204">
        <v>0</v>
      </c>
      <c r="AP583" s="204">
        <v>0</v>
      </c>
      <c r="AQ583" s="204">
        <v>0</v>
      </c>
      <c r="AR583" s="204">
        <v>0</v>
      </c>
      <c r="AS583" s="204">
        <v>0</v>
      </c>
      <c r="AT583" s="204">
        <v>0</v>
      </c>
      <c r="AU583" s="204">
        <v>0</v>
      </c>
      <c r="AV583" s="204"/>
      <c r="AW583" s="204">
        <v>0</v>
      </c>
      <c r="AX583" s="244">
        <v>0</v>
      </c>
      <c r="AY583" s="244">
        <v>0</v>
      </c>
      <c r="AZ583" s="244">
        <v>0</v>
      </c>
      <c r="BA583" s="244">
        <v>0</v>
      </c>
      <c r="BB583" s="244">
        <v>0</v>
      </c>
      <c r="BC583" s="244">
        <v>0</v>
      </c>
      <c r="BD583" s="244">
        <v>0</v>
      </c>
      <c r="BE583" s="244">
        <v>0</v>
      </c>
      <c r="BF583" s="244">
        <v>0</v>
      </c>
      <c r="BG583" s="244">
        <v>0</v>
      </c>
      <c r="BH583" s="244">
        <v>0</v>
      </c>
      <c r="BI583" s="244">
        <v>0</v>
      </c>
      <c r="BJ583" s="244">
        <v>0</v>
      </c>
      <c r="BK583" s="244">
        <v>0</v>
      </c>
      <c r="BL583" s="244">
        <v>0</v>
      </c>
      <c r="BM583" s="244">
        <v>0</v>
      </c>
      <c r="BN583" s="244"/>
      <c r="BO583" s="204">
        <v>0</v>
      </c>
      <c r="BP583" s="231"/>
      <c r="BQ583" s="231"/>
      <c r="BR583" s="231"/>
      <c r="BS583" s="231"/>
      <c r="BT583" s="231"/>
      <c r="BU583" s="231"/>
      <c r="BV583" s="231"/>
      <c r="BW583" s="231"/>
      <c r="BX583" s="231"/>
      <c r="BY583" s="231"/>
      <c r="BZ583" s="231"/>
      <c r="CA583" s="231"/>
      <c r="CB583" s="231"/>
      <c r="CC583" s="231"/>
      <c r="CD583" s="231"/>
      <c r="CE583" s="231"/>
      <c r="CF583" s="231"/>
      <c r="CG583" s="231"/>
      <c r="CH583" s="231"/>
      <c r="CI583" s="231"/>
    </row>
    <row r="584" spans="1:87" s="172" customFormat="1" ht="25.2" customHeight="1">
      <c r="A584" s="204">
        <v>548</v>
      </c>
      <c r="B584" s="204">
        <v>14016</v>
      </c>
      <c r="C584" s="208" t="s">
        <v>754</v>
      </c>
      <c r="D584" s="194"/>
      <c r="E584" s="209">
        <f>G584*4+H584*9+I584*4+35.2*7</f>
        <v>246.4</v>
      </c>
      <c r="F584" s="216">
        <v>64.7</v>
      </c>
      <c r="G584" s="217">
        <v>0</v>
      </c>
      <c r="H584" s="218"/>
      <c r="I584" s="230">
        <f>100-SUM(F584,G584,H584,K584,35.2)</f>
        <v>0</v>
      </c>
      <c r="J584" s="216">
        <v>0</v>
      </c>
      <c r="K584" s="216">
        <v>0.1</v>
      </c>
      <c r="L584" s="233">
        <v>0</v>
      </c>
      <c r="M584" s="233">
        <v>1.5</v>
      </c>
      <c r="N584" s="233"/>
      <c r="O584" s="233"/>
      <c r="P584" s="233">
        <v>0</v>
      </c>
      <c r="Q584" s="233"/>
      <c r="R584" s="233"/>
      <c r="S584" s="233"/>
      <c r="T584" s="231"/>
      <c r="U584" s="231"/>
      <c r="V584" s="231"/>
      <c r="W584" s="242"/>
      <c r="X584" s="232"/>
      <c r="Y584" s="231"/>
      <c r="Z584" s="231"/>
      <c r="AA584" s="241"/>
      <c r="AB584" s="241"/>
      <c r="AC584" s="240"/>
      <c r="AD584" s="240"/>
      <c r="AE584" s="233"/>
      <c r="AF584" s="233"/>
      <c r="AG584" s="240"/>
      <c r="AH584" s="240">
        <f t="shared" si="71"/>
        <v>0</v>
      </c>
      <c r="AI584" s="231">
        <f t="shared" si="72"/>
        <v>0</v>
      </c>
      <c r="AJ584" s="252"/>
      <c r="AK584" s="233"/>
      <c r="AL584" s="216"/>
      <c r="AM584" s="231">
        <v>0</v>
      </c>
      <c r="AN584" s="231">
        <v>0</v>
      </c>
      <c r="AO584" s="231">
        <v>0</v>
      </c>
      <c r="AP584" s="231">
        <v>0</v>
      </c>
      <c r="AQ584" s="231">
        <v>0</v>
      </c>
      <c r="AR584" s="231">
        <v>0</v>
      </c>
      <c r="AS584" s="231">
        <v>0</v>
      </c>
      <c r="AT584" s="231">
        <v>0</v>
      </c>
      <c r="AU584" s="231">
        <v>0</v>
      </c>
      <c r="AV584" s="231"/>
      <c r="AW584" s="231">
        <v>0</v>
      </c>
      <c r="AX584" s="242">
        <v>0</v>
      </c>
      <c r="AY584" s="242">
        <v>0</v>
      </c>
      <c r="AZ584" s="242">
        <v>0</v>
      </c>
      <c r="BA584" s="242">
        <v>0</v>
      </c>
      <c r="BB584" s="242">
        <v>0</v>
      </c>
      <c r="BC584" s="242">
        <v>0</v>
      </c>
      <c r="BD584" s="242">
        <v>0</v>
      </c>
      <c r="BE584" s="242">
        <v>0</v>
      </c>
      <c r="BF584" s="242">
        <v>0</v>
      </c>
      <c r="BG584" s="242">
        <v>0</v>
      </c>
      <c r="BH584" s="242">
        <v>0</v>
      </c>
      <c r="BI584" s="242">
        <v>0</v>
      </c>
      <c r="BJ584" s="242">
        <v>0</v>
      </c>
      <c r="BK584" s="242">
        <v>0</v>
      </c>
      <c r="BL584" s="242">
        <v>0</v>
      </c>
      <c r="BM584" s="242">
        <v>0</v>
      </c>
      <c r="BN584" s="242"/>
      <c r="BO584" s="231">
        <v>0</v>
      </c>
      <c r="BP584" s="231"/>
      <c r="BQ584" s="231">
        <v>0</v>
      </c>
      <c r="BR584" s="231">
        <v>0</v>
      </c>
      <c r="BS584" s="231">
        <v>0</v>
      </c>
      <c r="BT584" s="231">
        <v>0</v>
      </c>
      <c r="BU584" s="231">
        <v>0</v>
      </c>
      <c r="BV584" s="231">
        <v>0</v>
      </c>
      <c r="BW584" s="231">
        <v>0</v>
      </c>
      <c r="BX584" s="231">
        <v>0</v>
      </c>
      <c r="BY584" s="231">
        <v>0</v>
      </c>
      <c r="BZ584" s="231">
        <v>0</v>
      </c>
      <c r="CA584" s="231">
        <v>0</v>
      </c>
      <c r="CB584" s="231">
        <v>0</v>
      </c>
      <c r="CC584" s="231">
        <v>0</v>
      </c>
      <c r="CD584" s="231">
        <v>0</v>
      </c>
      <c r="CE584" s="231">
        <v>0</v>
      </c>
      <c r="CF584" s="231">
        <v>0</v>
      </c>
      <c r="CG584" s="231">
        <v>0</v>
      </c>
      <c r="CH584" s="231">
        <v>0</v>
      </c>
      <c r="CI584" s="231"/>
    </row>
    <row r="585" spans="1:87" s="169" customFormat="1" ht="7.05" customHeight="1">
      <c r="A585" s="196"/>
      <c r="B585" s="196"/>
      <c r="C585" s="197"/>
      <c r="D585" s="198"/>
      <c r="E585" s="199"/>
      <c r="F585" s="199"/>
      <c r="G585" s="200"/>
      <c r="H585" s="201"/>
      <c r="I585" s="228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  <c r="AD585" s="199"/>
      <c r="AE585" s="199"/>
      <c r="AF585" s="199"/>
      <c r="AG585" s="199"/>
      <c r="AH585" s="199"/>
      <c r="AI585" s="199"/>
      <c r="AJ585" s="250"/>
      <c r="AK585" s="199"/>
      <c r="AL585" s="199"/>
      <c r="AM585" s="199"/>
      <c r="AN585" s="199"/>
      <c r="AO585" s="199"/>
      <c r="AP585" s="199"/>
      <c r="AQ585" s="199"/>
      <c r="AR585" s="199"/>
      <c r="AS585" s="199"/>
      <c r="AT585" s="199"/>
      <c r="AU585" s="199"/>
      <c r="AV585" s="199"/>
      <c r="AW585" s="199"/>
      <c r="AX585" s="199"/>
      <c r="AY585" s="199"/>
      <c r="AZ585" s="199"/>
      <c r="BA585" s="199"/>
      <c r="BB585" s="199"/>
      <c r="BC585" s="199"/>
      <c r="BD585" s="199"/>
      <c r="BE585" s="199"/>
      <c r="BF585" s="199"/>
      <c r="BG585" s="199"/>
      <c r="BH585" s="199"/>
      <c r="BI585" s="199"/>
      <c r="BJ585" s="199"/>
      <c r="BK585" s="199"/>
      <c r="BL585" s="199"/>
      <c r="BM585" s="199"/>
      <c r="BN585" s="199"/>
      <c r="BO585" s="199"/>
      <c r="BP585" s="199"/>
      <c r="BQ585" s="199"/>
      <c r="BR585" s="199"/>
      <c r="BS585" s="199"/>
      <c r="BT585" s="199"/>
      <c r="BU585" s="199"/>
      <c r="BV585" s="199"/>
      <c r="BW585" s="199"/>
      <c r="BX585" s="199"/>
      <c r="BY585" s="199"/>
      <c r="BZ585" s="199"/>
      <c r="CA585" s="199"/>
      <c r="CB585" s="199"/>
      <c r="CC585" s="199"/>
      <c r="CD585" s="199"/>
      <c r="CE585" s="199"/>
      <c r="CF585" s="199"/>
      <c r="CG585" s="199"/>
      <c r="CH585" s="199"/>
      <c r="CI585" s="199"/>
    </row>
    <row r="586" spans="1:87" ht="25.2" customHeight="1">
      <c r="A586" s="204"/>
      <c r="B586" s="202"/>
      <c r="C586" s="203" t="s">
        <v>755</v>
      </c>
      <c r="D586" s="194"/>
      <c r="E586" s="281"/>
      <c r="F586" s="282"/>
      <c r="G586" s="272"/>
      <c r="H586" s="273"/>
      <c r="I586" s="285"/>
      <c r="J586" s="282"/>
      <c r="K586" s="286"/>
      <c r="L586" s="286"/>
      <c r="M586" s="282"/>
      <c r="N586" s="282"/>
      <c r="O586" s="282"/>
      <c r="P586" s="282"/>
      <c r="Q586" s="282"/>
      <c r="R586" s="282"/>
      <c r="S586" s="282"/>
      <c r="T586" s="282"/>
      <c r="U586" s="282"/>
      <c r="V586" s="231"/>
      <c r="W586" s="242"/>
      <c r="X586" s="232"/>
      <c r="Y586" s="231"/>
      <c r="Z586" s="231"/>
      <c r="AA586" s="241"/>
      <c r="AB586" s="241"/>
      <c r="AC586" s="240"/>
      <c r="AD586" s="240"/>
      <c r="AE586" s="233"/>
      <c r="AF586" s="233"/>
      <c r="AG586" s="236"/>
      <c r="AH586" s="282"/>
      <c r="AI586" s="236"/>
      <c r="AJ586" s="216"/>
      <c r="AK586" s="233"/>
      <c r="AL586" s="216"/>
      <c r="AM586" s="236"/>
      <c r="AN586" s="231"/>
      <c r="AO586" s="231"/>
      <c r="AP586" s="231"/>
      <c r="AQ586" s="231"/>
      <c r="AR586" s="231"/>
      <c r="AS586" s="231"/>
      <c r="AT586" s="231"/>
      <c r="AU586" s="231"/>
      <c r="AV586" s="231"/>
      <c r="AW586" s="236"/>
      <c r="AX586" s="242"/>
      <c r="AY586" s="242"/>
      <c r="AZ586" s="242"/>
      <c r="BA586" s="242"/>
      <c r="BB586" s="242"/>
      <c r="BC586" s="242"/>
      <c r="BD586" s="242"/>
      <c r="BE586" s="231"/>
      <c r="BF586" s="242"/>
      <c r="BG586" s="242"/>
      <c r="BH586" s="242"/>
      <c r="BI586" s="242"/>
      <c r="BJ586" s="242"/>
      <c r="BK586" s="242"/>
      <c r="BL586" s="242"/>
      <c r="BM586" s="242"/>
      <c r="BN586" s="242"/>
      <c r="BO586" s="231"/>
      <c r="BP586" s="231"/>
      <c r="BQ586" s="231"/>
      <c r="BR586" s="231"/>
      <c r="BS586" s="231"/>
      <c r="BT586" s="231"/>
      <c r="BU586" s="231"/>
      <c r="BV586" s="231"/>
      <c r="BW586" s="231"/>
      <c r="BX586" s="231"/>
      <c r="BY586" s="231"/>
      <c r="BZ586" s="231"/>
      <c r="CA586" s="231"/>
      <c r="CB586" s="231"/>
      <c r="CC586" s="231"/>
      <c r="CD586" s="231"/>
      <c r="CE586" s="231"/>
      <c r="CF586" s="231"/>
      <c r="CG586" s="231"/>
      <c r="CH586" s="231"/>
      <c r="CI586" s="231"/>
    </row>
    <row r="587" spans="1:87" ht="25.2" customHeight="1" outlineLevel="1">
      <c r="A587" s="204">
        <v>549</v>
      </c>
      <c r="B587" s="283">
        <v>15001</v>
      </c>
      <c r="C587" s="208" t="s">
        <v>756</v>
      </c>
      <c r="D587" s="194"/>
      <c r="E587" s="240">
        <f t="shared" ref="E587:E650" si="75">G587*4+H587*9+I587*4</f>
        <v>177.34</v>
      </c>
      <c r="F587" s="222">
        <v>66.900000000000006</v>
      </c>
      <c r="G587" s="223">
        <v>2.2999999999999998</v>
      </c>
      <c r="H587" s="224">
        <v>10.1</v>
      </c>
      <c r="I587" s="234">
        <f t="shared" ref="I587:I650" si="76">100-SUM(F587,G587,H587,K587)</f>
        <v>19.309999999999999</v>
      </c>
      <c r="J587" s="235">
        <v>1.6628352490421501</v>
      </c>
      <c r="K587" s="222">
        <v>1.39</v>
      </c>
      <c r="L587" s="232"/>
      <c r="M587" s="287">
        <v>108.3</v>
      </c>
      <c r="N587" s="287">
        <v>61.91</v>
      </c>
      <c r="O587" s="287">
        <v>1.55</v>
      </c>
      <c r="P587" s="287"/>
      <c r="Q587" s="287"/>
      <c r="R587" s="287"/>
      <c r="S587" s="287"/>
      <c r="T587" s="287"/>
      <c r="U587" s="287"/>
      <c r="V587" s="231"/>
      <c r="W587" s="242"/>
      <c r="X587" s="222">
        <v>0.4</v>
      </c>
      <c r="Y587" s="231"/>
      <c r="Z587" s="231"/>
      <c r="AA587" s="242"/>
      <c r="AB587" s="242"/>
      <c r="AC587" s="209"/>
      <c r="AD587" s="209"/>
      <c r="AE587" s="231"/>
      <c r="AF587" s="231"/>
      <c r="AG587" s="231"/>
      <c r="AH587" s="231"/>
      <c r="AI587" s="231"/>
      <c r="AJ587" s="210"/>
      <c r="AK587" s="232"/>
      <c r="AL587" s="210"/>
      <c r="AM587" s="231"/>
      <c r="AN587" s="231"/>
      <c r="AO587" s="231"/>
      <c r="AP587" s="231"/>
      <c r="AQ587" s="231"/>
      <c r="AR587" s="231"/>
      <c r="AS587" s="231"/>
      <c r="AT587" s="231"/>
      <c r="AU587" s="231"/>
      <c r="AV587" s="231"/>
      <c r="AW587" s="231"/>
      <c r="AX587" s="242"/>
      <c r="AY587" s="242"/>
      <c r="AZ587" s="242"/>
      <c r="BA587" s="242"/>
      <c r="BB587" s="242"/>
      <c r="BC587" s="242"/>
      <c r="BD587" s="242"/>
      <c r="BE587" s="231"/>
      <c r="BF587" s="242"/>
      <c r="BG587" s="242"/>
      <c r="BH587" s="242"/>
      <c r="BI587" s="242"/>
      <c r="BJ587" s="242"/>
      <c r="BK587" s="242"/>
      <c r="BL587" s="242"/>
      <c r="BM587" s="242"/>
      <c r="BN587" s="242"/>
      <c r="BO587" s="231"/>
      <c r="BP587" s="231"/>
      <c r="BQ587" s="231"/>
      <c r="BR587" s="231"/>
      <c r="BS587" s="231"/>
      <c r="BT587" s="231"/>
      <c r="BU587" s="231"/>
      <c r="BV587" s="231"/>
      <c r="BW587" s="231"/>
      <c r="BX587" s="231"/>
      <c r="BY587" s="231"/>
      <c r="BZ587" s="231"/>
      <c r="CA587" s="231"/>
      <c r="CB587" s="231"/>
      <c r="CC587" s="231"/>
      <c r="CD587" s="231"/>
      <c r="CE587" s="231"/>
      <c r="CF587" s="231"/>
      <c r="CG587" s="231"/>
      <c r="CH587" s="231"/>
      <c r="CI587" s="231"/>
    </row>
    <row r="588" spans="1:87" ht="25.2" customHeight="1" outlineLevel="1">
      <c r="A588" s="204">
        <v>550</v>
      </c>
      <c r="B588" s="283">
        <v>15002</v>
      </c>
      <c r="C588" s="208" t="s">
        <v>757</v>
      </c>
      <c r="D588" s="194"/>
      <c r="E588" s="240">
        <f t="shared" si="75"/>
        <v>117.6</v>
      </c>
      <c r="F588" s="222">
        <v>75.3</v>
      </c>
      <c r="G588" s="223">
        <v>1.8</v>
      </c>
      <c r="H588" s="224">
        <v>4.2</v>
      </c>
      <c r="I588" s="234">
        <f t="shared" si="76"/>
        <v>18.149999999999999</v>
      </c>
      <c r="J588" s="235">
        <v>0.62669521770164205</v>
      </c>
      <c r="K588" s="222">
        <v>0.55000000000000004</v>
      </c>
      <c r="L588" s="232"/>
      <c r="M588" s="222">
        <v>84.79</v>
      </c>
      <c r="N588" s="222">
        <v>25.8</v>
      </c>
      <c r="O588" s="222">
        <v>2.4500000000000002</v>
      </c>
      <c r="P588" s="222"/>
      <c r="Q588" s="222"/>
      <c r="R588" s="222"/>
      <c r="S588" s="222"/>
      <c r="T588" s="222"/>
      <c r="U588" s="222"/>
      <c r="V588" s="231"/>
      <c r="W588" s="242"/>
      <c r="X588" s="222">
        <v>0.52</v>
      </c>
      <c r="Y588" s="231"/>
      <c r="Z588" s="231"/>
      <c r="AA588" s="242"/>
      <c r="AB588" s="242"/>
      <c r="AC588" s="209"/>
      <c r="AD588" s="209"/>
      <c r="AE588" s="231"/>
      <c r="AF588" s="231"/>
      <c r="AG588" s="231"/>
      <c r="AH588" s="231"/>
      <c r="AI588" s="231"/>
      <c r="AJ588" s="210"/>
      <c r="AK588" s="232"/>
      <c r="AL588" s="210"/>
      <c r="AM588" s="231"/>
      <c r="AN588" s="231"/>
      <c r="AO588" s="231"/>
      <c r="AP588" s="231"/>
      <c r="AQ588" s="231"/>
      <c r="AR588" s="231"/>
      <c r="AS588" s="231"/>
      <c r="AT588" s="231"/>
      <c r="AU588" s="231"/>
      <c r="AV588" s="231"/>
      <c r="AW588" s="231"/>
      <c r="AX588" s="242"/>
      <c r="AY588" s="242"/>
      <c r="AZ588" s="242"/>
      <c r="BA588" s="242"/>
      <c r="BB588" s="242"/>
      <c r="BC588" s="242"/>
      <c r="BD588" s="242"/>
      <c r="BE588" s="231"/>
      <c r="BF588" s="242"/>
      <c r="BG588" s="242"/>
      <c r="BH588" s="242"/>
      <c r="BI588" s="242"/>
      <c r="BJ588" s="242"/>
      <c r="BK588" s="242"/>
      <c r="BL588" s="242"/>
      <c r="BM588" s="242"/>
      <c r="BN588" s="242"/>
      <c r="BO588" s="231"/>
      <c r="BP588" s="231"/>
      <c r="BQ588" s="231"/>
      <c r="BR588" s="231"/>
      <c r="BS588" s="231"/>
      <c r="BT588" s="231"/>
      <c r="BU588" s="231"/>
      <c r="BV588" s="231"/>
      <c r="BW588" s="231"/>
      <c r="BX588" s="231"/>
      <c r="BY588" s="231"/>
      <c r="BZ588" s="231"/>
      <c r="CA588" s="231"/>
      <c r="CB588" s="231"/>
      <c r="CC588" s="231"/>
      <c r="CD588" s="231"/>
      <c r="CE588" s="231"/>
      <c r="CF588" s="231"/>
      <c r="CG588" s="231"/>
      <c r="CH588" s="231"/>
      <c r="CI588" s="231"/>
    </row>
    <row r="589" spans="1:87" ht="25.2" customHeight="1" outlineLevel="1">
      <c r="A589" s="204">
        <v>551</v>
      </c>
      <c r="B589" s="283">
        <v>15003</v>
      </c>
      <c r="C589" s="208" t="s">
        <v>758</v>
      </c>
      <c r="D589" s="194"/>
      <c r="E589" s="240">
        <f t="shared" si="75"/>
        <v>136.86000000000001</v>
      </c>
      <c r="F589" s="222">
        <v>69.900000000000006</v>
      </c>
      <c r="G589" s="220">
        <v>6.8</v>
      </c>
      <c r="H589" s="224">
        <v>4.3</v>
      </c>
      <c r="I589" s="234">
        <f t="shared" si="76"/>
        <v>17.739999999999998</v>
      </c>
      <c r="J589" s="235">
        <v>0.61</v>
      </c>
      <c r="K589" s="222">
        <v>1.26</v>
      </c>
      <c r="L589" s="232"/>
      <c r="M589" s="222">
        <v>104.9</v>
      </c>
      <c r="N589" s="222">
        <v>13</v>
      </c>
      <c r="O589" s="222">
        <v>1.88</v>
      </c>
      <c r="P589" s="222"/>
      <c r="Q589" s="222"/>
      <c r="R589" s="222"/>
      <c r="S589" s="222"/>
      <c r="T589" s="222"/>
      <c r="U589" s="222"/>
      <c r="V589" s="231"/>
      <c r="W589" s="242"/>
      <c r="X589" s="222">
        <v>0.45</v>
      </c>
      <c r="Y589" s="231"/>
      <c r="Z589" s="231"/>
      <c r="AA589" s="242"/>
      <c r="AB589" s="242"/>
      <c r="AC589" s="209"/>
      <c r="AD589" s="209"/>
      <c r="AE589" s="231"/>
      <c r="AF589" s="231"/>
      <c r="AG589" s="231"/>
      <c r="AH589" s="231"/>
      <c r="AI589" s="231"/>
      <c r="AJ589" s="210"/>
      <c r="AK589" s="232"/>
      <c r="AL589" s="210"/>
      <c r="AM589" s="231"/>
      <c r="AN589" s="231"/>
      <c r="AO589" s="231"/>
      <c r="AP589" s="231"/>
      <c r="AQ589" s="231"/>
      <c r="AR589" s="231"/>
      <c r="AS589" s="231"/>
      <c r="AT589" s="231"/>
      <c r="AU589" s="231"/>
      <c r="AV589" s="231"/>
      <c r="AW589" s="231"/>
      <c r="AX589" s="242"/>
      <c r="AY589" s="242"/>
      <c r="AZ589" s="242"/>
      <c r="BA589" s="242"/>
      <c r="BB589" s="242"/>
      <c r="BC589" s="242"/>
      <c r="BD589" s="242"/>
      <c r="BE589" s="231"/>
      <c r="BF589" s="242"/>
      <c r="BG589" s="242"/>
      <c r="BH589" s="242"/>
      <c r="BI589" s="242"/>
      <c r="BJ589" s="242"/>
      <c r="BK589" s="242"/>
      <c r="BL589" s="242"/>
      <c r="BM589" s="242"/>
      <c r="BN589" s="242"/>
      <c r="BO589" s="231"/>
      <c r="BP589" s="231"/>
      <c r="BQ589" s="231"/>
      <c r="BR589" s="231"/>
      <c r="BS589" s="231"/>
      <c r="BT589" s="231"/>
      <c r="BU589" s="231"/>
      <c r="BV589" s="231"/>
      <c r="BW589" s="231"/>
      <c r="BX589" s="231"/>
      <c r="BY589" s="231"/>
      <c r="BZ589" s="231"/>
      <c r="CA589" s="231"/>
      <c r="CB589" s="231"/>
      <c r="CC589" s="231"/>
      <c r="CD589" s="231"/>
      <c r="CE589" s="231"/>
      <c r="CF589" s="231"/>
      <c r="CG589" s="231"/>
      <c r="CH589" s="231"/>
      <c r="CI589" s="231"/>
    </row>
    <row r="590" spans="1:87" ht="25.2" customHeight="1" outlineLevel="1">
      <c r="A590" s="204">
        <v>552</v>
      </c>
      <c r="B590" s="283">
        <v>15004</v>
      </c>
      <c r="C590" s="208" t="s">
        <v>759</v>
      </c>
      <c r="D590" s="194" t="s">
        <v>181</v>
      </c>
      <c r="E590" s="240">
        <f t="shared" si="75"/>
        <v>155.94</v>
      </c>
      <c r="F590" s="222">
        <v>64.7</v>
      </c>
      <c r="G590" s="220">
        <v>3.3</v>
      </c>
      <c r="H590" s="221">
        <v>3.1</v>
      </c>
      <c r="I590" s="234">
        <f t="shared" si="76"/>
        <v>28.71</v>
      </c>
      <c r="J590" s="235">
        <v>0.38</v>
      </c>
      <c r="K590" s="222">
        <v>0.19</v>
      </c>
      <c r="L590" s="232"/>
      <c r="M590" s="222">
        <v>12.2</v>
      </c>
      <c r="N590" s="222">
        <v>26.4</v>
      </c>
      <c r="O590" s="222">
        <v>0.78</v>
      </c>
      <c r="P590" s="222"/>
      <c r="Q590" s="222"/>
      <c r="R590" s="222"/>
      <c r="S590" s="222"/>
      <c r="T590" s="222"/>
      <c r="U590" s="222"/>
      <c r="V590" s="231"/>
      <c r="W590" s="242"/>
      <c r="X590" s="235">
        <v>0.32</v>
      </c>
      <c r="Y590" s="231"/>
      <c r="Z590" s="231"/>
      <c r="AA590" s="242"/>
      <c r="AB590" s="242"/>
      <c r="AC590" s="209"/>
      <c r="AD590" s="209"/>
      <c r="AE590" s="231"/>
      <c r="AF590" s="231"/>
      <c r="AG590" s="231"/>
      <c r="AH590" s="231"/>
      <c r="AI590" s="231"/>
      <c r="AJ590" s="210"/>
      <c r="AK590" s="232"/>
      <c r="AL590" s="210"/>
      <c r="AM590" s="231"/>
      <c r="AN590" s="231"/>
      <c r="AO590" s="231"/>
      <c r="AP590" s="231"/>
      <c r="AQ590" s="231"/>
      <c r="AR590" s="231"/>
      <c r="AS590" s="231"/>
      <c r="AT590" s="231"/>
      <c r="AU590" s="231"/>
      <c r="AV590" s="231"/>
      <c r="AW590" s="231"/>
      <c r="AX590" s="242"/>
      <c r="AY590" s="242"/>
      <c r="AZ590" s="242"/>
      <c r="BA590" s="242"/>
      <c r="BB590" s="242"/>
      <c r="BC590" s="242"/>
      <c r="BD590" s="242"/>
      <c r="BE590" s="231"/>
      <c r="BF590" s="242"/>
      <c r="BG590" s="242"/>
      <c r="BH590" s="242"/>
      <c r="BI590" s="242"/>
      <c r="BJ590" s="242"/>
      <c r="BK590" s="242"/>
      <c r="BL590" s="242"/>
      <c r="BM590" s="242"/>
      <c r="BN590" s="242"/>
      <c r="BO590" s="231"/>
      <c r="BP590" s="231"/>
      <c r="BQ590" s="231"/>
      <c r="BR590" s="231"/>
      <c r="BS590" s="231"/>
      <c r="BT590" s="231"/>
      <c r="BU590" s="231"/>
      <c r="BV590" s="231"/>
      <c r="BW590" s="231"/>
      <c r="BX590" s="231"/>
      <c r="BY590" s="231"/>
      <c r="BZ590" s="231"/>
      <c r="CA590" s="231"/>
      <c r="CB590" s="231"/>
      <c r="CC590" s="231"/>
      <c r="CD590" s="231"/>
      <c r="CE590" s="231"/>
      <c r="CF590" s="231"/>
      <c r="CG590" s="231"/>
      <c r="CH590" s="231"/>
      <c r="CI590" s="231"/>
    </row>
    <row r="591" spans="1:87" ht="25.2" customHeight="1" outlineLevel="1">
      <c r="A591" s="204">
        <v>553</v>
      </c>
      <c r="B591" s="283">
        <v>15005</v>
      </c>
      <c r="C591" s="208" t="s">
        <v>760</v>
      </c>
      <c r="D591" s="194" t="s">
        <v>181</v>
      </c>
      <c r="E591" s="240">
        <f t="shared" si="75"/>
        <v>169.28</v>
      </c>
      <c r="F591" s="222">
        <v>58.2</v>
      </c>
      <c r="G591" s="223">
        <v>0.2</v>
      </c>
      <c r="H591" s="224">
        <v>0.6</v>
      </c>
      <c r="I591" s="234">
        <f t="shared" si="76"/>
        <v>40.770000000000003</v>
      </c>
      <c r="J591" s="235">
        <v>5.9363957597172903E-2</v>
      </c>
      <c r="K591" s="222">
        <v>0.23</v>
      </c>
      <c r="L591" s="232"/>
      <c r="M591" s="222">
        <v>58.41</v>
      </c>
      <c r="N591" s="222">
        <v>7.62</v>
      </c>
      <c r="O591" s="222">
        <v>0.94</v>
      </c>
      <c r="P591" s="222"/>
      <c r="Q591" s="222"/>
      <c r="R591" s="222"/>
      <c r="S591" s="222"/>
      <c r="T591" s="222"/>
      <c r="U591" s="222"/>
      <c r="V591" s="231"/>
      <c r="W591" s="242"/>
      <c r="X591" s="222">
        <v>0.89</v>
      </c>
      <c r="Y591" s="231"/>
      <c r="Z591" s="231"/>
      <c r="AA591" s="242"/>
      <c r="AB591" s="242"/>
      <c r="AC591" s="209"/>
      <c r="AD591" s="209"/>
      <c r="AE591" s="231"/>
      <c r="AF591" s="231"/>
      <c r="AG591" s="231"/>
      <c r="AH591" s="231"/>
      <c r="AI591" s="231"/>
      <c r="AJ591" s="210"/>
      <c r="AK591" s="232"/>
      <c r="AL591" s="210"/>
      <c r="AM591" s="231"/>
      <c r="AN591" s="231"/>
      <c r="AO591" s="231"/>
      <c r="AP591" s="231"/>
      <c r="AQ591" s="231"/>
      <c r="AR591" s="231"/>
      <c r="AS591" s="231"/>
      <c r="AT591" s="231"/>
      <c r="AU591" s="231"/>
      <c r="AV591" s="231"/>
      <c r="AW591" s="231"/>
      <c r="AX591" s="242"/>
      <c r="AY591" s="242"/>
      <c r="AZ591" s="242"/>
      <c r="BA591" s="242"/>
      <c r="BB591" s="242"/>
      <c r="BC591" s="242"/>
      <c r="BD591" s="242"/>
      <c r="BE591" s="231"/>
      <c r="BF591" s="242"/>
      <c r="BG591" s="242"/>
      <c r="BH591" s="242"/>
      <c r="BI591" s="242"/>
      <c r="BJ591" s="242"/>
      <c r="BK591" s="242"/>
      <c r="BL591" s="242"/>
      <c r="BM591" s="242"/>
      <c r="BN591" s="242"/>
      <c r="BO591" s="231"/>
      <c r="BP591" s="231"/>
      <c r="BQ591" s="231"/>
      <c r="BR591" s="231"/>
      <c r="BS591" s="231"/>
      <c r="BT591" s="231"/>
      <c r="BU591" s="231"/>
      <c r="BV591" s="231"/>
      <c r="BW591" s="231"/>
      <c r="BX591" s="231"/>
      <c r="BY591" s="231"/>
      <c r="BZ591" s="231"/>
      <c r="CA591" s="231"/>
      <c r="CB591" s="231"/>
      <c r="CC591" s="231"/>
      <c r="CD591" s="231"/>
      <c r="CE591" s="231"/>
      <c r="CF591" s="231"/>
      <c r="CG591" s="231"/>
      <c r="CH591" s="231"/>
      <c r="CI591" s="231"/>
    </row>
    <row r="592" spans="1:87" ht="25.2" customHeight="1" outlineLevel="1">
      <c r="A592" s="204">
        <v>554</v>
      </c>
      <c r="B592" s="283">
        <v>15006</v>
      </c>
      <c r="C592" s="208" t="s">
        <v>761</v>
      </c>
      <c r="D592" s="194"/>
      <c r="E592" s="240">
        <f t="shared" si="75"/>
        <v>181.4</v>
      </c>
      <c r="F592" s="222">
        <v>59.1</v>
      </c>
      <c r="G592" s="223">
        <v>4.3</v>
      </c>
      <c r="H592" s="224">
        <v>4.2</v>
      </c>
      <c r="I592" s="234">
        <f t="shared" si="76"/>
        <v>31.6</v>
      </c>
      <c r="J592" s="235">
        <v>0.59</v>
      </c>
      <c r="K592" s="222">
        <v>0.8</v>
      </c>
      <c r="L592" s="232"/>
      <c r="M592" s="222">
        <v>25.6</v>
      </c>
      <c r="N592" s="222">
        <v>49.5</v>
      </c>
      <c r="O592" s="222">
        <v>0.94</v>
      </c>
      <c r="P592" s="222"/>
      <c r="Q592" s="222"/>
      <c r="R592" s="222"/>
      <c r="S592" s="222"/>
      <c r="T592" s="222"/>
      <c r="U592" s="222"/>
      <c r="V592" s="231"/>
      <c r="W592" s="242"/>
      <c r="X592" s="235">
        <v>1.4</v>
      </c>
      <c r="Y592" s="231"/>
      <c r="Z592" s="231"/>
      <c r="AA592" s="242"/>
      <c r="AB592" s="242"/>
      <c r="AC592" s="209"/>
      <c r="AD592" s="209"/>
      <c r="AE592" s="231"/>
      <c r="AF592" s="231"/>
      <c r="AG592" s="231"/>
      <c r="AH592" s="231"/>
      <c r="AI592" s="231"/>
      <c r="AJ592" s="210"/>
      <c r="AK592" s="232"/>
      <c r="AL592" s="210"/>
      <c r="AM592" s="231"/>
      <c r="AN592" s="231"/>
      <c r="AO592" s="231"/>
      <c r="AP592" s="231"/>
      <c r="AQ592" s="231"/>
      <c r="AR592" s="231"/>
      <c r="AS592" s="231"/>
      <c r="AT592" s="231"/>
      <c r="AU592" s="231"/>
      <c r="AV592" s="231"/>
      <c r="AW592" s="231"/>
      <c r="AX592" s="242"/>
      <c r="AY592" s="242"/>
      <c r="AZ592" s="242"/>
      <c r="BA592" s="242"/>
      <c r="BB592" s="242"/>
      <c r="BC592" s="242"/>
      <c r="BD592" s="242"/>
      <c r="BE592" s="231"/>
      <c r="BF592" s="242"/>
      <c r="BG592" s="242"/>
      <c r="BH592" s="242"/>
      <c r="BI592" s="242"/>
      <c r="BJ592" s="242"/>
      <c r="BK592" s="242"/>
      <c r="BL592" s="242"/>
      <c r="BM592" s="242"/>
      <c r="BN592" s="242"/>
      <c r="BO592" s="231"/>
      <c r="BP592" s="231"/>
      <c r="BQ592" s="231"/>
      <c r="BR592" s="231"/>
      <c r="BS592" s="231"/>
      <c r="BT592" s="231"/>
      <c r="BU592" s="231"/>
      <c r="BV592" s="231"/>
      <c r="BW592" s="231"/>
      <c r="BX592" s="231"/>
      <c r="BY592" s="231"/>
      <c r="BZ592" s="231"/>
      <c r="CA592" s="231"/>
      <c r="CB592" s="231"/>
      <c r="CC592" s="231"/>
      <c r="CD592" s="231"/>
      <c r="CE592" s="231"/>
      <c r="CF592" s="231"/>
      <c r="CG592" s="231"/>
      <c r="CH592" s="231"/>
      <c r="CI592" s="231"/>
    </row>
    <row r="593" spans="1:87" s="172" customFormat="1" ht="25.2" customHeight="1">
      <c r="A593" s="204">
        <v>555</v>
      </c>
      <c r="B593" s="283">
        <v>15007</v>
      </c>
      <c r="C593" s="208" t="s">
        <v>762</v>
      </c>
      <c r="D593" s="194" t="s">
        <v>181</v>
      </c>
      <c r="E593" s="240">
        <f t="shared" si="75"/>
        <v>297.16000000000003</v>
      </c>
      <c r="F593" s="219">
        <v>42.9</v>
      </c>
      <c r="G593" s="220">
        <v>2</v>
      </c>
      <c r="H593" s="224">
        <v>14.2</v>
      </c>
      <c r="I593" s="234">
        <f t="shared" si="76"/>
        <v>40.340000000000003</v>
      </c>
      <c r="J593" s="235">
        <v>0.13</v>
      </c>
      <c r="K593" s="222">
        <v>0.56000000000000005</v>
      </c>
      <c r="L593" s="232"/>
      <c r="M593" s="222">
        <v>123.7</v>
      </c>
      <c r="N593" s="222">
        <v>13</v>
      </c>
      <c r="O593" s="222">
        <v>1.1000000000000001</v>
      </c>
      <c r="P593" s="222"/>
      <c r="Q593" s="222"/>
      <c r="R593" s="222"/>
      <c r="S593" s="222"/>
      <c r="T593" s="222"/>
      <c r="U593" s="222"/>
      <c r="V593" s="231"/>
      <c r="W593" s="242"/>
      <c r="X593" s="222">
        <v>0.45</v>
      </c>
      <c r="Y593" s="231"/>
      <c r="Z593" s="231"/>
      <c r="AA593" s="242"/>
      <c r="AB593" s="242"/>
      <c r="AC593" s="209"/>
      <c r="AD593" s="209"/>
      <c r="AE593" s="231"/>
      <c r="AF593" s="231"/>
      <c r="AG593" s="231"/>
      <c r="AH593" s="231"/>
      <c r="AI593" s="231"/>
      <c r="AJ593" s="210"/>
      <c r="AK593" s="232"/>
      <c r="AL593" s="210"/>
      <c r="AM593" s="231"/>
      <c r="AN593" s="231"/>
      <c r="AO593" s="231"/>
      <c r="AP593" s="231"/>
      <c r="AQ593" s="231"/>
      <c r="AR593" s="231"/>
      <c r="AS593" s="231"/>
      <c r="AT593" s="231"/>
      <c r="AU593" s="231"/>
      <c r="AV593" s="231"/>
      <c r="AW593" s="231"/>
      <c r="AX593" s="242"/>
      <c r="AY593" s="242"/>
      <c r="AZ593" s="242"/>
      <c r="BA593" s="242"/>
      <c r="BB593" s="242"/>
      <c r="BC593" s="242"/>
      <c r="BD593" s="242"/>
      <c r="BE593" s="231"/>
      <c r="BF593" s="242"/>
      <c r="BG593" s="242"/>
      <c r="BH593" s="242"/>
      <c r="BI593" s="242"/>
      <c r="BJ593" s="242"/>
      <c r="BK593" s="242"/>
      <c r="BL593" s="242"/>
      <c r="BM593" s="242"/>
      <c r="BN593" s="242"/>
      <c r="BO593" s="231"/>
      <c r="BP593" s="231"/>
      <c r="BQ593" s="231"/>
      <c r="BR593" s="231"/>
      <c r="BS593" s="231"/>
      <c r="BT593" s="231"/>
      <c r="BU593" s="231"/>
      <c r="BV593" s="231"/>
      <c r="BW593" s="231"/>
      <c r="BX593" s="231"/>
      <c r="BY593" s="231"/>
      <c r="BZ593" s="231"/>
      <c r="CA593" s="231"/>
      <c r="CB593" s="231"/>
      <c r="CC593" s="231"/>
      <c r="CD593" s="231"/>
      <c r="CE593" s="231"/>
      <c r="CF593" s="231"/>
      <c r="CG593" s="231"/>
      <c r="CH593" s="231"/>
      <c r="CI593" s="231"/>
    </row>
    <row r="594" spans="1:87" ht="25.2" customHeight="1" outlineLevel="1">
      <c r="A594" s="204">
        <v>556</v>
      </c>
      <c r="B594" s="283">
        <v>15008</v>
      </c>
      <c r="C594" s="208" t="s">
        <v>763</v>
      </c>
      <c r="D594" s="194" t="s">
        <v>181</v>
      </c>
      <c r="E594" s="240">
        <f t="shared" si="75"/>
        <v>250.3</v>
      </c>
      <c r="F594" s="222">
        <v>37.1</v>
      </c>
      <c r="G594" s="223">
        <v>3.4</v>
      </c>
      <c r="H594" s="224">
        <v>0.3</v>
      </c>
      <c r="I594" s="234">
        <f t="shared" si="76"/>
        <v>58.5</v>
      </c>
      <c r="J594" s="235">
        <v>1.1000000000000001</v>
      </c>
      <c r="K594" s="222">
        <v>0.7</v>
      </c>
      <c r="L594" s="232"/>
      <c r="M594" s="222">
        <v>27.9</v>
      </c>
      <c r="N594" s="222">
        <v>104.66</v>
      </c>
      <c r="O594" s="222">
        <v>0.6</v>
      </c>
      <c r="P594" s="222"/>
      <c r="Q594" s="222"/>
      <c r="R594" s="222"/>
      <c r="S594" s="222"/>
      <c r="T594" s="222"/>
      <c r="U594" s="222"/>
      <c r="V594" s="231"/>
      <c r="W594" s="242"/>
      <c r="X594" s="235">
        <v>0.77</v>
      </c>
      <c r="Y594" s="231"/>
      <c r="Z594" s="231"/>
      <c r="AA594" s="242"/>
      <c r="AB594" s="242"/>
      <c r="AC594" s="209"/>
      <c r="AD594" s="209"/>
      <c r="AE594" s="231"/>
      <c r="AF594" s="231"/>
      <c r="AG594" s="231"/>
      <c r="AH594" s="231"/>
      <c r="AI594" s="231"/>
      <c r="AJ594" s="210"/>
      <c r="AK594" s="232"/>
      <c r="AL594" s="210"/>
      <c r="AM594" s="231"/>
      <c r="AN594" s="231"/>
      <c r="AO594" s="231"/>
      <c r="AP594" s="231"/>
      <c r="AQ594" s="231"/>
      <c r="AR594" s="231"/>
      <c r="AS594" s="231"/>
      <c r="AT594" s="231"/>
      <c r="AU594" s="231"/>
      <c r="AV594" s="231"/>
      <c r="AW594" s="231"/>
      <c r="AX594" s="242"/>
      <c r="AY594" s="242"/>
      <c r="AZ594" s="242"/>
      <c r="BA594" s="242"/>
      <c r="BB594" s="242"/>
      <c r="BC594" s="242"/>
      <c r="BD594" s="242"/>
      <c r="BE594" s="231"/>
      <c r="BF594" s="242"/>
      <c r="BG594" s="242"/>
      <c r="BH594" s="242"/>
      <c r="BI594" s="242"/>
      <c r="BJ594" s="242"/>
      <c r="BK594" s="242"/>
      <c r="BL594" s="242"/>
      <c r="BM594" s="242"/>
      <c r="BN594" s="242"/>
      <c r="BO594" s="231"/>
      <c r="BP594" s="231"/>
      <c r="BQ594" s="231"/>
      <c r="BR594" s="231"/>
      <c r="BS594" s="231"/>
      <c r="BT594" s="231"/>
      <c r="BU594" s="231"/>
      <c r="BV594" s="231"/>
      <c r="BW594" s="231"/>
      <c r="BX594" s="231"/>
      <c r="BY594" s="231"/>
      <c r="BZ594" s="231"/>
      <c r="CA594" s="231"/>
      <c r="CB594" s="231"/>
      <c r="CC594" s="231"/>
      <c r="CD594" s="231"/>
      <c r="CE594" s="231"/>
      <c r="CF594" s="231"/>
      <c r="CG594" s="231"/>
      <c r="CH594" s="231"/>
      <c r="CI594" s="231"/>
    </row>
    <row r="595" spans="1:87" ht="25.2" customHeight="1" outlineLevel="1">
      <c r="A595" s="204">
        <v>557</v>
      </c>
      <c r="B595" s="283">
        <v>15009</v>
      </c>
      <c r="C595" s="208" t="s">
        <v>764</v>
      </c>
      <c r="D595" s="194" t="s">
        <v>181</v>
      </c>
      <c r="E595" s="240">
        <f t="shared" si="75"/>
        <v>129.30000000000001</v>
      </c>
      <c r="F595" s="219">
        <v>73.2</v>
      </c>
      <c r="G595" s="220">
        <v>3</v>
      </c>
      <c r="H595" s="221">
        <v>5.3</v>
      </c>
      <c r="I595" s="234">
        <f t="shared" si="76"/>
        <v>17.399999999999999</v>
      </c>
      <c r="J595" s="235">
        <v>0.55000000000000004</v>
      </c>
      <c r="K595" s="219">
        <v>1.1000000000000001</v>
      </c>
      <c r="L595" s="232"/>
      <c r="M595" s="222">
        <v>73.44</v>
      </c>
      <c r="N595" s="222">
        <v>29.89</v>
      </c>
      <c r="O595" s="222">
        <v>0.5</v>
      </c>
      <c r="P595" s="222"/>
      <c r="Q595" s="222"/>
      <c r="R595" s="222"/>
      <c r="S595" s="222"/>
      <c r="T595" s="222"/>
      <c r="U595" s="222"/>
      <c r="V595" s="231"/>
      <c r="W595" s="242"/>
      <c r="X595" s="235">
        <v>0.19</v>
      </c>
      <c r="Y595" s="231"/>
      <c r="Z595" s="231"/>
      <c r="AA595" s="242"/>
      <c r="AB595" s="242"/>
      <c r="AC595" s="209"/>
      <c r="AD595" s="209"/>
      <c r="AE595" s="231"/>
      <c r="AF595" s="231"/>
      <c r="AG595" s="231"/>
      <c r="AH595" s="231"/>
      <c r="AI595" s="231"/>
      <c r="AJ595" s="210"/>
      <c r="AK595" s="232"/>
      <c r="AL595" s="210"/>
      <c r="AM595" s="231"/>
      <c r="AN595" s="231"/>
      <c r="AO595" s="231"/>
      <c r="AP595" s="231"/>
      <c r="AQ595" s="231"/>
      <c r="AR595" s="231"/>
      <c r="AS595" s="231"/>
      <c r="AT595" s="231"/>
      <c r="AU595" s="231"/>
      <c r="AV595" s="231"/>
      <c r="AW595" s="231"/>
      <c r="AX595" s="242"/>
      <c r="AY595" s="242"/>
      <c r="AZ595" s="242"/>
      <c r="BA595" s="242"/>
      <c r="BB595" s="242"/>
      <c r="BC595" s="242"/>
      <c r="BD595" s="242"/>
      <c r="BE595" s="231"/>
      <c r="BF595" s="242"/>
      <c r="BG595" s="242"/>
      <c r="BH595" s="242"/>
      <c r="BI595" s="242"/>
      <c r="BJ595" s="242"/>
      <c r="BK595" s="242"/>
      <c r="BL595" s="242"/>
      <c r="BM595" s="242"/>
      <c r="BN595" s="242"/>
      <c r="BO595" s="231"/>
      <c r="BP595" s="231"/>
      <c r="BQ595" s="231"/>
      <c r="BR595" s="231"/>
      <c r="BS595" s="231"/>
      <c r="BT595" s="231"/>
      <c r="BU595" s="231"/>
      <c r="BV595" s="231"/>
      <c r="BW595" s="231"/>
      <c r="BX595" s="231"/>
      <c r="BY595" s="231"/>
      <c r="BZ595" s="231"/>
      <c r="CA595" s="231"/>
      <c r="CB595" s="231"/>
      <c r="CC595" s="231"/>
      <c r="CD595" s="231"/>
      <c r="CE595" s="231"/>
      <c r="CF595" s="231"/>
      <c r="CG595" s="231"/>
      <c r="CH595" s="231"/>
      <c r="CI595" s="231"/>
    </row>
    <row r="596" spans="1:87" ht="25.2" customHeight="1" outlineLevel="1">
      <c r="A596" s="204">
        <v>558</v>
      </c>
      <c r="B596" s="283">
        <v>15010</v>
      </c>
      <c r="C596" s="208" t="s">
        <v>765</v>
      </c>
      <c r="D596" s="194"/>
      <c r="E596" s="240">
        <f t="shared" si="75"/>
        <v>102.4</v>
      </c>
      <c r="F596" s="222">
        <v>76.599999999999994</v>
      </c>
      <c r="G596" s="223">
        <v>2.1</v>
      </c>
      <c r="H596" s="224">
        <v>2.6</v>
      </c>
      <c r="I596" s="234">
        <f t="shared" si="76"/>
        <v>17.649999999999999</v>
      </c>
      <c r="J596" s="235">
        <v>0.29706390328152099</v>
      </c>
      <c r="K596" s="222">
        <v>1.05</v>
      </c>
      <c r="L596" s="232"/>
      <c r="M596" s="222">
        <v>69.98</v>
      </c>
      <c r="N596" s="222">
        <v>17.79</v>
      </c>
      <c r="O596" s="222">
        <v>0.92</v>
      </c>
      <c r="P596" s="222"/>
      <c r="Q596" s="222"/>
      <c r="R596" s="222"/>
      <c r="S596" s="222"/>
      <c r="T596" s="222"/>
      <c r="U596" s="222"/>
      <c r="V596" s="231"/>
      <c r="W596" s="242"/>
      <c r="X596" s="222">
        <v>0.44</v>
      </c>
      <c r="Y596" s="231"/>
      <c r="Z596" s="231"/>
      <c r="AA596" s="242"/>
      <c r="AB596" s="242"/>
      <c r="AC596" s="209"/>
      <c r="AD596" s="209"/>
      <c r="AE596" s="231"/>
      <c r="AF596" s="231"/>
      <c r="AG596" s="231"/>
      <c r="AH596" s="231"/>
      <c r="AI596" s="231"/>
      <c r="AJ596" s="210"/>
      <c r="AK596" s="232"/>
      <c r="AL596" s="210"/>
      <c r="AM596" s="231"/>
      <c r="AN596" s="231"/>
      <c r="AO596" s="231"/>
      <c r="AP596" s="231"/>
      <c r="AQ596" s="231"/>
      <c r="AR596" s="231"/>
      <c r="AS596" s="231"/>
      <c r="AT596" s="231"/>
      <c r="AU596" s="231"/>
      <c r="AV596" s="231"/>
      <c r="AW596" s="231"/>
      <c r="AX596" s="242"/>
      <c r="AY596" s="242"/>
      <c r="AZ596" s="242"/>
      <c r="BA596" s="242"/>
      <c r="BB596" s="242"/>
      <c r="BC596" s="242"/>
      <c r="BD596" s="242"/>
      <c r="BE596" s="231"/>
      <c r="BF596" s="242"/>
      <c r="BG596" s="242"/>
      <c r="BH596" s="242"/>
      <c r="BI596" s="242"/>
      <c r="BJ596" s="242"/>
      <c r="BK596" s="242"/>
      <c r="BL596" s="242"/>
      <c r="BM596" s="242"/>
      <c r="BN596" s="242"/>
      <c r="BO596" s="231"/>
      <c r="BP596" s="231"/>
      <c r="BQ596" s="231"/>
      <c r="BR596" s="231"/>
      <c r="BS596" s="231"/>
      <c r="BT596" s="231"/>
      <c r="BU596" s="231"/>
      <c r="BV596" s="231"/>
      <c r="BW596" s="231"/>
      <c r="BX596" s="231"/>
      <c r="BY596" s="231"/>
      <c r="BZ596" s="231"/>
      <c r="CA596" s="231"/>
      <c r="CB596" s="231"/>
      <c r="CC596" s="231"/>
      <c r="CD596" s="231"/>
      <c r="CE596" s="231"/>
      <c r="CF596" s="231"/>
      <c r="CG596" s="231"/>
      <c r="CH596" s="231"/>
      <c r="CI596" s="231"/>
    </row>
    <row r="597" spans="1:87" ht="25.2" customHeight="1" outlineLevel="1">
      <c r="A597" s="204">
        <v>559</v>
      </c>
      <c r="B597" s="283">
        <v>15011</v>
      </c>
      <c r="C597" s="208" t="s">
        <v>766</v>
      </c>
      <c r="D597" s="194"/>
      <c r="E597" s="240">
        <f t="shared" si="75"/>
        <v>349.4</v>
      </c>
      <c r="F597" s="222">
        <v>24.6</v>
      </c>
      <c r="G597" s="223">
        <v>5</v>
      </c>
      <c r="H597" s="224">
        <v>9.8000000000000007</v>
      </c>
      <c r="I597" s="234">
        <f t="shared" si="76"/>
        <v>60.3</v>
      </c>
      <c r="J597" s="235">
        <v>0.9</v>
      </c>
      <c r="K597" s="222">
        <v>0.3</v>
      </c>
      <c r="L597" s="232"/>
      <c r="M597" s="222">
        <v>28.7</v>
      </c>
      <c r="N597" s="222">
        <v>57.8</v>
      </c>
      <c r="O597" s="222">
        <v>1.2</v>
      </c>
      <c r="P597" s="222"/>
      <c r="Q597" s="222"/>
      <c r="R597" s="222"/>
      <c r="S597" s="222"/>
      <c r="T597" s="222"/>
      <c r="U597" s="222"/>
      <c r="V597" s="231"/>
      <c r="W597" s="242"/>
      <c r="X597" s="235">
        <v>0.55000000000000004</v>
      </c>
      <c r="Y597" s="231"/>
      <c r="Z597" s="231"/>
      <c r="AA597" s="242"/>
      <c r="AB597" s="242"/>
      <c r="AC597" s="209"/>
      <c r="AD597" s="209"/>
      <c r="AE597" s="231"/>
      <c r="AF597" s="231"/>
      <c r="AG597" s="231"/>
      <c r="AH597" s="231"/>
      <c r="AI597" s="231"/>
      <c r="AJ597" s="210"/>
      <c r="AK597" s="232"/>
      <c r="AL597" s="210"/>
      <c r="AM597" s="231"/>
      <c r="AN597" s="231"/>
      <c r="AO597" s="231"/>
      <c r="AP597" s="231"/>
      <c r="AQ597" s="231"/>
      <c r="AR597" s="231"/>
      <c r="AS597" s="231"/>
      <c r="AT597" s="231"/>
      <c r="AU597" s="231"/>
      <c r="AV597" s="231"/>
      <c r="AW597" s="231"/>
      <c r="AX597" s="242"/>
      <c r="AY597" s="242"/>
      <c r="AZ597" s="242"/>
      <c r="BA597" s="242"/>
      <c r="BB597" s="242"/>
      <c r="BC597" s="242"/>
      <c r="BD597" s="242"/>
      <c r="BE597" s="231"/>
      <c r="BF597" s="242"/>
      <c r="BG597" s="242"/>
      <c r="BH597" s="242"/>
      <c r="BI597" s="242"/>
      <c r="BJ597" s="242"/>
      <c r="BK597" s="242"/>
      <c r="BL597" s="242"/>
      <c r="BM597" s="242"/>
      <c r="BN597" s="242"/>
      <c r="BO597" s="231"/>
      <c r="BP597" s="231"/>
      <c r="BQ597" s="231"/>
      <c r="BR597" s="231"/>
      <c r="BS597" s="231"/>
      <c r="BT597" s="231"/>
      <c r="BU597" s="231"/>
      <c r="BV597" s="231"/>
      <c r="BW597" s="231"/>
      <c r="BX597" s="231"/>
      <c r="BY597" s="231"/>
      <c r="BZ597" s="231"/>
      <c r="CA597" s="231"/>
      <c r="CB597" s="231"/>
      <c r="CC597" s="231"/>
      <c r="CD597" s="231"/>
      <c r="CE597" s="231"/>
      <c r="CF597" s="231"/>
      <c r="CG597" s="231"/>
      <c r="CH597" s="231"/>
      <c r="CI597" s="231"/>
    </row>
    <row r="598" spans="1:87" ht="25.2" customHeight="1" outlineLevel="1">
      <c r="A598" s="204">
        <v>560</v>
      </c>
      <c r="B598" s="283">
        <v>15012</v>
      </c>
      <c r="C598" s="208" t="s">
        <v>767</v>
      </c>
      <c r="D598" s="194" t="s">
        <v>181</v>
      </c>
      <c r="E598" s="240">
        <f t="shared" si="75"/>
        <v>337.8</v>
      </c>
      <c r="F598" s="222">
        <v>25.4</v>
      </c>
      <c r="G598" s="223">
        <v>7.4</v>
      </c>
      <c r="H598" s="224">
        <v>8.1999999999999993</v>
      </c>
      <c r="I598" s="234">
        <f t="shared" si="76"/>
        <v>58.6</v>
      </c>
      <c r="J598" s="235">
        <v>1.1000000000000001</v>
      </c>
      <c r="K598" s="222">
        <v>0.4</v>
      </c>
      <c r="L598" s="232"/>
      <c r="M598" s="222">
        <v>31.5</v>
      </c>
      <c r="N598" s="222">
        <v>133.1</v>
      </c>
      <c r="O598" s="222">
        <v>1.5</v>
      </c>
      <c r="P598" s="222"/>
      <c r="Q598" s="222"/>
      <c r="R598" s="222"/>
      <c r="S598" s="222"/>
      <c r="T598" s="222"/>
      <c r="U598" s="222"/>
      <c r="V598" s="231"/>
      <c r="W598" s="242"/>
      <c r="X598" s="235">
        <v>0.8</v>
      </c>
      <c r="Y598" s="231"/>
      <c r="Z598" s="231"/>
      <c r="AA598" s="242"/>
      <c r="AB598" s="242"/>
      <c r="AC598" s="209"/>
      <c r="AD598" s="209"/>
      <c r="AE598" s="231"/>
      <c r="AF598" s="231"/>
      <c r="AG598" s="231"/>
      <c r="AH598" s="231"/>
      <c r="AI598" s="231"/>
      <c r="AJ598" s="210"/>
      <c r="AK598" s="232"/>
      <c r="AL598" s="210"/>
      <c r="AM598" s="231"/>
      <c r="AN598" s="231"/>
      <c r="AO598" s="231"/>
      <c r="AP598" s="231"/>
      <c r="AQ598" s="231"/>
      <c r="AR598" s="231"/>
      <c r="AS598" s="231"/>
      <c r="AT598" s="231"/>
      <c r="AU598" s="231"/>
      <c r="AV598" s="231"/>
      <c r="AW598" s="231"/>
      <c r="AX598" s="242"/>
      <c r="AY598" s="242"/>
      <c r="AZ598" s="242"/>
      <c r="BA598" s="242"/>
      <c r="BB598" s="242"/>
      <c r="BC598" s="242"/>
      <c r="BD598" s="242"/>
      <c r="BE598" s="231"/>
      <c r="BF598" s="242"/>
      <c r="BG598" s="242"/>
      <c r="BH598" s="242"/>
      <c r="BI598" s="242"/>
      <c r="BJ598" s="242"/>
      <c r="BK598" s="242"/>
      <c r="BL598" s="242"/>
      <c r="BM598" s="242"/>
      <c r="BN598" s="242"/>
      <c r="BO598" s="231"/>
      <c r="BP598" s="231"/>
      <c r="BQ598" s="231"/>
      <c r="BR598" s="231"/>
      <c r="BS598" s="231"/>
      <c r="BT598" s="231"/>
      <c r="BU598" s="231"/>
      <c r="BV598" s="231"/>
      <c r="BW598" s="231"/>
      <c r="BX598" s="231"/>
      <c r="BY598" s="231"/>
      <c r="BZ598" s="231"/>
      <c r="CA598" s="231"/>
      <c r="CB598" s="231"/>
      <c r="CC598" s="231"/>
      <c r="CD598" s="231"/>
      <c r="CE598" s="231"/>
      <c r="CF598" s="231"/>
      <c r="CG598" s="231"/>
      <c r="CH598" s="231"/>
      <c r="CI598" s="231"/>
    </row>
    <row r="599" spans="1:87" ht="25.2" customHeight="1" outlineLevel="1">
      <c r="A599" s="204">
        <v>561</v>
      </c>
      <c r="B599" s="283">
        <v>15013</v>
      </c>
      <c r="C599" s="208" t="s">
        <v>768</v>
      </c>
      <c r="D599" s="194" t="s">
        <v>181</v>
      </c>
      <c r="E599" s="240">
        <f t="shared" si="75"/>
        <v>88.34</v>
      </c>
      <c r="F599" s="222">
        <v>79</v>
      </c>
      <c r="G599" s="223">
        <v>2</v>
      </c>
      <c r="H599" s="224">
        <v>2.1</v>
      </c>
      <c r="I599" s="234">
        <f t="shared" si="76"/>
        <v>15.36</v>
      </c>
      <c r="J599" s="235">
        <v>0.72330827067669201</v>
      </c>
      <c r="K599" s="222">
        <v>1.54</v>
      </c>
      <c r="L599" s="232"/>
      <c r="M599" s="222">
        <v>55.7</v>
      </c>
      <c r="N599" s="222">
        <v>18.190000000000001</v>
      </c>
      <c r="O599" s="222">
        <v>0.61</v>
      </c>
      <c r="P599" s="222"/>
      <c r="Q599" s="222"/>
      <c r="R599" s="222"/>
      <c r="S599" s="222"/>
      <c r="T599" s="222"/>
      <c r="U599" s="222"/>
      <c r="V599" s="231"/>
      <c r="W599" s="242"/>
      <c r="X599" s="222">
        <v>0.2</v>
      </c>
      <c r="Y599" s="231"/>
      <c r="Z599" s="231"/>
      <c r="AA599" s="242"/>
      <c r="AB599" s="242"/>
      <c r="AC599" s="209"/>
      <c r="AD599" s="209"/>
      <c r="AE599" s="231"/>
      <c r="AF599" s="231"/>
      <c r="AG599" s="231"/>
      <c r="AH599" s="231"/>
      <c r="AI599" s="231"/>
      <c r="AJ599" s="210"/>
      <c r="AK599" s="232"/>
      <c r="AL599" s="210"/>
      <c r="AM599" s="231"/>
      <c r="AN599" s="231"/>
      <c r="AO599" s="231"/>
      <c r="AP599" s="231"/>
      <c r="AQ599" s="231"/>
      <c r="AR599" s="231"/>
      <c r="AS599" s="231"/>
      <c r="AT599" s="231"/>
      <c r="AU599" s="231"/>
      <c r="AV599" s="231"/>
      <c r="AW599" s="231"/>
      <c r="AX599" s="242"/>
      <c r="AY599" s="242"/>
      <c r="AZ599" s="242"/>
      <c r="BA599" s="242"/>
      <c r="BB599" s="242"/>
      <c r="BC599" s="242"/>
      <c r="BD599" s="242"/>
      <c r="BE599" s="231"/>
      <c r="BF599" s="242"/>
      <c r="BG599" s="242"/>
      <c r="BH599" s="242"/>
      <c r="BI599" s="242"/>
      <c r="BJ599" s="242"/>
      <c r="BK599" s="242"/>
      <c r="BL599" s="242"/>
      <c r="BM599" s="242"/>
      <c r="BN599" s="242"/>
      <c r="BO599" s="231"/>
      <c r="BP599" s="231"/>
      <c r="BQ599" s="231"/>
      <c r="BR599" s="231"/>
      <c r="BS599" s="231"/>
      <c r="BT599" s="231"/>
      <c r="BU599" s="231"/>
      <c r="BV599" s="231"/>
      <c r="BW599" s="231"/>
      <c r="BX599" s="231"/>
      <c r="BY599" s="231"/>
      <c r="BZ599" s="231"/>
      <c r="CA599" s="231"/>
      <c r="CB599" s="231"/>
      <c r="CC599" s="231"/>
      <c r="CD599" s="231"/>
      <c r="CE599" s="231"/>
      <c r="CF599" s="231"/>
      <c r="CG599" s="231"/>
      <c r="CH599" s="231"/>
      <c r="CI599" s="231"/>
    </row>
    <row r="600" spans="1:87" ht="25.2" customHeight="1" outlineLevel="1">
      <c r="A600" s="204">
        <v>562</v>
      </c>
      <c r="B600" s="283">
        <v>15014</v>
      </c>
      <c r="C600" s="208" t="s">
        <v>769</v>
      </c>
      <c r="D600" s="194" t="s">
        <v>181</v>
      </c>
      <c r="E600" s="240">
        <f t="shared" si="75"/>
        <v>108.1</v>
      </c>
      <c r="F600" s="222">
        <v>79.8</v>
      </c>
      <c r="G600" s="223">
        <v>3.9</v>
      </c>
      <c r="H600" s="224">
        <v>6.3</v>
      </c>
      <c r="I600" s="234">
        <f t="shared" si="76"/>
        <v>8.9499999999999993</v>
      </c>
      <c r="J600" s="235">
        <v>0.11</v>
      </c>
      <c r="K600" s="222">
        <v>1.05</v>
      </c>
      <c r="L600" s="232"/>
      <c r="M600" s="222">
        <v>61.3</v>
      </c>
      <c r="N600" s="222">
        <v>9.4</v>
      </c>
      <c r="O600" s="222">
        <v>1.48</v>
      </c>
      <c r="P600" s="222"/>
      <c r="Q600" s="222"/>
      <c r="R600" s="222"/>
      <c r="S600" s="222"/>
      <c r="T600" s="222"/>
      <c r="U600" s="222"/>
      <c r="V600" s="231"/>
      <c r="W600" s="242"/>
      <c r="X600" s="222">
        <v>0.33</v>
      </c>
      <c r="Y600" s="231"/>
      <c r="Z600" s="231"/>
      <c r="AA600" s="242"/>
      <c r="AB600" s="242"/>
      <c r="AC600" s="209"/>
      <c r="AD600" s="209"/>
      <c r="AE600" s="231"/>
      <c r="AF600" s="231"/>
      <c r="AG600" s="231"/>
      <c r="AH600" s="231"/>
      <c r="AI600" s="231"/>
      <c r="AJ600" s="210"/>
      <c r="AK600" s="232"/>
      <c r="AL600" s="210"/>
      <c r="AM600" s="231"/>
      <c r="AN600" s="231"/>
      <c r="AO600" s="231"/>
      <c r="AP600" s="231"/>
      <c r="AQ600" s="231"/>
      <c r="AR600" s="231"/>
      <c r="AS600" s="231"/>
      <c r="AT600" s="231"/>
      <c r="AU600" s="231"/>
      <c r="AV600" s="231"/>
      <c r="AW600" s="231"/>
      <c r="AX600" s="242"/>
      <c r="AY600" s="242"/>
      <c r="AZ600" s="242"/>
      <c r="BA600" s="242"/>
      <c r="BB600" s="242"/>
      <c r="BC600" s="242"/>
      <c r="BD600" s="242"/>
      <c r="BE600" s="231"/>
      <c r="BF600" s="242"/>
      <c r="BG600" s="242"/>
      <c r="BH600" s="242"/>
      <c r="BI600" s="242"/>
      <c r="BJ600" s="242"/>
      <c r="BK600" s="242"/>
      <c r="BL600" s="242"/>
      <c r="BM600" s="242"/>
      <c r="BN600" s="242"/>
      <c r="BO600" s="231"/>
      <c r="BP600" s="231"/>
      <c r="BQ600" s="231"/>
      <c r="BR600" s="231"/>
      <c r="BS600" s="231"/>
      <c r="BT600" s="231"/>
      <c r="BU600" s="231"/>
      <c r="BV600" s="231"/>
      <c r="BW600" s="231"/>
      <c r="BX600" s="231"/>
      <c r="BY600" s="231"/>
      <c r="BZ600" s="231"/>
      <c r="CA600" s="231"/>
      <c r="CB600" s="231"/>
      <c r="CC600" s="231"/>
      <c r="CD600" s="231"/>
      <c r="CE600" s="231"/>
      <c r="CF600" s="231"/>
      <c r="CG600" s="231"/>
      <c r="CH600" s="231"/>
      <c r="CI600" s="231"/>
    </row>
    <row r="601" spans="1:87" ht="25.2" customHeight="1" outlineLevel="1">
      <c r="A601" s="204">
        <v>563</v>
      </c>
      <c r="B601" s="283">
        <v>15015</v>
      </c>
      <c r="C601" s="208" t="s">
        <v>770</v>
      </c>
      <c r="D601" s="194" t="s">
        <v>181</v>
      </c>
      <c r="E601" s="240">
        <f t="shared" si="75"/>
        <v>250.5</v>
      </c>
      <c r="F601" s="222">
        <v>39.299999999999997</v>
      </c>
      <c r="G601" s="220">
        <v>4.7</v>
      </c>
      <c r="H601" s="221">
        <v>2.5</v>
      </c>
      <c r="I601" s="234">
        <f t="shared" si="76"/>
        <v>52.3</v>
      </c>
      <c r="J601" s="235">
        <v>0.35</v>
      </c>
      <c r="K601" s="222">
        <v>1.2</v>
      </c>
      <c r="L601" s="232"/>
      <c r="M601" s="222">
        <v>239.5</v>
      </c>
      <c r="N601" s="222">
        <v>44.3</v>
      </c>
      <c r="O601" s="222">
        <v>11.8</v>
      </c>
      <c r="P601" s="222"/>
      <c r="Q601" s="222"/>
      <c r="R601" s="222"/>
      <c r="S601" s="222"/>
      <c r="T601" s="222"/>
      <c r="U601" s="222"/>
      <c r="V601" s="231"/>
      <c r="W601" s="242"/>
      <c r="X601" s="235">
        <v>0.56000000000000005</v>
      </c>
      <c r="Y601" s="231"/>
      <c r="Z601" s="231"/>
      <c r="AA601" s="242"/>
      <c r="AB601" s="242"/>
      <c r="AC601" s="209"/>
      <c r="AD601" s="209"/>
      <c r="AE601" s="231"/>
      <c r="AF601" s="231"/>
      <c r="AG601" s="231"/>
      <c r="AH601" s="231"/>
      <c r="AI601" s="231"/>
      <c r="AJ601" s="210"/>
      <c r="AK601" s="232"/>
      <c r="AL601" s="210"/>
      <c r="AM601" s="231"/>
      <c r="AN601" s="231"/>
      <c r="AO601" s="231"/>
      <c r="AP601" s="231"/>
      <c r="AQ601" s="231"/>
      <c r="AR601" s="231"/>
      <c r="AS601" s="231"/>
      <c r="AT601" s="231"/>
      <c r="AU601" s="231"/>
      <c r="AV601" s="231"/>
      <c r="AW601" s="231"/>
      <c r="AX601" s="242"/>
      <c r="AY601" s="242"/>
      <c r="AZ601" s="242"/>
      <c r="BA601" s="242"/>
      <c r="BB601" s="242"/>
      <c r="BC601" s="242"/>
      <c r="BD601" s="242"/>
      <c r="BE601" s="231"/>
      <c r="BF601" s="242"/>
      <c r="BG601" s="242"/>
      <c r="BH601" s="242"/>
      <c r="BI601" s="242"/>
      <c r="BJ601" s="242"/>
      <c r="BK601" s="242"/>
      <c r="BL601" s="242"/>
      <c r="BM601" s="242"/>
      <c r="BN601" s="242"/>
      <c r="BO601" s="231"/>
      <c r="BP601" s="231"/>
      <c r="BQ601" s="231"/>
      <c r="BR601" s="231"/>
      <c r="BS601" s="231"/>
      <c r="BT601" s="231"/>
      <c r="BU601" s="231"/>
      <c r="BV601" s="231"/>
      <c r="BW601" s="231"/>
      <c r="BX601" s="231"/>
      <c r="BY601" s="231"/>
      <c r="BZ601" s="231"/>
      <c r="CA601" s="231"/>
      <c r="CB601" s="231"/>
      <c r="CC601" s="231"/>
      <c r="CD601" s="231"/>
      <c r="CE601" s="231"/>
      <c r="CF601" s="231"/>
      <c r="CG601" s="231"/>
      <c r="CH601" s="231"/>
      <c r="CI601" s="231"/>
    </row>
    <row r="602" spans="1:87" ht="25.2" customHeight="1" outlineLevel="1">
      <c r="A602" s="204">
        <v>564</v>
      </c>
      <c r="B602" s="283">
        <v>15016</v>
      </c>
      <c r="C602" s="208" t="s">
        <v>771</v>
      </c>
      <c r="D602" s="194" t="s">
        <v>181</v>
      </c>
      <c r="E602" s="240">
        <f t="shared" si="75"/>
        <v>173.36</v>
      </c>
      <c r="F602" s="222">
        <v>56.6</v>
      </c>
      <c r="G602" s="223">
        <v>2</v>
      </c>
      <c r="H602" s="224">
        <v>0.4</v>
      </c>
      <c r="I602" s="234">
        <f t="shared" si="76"/>
        <v>40.44</v>
      </c>
      <c r="J602" s="235">
        <v>0.40684544812985202</v>
      </c>
      <c r="K602" s="222">
        <v>0.56000000000000005</v>
      </c>
      <c r="L602" s="232"/>
      <c r="M602" s="222">
        <v>173.4</v>
      </c>
      <c r="N602" s="222">
        <v>16.87</v>
      </c>
      <c r="O602" s="222">
        <v>1.18</v>
      </c>
      <c r="P602" s="222"/>
      <c r="Q602" s="222"/>
      <c r="R602" s="222"/>
      <c r="S602" s="222"/>
      <c r="T602" s="222"/>
      <c r="U602" s="222"/>
      <c r="V602" s="231"/>
      <c r="W602" s="242"/>
      <c r="X602" s="222">
        <v>0.57999999999999996</v>
      </c>
      <c r="Y602" s="231"/>
      <c r="Z602" s="231"/>
      <c r="AA602" s="242"/>
      <c r="AB602" s="242"/>
      <c r="AC602" s="209"/>
      <c r="AD602" s="209"/>
      <c r="AE602" s="231"/>
      <c r="AF602" s="231"/>
      <c r="AG602" s="231"/>
      <c r="AH602" s="231"/>
      <c r="AI602" s="231"/>
      <c r="AJ602" s="210"/>
      <c r="AK602" s="232"/>
      <c r="AL602" s="210"/>
      <c r="AM602" s="231"/>
      <c r="AN602" s="231"/>
      <c r="AO602" s="231"/>
      <c r="AP602" s="231"/>
      <c r="AQ602" s="231"/>
      <c r="AR602" s="231"/>
      <c r="AS602" s="231"/>
      <c r="AT602" s="231"/>
      <c r="AU602" s="231"/>
      <c r="AV602" s="231"/>
      <c r="AW602" s="231"/>
      <c r="AX602" s="242"/>
      <c r="AY602" s="242"/>
      <c r="AZ602" s="242"/>
      <c r="BA602" s="242"/>
      <c r="BB602" s="242"/>
      <c r="BC602" s="242"/>
      <c r="BD602" s="242"/>
      <c r="BE602" s="231"/>
      <c r="BF602" s="242"/>
      <c r="BG602" s="242"/>
      <c r="BH602" s="242"/>
      <c r="BI602" s="242"/>
      <c r="BJ602" s="242"/>
      <c r="BK602" s="242"/>
      <c r="BL602" s="242"/>
      <c r="BM602" s="242"/>
      <c r="BN602" s="242"/>
      <c r="BO602" s="231"/>
      <c r="BP602" s="231"/>
      <c r="BQ602" s="231"/>
      <c r="BR602" s="231"/>
      <c r="BS602" s="231"/>
      <c r="BT602" s="231"/>
      <c r="BU602" s="231"/>
      <c r="BV602" s="231"/>
      <c r="BW602" s="231"/>
      <c r="BX602" s="231"/>
      <c r="BY602" s="231"/>
      <c r="BZ602" s="231"/>
      <c r="CA602" s="231"/>
      <c r="CB602" s="231"/>
      <c r="CC602" s="231"/>
      <c r="CD602" s="231"/>
      <c r="CE602" s="231"/>
      <c r="CF602" s="231"/>
      <c r="CG602" s="231"/>
      <c r="CH602" s="231"/>
      <c r="CI602" s="231"/>
    </row>
    <row r="603" spans="1:87" ht="25.2" customHeight="1" outlineLevel="1">
      <c r="A603" s="204">
        <v>565</v>
      </c>
      <c r="B603" s="283">
        <v>15017</v>
      </c>
      <c r="C603" s="208" t="s">
        <v>772</v>
      </c>
      <c r="D603" s="194" t="s">
        <v>181</v>
      </c>
      <c r="E603" s="240">
        <f t="shared" si="75"/>
        <v>233.9</v>
      </c>
      <c r="F603" s="219">
        <v>62.3</v>
      </c>
      <c r="G603" s="220">
        <v>2.8</v>
      </c>
      <c r="H603" s="221">
        <v>17.5</v>
      </c>
      <c r="I603" s="234">
        <f t="shared" si="76"/>
        <v>16.3</v>
      </c>
      <c r="J603" s="235">
        <v>0.6</v>
      </c>
      <c r="K603" s="219">
        <v>1.1000000000000001</v>
      </c>
      <c r="L603" s="232"/>
      <c r="M603" s="222">
        <v>33.47</v>
      </c>
      <c r="N603" s="222">
        <v>20.09</v>
      </c>
      <c r="O603" s="222">
        <v>0.37</v>
      </c>
      <c r="P603" s="222"/>
      <c r="Q603" s="222"/>
      <c r="R603" s="222"/>
      <c r="S603" s="222"/>
      <c r="T603" s="222"/>
      <c r="U603" s="222"/>
      <c r="V603" s="231"/>
      <c r="W603" s="242"/>
      <c r="X603" s="235">
        <v>1.21</v>
      </c>
      <c r="Y603" s="231"/>
      <c r="Z603" s="231"/>
      <c r="AA603" s="242"/>
      <c r="AB603" s="242"/>
      <c r="AC603" s="209"/>
      <c r="AD603" s="209"/>
      <c r="AE603" s="231"/>
      <c r="AF603" s="231"/>
      <c r="AG603" s="231"/>
      <c r="AH603" s="231"/>
      <c r="AI603" s="231"/>
      <c r="AJ603" s="210"/>
      <c r="AK603" s="232"/>
      <c r="AL603" s="210"/>
      <c r="AM603" s="231"/>
      <c r="AN603" s="231"/>
      <c r="AO603" s="231"/>
      <c r="AP603" s="231"/>
      <c r="AQ603" s="231"/>
      <c r="AR603" s="231"/>
      <c r="AS603" s="231"/>
      <c r="AT603" s="231"/>
      <c r="AU603" s="231"/>
      <c r="AV603" s="231"/>
      <c r="AW603" s="231"/>
      <c r="AX603" s="242"/>
      <c r="AY603" s="242"/>
      <c r="AZ603" s="242"/>
      <c r="BA603" s="242"/>
      <c r="BB603" s="242"/>
      <c r="BC603" s="242"/>
      <c r="BD603" s="242"/>
      <c r="BE603" s="231"/>
      <c r="BF603" s="242"/>
      <c r="BG603" s="242"/>
      <c r="BH603" s="242"/>
      <c r="BI603" s="242"/>
      <c r="BJ603" s="242"/>
      <c r="BK603" s="242"/>
      <c r="BL603" s="242"/>
      <c r="BM603" s="242"/>
      <c r="BN603" s="242"/>
      <c r="BO603" s="231"/>
      <c r="BP603" s="231"/>
      <c r="BQ603" s="231"/>
      <c r="BR603" s="231"/>
      <c r="BS603" s="231"/>
      <c r="BT603" s="231"/>
      <c r="BU603" s="231"/>
      <c r="BV603" s="231"/>
      <c r="BW603" s="231"/>
      <c r="BX603" s="231"/>
      <c r="BY603" s="231"/>
      <c r="BZ603" s="231"/>
      <c r="CA603" s="231"/>
      <c r="CB603" s="231"/>
      <c r="CC603" s="231"/>
      <c r="CD603" s="231"/>
      <c r="CE603" s="231"/>
      <c r="CF603" s="231"/>
      <c r="CG603" s="231"/>
      <c r="CH603" s="231"/>
      <c r="CI603" s="231"/>
    </row>
    <row r="604" spans="1:87" ht="25.2" customHeight="1" outlineLevel="1">
      <c r="A604" s="204">
        <v>566</v>
      </c>
      <c r="B604" s="283">
        <v>15018</v>
      </c>
      <c r="C604" s="208" t="s">
        <v>773</v>
      </c>
      <c r="D604" s="194" t="s">
        <v>181</v>
      </c>
      <c r="E604" s="240">
        <f t="shared" si="75"/>
        <v>141.36000000000001</v>
      </c>
      <c r="F604" s="222">
        <v>65.5</v>
      </c>
      <c r="G604" s="223">
        <v>4.0999999999999996</v>
      </c>
      <c r="H604" s="224">
        <v>1.6</v>
      </c>
      <c r="I604" s="234">
        <f t="shared" si="76"/>
        <v>27.64</v>
      </c>
      <c r="J604" s="235">
        <v>0.493699036323202</v>
      </c>
      <c r="K604" s="222">
        <v>1.1599999999999999</v>
      </c>
      <c r="L604" s="232"/>
      <c r="M604" s="222">
        <v>4.68</v>
      </c>
      <c r="N604" s="222">
        <v>69.45</v>
      </c>
      <c r="O604" s="222">
        <v>1.05</v>
      </c>
      <c r="P604" s="222"/>
      <c r="Q604" s="222"/>
      <c r="R604" s="222"/>
      <c r="S604" s="222"/>
      <c r="T604" s="222"/>
      <c r="U604" s="222"/>
      <c r="V604" s="231"/>
      <c r="W604" s="242"/>
      <c r="X604" s="222">
        <v>0.56999999999999995</v>
      </c>
      <c r="Y604" s="231"/>
      <c r="Z604" s="231"/>
      <c r="AA604" s="242"/>
      <c r="AB604" s="242"/>
      <c r="AC604" s="209"/>
      <c r="AD604" s="209"/>
      <c r="AE604" s="231"/>
      <c r="AF604" s="231"/>
      <c r="AG604" s="231"/>
      <c r="AH604" s="231"/>
      <c r="AI604" s="231"/>
      <c r="AJ604" s="210"/>
      <c r="AK604" s="232"/>
      <c r="AL604" s="210"/>
      <c r="AM604" s="231"/>
      <c r="AN604" s="231"/>
      <c r="AO604" s="231"/>
      <c r="AP604" s="231"/>
      <c r="AQ604" s="231"/>
      <c r="AR604" s="231"/>
      <c r="AS604" s="231"/>
      <c r="AT604" s="231"/>
      <c r="AU604" s="231"/>
      <c r="AV604" s="231"/>
      <c r="AW604" s="231"/>
      <c r="AX604" s="242"/>
      <c r="AY604" s="242"/>
      <c r="AZ604" s="242"/>
      <c r="BA604" s="242"/>
      <c r="BB604" s="242"/>
      <c r="BC604" s="242"/>
      <c r="BD604" s="242"/>
      <c r="BE604" s="231"/>
      <c r="BF604" s="242"/>
      <c r="BG604" s="242"/>
      <c r="BH604" s="242"/>
      <c r="BI604" s="242"/>
      <c r="BJ604" s="242"/>
      <c r="BK604" s="242"/>
      <c r="BL604" s="242"/>
      <c r="BM604" s="242"/>
      <c r="BN604" s="242"/>
      <c r="BO604" s="231"/>
      <c r="BP604" s="231"/>
      <c r="BQ604" s="231"/>
      <c r="BR604" s="231"/>
      <c r="BS604" s="231"/>
      <c r="BT604" s="231"/>
      <c r="BU604" s="231"/>
      <c r="BV604" s="231"/>
      <c r="BW604" s="231"/>
      <c r="BX604" s="231"/>
      <c r="BY604" s="231"/>
      <c r="BZ604" s="231"/>
      <c r="CA604" s="231"/>
      <c r="CB604" s="231"/>
      <c r="CC604" s="231"/>
      <c r="CD604" s="231"/>
      <c r="CE604" s="231"/>
      <c r="CF604" s="231"/>
      <c r="CG604" s="231"/>
      <c r="CH604" s="231"/>
      <c r="CI604" s="231"/>
    </row>
    <row r="605" spans="1:87" ht="25.2" customHeight="1" outlineLevel="1">
      <c r="A605" s="204">
        <v>567</v>
      </c>
      <c r="B605" s="283">
        <v>15019</v>
      </c>
      <c r="C605" s="208" t="s">
        <v>774</v>
      </c>
      <c r="D605" s="194" t="s">
        <v>181</v>
      </c>
      <c r="E605" s="240">
        <f t="shared" si="75"/>
        <v>159.24</v>
      </c>
      <c r="F605" s="222">
        <v>72.099999999999994</v>
      </c>
      <c r="G605" s="223">
        <v>0.6</v>
      </c>
      <c r="H605" s="224">
        <v>10.199999999999999</v>
      </c>
      <c r="I605" s="234">
        <f t="shared" si="76"/>
        <v>16.260000000000002</v>
      </c>
      <c r="J605" s="235">
        <v>2.96</v>
      </c>
      <c r="K605" s="222">
        <v>0.84</v>
      </c>
      <c r="L605" s="232"/>
      <c r="M605" s="222">
        <v>82.31</v>
      </c>
      <c r="N605" s="222">
        <v>38.549999999999997</v>
      </c>
      <c r="O605" s="222">
        <v>1.48</v>
      </c>
      <c r="P605" s="222"/>
      <c r="Q605" s="222"/>
      <c r="R605" s="222"/>
      <c r="S605" s="222"/>
      <c r="T605" s="222"/>
      <c r="U605" s="222"/>
      <c r="V605" s="231"/>
      <c r="W605" s="242"/>
      <c r="X605" s="222">
        <v>0.22</v>
      </c>
      <c r="Y605" s="231"/>
      <c r="Z605" s="231"/>
      <c r="AA605" s="242"/>
      <c r="AB605" s="242"/>
      <c r="AC605" s="209"/>
      <c r="AD605" s="209"/>
      <c r="AE605" s="231"/>
      <c r="AF605" s="231"/>
      <c r="AG605" s="231"/>
      <c r="AH605" s="231"/>
      <c r="AI605" s="231"/>
      <c r="AJ605" s="210"/>
      <c r="AK605" s="232"/>
      <c r="AL605" s="210"/>
      <c r="AM605" s="231"/>
      <c r="AN605" s="231"/>
      <c r="AO605" s="231"/>
      <c r="AP605" s="231"/>
      <c r="AQ605" s="231"/>
      <c r="AR605" s="231"/>
      <c r="AS605" s="231"/>
      <c r="AT605" s="231"/>
      <c r="AU605" s="231"/>
      <c r="AV605" s="231"/>
      <c r="AW605" s="231"/>
      <c r="AX605" s="242"/>
      <c r="AY605" s="242"/>
      <c r="AZ605" s="242"/>
      <c r="BA605" s="242"/>
      <c r="BB605" s="242"/>
      <c r="BC605" s="242"/>
      <c r="BD605" s="242"/>
      <c r="BE605" s="231"/>
      <c r="BF605" s="242"/>
      <c r="BG605" s="242"/>
      <c r="BH605" s="242"/>
      <c r="BI605" s="242"/>
      <c r="BJ605" s="242"/>
      <c r="BK605" s="242"/>
      <c r="BL605" s="242"/>
      <c r="BM605" s="242"/>
      <c r="BN605" s="242"/>
      <c r="BO605" s="231"/>
      <c r="BP605" s="231"/>
      <c r="BQ605" s="231"/>
      <c r="BR605" s="231"/>
      <c r="BS605" s="231"/>
      <c r="BT605" s="231"/>
      <c r="BU605" s="231"/>
      <c r="BV605" s="231"/>
      <c r="BW605" s="231"/>
      <c r="BX605" s="231"/>
      <c r="BY605" s="231"/>
      <c r="BZ605" s="231"/>
      <c r="CA605" s="231"/>
      <c r="CB605" s="231"/>
      <c r="CC605" s="231"/>
      <c r="CD605" s="231"/>
      <c r="CE605" s="231"/>
      <c r="CF605" s="231"/>
      <c r="CG605" s="231"/>
      <c r="CH605" s="231"/>
      <c r="CI605" s="231"/>
    </row>
    <row r="606" spans="1:87" ht="25.2" customHeight="1" outlineLevel="1">
      <c r="A606" s="204">
        <v>568</v>
      </c>
      <c r="B606" s="283">
        <v>15020</v>
      </c>
      <c r="C606" s="208" t="s">
        <v>775</v>
      </c>
      <c r="D606" s="194" t="s">
        <v>181</v>
      </c>
      <c r="E606" s="240">
        <f t="shared" si="75"/>
        <v>196.7</v>
      </c>
      <c r="F606" s="222">
        <v>60</v>
      </c>
      <c r="G606" s="223">
        <v>5.6</v>
      </c>
      <c r="H606" s="224">
        <v>8.3000000000000007</v>
      </c>
      <c r="I606" s="234">
        <f t="shared" si="76"/>
        <v>24.9</v>
      </c>
      <c r="J606" s="235">
        <v>0.15675675675675599</v>
      </c>
      <c r="K606" s="222">
        <v>1.2</v>
      </c>
      <c r="L606" s="232"/>
      <c r="M606" s="222">
        <v>93.86</v>
      </c>
      <c r="N606" s="222">
        <v>41.33</v>
      </c>
      <c r="O606" s="222">
        <v>1.08</v>
      </c>
      <c r="P606" s="222"/>
      <c r="Q606" s="222"/>
      <c r="R606" s="222"/>
      <c r="S606" s="222"/>
      <c r="T606" s="222"/>
      <c r="U606" s="222"/>
      <c r="V606" s="231"/>
      <c r="W606" s="242"/>
      <c r="X606" s="222">
        <v>1.1200000000000001</v>
      </c>
      <c r="Y606" s="231"/>
      <c r="Z606" s="231"/>
      <c r="AA606" s="242"/>
      <c r="AB606" s="242"/>
      <c r="AC606" s="209"/>
      <c r="AD606" s="209"/>
      <c r="AE606" s="231"/>
      <c r="AF606" s="231"/>
      <c r="AG606" s="231"/>
      <c r="AH606" s="231"/>
      <c r="AI606" s="231"/>
      <c r="AJ606" s="210"/>
      <c r="AK606" s="232"/>
      <c r="AL606" s="210"/>
      <c r="AM606" s="231"/>
      <c r="AN606" s="231"/>
      <c r="AO606" s="231"/>
      <c r="AP606" s="231"/>
      <c r="AQ606" s="231"/>
      <c r="AR606" s="231"/>
      <c r="AS606" s="231"/>
      <c r="AT606" s="231"/>
      <c r="AU606" s="231"/>
      <c r="AV606" s="231"/>
      <c r="AW606" s="231"/>
      <c r="AX606" s="242"/>
      <c r="AY606" s="242"/>
      <c r="AZ606" s="242"/>
      <c r="BA606" s="242"/>
      <c r="BB606" s="242"/>
      <c r="BC606" s="242"/>
      <c r="BD606" s="242"/>
      <c r="BE606" s="231"/>
      <c r="BF606" s="242"/>
      <c r="BG606" s="242"/>
      <c r="BH606" s="242"/>
      <c r="BI606" s="242"/>
      <c r="BJ606" s="242"/>
      <c r="BK606" s="242"/>
      <c r="BL606" s="242"/>
      <c r="BM606" s="242"/>
      <c r="BN606" s="242"/>
      <c r="BO606" s="231"/>
      <c r="BP606" s="231"/>
      <c r="BQ606" s="231"/>
      <c r="BR606" s="231"/>
      <c r="BS606" s="231"/>
      <c r="BT606" s="231"/>
      <c r="BU606" s="231"/>
      <c r="BV606" s="231"/>
      <c r="BW606" s="231"/>
      <c r="BX606" s="231"/>
      <c r="BY606" s="231"/>
      <c r="BZ606" s="231"/>
      <c r="CA606" s="231"/>
      <c r="CB606" s="231"/>
      <c r="CC606" s="231"/>
      <c r="CD606" s="231"/>
      <c r="CE606" s="231"/>
      <c r="CF606" s="231"/>
      <c r="CG606" s="231"/>
      <c r="CH606" s="231"/>
      <c r="CI606" s="231"/>
    </row>
    <row r="607" spans="1:87" ht="25.2" customHeight="1">
      <c r="A607" s="204">
        <v>569</v>
      </c>
      <c r="B607" s="283">
        <v>15021</v>
      </c>
      <c r="C607" s="208" t="s">
        <v>776</v>
      </c>
      <c r="D607" s="194"/>
      <c r="E607" s="240">
        <f t="shared" si="75"/>
        <v>249.4</v>
      </c>
      <c r="F607" s="222">
        <v>41.6</v>
      </c>
      <c r="G607" s="223">
        <v>4.0999999999999996</v>
      </c>
      <c r="H607" s="224">
        <v>3.8</v>
      </c>
      <c r="I607" s="234">
        <f t="shared" si="76"/>
        <v>49.7</v>
      </c>
      <c r="J607" s="235">
        <v>0.6</v>
      </c>
      <c r="K607" s="222">
        <v>0.8</v>
      </c>
      <c r="L607" s="232"/>
      <c r="M607" s="222">
        <v>27.5</v>
      </c>
      <c r="N607" s="222">
        <v>44.8</v>
      </c>
      <c r="O607" s="222">
        <v>1.1299999999999999</v>
      </c>
      <c r="P607" s="222"/>
      <c r="Q607" s="222"/>
      <c r="R607" s="222"/>
      <c r="S607" s="222"/>
      <c r="T607" s="222"/>
      <c r="U607" s="222"/>
      <c r="V607" s="231"/>
      <c r="W607" s="242"/>
      <c r="X607" s="235">
        <v>1.57</v>
      </c>
      <c r="Y607" s="231"/>
      <c r="Z607" s="231"/>
      <c r="AA607" s="242"/>
      <c r="AB607" s="242"/>
      <c r="AC607" s="209"/>
      <c r="AD607" s="209"/>
      <c r="AE607" s="231"/>
      <c r="AF607" s="231"/>
      <c r="AG607" s="231"/>
      <c r="AH607" s="231"/>
      <c r="AI607" s="231"/>
      <c r="AJ607" s="210"/>
      <c r="AK607" s="232"/>
      <c r="AL607" s="210"/>
      <c r="AM607" s="231"/>
      <c r="AN607" s="231"/>
      <c r="AO607" s="231"/>
      <c r="AP607" s="231"/>
      <c r="AQ607" s="231"/>
      <c r="AR607" s="231"/>
      <c r="AS607" s="231"/>
      <c r="AT607" s="231"/>
      <c r="AU607" s="231"/>
      <c r="AV607" s="231"/>
      <c r="AW607" s="231"/>
      <c r="AX607" s="242"/>
      <c r="AY607" s="242"/>
      <c r="AZ607" s="242"/>
      <c r="BA607" s="242"/>
      <c r="BB607" s="242"/>
      <c r="BC607" s="242"/>
      <c r="BD607" s="242"/>
      <c r="BE607" s="231"/>
      <c r="BF607" s="242"/>
      <c r="BG607" s="242"/>
      <c r="BH607" s="242"/>
      <c r="BI607" s="242"/>
      <c r="BJ607" s="242"/>
      <c r="BK607" s="242"/>
      <c r="BL607" s="242"/>
      <c r="BM607" s="242"/>
      <c r="BN607" s="242"/>
      <c r="BO607" s="231"/>
      <c r="BP607" s="231"/>
      <c r="BQ607" s="231"/>
      <c r="BR607" s="231"/>
      <c r="BS607" s="231"/>
      <c r="BT607" s="231"/>
      <c r="BU607" s="231"/>
      <c r="BV607" s="231"/>
      <c r="BW607" s="231"/>
      <c r="BX607" s="231"/>
      <c r="BY607" s="231"/>
      <c r="BZ607" s="231"/>
      <c r="CA607" s="231"/>
      <c r="CB607" s="231"/>
      <c r="CC607" s="231"/>
      <c r="CD607" s="231"/>
      <c r="CE607" s="231"/>
      <c r="CF607" s="231"/>
      <c r="CG607" s="231"/>
      <c r="CH607" s="231"/>
      <c r="CI607" s="231"/>
    </row>
    <row r="608" spans="1:87" ht="25.2" customHeight="1">
      <c r="A608" s="204">
        <v>570</v>
      </c>
      <c r="B608" s="283">
        <v>15022</v>
      </c>
      <c r="C608" s="208" t="s">
        <v>777</v>
      </c>
      <c r="D608" s="194" t="s">
        <v>181</v>
      </c>
      <c r="E608" s="240">
        <f t="shared" si="75"/>
        <v>482.18</v>
      </c>
      <c r="F608" s="222">
        <v>12</v>
      </c>
      <c r="G608" s="223">
        <v>5.5</v>
      </c>
      <c r="H608" s="224">
        <v>26.5</v>
      </c>
      <c r="I608" s="234">
        <f t="shared" si="76"/>
        <v>55.42</v>
      </c>
      <c r="J608" s="235">
        <v>1.07</v>
      </c>
      <c r="K608" s="222">
        <v>0.57999999999999996</v>
      </c>
      <c r="L608" s="232"/>
      <c r="M608" s="222">
        <v>94.38</v>
      </c>
      <c r="N608" s="222">
        <v>93.31</v>
      </c>
      <c r="O608" s="222">
        <v>2.44</v>
      </c>
      <c r="P608" s="222"/>
      <c r="Q608" s="222"/>
      <c r="R608" s="222"/>
      <c r="S608" s="222"/>
      <c r="T608" s="222"/>
      <c r="U608" s="222"/>
      <c r="V608" s="231"/>
      <c r="W608" s="242"/>
      <c r="X608" s="222">
        <v>0.79</v>
      </c>
      <c r="Y608" s="231"/>
      <c r="Z608" s="231"/>
      <c r="AA608" s="242"/>
      <c r="AB608" s="242"/>
      <c r="AC608" s="209"/>
      <c r="AD608" s="209"/>
      <c r="AE608" s="231"/>
      <c r="AF608" s="231"/>
      <c r="AG608" s="231"/>
      <c r="AH608" s="231"/>
      <c r="AI608" s="231"/>
      <c r="AJ608" s="210"/>
      <c r="AK608" s="232"/>
      <c r="AL608" s="210"/>
      <c r="AM608" s="231"/>
      <c r="AN608" s="231"/>
      <c r="AO608" s="231"/>
      <c r="AP608" s="231"/>
      <c r="AQ608" s="231"/>
      <c r="AR608" s="231"/>
      <c r="AS608" s="231"/>
      <c r="AT608" s="231"/>
      <c r="AU608" s="231"/>
      <c r="AV608" s="231"/>
      <c r="AW608" s="231"/>
      <c r="AX608" s="242"/>
      <c r="AY608" s="242"/>
      <c r="AZ608" s="242"/>
      <c r="BA608" s="242"/>
      <c r="BB608" s="242"/>
      <c r="BC608" s="242"/>
      <c r="BD608" s="242"/>
      <c r="BE608" s="231"/>
      <c r="BF608" s="242"/>
      <c r="BG608" s="242"/>
      <c r="BH608" s="242"/>
      <c r="BI608" s="242"/>
      <c r="BJ608" s="242"/>
      <c r="BK608" s="242"/>
      <c r="BL608" s="242"/>
      <c r="BM608" s="242"/>
      <c r="BN608" s="242"/>
      <c r="BO608" s="231"/>
      <c r="BP608" s="231"/>
      <c r="BQ608" s="231"/>
      <c r="BR608" s="231"/>
      <c r="BS608" s="231"/>
      <c r="BT608" s="231"/>
      <c r="BU608" s="231"/>
      <c r="BV608" s="231"/>
      <c r="BW608" s="231"/>
      <c r="BX608" s="231"/>
      <c r="BY608" s="231"/>
      <c r="BZ608" s="231"/>
      <c r="CA608" s="231"/>
      <c r="CB608" s="231"/>
      <c r="CC608" s="231"/>
      <c r="CD608" s="231"/>
      <c r="CE608" s="231"/>
      <c r="CF608" s="231"/>
      <c r="CG608" s="231"/>
      <c r="CH608" s="231"/>
      <c r="CI608" s="231"/>
    </row>
    <row r="609" spans="1:87" ht="25.2" customHeight="1">
      <c r="A609" s="204">
        <v>571</v>
      </c>
      <c r="B609" s="283">
        <v>15023</v>
      </c>
      <c r="C609" s="208" t="s">
        <v>778</v>
      </c>
      <c r="D609" s="194"/>
      <c r="E609" s="240">
        <f t="shared" si="75"/>
        <v>188.7</v>
      </c>
      <c r="F609" s="219">
        <v>60.5</v>
      </c>
      <c r="G609" s="220">
        <v>11.3</v>
      </c>
      <c r="H609" s="221">
        <v>7.5</v>
      </c>
      <c r="I609" s="234">
        <f t="shared" si="76"/>
        <v>19</v>
      </c>
      <c r="J609" s="235">
        <v>1.2</v>
      </c>
      <c r="K609" s="219">
        <v>1.7</v>
      </c>
      <c r="L609" s="232"/>
      <c r="M609" s="222">
        <v>56.55</v>
      </c>
      <c r="N609" s="222">
        <v>57.89</v>
      </c>
      <c r="O609" s="222">
        <v>1.52</v>
      </c>
      <c r="P609" s="222"/>
      <c r="Q609" s="222"/>
      <c r="R609" s="222"/>
      <c r="S609" s="222"/>
      <c r="T609" s="222"/>
      <c r="U609" s="222"/>
      <c r="V609" s="231"/>
      <c r="W609" s="242"/>
      <c r="X609" s="235">
        <v>3.4</v>
      </c>
      <c r="Y609" s="231"/>
      <c r="Z609" s="231"/>
      <c r="AA609" s="242"/>
      <c r="AB609" s="242"/>
      <c r="AC609" s="209"/>
      <c r="AD609" s="209"/>
      <c r="AE609" s="231"/>
      <c r="AF609" s="231"/>
      <c r="AG609" s="231"/>
      <c r="AH609" s="231"/>
      <c r="AI609" s="231"/>
      <c r="AJ609" s="210"/>
      <c r="AK609" s="232"/>
      <c r="AL609" s="210"/>
      <c r="AM609" s="231"/>
      <c r="AN609" s="231"/>
      <c r="AO609" s="231"/>
      <c r="AP609" s="231"/>
      <c r="AQ609" s="231"/>
      <c r="AR609" s="231"/>
      <c r="AS609" s="231"/>
      <c r="AT609" s="231"/>
      <c r="AU609" s="231"/>
      <c r="AV609" s="231"/>
      <c r="AW609" s="231"/>
      <c r="AX609" s="242"/>
      <c r="AY609" s="242"/>
      <c r="AZ609" s="242"/>
      <c r="BA609" s="242"/>
      <c r="BB609" s="242"/>
      <c r="BC609" s="242"/>
      <c r="BD609" s="242"/>
      <c r="BE609" s="231"/>
      <c r="BF609" s="242"/>
      <c r="BG609" s="242"/>
      <c r="BH609" s="242"/>
      <c r="BI609" s="242"/>
      <c r="BJ609" s="242"/>
      <c r="BK609" s="242"/>
      <c r="BL609" s="242"/>
      <c r="BM609" s="242"/>
      <c r="BN609" s="242"/>
      <c r="BO609" s="231"/>
      <c r="BP609" s="231"/>
      <c r="BQ609" s="231"/>
      <c r="BR609" s="231"/>
      <c r="BS609" s="231"/>
      <c r="BT609" s="231"/>
      <c r="BU609" s="231"/>
      <c r="BV609" s="231"/>
      <c r="BW609" s="231"/>
      <c r="BX609" s="231"/>
      <c r="BY609" s="231"/>
      <c r="BZ609" s="231"/>
      <c r="CA609" s="231"/>
      <c r="CB609" s="231"/>
      <c r="CC609" s="231"/>
      <c r="CD609" s="231"/>
      <c r="CE609" s="231"/>
      <c r="CF609" s="231"/>
      <c r="CG609" s="231"/>
      <c r="CH609" s="231"/>
      <c r="CI609" s="231"/>
    </row>
    <row r="610" spans="1:87" ht="25.2" customHeight="1">
      <c r="A610" s="204">
        <v>572</v>
      </c>
      <c r="B610" s="283">
        <v>15024</v>
      </c>
      <c r="C610" s="208" t="s">
        <v>779</v>
      </c>
      <c r="D610" s="194"/>
      <c r="E610" s="240">
        <f t="shared" si="75"/>
        <v>265.8</v>
      </c>
      <c r="F610" s="222">
        <v>45.9</v>
      </c>
      <c r="G610" s="220">
        <v>9.8000000000000007</v>
      </c>
      <c r="H610" s="221">
        <v>11</v>
      </c>
      <c r="I610" s="234">
        <f t="shared" si="76"/>
        <v>31.9</v>
      </c>
      <c r="J610" s="235">
        <v>0.6</v>
      </c>
      <c r="K610" s="222">
        <v>1.4</v>
      </c>
      <c r="L610" s="232"/>
      <c r="M610" s="222">
        <v>40.299999999999997</v>
      </c>
      <c r="N610" s="222">
        <v>76.2</v>
      </c>
      <c r="O610" s="222">
        <v>3.45</v>
      </c>
      <c r="P610" s="222"/>
      <c r="Q610" s="222"/>
      <c r="R610" s="222"/>
      <c r="S610" s="222"/>
      <c r="T610" s="222"/>
      <c r="U610" s="222"/>
      <c r="V610" s="231"/>
      <c r="W610" s="242"/>
      <c r="X610" s="235">
        <v>0.74</v>
      </c>
      <c r="Y610" s="231"/>
      <c r="Z610" s="231"/>
      <c r="AA610" s="242"/>
      <c r="AB610" s="242"/>
      <c r="AC610" s="209"/>
      <c r="AD610" s="209"/>
      <c r="AE610" s="231"/>
      <c r="AF610" s="231"/>
      <c r="AG610" s="231"/>
      <c r="AH610" s="231"/>
      <c r="AI610" s="231"/>
      <c r="AJ610" s="210"/>
      <c r="AK610" s="232"/>
      <c r="AL610" s="210"/>
      <c r="AM610" s="231"/>
      <c r="AN610" s="231"/>
      <c r="AO610" s="231"/>
      <c r="AP610" s="231"/>
      <c r="AQ610" s="231"/>
      <c r="AR610" s="231"/>
      <c r="AS610" s="231"/>
      <c r="AT610" s="231"/>
      <c r="AU610" s="231"/>
      <c r="AV610" s="231"/>
      <c r="AW610" s="231"/>
      <c r="AX610" s="242"/>
      <c r="AY610" s="242"/>
      <c r="AZ610" s="242"/>
      <c r="BA610" s="242"/>
      <c r="BB610" s="242"/>
      <c r="BC610" s="242"/>
      <c r="BD610" s="242"/>
      <c r="BE610" s="231"/>
      <c r="BF610" s="242"/>
      <c r="BG610" s="242"/>
      <c r="BH610" s="242"/>
      <c r="BI610" s="242"/>
      <c r="BJ610" s="242"/>
      <c r="BK610" s="242"/>
      <c r="BL610" s="242"/>
      <c r="BM610" s="242"/>
      <c r="BN610" s="242"/>
      <c r="BO610" s="231"/>
      <c r="BP610" s="231"/>
      <c r="BQ610" s="231"/>
      <c r="BR610" s="231"/>
      <c r="BS610" s="231"/>
      <c r="BT610" s="231"/>
      <c r="BU610" s="231"/>
      <c r="BV610" s="231"/>
      <c r="BW610" s="231"/>
      <c r="BX610" s="231"/>
      <c r="BY610" s="231"/>
      <c r="BZ610" s="231"/>
      <c r="CA610" s="231"/>
      <c r="CB610" s="231"/>
      <c r="CC610" s="231"/>
      <c r="CD610" s="231"/>
      <c r="CE610" s="231"/>
      <c r="CF610" s="231"/>
      <c r="CG610" s="231"/>
      <c r="CH610" s="231"/>
      <c r="CI610" s="231"/>
    </row>
    <row r="611" spans="1:87" ht="25.2" customHeight="1">
      <c r="A611" s="204">
        <v>573</v>
      </c>
      <c r="B611" s="283">
        <v>15025</v>
      </c>
      <c r="C611" s="208" t="s">
        <v>780</v>
      </c>
      <c r="D611" s="194" t="s">
        <v>181</v>
      </c>
      <c r="E611" s="240">
        <f t="shared" si="75"/>
        <v>215.88</v>
      </c>
      <c r="F611" s="222">
        <v>49.2</v>
      </c>
      <c r="G611" s="220">
        <v>5</v>
      </c>
      <c r="H611" s="221">
        <v>3.2</v>
      </c>
      <c r="I611" s="234">
        <f t="shared" si="76"/>
        <v>41.77</v>
      </c>
      <c r="J611" s="235">
        <v>0.62</v>
      </c>
      <c r="K611" s="222">
        <v>0.83</v>
      </c>
      <c r="L611" s="232"/>
      <c r="M611" s="222">
        <v>16.8</v>
      </c>
      <c r="N611" s="222">
        <v>39.17</v>
      </c>
      <c r="O611" s="222">
        <v>1.29</v>
      </c>
      <c r="P611" s="222"/>
      <c r="Q611" s="222"/>
      <c r="R611" s="222"/>
      <c r="S611" s="222"/>
      <c r="T611" s="222"/>
      <c r="U611" s="222"/>
      <c r="V611" s="231"/>
      <c r="W611" s="242"/>
      <c r="X611" s="235">
        <v>0.5</v>
      </c>
      <c r="Y611" s="231"/>
      <c r="Z611" s="231"/>
      <c r="AA611" s="242"/>
      <c r="AB611" s="242"/>
      <c r="AC611" s="209"/>
      <c r="AD611" s="209"/>
      <c r="AE611" s="231"/>
      <c r="AF611" s="231"/>
      <c r="AG611" s="231"/>
      <c r="AH611" s="231"/>
      <c r="AI611" s="231"/>
      <c r="AJ611" s="210"/>
      <c r="AK611" s="232"/>
      <c r="AL611" s="210"/>
      <c r="AM611" s="231"/>
      <c r="AN611" s="231"/>
      <c r="AO611" s="231"/>
      <c r="AP611" s="231"/>
      <c r="AQ611" s="231"/>
      <c r="AR611" s="231"/>
      <c r="AS611" s="231"/>
      <c r="AT611" s="231"/>
      <c r="AU611" s="231"/>
      <c r="AV611" s="231"/>
      <c r="AW611" s="231"/>
      <c r="AX611" s="242"/>
      <c r="AY611" s="242"/>
      <c r="AZ611" s="242"/>
      <c r="BA611" s="242"/>
      <c r="BB611" s="242"/>
      <c r="BC611" s="242"/>
      <c r="BD611" s="242"/>
      <c r="BE611" s="231"/>
      <c r="BF611" s="242"/>
      <c r="BG611" s="242"/>
      <c r="BH611" s="242"/>
      <c r="BI611" s="242"/>
      <c r="BJ611" s="242"/>
      <c r="BK611" s="242"/>
      <c r="BL611" s="242"/>
      <c r="BM611" s="242"/>
      <c r="BN611" s="242"/>
      <c r="BO611" s="231"/>
      <c r="BP611" s="231"/>
      <c r="BQ611" s="231"/>
      <c r="BR611" s="231"/>
      <c r="BS611" s="231"/>
      <c r="BT611" s="231"/>
      <c r="BU611" s="231"/>
      <c r="BV611" s="231"/>
      <c r="BW611" s="231"/>
      <c r="BX611" s="231"/>
      <c r="BY611" s="231"/>
      <c r="BZ611" s="231"/>
      <c r="CA611" s="231"/>
      <c r="CB611" s="231"/>
      <c r="CC611" s="231"/>
      <c r="CD611" s="231"/>
      <c r="CE611" s="231"/>
      <c r="CF611" s="231"/>
      <c r="CG611" s="231"/>
      <c r="CH611" s="231"/>
      <c r="CI611" s="231"/>
    </row>
    <row r="612" spans="1:87" ht="25.2" customHeight="1">
      <c r="A612" s="204">
        <v>574</v>
      </c>
      <c r="B612" s="283">
        <v>15026</v>
      </c>
      <c r="C612" s="208" t="s">
        <v>781</v>
      </c>
      <c r="D612" s="194"/>
      <c r="E612" s="240">
        <f t="shared" si="75"/>
        <v>386.4</v>
      </c>
      <c r="F612" s="222">
        <v>21.4</v>
      </c>
      <c r="G612" s="223">
        <v>5.2</v>
      </c>
      <c r="H612" s="224">
        <v>14.8</v>
      </c>
      <c r="I612" s="234">
        <f t="shared" si="76"/>
        <v>58.1</v>
      </c>
      <c r="J612" s="235">
        <v>1.8</v>
      </c>
      <c r="K612" s="222">
        <v>0.5</v>
      </c>
      <c r="L612" s="232"/>
      <c r="M612" s="222">
        <v>42.9</v>
      </c>
      <c r="N612" s="222">
        <v>51.9</v>
      </c>
      <c r="O612" s="222">
        <v>2.1</v>
      </c>
      <c r="P612" s="222"/>
      <c r="Q612" s="222"/>
      <c r="R612" s="222"/>
      <c r="S612" s="222"/>
      <c r="T612" s="222"/>
      <c r="U612" s="222"/>
      <c r="V612" s="231"/>
      <c r="W612" s="242"/>
      <c r="X612" s="235">
        <v>0.84</v>
      </c>
      <c r="Y612" s="231"/>
      <c r="Z612" s="231"/>
      <c r="AA612" s="242"/>
      <c r="AB612" s="242"/>
      <c r="AC612" s="209"/>
      <c r="AD612" s="209"/>
      <c r="AE612" s="231"/>
      <c r="AF612" s="231"/>
      <c r="AG612" s="231"/>
      <c r="AH612" s="231"/>
      <c r="AI612" s="231"/>
      <c r="AJ612" s="210"/>
      <c r="AK612" s="232"/>
      <c r="AL612" s="210"/>
      <c r="AM612" s="231"/>
      <c r="AN612" s="231"/>
      <c r="AO612" s="231"/>
      <c r="AP612" s="231"/>
      <c r="AQ612" s="231"/>
      <c r="AR612" s="231"/>
      <c r="AS612" s="231"/>
      <c r="AT612" s="231"/>
      <c r="AU612" s="231"/>
      <c r="AV612" s="231"/>
      <c r="AW612" s="231"/>
      <c r="AX612" s="242"/>
      <c r="AY612" s="242"/>
      <c r="AZ612" s="242"/>
      <c r="BA612" s="242"/>
      <c r="BB612" s="242"/>
      <c r="BC612" s="242"/>
      <c r="BD612" s="242"/>
      <c r="BE612" s="231"/>
      <c r="BF612" s="242"/>
      <c r="BG612" s="242"/>
      <c r="BH612" s="242"/>
      <c r="BI612" s="242"/>
      <c r="BJ612" s="242"/>
      <c r="BK612" s="242"/>
      <c r="BL612" s="242"/>
      <c r="BM612" s="242"/>
      <c r="BN612" s="242"/>
      <c r="BO612" s="231"/>
      <c r="BP612" s="231"/>
      <c r="BQ612" s="231"/>
      <c r="BR612" s="231"/>
      <c r="BS612" s="231"/>
      <c r="BT612" s="231"/>
      <c r="BU612" s="231"/>
      <c r="BV612" s="231"/>
      <c r="BW612" s="231"/>
      <c r="BX612" s="231"/>
      <c r="BY612" s="231"/>
      <c r="BZ612" s="231"/>
      <c r="CA612" s="231"/>
      <c r="CB612" s="231"/>
      <c r="CC612" s="231"/>
      <c r="CD612" s="231"/>
      <c r="CE612" s="231"/>
      <c r="CF612" s="231"/>
      <c r="CG612" s="231"/>
      <c r="CH612" s="231"/>
      <c r="CI612" s="231"/>
    </row>
    <row r="613" spans="1:87" ht="25.2" customHeight="1">
      <c r="A613" s="204">
        <v>575</v>
      </c>
      <c r="B613" s="283">
        <v>15027</v>
      </c>
      <c r="C613" s="208" t="s">
        <v>782</v>
      </c>
      <c r="D613" s="194"/>
      <c r="E613" s="240">
        <f t="shared" si="75"/>
        <v>371.1</v>
      </c>
      <c r="F613" s="222">
        <v>23.7</v>
      </c>
      <c r="G613" s="223">
        <v>9.6</v>
      </c>
      <c r="H613" s="224">
        <v>13.9</v>
      </c>
      <c r="I613" s="234">
        <f t="shared" si="76"/>
        <v>51.9</v>
      </c>
      <c r="J613" s="235">
        <v>2.7</v>
      </c>
      <c r="K613" s="222">
        <v>0.9</v>
      </c>
      <c r="L613" s="232"/>
      <c r="M613" s="222">
        <v>55.1</v>
      </c>
      <c r="N613" s="222">
        <v>392.9</v>
      </c>
      <c r="O613" s="222">
        <v>2.6</v>
      </c>
      <c r="P613" s="222"/>
      <c r="Q613" s="222"/>
      <c r="R613" s="222"/>
      <c r="S613" s="222"/>
      <c r="T613" s="222"/>
      <c r="U613" s="222"/>
      <c r="V613" s="231"/>
      <c r="W613" s="242"/>
      <c r="X613" s="235">
        <v>1.31</v>
      </c>
      <c r="Y613" s="231"/>
      <c r="Z613" s="231"/>
      <c r="AA613" s="242"/>
      <c r="AB613" s="242"/>
      <c r="AC613" s="209"/>
      <c r="AD613" s="209"/>
      <c r="AE613" s="231"/>
      <c r="AF613" s="231"/>
      <c r="AG613" s="231"/>
      <c r="AH613" s="231"/>
      <c r="AI613" s="231"/>
      <c r="AJ613" s="210"/>
      <c r="AK613" s="232"/>
      <c r="AL613" s="210"/>
      <c r="AM613" s="231"/>
      <c r="AN613" s="231"/>
      <c r="AO613" s="231"/>
      <c r="AP613" s="231"/>
      <c r="AQ613" s="231"/>
      <c r="AR613" s="231"/>
      <c r="AS613" s="231"/>
      <c r="AT613" s="231"/>
      <c r="AU613" s="231"/>
      <c r="AV613" s="231"/>
      <c r="AW613" s="231"/>
      <c r="AX613" s="242"/>
      <c r="AY613" s="242"/>
      <c r="AZ613" s="242"/>
      <c r="BA613" s="242"/>
      <c r="BB613" s="242"/>
      <c r="BC613" s="242"/>
      <c r="BD613" s="242"/>
      <c r="BE613" s="231"/>
      <c r="BF613" s="242"/>
      <c r="BG613" s="242"/>
      <c r="BH613" s="242"/>
      <c r="BI613" s="242"/>
      <c r="BJ613" s="242"/>
      <c r="BK613" s="242"/>
      <c r="BL613" s="242"/>
      <c r="BM613" s="242"/>
      <c r="BN613" s="242"/>
      <c r="BO613" s="231"/>
      <c r="BP613" s="231"/>
      <c r="BQ613" s="231"/>
      <c r="BR613" s="231"/>
      <c r="BS613" s="231"/>
      <c r="BT613" s="231"/>
      <c r="BU613" s="231"/>
      <c r="BV613" s="231"/>
      <c r="BW613" s="231"/>
      <c r="BX613" s="231"/>
      <c r="BY613" s="231"/>
      <c r="BZ613" s="231"/>
      <c r="CA613" s="231"/>
      <c r="CB613" s="231"/>
      <c r="CC613" s="231"/>
      <c r="CD613" s="231"/>
      <c r="CE613" s="231"/>
      <c r="CF613" s="231"/>
      <c r="CG613" s="231"/>
      <c r="CH613" s="231"/>
      <c r="CI613" s="231"/>
    </row>
    <row r="614" spans="1:87" ht="25.2" customHeight="1">
      <c r="A614" s="204">
        <v>576</v>
      </c>
      <c r="B614" s="283">
        <v>15028</v>
      </c>
      <c r="C614" s="208" t="s">
        <v>783</v>
      </c>
      <c r="D614" s="194" t="s">
        <v>181</v>
      </c>
      <c r="E614" s="240">
        <f t="shared" si="75"/>
        <v>184.5</v>
      </c>
      <c r="F614" s="222">
        <v>54.8</v>
      </c>
      <c r="G614" s="220">
        <v>2.1</v>
      </c>
      <c r="H614" s="221">
        <v>1.3</v>
      </c>
      <c r="I614" s="234">
        <f t="shared" si="76"/>
        <v>41.1</v>
      </c>
      <c r="J614" s="235">
        <v>1</v>
      </c>
      <c r="K614" s="222">
        <v>0.7</v>
      </c>
      <c r="L614" s="232"/>
      <c r="M614" s="222">
        <v>12.8</v>
      </c>
      <c r="N614" s="222">
        <v>20.399999999999999</v>
      </c>
      <c r="O614" s="222">
        <v>1.21</v>
      </c>
      <c r="P614" s="222"/>
      <c r="Q614" s="222"/>
      <c r="R614" s="222"/>
      <c r="S614" s="222"/>
      <c r="T614" s="222"/>
      <c r="U614" s="222"/>
      <c r="V614" s="231"/>
      <c r="W614" s="242"/>
      <c r="X614" s="235">
        <v>0.2</v>
      </c>
      <c r="Y614" s="231"/>
      <c r="Z614" s="231"/>
      <c r="AA614" s="242"/>
      <c r="AB614" s="242"/>
      <c r="AC614" s="209"/>
      <c r="AD614" s="209"/>
      <c r="AE614" s="231"/>
      <c r="AF614" s="231"/>
      <c r="AG614" s="231"/>
      <c r="AH614" s="231"/>
      <c r="AI614" s="231"/>
      <c r="AJ614" s="210"/>
      <c r="AK614" s="232"/>
      <c r="AL614" s="210"/>
      <c r="AM614" s="231"/>
      <c r="AN614" s="231"/>
      <c r="AO614" s="231"/>
      <c r="AP614" s="231"/>
      <c r="AQ614" s="231"/>
      <c r="AR614" s="231"/>
      <c r="AS614" s="231"/>
      <c r="AT614" s="231"/>
      <c r="AU614" s="231"/>
      <c r="AV614" s="231"/>
      <c r="AW614" s="231"/>
      <c r="AX614" s="242"/>
      <c r="AY614" s="242"/>
      <c r="AZ614" s="242"/>
      <c r="BA614" s="242"/>
      <c r="BB614" s="242"/>
      <c r="BC614" s="242"/>
      <c r="BD614" s="242"/>
      <c r="BE614" s="231"/>
      <c r="BF614" s="242"/>
      <c r="BG614" s="242"/>
      <c r="BH614" s="242"/>
      <c r="BI614" s="242"/>
      <c r="BJ614" s="242"/>
      <c r="BK614" s="242"/>
      <c r="BL614" s="242"/>
      <c r="BM614" s="242"/>
      <c r="BN614" s="242"/>
      <c r="BO614" s="231"/>
      <c r="BP614" s="231"/>
      <c r="BQ614" s="231"/>
      <c r="BR614" s="231"/>
      <c r="BS614" s="231"/>
      <c r="BT614" s="231"/>
      <c r="BU614" s="231"/>
      <c r="BV614" s="231"/>
      <c r="BW614" s="231"/>
      <c r="BX614" s="231"/>
      <c r="BY614" s="231"/>
      <c r="BZ614" s="231"/>
      <c r="CA614" s="231"/>
      <c r="CB614" s="231"/>
      <c r="CC614" s="231"/>
      <c r="CD614" s="231"/>
      <c r="CE614" s="231"/>
      <c r="CF614" s="231"/>
      <c r="CG614" s="231"/>
      <c r="CH614" s="231"/>
      <c r="CI614" s="231"/>
    </row>
    <row r="615" spans="1:87" ht="25.2" customHeight="1">
      <c r="A615" s="204">
        <v>577</v>
      </c>
      <c r="B615" s="283">
        <v>15029</v>
      </c>
      <c r="C615" s="208" t="s">
        <v>784</v>
      </c>
      <c r="D615" s="194" t="s">
        <v>181</v>
      </c>
      <c r="E615" s="240">
        <f t="shared" si="75"/>
        <v>318.38</v>
      </c>
      <c r="F615" s="222">
        <v>31.6</v>
      </c>
      <c r="G615" s="223">
        <v>3.7</v>
      </c>
      <c r="H615" s="224">
        <v>9.1</v>
      </c>
      <c r="I615" s="234">
        <f t="shared" si="76"/>
        <v>55.42</v>
      </c>
      <c r="J615" s="235">
        <v>0.17</v>
      </c>
      <c r="K615" s="222">
        <v>0.18</v>
      </c>
      <c r="L615" s="232"/>
      <c r="M615" s="222">
        <v>35.4</v>
      </c>
      <c r="N615" s="222">
        <v>18</v>
      </c>
      <c r="O615" s="222">
        <v>0.67</v>
      </c>
      <c r="P615" s="222"/>
      <c r="Q615" s="222"/>
      <c r="R615" s="222"/>
      <c r="S615" s="222"/>
      <c r="T615" s="222"/>
      <c r="U615" s="222"/>
      <c r="V615" s="231"/>
      <c r="W615" s="242"/>
      <c r="X615" s="222">
        <v>0.42</v>
      </c>
      <c r="Y615" s="231"/>
      <c r="Z615" s="231"/>
      <c r="AA615" s="242"/>
      <c r="AB615" s="242"/>
      <c r="AC615" s="209"/>
      <c r="AD615" s="209"/>
      <c r="AE615" s="231"/>
      <c r="AF615" s="231"/>
      <c r="AG615" s="231"/>
      <c r="AH615" s="231"/>
      <c r="AI615" s="231"/>
      <c r="AJ615" s="210"/>
      <c r="AK615" s="232"/>
      <c r="AL615" s="210"/>
      <c r="AM615" s="231"/>
      <c r="AN615" s="231"/>
      <c r="AO615" s="231"/>
      <c r="AP615" s="231"/>
      <c r="AQ615" s="231"/>
      <c r="AR615" s="231"/>
      <c r="AS615" s="231"/>
      <c r="AT615" s="231"/>
      <c r="AU615" s="231"/>
      <c r="AV615" s="231"/>
      <c r="AW615" s="231"/>
      <c r="AX615" s="242"/>
      <c r="AY615" s="242"/>
      <c r="AZ615" s="242"/>
      <c r="BA615" s="242"/>
      <c r="BB615" s="242"/>
      <c r="BC615" s="242"/>
      <c r="BD615" s="242"/>
      <c r="BE615" s="231"/>
      <c r="BF615" s="242"/>
      <c r="BG615" s="242"/>
      <c r="BH615" s="242"/>
      <c r="BI615" s="242"/>
      <c r="BJ615" s="242"/>
      <c r="BK615" s="242"/>
      <c r="BL615" s="242"/>
      <c r="BM615" s="242"/>
      <c r="BN615" s="242"/>
      <c r="BO615" s="231"/>
      <c r="BP615" s="231"/>
      <c r="BQ615" s="231"/>
      <c r="BR615" s="231"/>
      <c r="BS615" s="231"/>
      <c r="BT615" s="231"/>
      <c r="BU615" s="231"/>
      <c r="BV615" s="231"/>
      <c r="BW615" s="231"/>
      <c r="BX615" s="231"/>
      <c r="BY615" s="231"/>
      <c r="BZ615" s="231"/>
      <c r="CA615" s="231"/>
      <c r="CB615" s="231"/>
      <c r="CC615" s="231"/>
      <c r="CD615" s="231"/>
      <c r="CE615" s="231"/>
      <c r="CF615" s="231"/>
      <c r="CG615" s="231"/>
      <c r="CH615" s="231"/>
      <c r="CI615" s="231"/>
    </row>
    <row r="616" spans="1:87" ht="25.2" customHeight="1">
      <c r="A616" s="204">
        <v>578</v>
      </c>
      <c r="B616" s="283">
        <v>15030</v>
      </c>
      <c r="C616" s="208" t="s">
        <v>785</v>
      </c>
      <c r="D616" s="194" t="s">
        <v>181</v>
      </c>
      <c r="E616" s="240">
        <f t="shared" si="75"/>
        <v>103.72</v>
      </c>
      <c r="F616" s="222">
        <v>77.7</v>
      </c>
      <c r="G616" s="223">
        <v>1.5</v>
      </c>
      <c r="H616" s="224">
        <v>3.2</v>
      </c>
      <c r="I616" s="234">
        <f t="shared" si="76"/>
        <v>17.23</v>
      </c>
      <c r="J616" s="222">
        <v>1.08</v>
      </c>
      <c r="K616" s="222">
        <v>0.37</v>
      </c>
      <c r="L616" s="232"/>
      <c r="M616" s="222">
        <v>59.36</v>
      </c>
      <c r="N616" s="222">
        <v>13.18</v>
      </c>
      <c r="O616" s="222">
        <v>0.71</v>
      </c>
      <c r="P616" s="222"/>
      <c r="Q616" s="222"/>
      <c r="R616" s="222"/>
      <c r="S616" s="222"/>
      <c r="T616" s="222"/>
      <c r="U616" s="222"/>
      <c r="V616" s="231"/>
      <c r="W616" s="242"/>
      <c r="X616" s="222">
        <v>0.34</v>
      </c>
      <c r="Y616" s="231"/>
      <c r="Z616" s="231"/>
      <c r="AA616" s="242"/>
      <c r="AB616" s="242"/>
      <c r="AC616" s="209"/>
      <c r="AD616" s="209"/>
      <c r="AE616" s="231"/>
      <c r="AF616" s="231"/>
      <c r="AG616" s="231"/>
      <c r="AH616" s="231"/>
      <c r="AI616" s="231"/>
      <c r="AJ616" s="210"/>
      <c r="AK616" s="232"/>
      <c r="AL616" s="210"/>
      <c r="AM616" s="231"/>
      <c r="AN616" s="231"/>
      <c r="AO616" s="231"/>
      <c r="AP616" s="231"/>
      <c r="AQ616" s="231"/>
      <c r="AR616" s="231"/>
      <c r="AS616" s="231"/>
      <c r="AT616" s="231"/>
      <c r="AU616" s="231"/>
      <c r="AV616" s="231"/>
      <c r="AW616" s="231"/>
      <c r="AX616" s="242"/>
      <c r="AY616" s="242"/>
      <c r="AZ616" s="242"/>
      <c r="BA616" s="242"/>
      <c r="BB616" s="242"/>
      <c r="BC616" s="242"/>
      <c r="BD616" s="242"/>
      <c r="BE616" s="231"/>
      <c r="BF616" s="242"/>
      <c r="BG616" s="242"/>
      <c r="BH616" s="242"/>
      <c r="BI616" s="242"/>
      <c r="BJ616" s="242"/>
      <c r="BK616" s="242"/>
      <c r="BL616" s="242"/>
      <c r="BM616" s="242"/>
      <c r="BN616" s="242"/>
      <c r="BO616" s="231"/>
      <c r="BP616" s="231"/>
      <c r="BQ616" s="231"/>
      <c r="BR616" s="231"/>
      <c r="BS616" s="231"/>
      <c r="BT616" s="231"/>
      <c r="BU616" s="231"/>
      <c r="BV616" s="231"/>
      <c r="BW616" s="231"/>
      <c r="BX616" s="231"/>
      <c r="BY616" s="231"/>
      <c r="BZ616" s="231"/>
      <c r="CA616" s="231"/>
      <c r="CB616" s="231"/>
      <c r="CC616" s="231"/>
      <c r="CD616" s="231"/>
      <c r="CE616" s="231"/>
      <c r="CF616" s="231"/>
      <c r="CG616" s="231"/>
      <c r="CH616" s="231"/>
      <c r="CI616" s="231"/>
    </row>
    <row r="617" spans="1:87" ht="25.2" customHeight="1">
      <c r="A617" s="204">
        <v>579</v>
      </c>
      <c r="B617" s="283">
        <v>15031</v>
      </c>
      <c r="C617" s="208" t="s">
        <v>786</v>
      </c>
      <c r="D617" s="194"/>
      <c r="E617" s="240">
        <f t="shared" si="75"/>
        <v>203.76</v>
      </c>
      <c r="F617" s="222">
        <v>61.1</v>
      </c>
      <c r="G617" s="220">
        <v>4</v>
      </c>
      <c r="H617" s="224">
        <v>10.8</v>
      </c>
      <c r="I617" s="234">
        <f t="shared" si="76"/>
        <v>22.64</v>
      </c>
      <c r="J617" s="235">
        <v>0.4</v>
      </c>
      <c r="K617" s="222">
        <v>1.46</v>
      </c>
      <c r="L617" s="232"/>
      <c r="M617" s="222">
        <v>232.4</v>
      </c>
      <c r="N617" s="222">
        <v>24.1</v>
      </c>
      <c r="O617" s="222">
        <v>2.54</v>
      </c>
      <c r="P617" s="222"/>
      <c r="Q617" s="222"/>
      <c r="R617" s="222"/>
      <c r="S617" s="222"/>
      <c r="T617" s="222"/>
      <c r="U617" s="222"/>
      <c r="V617" s="231"/>
      <c r="W617" s="242"/>
      <c r="X617" s="222">
        <v>0.43</v>
      </c>
      <c r="Y617" s="231"/>
      <c r="Z617" s="231"/>
      <c r="AA617" s="242"/>
      <c r="AB617" s="242"/>
      <c r="AC617" s="209"/>
      <c r="AD617" s="209"/>
      <c r="AE617" s="231"/>
      <c r="AF617" s="231"/>
      <c r="AG617" s="231"/>
      <c r="AH617" s="231"/>
      <c r="AI617" s="231"/>
      <c r="AJ617" s="210"/>
      <c r="AK617" s="232"/>
      <c r="AL617" s="210"/>
      <c r="AM617" s="231"/>
      <c r="AN617" s="231"/>
      <c r="AO617" s="231"/>
      <c r="AP617" s="231"/>
      <c r="AQ617" s="231"/>
      <c r="AR617" s="231"/>
      <c r="AS617" s="231"/>
      <c r="AT617" s="231"/>
      <c r="AU617" s="231"/>
      <c r="AV617" s="231"/>
      <c r="AW617" s="231"/>
      <c r="AX617" s="242"/>
      <c r="AY617" s="242"/>
      <c r="AZ617" s="242"/>
      <c r="BA617" s="242"/>
      <c r="BB617" s="242"/>
      <c r="BC617" s="242"/>
      <c r="BD617" s="242"/>
      <c r="BE617" s="231"/>
      <c r="BF617" s="242"/>
      <c r="BG617" s="242"/>
      <c r="BH617" s="242"/>
      <c r="BI617" s="242"/>
      <c r="BJ617" s="242"/>
      <c r="BK617" s="242"/>
      <c r="BL617" s="242"/>
      <c r="BM617" s="242"/>
      <c r="BN617" s="242"/>
      <c r="BO617" s="231"/>
      <c r="BP617" s="231"/>
      <c r="BQ617" s="231"/>
      <c r="BR617" s="231"/>
      <c r="BS617" s="231"/>
      <c r="BT617" s="231"/>
      <c r="BU617" s="231"/>
      <c r="BV617" s="231"/>
      <c r="BW617" s="231"/>
      <c r="BX617" s="231"/>
      <c r="BY617" s="231"/>
      <c r="BZ617" s="231"/>
      <c r="CA617" s="231"/>
      <c r="CB617" s="231"/>
      <c r="CC617" s="231"/>
      <c r="CD617" s="231"/>
      <c r="CE617" s="231"/>
      <c r="CF617" s="231"/>
      <c r="CG617" s="231"/>
      <c r="CH617" s="231"/>
      <c r="CI617" s="231"/>
    </row>
    <row r="618" spans="1:87" ht="25.2" customHeight="1">
      <c r="A618" s="204">
        <v>580</v>
      </c>
      <c r="B618" s="283">
        <v>15032</v>
      </c>
      <c r="C618" s="208" t="s">
        <v>787</v>
      </c>
      <c r="D618" s="194" t="s">
        <v>181</v>
      </c>
      <c r="E618" s="240">
        <f t="shared" si="75"/>
        <v>202.08</v>
      </c>
      <c r="F618" s="222">
        <v>50.1</v>
      </c>
      <c r="G618" s="220">
        <v>2.8</v>
      </c>
      <c r="H618" s="221">
        <v>0.6</v>
      </c>
      <c r="I618" s="234">
        <f t="shared" si="76"/>
        <v>46.37</v>
      </c>
      <c r="J618" s="235">
        <v>0.17</v>
      </c>
      <c r="K618" s="222">
        <v>0.13</v>
      </c>
      <c r="L618" s="232"/>
      <c r="M618" s="222">
        <v>16.100000000000001</v>
      </c>
      <c r="N618" s="222">
        <v>13.9</v>
      </c>
      <c r="O618" s="222">
        <v>1.86</v>
      </c>
      <c r="P618" s="222"/>
      <c r="Q618" s="222"/>
      <c r="R618" s="222"/>
      <c r="S618" s="222">
        <f>626-545</f>
        <v>81</v>
      </c>
      <c r="T618" s="222"/>
      <c r="U618" s="222"/>
      <c r="V618" s="231"/>
      <c r="W618" s="242"/>
      <c r="X618" s="235">
        <v>0.45</v>
      </c>
      <c r="Y618" s="231"/>
      <c r="Z618" s="231"/>
      <c r="AA618" s="242"/>
      <c r="AB618" s="242"/>
      <c r="AC618" s="209"/>
      <c r="AD618" s="209"/>
      <c r="AE618" s="231"/>
      <c r="AF618" s="231"/>
      <c r="AG618" s="231"/>
      <c r="AH618" s="231"/>
      <c r="AI618" s="231"/>
      <c r="AJ618" s="210"/>
      <c r="AK618" s="232"/>
      <c r="AL618" s="210"/>
      <c r="AM618" s="231"/>
      <c r="AN618" s="231"/>
      <c r="AO618" s="231"/>
      <c r="AP618" s="231"/>
      <c r="AQ618" s="231"/>
      <c r="AR618" s="231"/>
      <c r="AS618" s="231"/>
      <c r="AT618" s="231"/>
      <c r="AU618" s="231"/>
      <c r="AV618" s="231"/>
      <c r="AW618" s="231"/>
      <c r="AX618" s="242"/>
      <c r="AY618" s="242"/>
      <c r="AZ618" s="242"/>
      <c r="BA618" s="242"/>
      <c r="BB618" s="242"/>
      <c r="BC618" s="242"/>
      <c r="BD618" s="242"/>
      <c r="BE618" s="231"/>
      <c r="BF618" s="242"/>
      <c r="BG618" s="242"/>
      <c r="BH618" s="242"/>
      <c r="BI618" s="242"/>
      <c r="BJ618" s="242"/>
      <c r="BK618" s="242"/>
      <c r="BL618" s="242"/>
      <c r="BM618" s="242"/>
      <c r="BN618" s="242"/>
      <c r="BO618" s="231"/>
      <c r="BP618" s="231"/>
      <c r="BQ618" s="231"/>
      <c r="BR618" s="231"/>
      <c r="BS618" s="231"/>
      <c r="BT618" s="231"/>
      <c r="BU618" s="231"/>
      <c r="BV618" s="231"/>
      <c r="BW618" s="231"/>
      <c r="BX618" s="231"/>
      <c r="BY618" s="231"/>
      <c r="BZ618" s="231"/>
      <c r="CA618" s="231"/>
      <c r="CB618" s="231"/>
      <c r="CC618" s="231"/>
      <c r="CD618" s="231"/>
      <c r="CE618" s="231"/>
      <c r="CF618" s="231"/>
      <c r="CG618" s="231"/>
      <c r="CH618" s="231"/>
      <c r="CI618" s="231"/>
    </row>
    <row r="619" spans="1:87" ht="25.2" customHeight="1">
      <c r="A619" s="204">
        <v>581</v>
      </c>
      <c r="B619" s="283">
        <v>15033</v>
      </c>
      <c r="C619" s="208" t="s">
        <v>788</v>
      </c>
      <c r="D619" s="194"/>
      <c r="E619" s="240">
        <f t="shared" si="75"/>
        <v>81.12</v>
      </c>
      <c r="F619" s="222">
        <v>79.7</v>
      </c>
      <c r="G619" s="223">
        <v>3.2</v>
      </c>
      <c r="H619" s="224">
        <v>0.6</v>
      </c>
      <c r="I619" s="234">
        <f t="shared" si="76"/>
        <v>15.73</v>
      </c>
      <c r="J619" s="235">
        <v>0.39807264640474399</v>
      </c>
      <c r="K619" s="222">
        <v>0.77</v>
      </c>
      <c r="L619" s="232"/>
      <c r="M619" s="222">
        <v>87.27</v>
      </c>
      <c r="N619" s="222">
        <v>25.38</v>
      </c>
      <c r="O619" s="222">
        <v>0.55000000000000004</v>
      </c>
      <c r="P619" s="222"/>
      <c r="Q619" s="222"/>
      <c r="R619" s="222"/>
      <c r="S619" s="222"/>
      <c r="T619" s="222"/>
      <c r="U619" s="222"/>
      <c r="V619" s="231"/>
      <c r="W619" s="242"/>
      <c r="X619" s="222">
        <v>0.13</v>
      </c>
      <c r="Y619" s="231"/>
      <c r="Z619" s="231"/>
      <c r="AA619" s="242"/>
      <c r="AB619" s="242"/>
      <c r="AC619" s="209"/>
      <c r="AD619" s="209"/>
      <c r="AE619" s="231"/>
      <c r="AF619" s="231"/>
      <c r="AG619" s="231"/>
      <c r="AH619" s="231"/>
      <c r="AI619" s="231"/>
      <c r="AJ619" s="210"/>
      <c r="AK619" s="232"/>
      <c r="AL619" s="210"/>
      <c r="AM619" s="231"/>
      <c r="AN619" s="231"/>
      <c r="AO619" s="231"/>
      <c r="AP619" s="231"/>
      <c r="AQ619" s="231"/>
      <c r="AR619" s="231"/>
      <c r="AS619" s="231"/>
      <c r="AT619" s="231"/>
      <c r="AU619" s="231"/>
      <c r="AV619" s="231"/>
      <c r="AW619" s="231"/>
      <c r="AX619" s="242"/>
      <c r="AY619" s="242"/>
      <c r="AZ619" s="242"/>
      <c r="BA619" s="242"/>
      <c r="BB619" s="242"/>
      <c r="BC619" s="242"/>
      <c r="BD619" s="242"/>
      <c r="BE619" s="231"/>
      <c r="BF619" s="242"/>
      <c r="BG619" s="242"/>
      <c r="BH619" s="242"/>
      <c r="BI619" s="242"/>
      <c r="BJ619" s="242"/>
      <c r="BK619" s="242"/>
      <c r="BL619" s="242"/>
      <c r="BM619" s="242"/>
      <c r="BN619" s="242"/>
      <c r="BO619" s="231"/>
      <c r="BP619" s="231"/>
      <c r="BQ619" s="231"/>
      <c r="BR619" s="231"/>
      <c r="BS619" s="231"/>
      <c r="BT619" s="231"/>
      <c r="BU619" s="231"/>
      <c r="BV619" s="231"/>
      <c r="BW619" s="231"/>
      <c r="BX619" s="231"/>
      <c r="BY619" s="231"/>
      <c r="BZ619" s="231"/>
      <c r="CA619" s="231"/>
      <c r="CB619" s="231"/>
      <c r="CC619" s="231"/>
      <c r="CD619" s="231"/>
      <c r="CE619" s="231"/>
      <c r="CF619" s="231"/>
      <c r="CG619" s="231"/>
      <c r="CH619" s="231"/>
      <c r="CI619" s="231"/>
    </row>
    <row r="620" spans="1:87" ht="25.2" customHeight="1">
      <c r="A620" s="204">
        <v>582</v>
      </c>
      <c r="B620" s="283">
        <v>15034</v>
      </c>
      <c r="C620" s="208" t="s">
        <v>789</v>
      </c>
      <c r="D620" s="194"/>
      <c r="E620" s="240">
        <f t="shared" si="75"/>
        <v>135.6</v>
      </c>
      <c r="F620" s="219">
        <v>70.599999999999994</v>
      </c>
      <c r="G620" s="220">
        <v>6.1</v>
      </c>
      <c r="H620" s="221">
        <v>4.4000000000000004</v>
      </c>
      <c r="I620" s="234">
        <f t="shared" si="76"/>
        <v>17.899999999999999</v>
      </c>
      <c r="J620" s="235">
        <v>0.55000000000000004</v>
      </c>
      <c r="K620" s="219">
        <v>1</v>
      </c>
      <c r="L620" s="232"/>
      <c r="M620" s="222">
        <v>91.1</v>
      </c>
      <c r="N620" s="222">
        <v>33.26</v>
      </c>
      <c r="O620" s="222">
        <v>0.99</v>
      </c>
      <c r="P620" s="222"/>
      <c r="Q620" s="222"/>
      <c r="R620" s="222"/>
      <c r="S620" s="222"/>
      <c r="T620" s="222"/>
      <c r="U620" s="222"/>
      <c r="V620" s="231"/>
      <c r="W620" s="242"/>
      <c r="X620" s="235">
        <v>0.77</v>
      </c>
      <c r="Y620" s="231"/>
      <c r="Z620" s="231"/>
      <c r="AA620" s="242"/>
      <c r="AB620" s="242"/>
      <c r="AC620" s="209"/>
      <c r="AD620" s="209"/>
      <c r="AE620" s="231"/>
      <c r="AF620" s="231"/>
      <c r="AG620" s="231"/>
      <c r="AH620" s="231"/>
      <c r="AI620" s="231"/>
      <c r="AJ620" s="210"/>
      <c r="AK620" s="232"/>
      <c r="AL620" s="210"/>
      <c r="AM620" s="231"/>
      <c r="AN620" s="231"/>
      <c r="AO620" s="231"/>
      <c r="AP620" s="231"/>
      <c r="AQ620" s="231"/>
      <c r="AR620" s="231"/>
      <c r="AS620" s="231"/>
      <c r="AT620" s="231"/>
      <c r="AU620" s="231"/>
      <c r="AV620" s="231"/>
      <c r="AW620" s="231"/>
      <c r="AX620" s="242"/>
      <c r="AY620" s="242"/>
      <c r="AZ620" s="242"/>
      <c r="BA620" s="242"/>
      <c r="BB620" s="242"/>
      <c r="BC620" s="242"/>
      <c r="BD620" s="242"/>
      <c r="BE620" s="231"/>
      <c r="BF620" s="242"/>
      <c r="BG620" s="242"/>
      <c r="BH620" s="242"/>
      <c r="BI620" s="242"/>
      <c r="BJ620" s="242"/>
      <c r="BK620" s="242"/>
      <c r="BL620" s="242"/>
      <c r="BM620" s="242"/>
      <c r="BN620" s="242"/>
      <c r="BO620" s="231"/>
      <c r="BP620" s="231"/>
      <c r="BQ620" s="231"/>
      <c r="BR620" s="231"/>
      <c r="BS620" s="231"/>
      <c r="BT620" s="231"/>
      <c r="BU620" s="231"/>
      <c r="BV620" s="231"/>
      <c r="BW620" s="231"/>
      <c r="BX620" s="231"/>
      <c r="BY620" s="231"/>
      <c r="BZ620" s="231"/>
      <c r="CA620" s="231"/>
      <c r="CB620" s="231"/>
      <c r="CC620" s="231"/>
      <c r="CD620" s="231"/>
      <c r="CE620" s="231"/>
      <c r="CF620" s="231"/>
      <c r="CG620" s="231"/>
      <c r="CH620" s="231"/>
      <c r="CI620" s="231"/>
    </row>
    <row r="621" spans="1:87" ht="25.2" customHeight="1">
      <c r="A621" s="204">
        <v>583</v>
      </c>
      <c r="B621" s="283">
        <v>15035</v>
      </c>
      <c r="C621" s="208" t="s">
        <v>790</v>
      </c>
      <c r="D621" s="194"/>
      <c r="E621" s="240">
        <f t="shared" si="75"/>
        <v>52.9</v>
      </c>
      <c r="F621" s="219">
        <v>86.6</v>
      </c>
      <c r="G621" s="220">
        <v>2.1</v>
      </c>
      <c r="H621" s="221">
        <v>0.9</v>
      </c>
      <c r="I621" s="234">
        <f t="shared" si="76"/>
        <v>9.1000000000000103</v>
      </c>
      <c r="J621" s="219"/>
      <c r="K621" s="219">
        <v>1.3</v>
      </c>
      <c r="L621" s="232"/>
      <c r="M621" s="222">
        <v>97.9</v>
      </c>
      <c r="N621" s="222">
        <v>23.2</v>
      </c>
      <c r="O621" s="222">
        <v>2.0699999999999998</v>
      </c>
      <c r="P621" s="222"/>
      <c r="Q621" s="222"/>
      <c r="R621" s="222"/>
      <c r="S621" s="222"/>
      <c r="T621" s="222"/>
      <c r="U621" s="222"/>
      <c r="V621" s="231"/>
      <c r="W621" s="242"/>
      <c r="X621" s="235">
        <v>0.4</v>
      </c>
      <c r="Y621" s="231"/>
      <c r="Z621" s="231"/>
      <c r="AA621" s="242"/>
      <c r="AB621" s="242"/>
      <c r="AC621" s="209"/>
      <c r="AD621" s="209"/>
      <c r="AE621" s="231"/>
      <c r="AF621" s="231"/>
      <c r="AG621" s="231"/>
      <c r="AH621" s="231"/>
      <c r="AI621" s="231"/>
      <c r="AJ621" s="210"/>
      <c r="AK621" s="232"/>
      <c r="AL621" s="210"/>
      <c r="AM621" s="231"/>
      <c r="AN621" s="231"/>
      <c r="AO621" s="231"/>
      <c r="AP621" s="231"/>
      <c r="AQ621" s="231"/>
      <c r="AR621" s="231"/>
      <c r="AS621" s="231"/>
      <c r="AT621" s="231"/>
      <c r="AU621" s="231"/>
      <c r="AV621" s="231"/>
      <c r="AW621" s="231"/>
      <c r="AX621" s="242"/>
      <c r="AY621" s="242"/>
      <c r="AZ621" s="242"/>
      <c r="BA621" s="242"/>
      <c r="BB621" s="242"/>
      <c r="BC621" s="242"/>
      <c r="BD621" s="242"/>
      <c r="BE621" s="231"/>
      <c r="BF621" s="242"/>
      <c r="BG621" s="242"/>
      <c r="BH621" s="242"/>
      <c r="BI621" s="242"/>
      <c r="BJ621" s="242"/>
      <c r="BK621" s="242"/>
      <c r="BL621" s="242"/>
      <c r="BM621" s="242"/>
      <c r="BN621" s="242"/>
      <c r="BO621" s="231"/>
      <c r="BP621" s="231"/>
      <c r="BQ621" s="231"/>
      <c r="BR621" s="231"/>
      <c r="BS621" s="231"/>
      <c r="BT621" s="231"/>
      <c r="BU621" s="231"/>
      <c r="BV621" s="231"/>
      <c r="BW621" s="231"/>
      <c r="BX621" s="231"/>
      <c r="BY621" s="231"/>
      <c r="BZ621" s="231"/>
      <c r="CA621" s="231"/>
      <c r="CB621" s="231"/>
      <c r="CC621" s="231"/>
      <c r="CD621" s="231"/>
      <c r="CE621" s="231"/>
      <c r="CF621" s="231"/>
      <c r="CG621" s="231"/>
      <c r="CH621" s="231"/>
      <c r="CI621" s="231"/>
    </row>
    <row r="622" spans="1:87" ht="25.2" customHeight="1">
      <c r="A622" s="204">
        <v>584</v>
      </c>
      <c r="B622" s="283">
        <v>15036</v>
      </c>
      <c r="C622" s="208" t="s">
        <v>791</v>
      </c>
      <c r="D622" s="194"/>
      <c r="E622" s="240">
        <f t="shared" si="75"/>
        <v>150.80000000000001</v>
      </c>
      <c r="F622" s="219">
        <v>68.599999999999994</v>
      </c>
      <c r="G622" s="220">
        <v>3</v>
      </c>
      <c r="H622" s="221">
        <v>6.4</v>
      </c>
      <c r="I622" s="234">
        <f t="shared" si="76"/>
        <v>20.3</v>
      </c>
      <c r="J622" s="235">
        <v>0.65</v>
      </c>
      <c r="K622" s="219">
        <v>1.7</v>
      </c>
      <c r="L622" s="232"/>
      <c r="M622" s="222">
        <v>226.81</v>
      </c>
      <c r="N622" s="222">
        <v>61.43</v>
      </c>
      <c r="O622" s="222">
        <v>1.75</v>
      </c>
      <c r="P622" s="222"/>
      <c r="Q622" s="222"/>
      <c r="R622" s="222"/>
      <c r="S622" s="222"/>
      <c r="T622" s="222"/>
      <c r="U622" s="222"/>
      <c r="V622" s="231"/>
      <c r="W622" s="242"/>
      <c r="X622" s="235">
        <v>0.37</v>
      </c>
      <c r="Y622" s="231"/>
      <c r="Z622" s="231"/>
      <c r="AA622" s="242"/>
      <c r="AB622" s="242"/>
      <c r="AC622" s="209"/>
      <c r="AD622" s="209"/>
      <c r="AE622" s="231"/>
      <c r="AF622" s="231"/>
      <c r="AG622" s="231"/>
      <c r="AH622" s="231"/>
      <c r="AI622" s="231"/>
      <c r="AJ622" s="210"/>
      <c r="AK622" s="232"/>
      <c r="AL622" s="210"/>
      <c r="AM622" s="231"/>
      <c r="AN622" s="231"/>
      <c r="AO622" s="231"/>
      <c r="AP622" s="231"/>
      <c r="AQ622" s="231"/>
      <c r="AR622" s="231"/>
      <c r="AS622" s="231"/>
      <c r="AT622" s="231"/>
      <c r="AU622" s="231"/>
      <c r="AV622" s="231"/>
      <c r="AW622" s="231"/>
      <c r="AX622" s="242"/>
      <c r="AY622" s="242"/>
      <c r="AZ622" s="242"/>
      <c r="BA622" s="242"/>
      <c r="BB622" s="242"/>
      <c r="BC622" s="242"/>
      <c r="BD622" s="242"/>
      <c r="BE622" s="231"/>
      <c r="BF622" s="242"/>
      <c r="BG622" s="242"/>
      <c r="BH622" s="242"/>
      <c r="BI622" s="242"/>
      <c r="BJ622" s="242"/>
      <c r="BK622" s="242"/>
      <c r="BL622" s="242"/>
      <c r="BM622" s="242"/>
      <c r="BN622" s="242"/>
      <c r="BO622" s="231"/>
      <c r="BP622" s="231"/>
      <c r="BQ622" s="231"/>
      <c r="BR622" s="231"/>
      <c r="BS622" s="231"/>
      <c r="BT622" s="231"/>
      <c r="BU622" s="231"/>
      <c r="BV622" s="231"/>
      <c r="BW622" s="231"/>
      <c r="BX622" s="231"/>
      <c r="BY622" s="231"/>
      <c r="BZ622" s="231"/>
      <c r="CA622" s="231"/>
      <c r="CB622" s="231"/>
      <c r="CC622" s="231"/>
      <c r="CD622" s="231"/>
      <c r="CE622" s="231"/>
      <c r="CF622" s="231"/>
      <c r="CG622" s="231"/>
      <c r="CH622" s="231"/>
      <c r="CI622" s="231"/>
    </row>
    <row r="623" spans="1:87" ht="25.2" customHeight="1">
      <c r="A623" s="204">
        <v>585</v>
      </c>
      <c r="B623" s="283">
        <v>15037</v>
      </c>
      <c r="C623" s="208" t="s">
        <v>792</v>
      </c>
      <c r="D623" s="194"/>
      <c r="E623" s="240">
        <f t="shared" si="75"/>
        <v>68.600000000000094</v>
      </c>
      <c r="F623" s="284">
        <v>84.8</v>
      </c>
      <c r="G623" s="220">
        <v>3</v>
      </c>
      <c r="H623" s="221">
        <v>2.6</v>
      </c>
      <c r="I623" s="234">
        <f t="shared" si="76"/>
        <v>8.3000000000000096</v>
      </c>
      <c r="J623" s="219"/>
      <c r="K623" s="219">
        <v>1.3</v>
      </c>
      <c r="L623" s="232"/>
      <c r="M623" s="222">
        <v>57.74</v>
      </c>
      <c r="N623" s="222">
        <v>26.73</v>
      </c>
      <c r="O623" s="222">
        <v>0.79</v>
      </c>
      <c r="P623" s="222"/>
      <c r="Q623" s="222"/>
      <c r="R623" s="222"/>
      <c r="S623" s="222"/>
      <c r="T623" s="222"/>
      <c r="U623" s="222"/>
      <c r="V623" s="231"/>
      <c r="W623" s="242"/>
      <c r="X623" s="235">
        <v>0.39</v>
      </c>
      <c r="Y623" s="231"/>
      <c r="Z623" s="231"/>
      <c r="AA623" s="242"/>
      <c r="AB623" s="242"/>
      <c r="AC623" s="209"/>
      <c r="AD623" s="209"/>
      <c r="AE623" s="231"/>
      <c r="AF623" s="231"/>
      <c r="AG623" s="231"/>
      <c r="AH623" s="231"/>
      <c r="AI623" s="231"/>
      <c r="AJ623" s="210"/>
      <c r="AK623" s="232"/>
      <c r="AL623" s="210"/>
      <c r="AM623" s="231"/>
      <c r="AN623" s="231"/>
      <c r="AO623" s="231"/>
      <c r="AP623" s="231"/>
      <c r="AQ623" s="231"/>
      <c r="AR623" s="231"/>
      <c r="AS623" s="231"/>
      <c r="AT623" s="231"/>
      <c r="AU623" s="231"/>
      <c r="AV623" s="231"/>
      <c r="AW623" s="231"/>
      <c r="AX623" s="242"/>
      <c r="AY623" s="242"/>
      <c r="AZ623" s="242"/>
      <c r="BA623" s="242"/>
      <c r="BB623" s="242"/>
      <c r="BC623" s="242"/>
      <c r="BD623" s="242"/>
      <c r="BE623" s="231"/>
      <c r="BF623" s="242"/>
      <c r="BG623" s="242"/>
      <c r="BH623" s="242"/>
      <c r="BI623" s="242"/>
      <c r="BJ623" s="242"/>
      <c r="BK623" s="242"/>
      <c r="BL623" s="242"/>
      <c r="BM623" s="242"/>
      <c r="BN623" s="242"/>
      <c r="BO623" s="231"/>
      <c r="BP623" s="231"/>
      <c r="BQ623" s="231"/>
      <c r="BR623" s="231"/>
      <c r="BS623" s="231"/>
      <c r="BT623" s="231"/>
      <c r="BU623" s="231"/>
      <c r="BV623" s="231"/>
      <c r="BW623" s="231"/>
      <c r="BX623" s="231"/>
      <c r="BY623" s="231"/>
      <c r="BZ623" s="231"/>
      <c r="CA623" s="231"/>
      <c r="CB623" s="231"/>
      <c r="CC623" s="231"/>
      <c r="CD623" s="231"/>
      <c r="CE623" s="231"/>
      <c r="CF623" s="231"/>
      <c r="CG623" s="231"/>
      <c r="CH623" s="231"/>
      <c r="CI623" s="231"/>
    </row>
    <row r="624" spans="1:87" ht="25.2" customHeight="1">
      <c r="A624" s="204">
        <v>586</v>
      </c>
      <c r="B624" s="283">
        <v>15038</v>
      </c>
      <c r="C624" s="208" t="s">
        <v>793</v>
      </c>
      <c r="D624" s="194"/>
      <c r="E624" s="240">
        <f t="shared" si="75"/>
        <v>119.5</v>
      </c>
      <c r="F624" s="219">
        <v>74.099999999999994</v>
      </c>
      <c r="G624" s="220">
        <v>3.3</v>
      </c>
      <c r="H624" s="221">
        <v>3.9</v>
      </c>
      <c r="I624" s="234">
        <f t="shared" si="76"/>
        <v>17.8</v>
      </c>
      <c r="J624" s="235">
        <v>0.56000000000000005</v>
      </c>
      <c r="K624" s="219">
        <v>0.9</v>
      </c>
      <c r="L624" s="232"/>
      <c r="M624" s="222">
        <v>139.19999999999999</v>
      </c>
      <c r="N624" s="222">
        <v>27.8</v>
      </c>
      <c r="O624" s="222">
        <v>1.08</v>
      </c>
      <c r="P624" s="222"/>
      <c r="Q624" s="222"/>
      <c r="R624" s="222"/>
      <c r="S624" s="222"/>
      <c r="T624" s="222"/>
      <c r="U624" s="222"/>
      <c r="V624" s="231"/>
      <c r="W624" s="242"/>
      <c r="X624" s="235">
        <v>0.15</v>
      </c>
      <c r="Y624" s="231"/>
      <c r="Z624" s="231"/>
      <c r="AA624" s="242"/>
      <c r="AB624" s="242"/>
      <c r="AC624" s="209"/>
      <c r="AD624" s="209"/>
      <c r="AE624" s="231"/>
      <c r="AF624" s="231"/>
      <c r="AG624" s="231"/>
      <c r="AH624" s="231"/>
      <c r="AI624" s="231"/>
      <c r="AJ624" s="210"/>
      <c r="AK624" s="232"/>
      <c r="AL624" s="210"/>
      <c r="AM624" s="231"/>
      <c r="AN624" s="231"/>
      <c r="AO624" s="231"/>
      <c r="AP624" s="231"/>
      <c r="AQ624" s="231"/>
      <c r="AR624" s="231"/>
      <c r="AS624" s="231"/>
      <c r="AT624" s="231"/>
      <c r="AU624" s="231"/>
      <c r="AV624" s="231"/>
      <c r="AW624" s="231"/>
      <c r="AX624" s="242"/>
      <c r="AY624" s="242"/>
      <c r="AZ624" s="242"/>
      <c r="BA624" s="242"/>
      <c r="BB624" s="242"/>
      <c r="BC624" s="242"/>
      <c r="BD624" s="242"/>
      <c r="BE624" s="231"/>
      <c r="BF624" s="242"/>
      <c r="BG624" s="242"/>
      <c r="BH624" s="242"/>
      <c r="BI624" s="242"/>
      <c r="BJ624" s="242"/>
      <c r="BK624" s="242"/>
      <c r="BL624" s="242"/>
      <c r="BM624" s="242"/>
      <c r="BN624" s="242"/>
      <c r="BO624" s="231"/>
      <c r="BP624" s="231"/>
      <c r="BQ624" s="231"/>
      <c r="BR624" s="231"/>
      <c r="BS624" s="231"/>
      <c r="BT624" s="231"/>
      <c r="BU624" s="231"/>
      <c r="BV624" s="231"/>
      <c r="BW624" s="231"/>
      <c r="BX624" s="231"/>
      <c r="BY624" s="231"/>
      <c r="BZ624" s="231"/>
      <c r="CA624" s="231"/>
      <c r="CB624" s="231"/>
      <c r="CC624" s="231"/>
      <c r="CD624" s="231"/>
      <c r="CE624" s="231"/>
      <c r="CF624" s="231"/>
      <c r="CG624" s="231"/>
      <c r="CH624" s="231"/>
      <c r="CI624" s="231"/>
    </row>
    <row r="625" spans="1:87" ht="25.2" customHeight="1">
      <c r="A625" s="204">
        <v>587</v>
      </c>
      <c r="B625" s="283">
        <v>15039</v>
      </c>
      <c r="C625" s="208" t="s">
        <v>794</v>
      </c>
      <c r="D625" s="194"/>
      <c r="E625" s="240">
        <f t="shared" si="75"/>
        <v>62.3</v>
      </c>
      <c r="F625" s="219">
        <v>83.9</v>
      </c>
      <c r="G625" s="220">
        <v>3.1</v>
      </c>
      <c r="H625" s="221">
        <v>0.7</v>
      </c>
      <c r="I625" s="234">
        <f t="shared" si="76"/>
        <v>10.9</v>
      </c>
      <c r="J625" s="219"/>
      <c r="K625" s="219">
        <v>1.4</v>
      </c>
      <c r="L625" s="232"/>
      <c r="M625" s="222">
        <v>181.1</v>
      </c>
      <c r="N625" s="222">
        <v>21.96</v>
      </c>
      <c r="O625" s="222">
        <v>1.78</v>
      </c>
      <c r="P625" s="222"/>
      <c r="Q625" s="222"/>
      <c r="R625" s="222"/>
      <c r="S625" s="222"/>
      <c r="T625" s="222"/>
      <c r="U625" s="222"/>
      <c r="V625" s="231"/>
      <c r="W625" s="242"/>
      <c r="X625" s="235">
        <v>0.28999999999999998</v>
      </c>
      <c r="Y625" s="231"/>
      <c r="Z625" s="231"/>
      <c r="AA625" s="242"/>
      <c r="AB625" s="242"/>
      <c r="AC625" s="209"/>
      <c r="AD625" s="209"/>
      <c r="AE625" s="231"/>
      <c r="AF625" s="231"/>
      <c r="AG625" s="231"/>
      <c r="AH625" s="231"/>
      <c r="AI625" s="231"/>
      <c r="AJ625" s="210"/>
      <c r="AK625" s="232"/>
      <c r="AL625" s="210"/>
      <c r="AM625" s="231"/>
      <c r="AN625" s="231"/>
      <c r="AO625" s="231"/>
      <c r="AP625" s="231"/>
      <c r="AQ625" s="231"/>
      <c r="AR625" s="231"/>
      <c r="AS625" s="231"/>
      <c r="AT625" s="231"/>
      <c r="AU625" s="231"/>
      <c r="AV625" s="231"/>
      <c r="AW625" s="231"/>
      <c r="AX625" s="242"/>
      <c r="AY625" s="242"/>
      <c r="AZ625" s="242"/>
      <c r="BA625" s="242"/>
      <c r="BB625" s="242"/>
      <c r="BC625" s="242"/>
      <c r="BD625" s="242"/>
      <c r="BE625" s="231"/>
      <c r="BF625" s="242"/>
      <c r="BG625" s="242"/>
      <c r="BH625" s="242"/>
      <c r="BI625" s="242"/>
      <c r="BJ625" s="242"/>
      <c r="BK625" s="242"/>
      <c r="BL625" s="242"/>
      <c r="BM625" s="242"/>
      <c r="BN625" s="242"/>
      <c r="BO625" s="231"/>
      <c r="BP625" s="231"/>
      <c r="BQ625" s="231"/>
      <c r="BR625" s="231"/>
      <c r="BS625" s="231"/>
      <c r="BT625" s="231"/>
      <c r="BU625" s="231"/>
      <c r="BV625" s="231"/>
      <c r="BW625" s="231"/>
      <c r="BX625" s="231"/>
      <c r="BY625" s="231"/>
      <c r="BZ625" s="231"/>
      <c r="CA625" s="231"/>
      <c r="CB625" s="231"/>
      <c r="CC625" s="231"/>
      <c r="CD625" s="231"/>
      <c r="CE625" s="231"/>
      <c r="CF625" s="231"/>
      <c r="CG625" s="231"/>
      <c r="CH625" s="231"/>
      <c r="CI625" s="231"/>
    </row>
    <row r="626" spans="1:87" ht="25.2" customHeight="1">
      <c r="A626" s="204">
        <v>588</v>
      </c>
      <c r="B626" s="283">
        <v>15040</v>
      </c>
      <c r="C626" s="208" t="s">
        <v>795</v>
      </c>
      <c r="D626" s="194"/>
      <c r="E626" s="240">
        <f t="shared" si="75"/>
        <v>108.94</v>
      </c>
      <c r="F626" s="222">
        <v>77.3</v>
      </c>
      <c r="G626" s="223">
        <v>5.2</v>
      </c>
      <c r="H626" s="224">
        <v>4.0999999999999996</v>
      </c>
      <c r="I626" s="234">
        <f t="shared" si="76"/>
        <v>12.81</v>
      </c>
      <c r="J626" s="222">
        <v>0</v>
      </c>
      <c r="K626" s="222">
        <v>0.59</v>
      </c>
      <c r="L626" s="232"/>
      <c r="M626" s="222">
        <v>83.16</v>
      </c>
      <c r="N626" s="222">
        <v>74.95</v>
      </c>
      <c r="O626" s="222">
        <v>0.94</v>
      </c>
      <c r="P626" s="222"/>
      <c r="Q626" s="222"/>
      <c r="R626" s="222"/>
      <c r="S626" s="222"/>
      <c r="T626" s="222"/>
      <c r="U626" s="222"/>
      <c r="V626" s="231"/>
      <c r="W626" s="242"/>
      <c r="X626" s="222">
        <v>0.47</v>
      </c>
      <c r="Y626" s="231"/>
      <c r="Z626" s="231"/>
      <c r="AA626" s="242"/>
      <c r="AB626" s="242"/>
      <c r="AC626" s="209"/>
      <c r="AD626" s="209"/>
      <c r="AE626" s="231"/>
      <c r="AF626" s="231"/>
      <c r="AG626" s="231"/>
      <c r="AH626" s="231"/>
      <c r="AI626" s="231"/>
      <c r="AJ626" s="210"/>
      <c r="AK626" s="232"/>
      <c r="AL626" s="210"/>
      <c r="AM626" s="231"/>
      <c r="AN626" s="231"/>
      <c r="AO626" s="231"/>
      <c r="AP626" s="231"/>
      <c r="AQ626" s="231"/>
      <c r="AR626" s="231"/>
      <c r="AS626" s="231"/>
      <c r="AT626" s="231"/>
      <c r="AU626" s="231"/>
      <c r="AV626" s="231"/>
      <c r="AW626" s="231"/>
      <c r="AX626" s="242"/>
      <c r="AY626" s="242"/>
      <c r="AZ626" s="242"/>
      <c r="BA626" s="242"/>
      <c r="BB626" s="242"/>
      <c r="BC626" s="242"/>
      <c r="BD626" s="242"/>
      <c r="BE626" s="231"/>
      <c r="BF626" s="242"/>
      <c r="BG626" s="242"/>
      <c r="BH626" s="242"/>
      <c r="BI626" s="242"/>
      <c r="BJ626" s="242"/>
      <c r="BK626" s="242"/>
      <c r="BL626" s="242"/>
      <c r="BM626" s="242"/>
      <c r="BN626" s="242"/>
      <c r="BO626" s="231"/>
      <c r="BP626" s="231"/>
      <c r="BQ626" s="231"/>
      <c r="BR626" s="231"/>
      <c r="BS626" s="231"/>
      <c r="BT626" s="231"/>
      <c r="BU626" s="231"/>
      <c r="BV626" s="231"/>
      <c r="BW626" s="231"/>
      <c r="BX626" s="231"/>
      <c r="BY626" s="231"/>
      <c r="BZ626" s="231"/>
      <c r="CA626" s="231"/>
      <c r="CB626" s="231"/>
      <c r="CC626" s="231"/>
      <c r="CD626" s="231"/>
      <c r="CE626" s="231"/>
      <c r="CF626" s="231"/>
      <c r="CG626" s="231"/>
      <c r="CH626" s="231"/>
      <c r="CI626" s="231"/>
    </row>
    <row r="627" spans="1:87" ht="25.2" customHeight="1">
      <c r="A627" s="204">
        <v>589</v>
      </c>
      <c r="B627" s="283">
        <v>15041</v>
      </c>
      <c r="C627" s="208" t="s">
        <v>796</v>
      </c>
      <c r="D627" s="194"/>
      <c r="E627" s="240">
        <f t="shared" si="75"/>
        <v>338.6</v>
      </c>
      <c r="F627" s="222">
        <v>49.1</v>
      </c>
      <c r="G627" s="223">
        <v>18.3</v>
      </c>
      <c r="H627" s="224">
        <v>29</v>
      </c>
      <c r="I627" s="234">
        <f t="shared" si="76"/>
        <v>1.0999999999999901</v>
      </c>
      <c r="J627" s="235">
        <v>0.4</v>
      </c>
      <c r="K627" s="222">
        <v>2.5</v>
      </c>
      <c r="L627" s="232"/>
      <c r="M627" s="222">
        <v>24.1</v>
      </c>
      <c r="N627" s="222">
        <v>301.7</v>
      </c>
      <c r="O627" s="222">
        <v>8.9600000000000009</v>
      </c>
      <c r="P627" s="222"/>
      <c r="Q627" s="222"/>
      <c r="R627" s="222"/>
      <c r="S627" s="222"/>
      <c r="T627" s="222"/>
      <c r="U627" s="222"/>
      <c r="V627" s="231"/>
      <c r="W627" s="242"/>
      <c r="X627" s="235">
        <v>2.19</v>
      </c>
      <c r="Y627" s="231"/>
      <c r="Z627" s="231"/>
      <c r="AA627" s="242"/>
      <c r="AB627" s="242"/>
      <c r="AC627" s="209"/>
      <c r="AD627" s="209"/>
      <c r="AE627" s="231"/>
      <c r="AF627" s="231"/>
      <c r="AG627" s="231"/>
      <c r="AH627" s="231"/>
      <c r="AI627" s="231"/>
      <c r="AJ627" s="210"/>
      <c r="AK627" s="232"/>
      <c r="AL627" s="210"/>
      <c r="AM627" s="231"/>
      <c r="AN627" s="231"/>
      <c r="AO627" s="231"/>
      <c r="AP627" s="231"/>
      <c r="AQ627" s="231"/>
      <c r="AR627" s="231"/>
      <c r="AS627" s="231"/>
      <c r="AT627" s="231"/>
      <c r="AU627" s="231"/>
      <c r="AV627" s="231"/>
      <c r="AW627" s="231"/>
      <c r="AX627" s="242"/>
      <c r="AY627" s="242"/>
      <c r="AZ627" s="242"/>
      <c r="BA627" s="242"/>
      <c r="BB627" s="242"/>
      <c r="BC627" s="242"/>
      <c r="BD627" s="242"/>
      <c r="BE627" s="231"/>
      <c r="BF627" s="242"/>
      <c r="BG627" s="242"/>
      <c r="BH627" s="242"/>
      <c r="BI627" s="242"/>
      <c r="BJ627" s="242"/>
      <c r="BK627" s="242"/>
      <c r="BL627" s="242"/>
      <c r="BM627" s="242"/>
      <c r="BN627" s="242"/>
      <c r="BO627" s="231"/>
      <c r="BP627" s="231"/>
      <c r="BQ627" s="231"/>
      <c r="BR627" s="231"/>
      <c r="BS627" s="231"/>
      <c r="BT627" s="231"/>
      <c r="BU627" s="231"/>
      <c r="BV627" s="231"/>
      <c r="BW627" s="231"/>
      <c r="BX627" s="231"/>
      <c r="BY627" s="231"/>
      <c r="BZ627" s="231"/>
      <c r="CA627" s="231"/>
      <c r="CB627" s="231"/>
      <c r="CC627" s="231"/>
      <c r="CD627" s="231"/>
      <c r="CE627" s="231"/>
      <c r="CF627" s="231"/>
      <c r="CG627" s="231"/>
      <c r="CH627" s="231"/>
      <c r="CI627" s="231"/>
    </row>
    <row r="628" spans="1:87" ht="25.2" customHeight="1">
      <c r="A628" s="204">
        <v>590</v>
      </c>
      <c r="B628" s="283">
        <v>15042</v>
      </c>
      <c r="C628" s="208" t="s">
        <v>797</v>
      </c>
      <c r="D628" s="194"/>
      <c r="E628" s="240">
        <f t="shared" si="75"/>
        <v>69.199999999999903</v>
      </c>
      <c r="F628" s="222">
        <v>87.3</v>
      </c>
      <c r="G628" s="220">
        <v>1.4</v>
      </c>
      <c r="H628" s="221">
        <v>4.4000000000000004</v>
      </c>
      <c r="I628" s="234">
        <f t="shared" si="76"/>
        <v>5.9999999999999902</v>
      </c>
      <c r="J628" s="235">
        <v>0.05</v>
      </c>
      <c r="K628" s="222">
        <v>0.9</v>
      </c>
      <c r="L628" s="232"/>
      <c r="M628" s="222">
        <v>26.3</v>
      </c>
      <c r="N628" s="222">
        <v>25.5</v>
      </c>
      <c r="O628" s="222">
        <v>2.42</v>
      </c>
      <c r="P628" s="222"/>
      <c r="Q628" s="222"/>
      <c r="R628" s="222"/>
      <c r="S628" s="222"/>
      <c r="T628" s="222"/>
      <c r="U628" s="222"/>
      <c r="V628" s="231"/>
      <c r="W628" s="242"/>
      <c r="X628" s="235">
        <v>1.1499999999999999</v>
      </c>
      <c r="Y628" s="231"/>
      <c r="Z628" s="231"/>
      <c r="AA628" s="242"/>
      <c r="AB628" s="242"/>
      <c r="AC628" s="209"/>
      <c r="AD628" s="209"/>
      <c r="AE628" s="231"/>
      <c r="AF628" s="231"/>
      <c r="AG628" s="231"/>
      <c r="AH628" s="231"/>
      <c r="AI628" s="231"/>
      <c r="AJ628" s="210"/>
      <c r="AK628" s="232"/>
      <c r="AL628" s="210"/>
      <c r="AM628" s="231"/>
      <c r="AN628" s="231"/>
      <c r="AO628" s="231"/>
      <c r="AP628" s="231"/>
      <c r="AQ628" s="231"/>
      <c r="AR628" s="231"/>
      <c r="AS628" s="231"/>
      <c r="AT628" s="231"/>
      <c r="AU628" s="231"/>
      <c r="AV628" s="231"/>
      <c r="AW628" s="231"/>
      <c r="AX628" s="242"/>
      <c r="AY628" s="242"/>
      <c r="AZ628" s="242"/>
      <c r="BA628" s="242"/>
      <c r="BB628" s="242"/>
      <c r="BC628" s="242"/>
      <c r="BD628" s="242"/>
      <c r="BE628" s="231"/>
      <c r="BF628" s="242"/>
      <c r="BG628" s="242"/>
      <c r="BH628" s="242"/>
      <c r="BI628" s="242"/>
      <c r="BJ628" s="242"/>
      <c r="BK628" s="242"/>
      <c r="BL628" s="242"/>
      <c r="BM628" s="242"/>
      <c r="BN628" s="242"/>
      <c r="BO628" s="231"/>
      <c r="BP628" s="231"/>
      <c r="BQ628" s="231"/>
      <c r="BR628" s="231"/>
      <c r="BS628" s="231"/>
      <c r="BT628" s="231"/>
      <c r="BU628" s="231"/>
      <c r="BV628" s="231"/>
      <c r="BW628" s="231"/>
      <c r="BX628" s="231"/>
      <c r="BY628" s="231"/>
      <c r="BZ628" s="231"/>
      <c r="CA628" s="231"/>
      <c r="CB628" s="231"/>
      <c r="CC628" s="231"/>
      <c r="CD628" s="231"/>
      <c r="CE628" s="231"/>
      <c r="CF628" s="231"/>
      <c r="CG628" s="231"/>
      <c r="CH628" s="231"/>
      <c r="CI628" s="231"/>
    </row>
    <row r="629" spans="1:87" ht="25.2" customHeight="1">
      <c r="A629" s="204">
        <v>591</v>
      </c>
      <c r="B629" s="283">
        <v>15043</v>
      </c>
      <c r="C629" s="208" t="s">
        <v>798</v>
      </c>
      <c r="D629" s="194"/>
      <c r="E629" s="240">
        <f t="shared" si="75"/>
        <v>39.799999999999997</v>
      </c>
      <c r="F629" s="222">
        <v>89.7</v>
      </c>
      <c r="G629" s="223">
        <v>1.5</v>
      </c>
      <c r="H629" s="224">
        <v>0.2</v>
      </c>
      <c r="I629" s="234">
        <f t="shared" si="76"/>
        <v>8</v>
      </c>
      <c r="J629" s="235">
        <v>0.06</v>
      </c>
      <c r="K629" s="222">
        <v>0.6</v>
      </c>
      <c r="L629" s="232"/>
      <c r="M629" s="222">
        <v>20.9</v>
      </c>
      <c r="N629" s="222">
        <v>7.12</v>
      </c>
      <c r="O629" s="222">
        <v>0.53</v>
      </c>
      <c r="P629" s="222"/>
      <c r="Q629" s="222"/>
      <c r="R629" s="222"/>
      <c r="S629" s="222"/>
      <c r="T629" s="222"/>
      <c r="U629" s="222"/>
      <c r="V629" s="231"/>
      <c r="W629" s="242"/>
      <c r="X629" s="235">
        <v>0.34</v>
      </c>
      <c r="Y629" s="231"/>
      <c r="Z629" s="231"/>
      <c r="AA629" s="242"/>
      <c r="AB629" s="242"/>
      <c r="AC629" s="209"/>
      <c r="AD629" s="209"/>
      <c r="AE629" s="231"/>
      <c r="AF629" s="231"/>
      <c r="AG629" s="231"/>
      <c r="AH629" s="231"/>
      <c r="AI629" s="231"/>
      <c r="AJ629" s="210"/>
      <c r="AK629" s="232"/>
      <c r="AL629" s="210"/>
      <c r="AM629" s="231"/>
      <c r="AN629" s="231"/>
      <c r="AO629" s="231"/>
      <c r="AP629" s="231"/>
      <c r="AQ629" s="231"/>
      <c r="AR629" s="231"/>
      <c r="AS629" s="231"/>
      <c r="AT629" s="231"/>
      <c r="AU629" s="231"/>
      <c r="AV629" s="231"/>
      <c r="AW629" s="231"/>
      <c r="AX629" s="242"/>
      <c r="AY629" s="242"/>
      <c r="AZ629" s="242"/>
      <c r="BA629" s="242"/>
      <c r="BB629" s="242"/>
      <c r="BC629" s="242"/>
      <c r="BD629" s="242"/>
      <c r="BE629" s="231"/>
      <c r="BF629" s="242"/>
      <c r="BG629" s="242"/>
      <c r="BH629" s="242"/>
      <c r="BI629" s="242"/>
      <c r="BJ629" s="242"/>
      <c r="BK629" s="242"/>
      <c r="BL629" s="242"/>
      <c r="BM629" s="242"/>
      <c r="BN629" s="242"/>
      <c r="BO629" s="231"/>
      <c r="BP629" s="231"/>
      <c r="BQ629" s="231"/>
      <c r="BR629" s="231"/>
      <c r="BS629" s="231"/>
      <c r="BT629" s="231"/>
      <c r="BU629" s="231"/>
      <c r="BV629" s="231"/>
      <c r="BW629" s="231"/>
      <c r="BX629" s="231"/>
      <c r="BY629" s="231"/>
      <c r="BZ629" s="231"/>
      <c r="CA629" s="231"/>
      <c r="CB629" s="231"/>
      <c r="CC629" s="231"/>
      <c r="CD629" s="231"/>
      <c r="CE629" s="231"/>
      <c r="CF629" s="231"/>
      <c r="CG629" s="231"/>
      <c r="CH629" s="231"/>
      <c r="CI629" s="231"/>
    </row>
    <row r="630" spans="1:87" ht="25.2" customHeight="1">
      <c r="A630" s="204">
        <v>592</v>
      </c>
      <c r="B630" s="283">
        <v>15044</v>
      </c>
      <c r="C630" s="208" t="s">
        <v>799</v>
      </c>
      <c r="D630" s="194"/>
      <c r="E630" s="240">
        <f t="shared" si="75"/>
        <v>48.7</v>
      </c>
      <c r="F630" s="222">
        <v>87.7</v>
      </c>
      <c r="G630" s="223">
        <v>2.2000000000000002</v>
      </c>
      <c r="H630" s="224">
        <v>0.7</v>
      </c>
      <c r="I630" s="234">
        <f t="shared" si="76"/>
        <v>8.3999999999999897</v>
      </c>
      <c r="J630" s="235">
        <v>0.3</v>
      </c>
      <c r="K630" s="222">
        <v>1</v>
      </c>
      <c r="L630" s="232"/>
      <c r="M630" s="222">
        <v>37.200000000000003</v>
      </c>
      <c r="N630" s="222">
        <v>39.1</v>
      </c>
      <c r="O630" s="222">
        <v>1.66</v>
      </c>
      <c r="P630" s="222"/>
      <c r="Q630" s="222"/>
      <c r="R630" s="222"/>
      <c r="S630" s="222"/>
      <c r="T630" s="222"/>
      <c r="U630" s="222"/>
      <c r="V630" s="231"/>
      <c r="W630" s="242"/>
      <c r="X630" s="235">
        <v>0.92</v>
      </c>
      <c r="Y630" s="231"/>
      <c r="Z630" s="231"/>
      <c r="AA630" s="242"/>
      <c r="AB630" s="242"/>
      <c r="AC630" s="209"/>
      <c r="AD630" s="209"/>
      <c r="AE630" s="231"/>
      <c r="AF630" s="231"/>
      <c r="AG630" s="231"/>
      <c r="AH630" s="231"/>
      <c r="AI630" s="231"/>
      <c r="AJ630" s="210"/>
      <c r="AK630" s="232"/>
      <c r="AL630" s="210"/>
      <c r="AM630" s="231"/>
      <c r="AN630" s="231"/>
      <c r="AO630" s="231"/>
      <c r="AP630" s="231"/>
      <c r="AQ630" s="231"/>
      <c r="AR630" s="231"/>
      <c r="AS630" s="231"/>
      <c r="AT630" s="231"/>
      <c r="AU630" s="231"/>
      <c r="AV630" s="231"/>
      <c r="AW630" s="231"/>
      <c r="AX630" s="242"/>
      <c r="AY630" s="242"/>
      <c r="AZ630" s="242"/>
      <c r="BA630" s="242"/>
      <c r="BB630" s="242"/>
      <c r="BC630" s="242"/>
      <c r="BD630" s="242"/>
      <c r="BE630" s="231"/>
      <c r="BF630" s="242"/>
      <c r="BG630" s="242"/>
      <c r="BH630" s="242"/>
      <c r="BI630" s="242"/>
      <c r="BJ630" s="242"/>
      <c r="BK630" s="242"/>
      <c r="BL630" s="242"/>
      <c r="BM630" s="242"/>
      <c r="BN630" s="242"/>
      <c r="BO630" s="231"/>
      <c r="BP630" s="231"/>
      <c r="BQ630" s="231"/>
      <c r="BR630" s="231"/>
      <c r="BS630" s="231"/>
      <c r="BT630" s="231"/>
      <c r="BU630" s="231"/>
      <c r="BV630" s="231"/>
      <c r="BW630" s="231"/>
      <c r="BX630" s="231"/>
      <c r="BY630" s="231"/>
      <c r="BZ630" s="231"/>
      <c r="CA630" s="231"/>
      <c r="CB630" s="231"/>
      <c r="CC630" s="231"/>
      <c r="CD630" s="231"/>
      <c r="CE630" s="231"/>
      <c r="CF630" s="231"/>
      <c r="CG630" s="231"/>
      <c r="CH630" s="231"/>
      <c r="CI630" s="231"/>
    </row>
    <row r="631" spans="1:87" ht="25.2" customHeight="1">
      <c r="A631" s="204">
        <v>593</v>
      </c>
      <c r="B631" s="283">
        <v>15045</v>
      </c>
      <c r="C631" s="208" t="s">
        <v>800</v>
      </c>
      <c r="D631" s="194" t="s">
        <v>181</v>
      </c>
      <c r="E631" s="240">
        <f t="shared" si="75"/>
        <v>73.45</v>
      </c>
      <c r="F631" s="219">
        <v>82</v>
      </c>
      <c r="G631" s="223">
        <v>0.8</v>
      </c>
      <c r="H631" s="224">
        <v>0.41</v>
      </c>
      <c r="I631" s="234">
        <f t="shared" si="76"/>
        <v>16.64</v>
      </c>
      <c r="J631" s="222">
        <v>0.19</v>
      </c>
      <c r="K631" s="222">
        <v>0.15</v>
      </c>
      <c r="L631" s="232"/>
      <c r="M631" s="222">
        <v>29.9</v>
      </c>
      <c r="N631" s="222">
        <v>7.19</v>
      </c>
      <c r="O631" s="222">
        <v>0.33</v>
      </c>
      <c r="P631" s="222"/>
      <c r="Q631" s="222"/>
      <c r="R631" s="222"/>
      <c r="S631" s="222"/>
      <c r="T631" s="222"/>
      <c r="U631" s="222"/>
      <c r="V631" s="231"/>
      <c r="W631" s="242"/>
      <c r="X631" s="222">
        <v>0.24</v>
      </c>
      <c r="Y631" s="231"/>
      <c r="Z631" s="231"/>
      <c r="AA631" s="242"/>
      <c r="AB631" s="242"/>
      <c r="AC631" s="209"/>
      <c r="AD631" s="209"/>
      <c r="AE631" s="231"/>
      <c r="AF631" s="231"/>
      <c r="AG631" s="231"/>
      <c r="AH631" s="231"/>
      <c r="AI631" s="231"/>
      <c r="AJ631" s="210"/>
      <c r="AK631" s="232"/>
      <c r="AL631" s="210"/>
      <c r="AM631" s="231"/>
      <c r="AN631" s="231"/>
      <c r="AO631" s="231"/>
      <c r="AP631" s="231"/>
      <c r="AQ631" s="231"/>
      <c r="AR631" s="231"/>
      <c r="AS631" s="231"/>
      <c r="AT631" s="231"/>
      <c r="AU631" s="231"/>
      <c r="AV631" s="231"/>
      <c r="AW631" s="231"/>
      <c r="AX631" s="242"/>
      <c r="AY631" s="242"/>
      <c r="AZ631" s="242"/>
      <c r="BA631" s="242"/>
      <c r="BB631" s="242"/>
      <c r="BC631" s="242"/>
      <c r="BD631" s="242"/>
      <c r="BE631" s="231"/>
      <c r="BF631" s="242"/>
      <c r="BG631" s="242"/>
      <c r="BH631" s="242"/>
      <c r="BI631" s="242"/>
      <c r="BJ631" s="242"/>
      <c r="BK631" s="242"/>
      <c r="BL631" s="242"/>
      <c r="BM631" s="242"/>
      <c r="BN631" s="242"/>
      <c r="BO631" s="231"/>
      <c r="BP631" s="231"/>
      <c r="BQ631" s="231"/>
      <c r="BR631" s="231"/>
      <c r="BS631" s="231"/>
      <c r="BT631" s="231"/>
      <c r="BU631" s="231"/>
      <c r="BV631" s="231"/>
      <c r="BW631" s="231"/>
      <c r="BX631" s="231"/>
      <c r="BY631" s="231"/>
      <c r="BZ631" s="231"/>
      <c r="CA631" s="231"/>
      <c r="CB631" s="231"/>
      <c r="CC631" s="231"/>
      <c r="CD631" s="231"/>
      <c r="CE631" s="231"/>
      <c r="CF631" s="231"/>
      <c r="CG631" s="231"/>
      <c r="CH631" s="231"/>
      <c r="CI631" s="231"/>
    </row>
    <row r="632" spans="1:87" ht="25.2" customHeight="1">
      <c r="A632" s="204">
        <v>594</v>
      </c>
      <c r="B632" s="283">
        <v>15046</v>
      </c>
      <c r="C632" s="208" t="s">
        <v>801</v>
      </c>
      <c r="D632" s="194" t="s">
        <v>181</v>
      </c>
      <c r="E632" s="240">
        <f t="shared" si="75"/>
        <v>81.629999999999896</v>
      </c>
      <c r="F632" s="222">
        <v>80.400000000000006</v>
      </c>
      <c r="G632" s="223">
        <v>1.37</v>
      </c>
      <c r="H632" s="224">
        <v>0.87</v>
      </c>
      <c r="I632" s="234">
        <f t="shared" si="76"/>
        <v>17.079999999999998</v>
      </c>
      <c r="J632" s="222">
        <v>3.2000000000000001E-2</v>
      </c>
      <c r="K632" s="222">
        <v>0.28000000000000003</v>
      </c>
      <c r="L632" s="232"/>
      <c r="M632" s="222">
        <v>84.6</v>
      </c>
      <c r="N632" s="222">
        <v>17.84</v>
      </c>
      <c r="O632" s="222">
        <v>0.88</v>
      </c>
      <c r="P632" s="222"/>
      <c r="Q632" s="222"/>
      <c r="R632" s="222"/>
      <c r="S632" s="222"/>
      <c r="T632" s="222"/>
      <c r="U632" s="222"/>
      <c r="V632" s="231"/>
      <c r="W632" s="242"/>
      <c r="X632" s="222">
        <v>0.44</v>
      </c>
      <c r="Y632" s="231"/>
      <c r="Z632" s="231"/>
      <c r="AA632" s="242"/>
      <c r="AB632" s="242"/>
      <c r="AC632" s="209"/>
      <c r="AD632" s="209"/>
      <c r="AE632" s="231"/>
      <c r="AF632" s="231"/>
      <c r="AG632" s="231"/>
      <c r="AH632" s="231"/>
      <c r="AI632" s="231"/>
      <c r="AJ632" s="210"/>
      <c r="AK632" s="232"/>
      <c r="AL632" s="210"/>
      <c r="AM632" s="231"/>
      <c r="AN632" s="231"/>
      <c r="AO632" s="231"/>
      <c r="AP632" s="231"/>
      <c r="AQ632" s="231"/>
      <c r="AR632" s="231"/>
      <c r="AS632" s="231"/>
      <c r="AT632" s="231"/>
      <c r="AU632" s="231"/>
      <c r="AV632" s="231"/>
      <c r="AW632" s="231"/>
      <c r="AX632" s="242"/>
      <c r="AY632" s="242"/>
      <c r="AZ632" s="242"/>
      <c r="BA632" s="242"/>
      <c r="BB632" s="242"/>
      <c r="BC632" s="242"/>
      <c r="BD632" s="242"/>
      <c r="BE632" s="231"/>
      <c r="BF632" s="242"/>
      <c r="BG632" s="242"/>
      <c r="BH632" s="242"/>
      <c r="BI632" s="242"/>
      <c r="BJ632" s="242"/>
      <c r="BK632" s="242"/>
      <c r="BL632" s="242"/>
      <c r="BM632" s="242"/>
      <c r="BN632" s="242"/>
      <c r="BO632" s="231"/>
      <c r="BP632" s="231"/>
      <c r="BQ632" s="231"/>
      <c r="BR632" s="231"/>
      <c r="BS632" s="231"/>
      <c r="BT632" s="231"/>
      <c r="BU632" s="231"/>
      <c r="BV632" s="231"/>
      <c r="BW632" s="231"/>
      <c r="BX632" s="231"/>
      <c r="BY632" s="231"/>
      <c r="BZ632" s="231"/>
      <c r="CA632" s="231"/>
      <c r="CB632" s="231"/>
      <c r="CC632" s="231"/>
      <c r="CD632" s="231"/>
      <c r="CE632" s="231"/>
      <c r="CF632" s="231"/>
      <c r="CG632" s="231"/>
      <c r="CH632" s="231"/>
      <c r="CI632" s="231"/>
    </row>
    <row r="633" spans="1:87" ht="25.2" customHeight="1">
      <c r="A633" s="204">
        <v>595</v>
      </c>
      <c r="B633" s="283">
        <v>15047</v>
      </c>
      <c r="C633" s="208" t="s">
        <v>802</v>
      </c>
      <c r="D633" s="194" t="s">
        <v>181</v>
      </c>
      <c r="E633" s="240">
        <f t="shared" si="75"/>
        <v>79.959999999999994</v>
      </c>
      <c r="F633" s="222">
        <v>80.400000000000006</v>
      </c>
      <c r="G633" s="223">
        <v>0.23</v>
      </c>
      <c r="H633" s="224">
        <v>0.32</v>
      </c>
      <c r="I633" s="234">
        <f t="shared" si="76"/>
        <v>19.04</v>
      </c>
      <c r="J633" s="222">
        <v>8.0000000000000002E-3</v>
      </c>
      <c r="K633" s="222">
        <v>0.01</v>
      </c>
      <c r="L633" s="232"/>
      <c r="M633" s="222">
        <v>54.2</v>
      </c>
      <c r="N633" s="222">
        <v>6.11</v>
      </c>
      <c r="O633" s="222">
        <v>0.34</v>
      </c>
      <c r="P633" s="222"/>
      <c r="Q633" s="222"/>
      <c r="R633" s="222"/>
      <c r="S633" s="222"/>
      <c r="T633" s="222"/>
      <c r="U633" s="222"/>
      <c r="V633" s="231"/>
      <c r="W633" s="242"/>
      <c r="X633" s="222">
        <v>0.13</v>
      </c>
      <c r="Y633" s="231"/>
      <c r="Z633" s="231"/>
      <c r="AA633" s="242"/>
      <c r="AB633" s="242"/>
      <c r="AC633" s="209"/>
      <c r="AD633" s="209"/>
      <c r="AE633" s="231"/>
      <c r="AF633" s="231"/>
      <c r="AG633" s="231"/>
      <c r="AH633" s="231"/>
      <c r="AI633" s="231"/>
      <c r="AJ633" s="210"/>
      <c r="AK633" s="232"/>
      <c r="AL633" s="210"/>
      <c r="AM633" s="231"/>
      <c r="AN633" s="231"/>
      <c r="AO633" s="231"/>
      <c r="AP633" s="231"/>
      <c r="AQ633" s="231"/>
      <c r="AR633" s="231"/>
      <c r="AS633" s="231"/>
      <c r="AT633" s="231"/>
      <c r="AU633" s="231"/>
      <c r="AV633" s="231"/>
      <c r="AW633" s="231"/>
      <c r="AX633" s="242"/>
      <c r="AY633" s="242"/>
      <c r="AZ633" s="242"/>
      <c r="BA633" s="242"/>
      <c r="BB633" s="242"/>
      <c r="BC633" s="242"/>
      <c r="BD633" s="242"/>
      <c r="BE633" s="231"/>
      <c r="BF633" s="242"/>
      <c r="BG633" s="242"/>
      <c r="BH633" s="242"/>
      <c r="BI633" s="242"/>
      <c r="BJ633" s="242"/>
      <c r="BK633" s="242"/>
      <c r="BL633" s="242"/>
      <c r="BM633" s="242"/>
      <c r="BN633" s="242"/>
      <c r="BO633" s="231"/>
      <c r="BP633" s="231"/>
      <c r="BQ633" s="231"/>
      <c r="BR633" s="231"/>
      <c r="BS633" s="231"/>
      <c r="BT633" s="231"/>
      <c r="BU633" s="231"/>
      <c r="BV633" s="231"/>
      <c r="BW633" s="231"/>
      <c r="BX633" s="231"/>
      <c r="BY633" s="231"/>
      <c r="BZ633" s="231"/>
      <c r="CA633" s="231"/>
      <c r="CB633" s="231"/>
      <c r="CC633" s="231"/>
      <c r="CD633" s="231"/>
      <c r="CE633" s="231"/>
      <c r="CF633" s="231"/>
      <c r="CG633" s="231"/>
      <c r="CH633" s="231"/>
      <c r="CI633" s="231"/>
    </row>
    <row r="634" spans="1:87" ht="25.2" customHeight="1">
      <c r="A634" s="204">
        <v>596</v>
      </c>
      <c r="B634" s="283">
        <v>15048</v>
      </c>
      <c r="C634" s="208" t="s">
        <v>803</v>
      </c>
      <c r="D634" s="194" t="s">
        <v>181</v>
      </c>
      <c r="E634" s="240">
        <f t="shared" si="75"/>
        <v>79.260000000000005</v>
      </c>
      <c r="F634" s="222">
        <v>80.3</v>
      </c>
      <c r="G634" s="223">
        <v>1.21</v>
      </c>
      <c r="H634" s="224">
        <v>0.26</v>
      </c>
      <c r="I634" s="234">
        <f t="shared" si="76"/>
        <v>18.02</v>
      </c>
      <c r="J634" s="222">
        <v>0.123</v>
      </c>
      <c r="K634" s="222">
        <v>0.21</v>
      </c>
      <c r="L634" s="232"/>
      <c r="M634" s="222">
        <v>29.2</v>
      </c>
      <c r="N634" s="222">
        <v>5.09</v>
      </c>
      <c r="O634" s="222">
        <v>1.25</v>
      </c>
      <c r="P634" s="222"/>
      <c r="Q634" s="222"/>
      <c r="R634" s="222"/>
      <c r="S634" s="222"/>
      <c r="T634" s="222"/>
      <c r="U634" s="222"/>
      <c r="V634" s="231"/>
      <c r="W634" s="242"/>
      <c r="X634" s="222">
        <v>0.36</v>
      </c>
      <c r="Y634" s="231"/>
      <c r="Z634" s="231"/>
      <c r="AA634" s="242"/>
      <c r="AB634" s="242"/>
      <c r="AC634" s="209"/>
      <c r="AD634" s="209"/>
      <c r="AE634" s="231"/>
      <c r="AF634" s="231"/>
      <c r="AG634" s="231"/>
      <c r="AH634" s="231"/>
      <c r="AI634" s="231"/>
      <c r="AJ634" s="210"/>
      <c r="AK634" s="232"/>
      <c r="AL634" s="210"/>
      <c r="AM634" s="231"/>
      <c r="AN634" s="231"/>
      <c r="AO634" s="231"/>
      <c r="AP634" s="231"/>
      <c r="AQ634" s="231"/>
      <c r="AR634" s="231"/>
      <c r="AS634" s="231"/>
      <c r="AT634" s="231"/>
      <c r="AU634" s="231"/>
      <c r="AV634" s="231"/>
      <c r="AW634" s="231"/>
      <c r="AX634" s="242"/>
      <c r="AY634" s="242"/>
      <c r="AZ634" s="242"/>
      <c r="BA634" s="242"/>
      <c r="BB634" s="242"/>
      <c r="BC634" s="242"/>
      <c r="BD634" s="242"/>
      <c r="BE634" s="231"/>
      <c r="BF634" s="242"/>
      <c r="BG634" s="242"/>
      <c r="BH634" s="242"/>
      <c r="BI634" s="242"/>
      <c r="BJ634" s="242"/>
      <c r="BK634" s="242"/>
      <c r="BL634" s="242"/>
      <c r="BM634" s="242"/>
      <c r="BN634" s="242"/>
      <c r="BO634" s="231"/>
      <c r="BP634" s="231"/>
      <c r="BQ634" s="231"/>
      <c r="BR634" s="231"/>
      <c r="BS634" s="231"/>
      <c r="BT634" s="231"/>
      <c r="BU634" s="231"/>
      <c r="BV634" s="231"/>
      <c r="BW634" s="231"/>
      <c r="BX634" s="231"/>
      <c r="BY634" s="231"/>
      <c r="BZ634" s="231"/>
      <c r="CA634" s="231"/>
      <c r="CB634" s="231"/>
      <c r="CC634" s="231"/>
      <c r="CD634" s="231"/>
      <c r="CE634" s="231"/>
      <c r="CF634" s="231"/>
      <c r="CG634" s="231"/>
      <c r="CH634" s="231"/>
      <c r="CI634" s="231"/>
    </row>
    <row r="635" spans="1:87" ht="25.2" customHeight="1">
      <c r="A635" s="204">
        <v>597</v>
      </c>
      <c r="B635" s="283">
        <v>15049</v>
      </c>
      <c r="C635" s="208" t="s">
        <v>804</v>
      </c>
      <c r="D635" s="194" t="s">
        <v>181</v>
      </c>
      <c r="E635" s="240">
        <f t="shared" si="75"/>
        <v>76.95</v>
      </c>
      <c r="F635" s="219">
        <v>80.7</v>
      </c>
      <c r="G635" s="223">
        <v>1.85</v>
      </c>
      <c r="H635" s="224">
        <v>0.39</v>
      </c>
      <c r="I635" s="234">
        <f t="shared" si="76"/>
        <v>16.510000000000002</v>
      </c>
      <c r="J635" s="222">
        <v>0.17</v>
      </c>
      <c r="K635" s="222">
        <v>0.55000000000000004</v>
      </c>
      <c r="L635" s="232"/>
      <c r="M635" s="222">
        <v>57.6</v>
      </c>
      <c r="N635" s="222">
        <v>15.07</v>
      </c>
      <c r="O635" s="222">
        <v>1.92</v>
      </c>
      <c r="P635" s="222"/>
      <c r="Q635" s="222"/>
      <c r="R635" s="222"/>
      <c r="S635" s="222"/>
      <c r="T635" s="222"/>
      <c r="U635" s="222"/>
      <c r="V635" s="231"/>
      <c r="W635" s="242"/>
      <c r="X635" s="222">
        <v>0.43</v>
      </c>
      <c r="Y635" s="231"/>
      <c r="Z635" s="231"/>
      <c r="AA635" s="242"/>
      <c r="AB635" s="242"/>
      <c r="AC635" s="209"/>
      <c r="AD635" s="209"/>
      <c r="AE635" s="231"/>
      <c r="AF635" s="231"/>
      <c r="AG635" s="231"/>
      <c r="AH635" s="231"/>
      <c r="AI635" s="231"/>
      <c r="AJ635" s="210"/>
      <c r="AK635" s="232"/>
      <c r="AL635" s="210"/>
      <c r="AM635" s="231"/>
      <c r="AN635" s="231"/>
      <c r="AO635" s="231"/>
      <c r="AP635" s="231"/>
      <c r="AQ635" s="231"/>
      <c r="AR635" s="231"/>
      <c r="AS635" s="231"/>
      <c r="AT635" s="231"/>
      <c r="AU635" s="231"/>
      <c r="AV635" s="231"/>
      <c r="AW635" s="231"/>
      <c r="AX635" s="242"/>
      <c r="AY635" s="242"/>
      <c r="AZ635" s="242"/>
      <c r="BA635" s="242"/>
      <c r="BB635" s="242"/>
      <c r="BC635" s="242"/>
      <c r="BD635" s="242"/>
      <c r="BE635" s="231"/>
      <c r="BF635" s="242"/>
      <c r="BG635" s="242"/>
      <c r="BH635" s="242"/>
      <c r="BI635" s="242"/>
      <c r="BJ635" s="242"/>
      <c r="BK635" s="242"/>
      <c r="BL635" s="242"/>
      <c r="BM635" s="242"/>
      <c r="BN635" s="242"/>
      <c r="BO635" s="231"/>
      <c r="BP635" s="231"/>
      <c r="BQ635" s="231"/>
      <c r="BR635" s="231"/>
      <c r="BS635" s="231"/>
      <c r="BT635" s="231"/>
      <c r="BU635" s="231"/>
      <c r="BV635" s="231"/>
      <c r="BW635" s="231"/>
      <c r="BX635" s="231"/>
      <c r="BY635" s="231"/>
      <c r="BZ635" s="231"/>
      <c r="CA635" s="231"/>
      <c r="CB635" s="231"/>
      <c r="CC635" s="231"/>
      <c r="CD635" s="231"/>
      <c r="CE635" s="231"/>
      <c r="CF635" s="231"/>
      <c r="CG635" s="231"/>
      <c r="CH635" s="231"/>
      <c r="CI635" s="231"/>
    </row>
    <row r="636" spans="1:87" ht="25.2" customHeight="1">
      <c r="A636" s="204">
        <v>598</v>
      </c>
      <c r="B636" s="283">
        <v>15050</v>
      </c>
      <c r="C636" s="208" t="s">
        <v>805</v>
      </c>
      <c r="D636" s="194" t="s">
        <v>181</v>
      </c>
      <c r="E636" s="240">
        <f t="shared" si="75"/>
        <v>79.069999999999993</v>
      </c>
      <c r="F636" s="222">
        <v>80.599999999999994</v>
      </c>
      <c r="G636" s="223">
        <v>1.35</v>
      </c>
      <c r="H636" s="224">
        <v>0.39</v>
      </c>
      <c r="I636" s="234">
        <f t="shared" si="76"/>
        <v>17.54</v>
      </c>
      <c r="J636" s="222">
        <v>9.8000000000000004E-2</v>
      </c>
      <c r="K636" s="222">
        <v>0.12</v>
      </c>
      <c r="L636" s="232"/>
      <c r="M636" s="222">
        <v>52.2</v>
      </c>
      <c r="N636" s="222">
        <v>17.14</v>
      </c>
      <c r="O636" s="222">
        <v>0.46</v>
      </c>
      <c r="P636" s="222"/>
      <c r="Q636" s="222"/>
      <c r="R636" s="222"/>
      <c r="S636" s="222"/>
      <c r="T636" s="222"/>
      <c r="U636" s="222"/>
      <c r="V636" s="231"/>
      <c r="W636" s="242"/>
      <c r="X636" s="222">
        <v>0.23</v>
      </c>
      <c r="Y636" s="231"/>
      <c r="Z636" s="231"/>
      <c r="AA636" s="242"/>
      <c r="AB636" s="242"/>
      <c r="AC636" s="209"/>
      <c r="AD636" s="209"/>
      <c r="AE636" s="231"/>
      <c r="AF636" s="231"/>
      <c r="AG636" s="231"/>
      <c r="AH636" s="231"/>
      <c r="AI636" s="231"/>
      <c r="AJ636" s="210"/>
      <c r="AK636" s="232"/>
      <c r="AL636" s="210"/>
      <c r="AM636" s="231"/>
      <c r="AN636" s="231"/>
      <c r="AO636" s="231"/>
      <c r="AP636" s="231"/>
      <c r="AQ636" s="231"/>
      <c r="AR636" s="231"/>
      <c r="AS636" s="231"/>
      <c r="AT636" s="231"/>
      <c r="AU636" s="231"/>
      <c r="AV636" s="231"/>
      <c r="AW636" s="231"/>
      <c r="AX636" s="242"/>
      <c r="AY636" s="242"/>
      <c r="AZ636" s="242"/>
      <c r="BA636" s="242"/>
      <c r="BB636" s="242"/>
      <c r="BC636" s="242"/>
      <c r="BD636" s="242"/>
      <c r="BE636" s="231"/>
      <c r="BF636" s="242"/>
      <c r="BG636" s="242"/>
      <c r="BH636" s="242"/>
      <c r="BI636" s="242"/>
      <c r="BJ636" s="242"/>
      <c r="BK636" s="242"/>
      <c r="BL636" s="242"/>
      <c r="BM636" s="242"/>
      <c r="BN636" s="242"/>
      <c r="BO636" s="231"/>
      <c r="BP636" s="231"/>
      <c r="BQ636" s="231"/>
      <c r="BR636" s="231"/>
      <c r="BS636" s="231"/>
      <c r="BT636" s="231"/>
      <c r="BU636" s="231"/>
      <c r="BV636" s="231"/>
      <c r="BW636" s="231"/>
      <c r="BX636" s="231"/>
      <c r="BY636" s="231"/>
      <c r="BZ636" s="231"/>
      <c r="CA636" s="231"/>
      <c r="CB636" s="231"/>
      <c r="CC636" s="231"/>
      <c r="CD636" s="231"/>
      <c r="CE636" s="231"/>
      <c r="CF636" s="231"/>
      <c r="CG636" s="231"/>
      <c r="CH636" s="231"/>
      <c r="CI636" s="231"/>
    </row>
    <row r="637" spans="1:87" ht="25.2" customHeight="1">
      <c r="A637" s="204">
        <v>599</v>
      </c>
      <c r="B637" s="283">
        <v>15051</v>
      </c>
      <c r="C637" s="208" t="s">
        <v>806</v>
      </c>
      <c r="D637" s="194" t="s">
        <v>181</v>
      </c>
      <c r="E637" s="240">
        <f t="shared" si="75"/>
        <v>74.650000000000006</v>
      </c>
      <c r="F637" s="222">
        <v>81.3</v>
      </c>
      <c r="G637" s="223">
        <v>1.25</v>
      </c>
      <c r="H637" s="224">
        <v>0.13</v>
      </c>
      <c r="I637" s="234">
        <f t="shared" si="76"/>
        <v>17.12</v>
      </c>
      <c r="J637" s="222">
        <v>6.7000000000000004E-2</v>
      </c>
      <c r="K637" s="235">
        <v>0.2</v>
      </c>
      <c r="L637" s="232"/>
      <c r="M637" s="222">
        <v>81.5</v>
      </c>
      <c r="N637" s="222">
        <v>13.26</v>
      </c>
      <c r="O637" s="222">
        <v>0.68</v>
      </c>
      <c r="P637" s="222"/>
      <c r="Q637" s="222"/>
      <c r="R637" s="222"/>
      <c r="S637" s="222"/>
      <c r="T637" s="222"/>
      <c r="U637" s="222"/>
      <c r="V637" s="231"/>
      <c r="W637" s="242"/>
      <c r="X637" s="222">
        <v>0.45</v>
      </c>
      <c r="Y637" s="231"/>
      <c r="Z637" s="231"/>
      <c r="AA637" s="242"/>
      <c r="AB637" s="242"/>
      <c r="AC637" s="209"/>
      <c r="AD637" s="209"/>
      <c r="AE637" s="231"/>
      <c r="AF637" s="231"/>
      <c r="AG637" s="231"/>
      <c r="AH637" s="231"/>
      <c r="AI637" s="231"/>
      <c r="AJ637" s="210"/>
      <c r="AK637" s="232"/>
      <c r="AL637" s="210"/>
      <c r="AM637" s="231"/>
      <c r="AN637" s="231"/>
      <c r="AO637" s="231"/>
      <c r="AP637" s="231"/>
      <c r="AQ637" s="231"/>
      <c r="AR637" s="231"/>
      <c r="AS637" s="231"/>
      <c r="AT637" s="231"/>
      <c r="AU637" s="231"/>
      <c r="AV637" s="231"/>
      <c r="AW637" s="231"/>
      <c r="AX637" s="242"/>
      <c r="AY637" s="242"/>
      <c r="AZ637" s="242"/>
      <c r="BA637" s="242"/>
      <c r="BB637" s="242"/>
      <c r="BC637" s="242"/>
      <c r="BD637" s="242"/>
      <c r="BE637" s="231"/>
      <c r="BF637" s="242"/>
      <c r="BG637" s="242"/>
      <c r="BH637" s="242"/>
      <c r="BI637" s="242"/>
      <c r="BJ637" s="242"/>
      <c r="BK637" s="242"/>
      <c r="BL637" s="242"/>
      <c r="BM637" s="242"/>
      <c r="BN637" s="242"/>
      <c r="BO637" s="231"/>
      <c r="BP637" s="231"/>
      <c r="BQ637" s="231"/>
      <c r="BR637" s="231"/>
      <c r="BS637" s="231"/>
      <c r="BT637" s="231"/>
      <c r="BU637" s="231"/>
      <c r="BV637" s="231"/>
      <c r="BW637" s="231"/>
      <c r="BX637" s="231"/>
      <c r="BY637" s="231"/>
      <c r="BZ637" s="231"/>
      <c r="CA637" s="231"/>
      <c r="CB637" s="231"/>
      <c r="CC637" s="231"/>
      <c r="CD637" s="231"/>
      <c r="CE637" s="231"/>
      <c r="CF637" s="231"/>
      <c r="CG637" s="231"/>
      <c r="CH637" s="231"/>
      <c r="CI637" s="231"/>
    </row>
    <row r="638" spans="1:87" ht="25.2" customHeight="1">
      <c r="A638" s="204">
        <v>600</v>
      </c>
      <c r="B638" s="283">
        <v>15052</v>
      </c>
      <c r="C638" s="208" t="s">
        <v>807</v>
      </c>
      <c r="D638" s="194" t="s">
        <v>181</v>
      </c>
      <c r="E638" s="240">
        <f t="shared" si="75"/>
        <v>83.1</v>
      </c>
      <c r="F638" s="222">
        <v>79.3</v>
      </c>
      <c r="G638" s="223">
        <v>0.78</v>
      </c>
      <c r="H638" s="224">
        <v>0.42</v>
      </c>
      <c r="I638" s="234">
        <f t="shared" si="76"/>
        <v>19.05</v>
      </c>
      <c r="J638" s="222">
        <v>0.10299999999999999</v>
      </c>
      <c r="K638" s="222">
        <v>0.45</v>
      </c>
      <c r="L638" s="232"/>
      <c r="M638" s="222">
        <v>63.8</v>
      </c>
      <c r="N638" s="222">
        <v>13.78</v>
      </c>
      <c r="O638" s="222">
        <v>0.76</v>
      </c>
      <c r="P638" s="222"/>
      <c r="Q638" s="222"/>
      <c r="R638" s="222"/>
      <c r="S638" s="222"/>
      <c r="T638" s="222"/>
      <c r="U638" s="222"/>
      <c r="V638" s="231"/>
      <c r="W638" s="242"/>
      <c r="X638" s="222">
        <v>0.39</v>
      </c>
      <c r="Y638" s="231"/>
      <c r="Z638" s="231"/>
      <c r="AA638" s="242"/>
      <c r="AB638" s="242"/>
      <c r="AC638" s="209"/>
      <c r="AD638" s="209"/>
      <c r="AE638" s="231"/>
      <c r="AF638" s="231"/>
      <c r="AG638" s="231"/>
      <c r="AH638" s="231"/>
      <c r="AI638" s="231"/>
      <c r="AJ638" s="210"/>
      <c r="AK638" s="232"/>
      <c r="AL638" s="210"/>
      <c r="AM638" s="231"/>
      <c r="AN638" s="231"/>
      <c r="AO638" s="231"/>
      <c r="AP638" s="231"/>
      <c r="AQ638" s="231"/>
      <c r="AR638" s="231"/>
      <c r="AS638" s="231"/>
      <c r="AT638" s="231"/>
      <c r="AU638" s="231"/>
      <c r="AV638" s="231"/>
      <c r="AW638" s="231"/>
      <c r="AX638" s="242"/>
      <c r="AY638" s="242"/>
      <c r="AZ638" s="242"/>
      <c r="BA638" s="242"/>
      <c r="BB638" s="242"/>
      <c r="BC638" s="242"/>
      <c r="BD638" s="242"/>
      <c r="BE638" s="231"/>
      <c r="BF638" s="242"/>
      <c r="BG638" s="242"/>
      <c r="BH638" s="242"/>
      <c r="BI638" s="242"/>
      <c r="BJ638" s="242"/>
      <c r="BK638" s="242"/>
      <c r="BL638" s="242"/>
      <c r="BM638" s="242"/>
      <c r="BN638" s="242"/>
      <c r="BO638" s="231"/>
      <c r="BP638" s="231"/>
      <c r="BQ638" s="231"/>
      <c r="BR638" s="231"/>
      <c r="BS638" s="231"/>
      <c r="BT638" s="231"/>
      <c r="BU638" s="231"/>
      <c r="BV638" s="231"/>
      <c r="BW638" s="231"/>
      <c r="BX638" s="231"/>
      <c r="BY638" s="231"/>
      <c r="BZ638" s="231"/>
      <c r="CA638" s="231"/>
      <c r="CB638" s="231"/>
      <c r="CC638" s="231"/>
      <c r="CD638" s="231"/>
      <c r="CE638" s="231"/>
      <c r="CF638" s="231"/>
      <c r="CG638" s="231"/>
      <c r="CH638" s="231"/>
      <c r="CI638" s="231"/>
    </row>
    <row r="639" spans="1:87" ht="25.2" customHeight="1">
      <c r="A639" s="204">
        <v>601</v>
      </c>
      <c r="B639" s="283">
        <v>15053</v>
      </c>
      <c r="C639" s="208" t="s">
        <v>808</v>
      </c>
      <c r="D639" s="194" t="s">
        <v>181</v>
      </c>
      <c r="E639" s="240">
        <f t="shared" si="75"/>
        <v>72.480000000000103</v>
      </c>
      <c r="F639" s="222">
        <v>82.5</v>
      </c>
      <c r="G639" s="223">
        <v>0.35</v>
      </c>
      <c r="H639" s="224">
        <v>0.6</v>
      </c>
      <c r="I639" s="234">
        <f t="shared" si="76"/>
        <v>16.420000000000002</v>
      </c>
      <c r="J639" s="222">
        <v>6.0000000000000001E-3</v>
      </c>
      <c r="K639" s="222">
        <v>0.13</v>
      </c>
      <c r="L639" s="232"/>
      <c r="M639" s="222">
        <v>109</v>
      </c>
      <c r="N639" s="222">
        <v>14.07</v>
      </c>
      <c r="O639" s="222">
        <v>0.5</v>
      </c>
      <c r="P639" s="222"/>
      <c r="Q639" s="222"/>
      <c r="R639" s="222"/>
      <c r="S639" s="222"/>
      <c r="T639" s="222"/>
      <c r="U639" s="222"/>
      <c r="V639" s="231"/>
      <c r="W639" s="242"/>
      <c r="X639" s="222">
        <v>0.16</v>
      </c>
      <c r="Y639" s="231"/>
      <c r="Z639" s="231"/>
      <c r="AA639" s="242"/>
      <c r="AB639" s="242"/>
      <c r="AC639" s="209"/>
      <c r="AD639" s="209"/>
      <c r="AE639" s="231"/>
      <c r="AF639" s="231"/>
      <c r="AG639" s="231"/>
      <c r="AH639" s="231"/>
      <c r="AI639" s="231"/>
      <c r="AJ639" s="210"/>
      <c r="AK639" s="232"/>
      <c r="AL639" s="210"/>
      <c r="AM639" s="231"/>
      <c r="AN639" s="231"/>
      <c r="AO639" s="231"/>
      <c r="AP639" s="231"/>
      <c r="AQ639" s="231"/>
      <c r="AR639" s="231"/>
      <c r="AS639" s="231"/>
      <c r="AT639" s="231"/>
      <c r="AU639" s="231"/>
      <c r="AV639" s="231"/>
      <c r="AW639" s="231"/>
      <c r="AX639" s="242"/>
      <c r="AY639" s="242"/>
      <c r="AZ639" s="242"/>
      <c r="BA639" s="242"/>
      <c r="BB639" s="242"/>
      <c r="BC639" s="242"/>
      <c r="BD639" s="242"/>
      <c r="BE639" s="231"/>
      <c r="BF639" s="242"/>
      <c r="BG639" s="242"/>
      <c r="BH639" s="242"/>
      <c r="BI639" s="242"/>
      <c r="BJ639" s="242"/>
      <c r="BK639" s="242"/>
      <c r="BL639" s="242"/>
      <c r="BM639" s="242"/>
      <c r="BN639" s="242"/>
      <c r="BO639" s="231"/>
      <c r="BP639" s="231"/>
      <c r="BQ639" s="231"/>
      <c r="BR639" s="231"/>
      <c r="BS639" s="231"/>
      <c r="BT639" s="231"/>
      <c r="BU639" s="231"/>
      <c r="BV639" s="231"/>
      <c r="BW639" s="231"/>
      <c r="BX639" s="231"/>
      <c r="BY639" s="231"/>
      <c r="BZ639" s="231"/>
      <c r="CA639" s="231"/>
      <c r="CB639" s="231"/>
      <c r="CC639" s="231"/>
      <c r="CD639" s="231"/>
      <c r="CE639" s="231"/>
      <c r="CF639" s="231"/>
      <c r="CG639" s="231"/>
      <c r="CH639" s="231"/>
      <c r="CI639" s="231"/>
    </row>
    <row r="640" spans="1:87" ht="25.2" customHeight="1">
      <c r="A640" s="204">
        <v>602</v>
      </c>
      <c r="B640" s="283">
        <v>15054</v>
      </c>
      <c r="C640" s="208" t="s">
        <v>809</v>
      </c>
      <c r="D640" s="194" t="s">
        <v>181</v>
      </c>
      <c r="E640" s="240">
        <f t="shared" si="75"/>
        <v>85.81</v>
      </c>
      <c r="F640" s="222">
        <v>79.2</v>
      </c>
      <c r="G640" s="223">
        <v>0.56999999999999995</v>
      </c>
      <c r="H640" s="224">
        <v>0.73</v>
      </c>
      <c r="I640" s="234">
        <f t="shared" si="76"/>
        <v>19.239999999999998</v>
      </c>
      <c r="J640" s="222">
        <v>8.5000000000000006E-2</v>
      </c>
      <c r="K640" s="222">
        <v>0.26</v>
      </c>
      <c r="L640" s="232"/>
      <c r="M640" s="222">
        <v>32.299999999999997</v>
      </c>
      <c r="N640" s="222">
        <v>6.74</v>
      </c>
      <c r="O640" s="222">
        <v>1.41</v>
      </c>
      <c r="P640" s="222"/>
      <c r="Q640" s="222"/>
      <c r="R640" s="222"/>
      <c r="S640" s="222"/>
      <c r="T640" s="222"/>
      <c r="U640" s="222"/>
      <c r="V640" s="231"/>
      <c r="W640" s="242"/>
      <c r="X640" s="222">
        <v>0.24</v>
      </c>
      <c r="Y640" s="231"/>
      <c r="Z640" s="231"/>
      <c r="AA640" s="242"/>
      <c r="AB640" s="242"/>
      <c r="AC640" s="209"/>
      <c r="AD640" s="209"/>
      <c r="AE640" s="231"/>
      <c r="AF640" s="231"/>
      <c r="AG640" s="231"/>
      <c r="AH640" s="231"/>
      <c r="AI640" s="231"/>
      <c r="AJ640" s="210"/>
      <c r="AK640" s="232"/>
      <c r="AL640" s="210"/>
      <c r="AM640" s="231"/>
      <c r="AN640" s="231"/>
      <c r="AO640" s="231"/>
      <c r="AP640" s="231"/>
      <c r="AQ640" s="231"/>
      <c r="AR640" s="231"/>
      <c r="AS640" s="231"/>
      <c r="AT640" s="231"/>
      <c r="AU640" s="231"/>
      <c r="AV640" s="231"/>
      <c r="AW640" s="231"/>
      <c r="AX640" s="242"/>
      <c r="AY640" s="242"/>
      <c r="AZ640" s="242"/>
      <c r="BA640" s="242"/>
      <c r="BB640" s="242"/>
      <c r="BC640" s="242"/>
      <c r="BD640" s="242"/>
      <c r="BE640" s="231"/>
      <c r="BF640" s="242"/>
      <c r="BG640" s="242"/>
      <c r="BH640" s="242"/>
      <c r="BI640" s="242"/>
      <c r="BJ640" s="242"/>
      <c r="BK640" s="242"/>
      <c r="BL640" s="242"/>
      <c r="BM640" s="242"/>
      <c r="BN640" s="242"/>
      <c r="BO640" s="231"/>
      <c r="BP640" s="231"/>
      <c r="BQ640" s="231"/>
      <c r="BR640" s="231"/>
      <c r="BS640" s="231"/>
      <c r="BT640" s="231"/>
      <c r="BU640" s="231"/>
      <c r="BV640" s="231"/>
      <c r="BW640" s="231"/>
      <c r="BX640" s="231"/>
      <c r="BY640" s="231"/>
      <c r="BZ640" s="231"/>
      <c r="CA640" s="231"/>
      <c r="CB640" s="231"/>
      <c r="CC640" s="231"/>
      <c r="CD640" s="231"/>
      <c r="CE640" s="231"/>
      <c r="CF640" s="231"/>
      <c r="CG640" s="231"/>
      <c r="CH640" s="231"/>
      <c r="CI640" s="231"/>
    </row>
    <row r="641" spans="1:87" ht="25.2" customHeight="1">
      <c r="A641" s="204">
        <v>603</v>
      </c>
      <c r="B641" s="283">
        <v>15055</v>
      </c>
      <c r="C641" s="208" t="s">
        <v>810</v>
      </c>
      <c r="D641" s="194" t="s">
        <v>181</v>
      </c>
      <c r="E641" s="240">
        <f t="shared" si="75"/>
        <v>81.59</v>
      </c>
      <c r="F641" s="222">
        <v>80.099999999999994</v>
      </c>
      <c r="G641" s="223">
        <v>0.72</v>
      </c>
      <c r="H641" s="224">
        <v>0.51</v>
      </c>
      <c r="I641" s="234">
        <f t="shared" si="76"/>
        <v>18.53</v>
      </c>
      <c r="J641" s="222">
        <v>8.9999999999999993E-3</v>
      </c>
      <c r="K641" s="222">
        <v>0.14000000000000001</v>
      </c>
      <c r="L641" s="232"/>
      <c r="M641" s="222">
        <v>23.2</v>
      </c>
      <c r="N641" s="222">
        <v>10.83</v>
      </c>
      <c r="O641" s="222">
        <v>2.08</v>
      </c>
      <c r="P641" s="222"/>
      <c r="Q641" s="222"/>
      <c r="R641" s="222"/>
      <c r="S641" s="222"/>
      <c r="T641" s="222"/>
      <c r="U641" s="222"/>
      <c r="V641" s="231"/>
      <c r="W641" s="242"/>
      <c r="X641" s="222">
        <v>0.24</v>
      </c>
      <c r="Y641" s="231"/>
      <c r="Z641" s="231"/>
      <c r="AA641" s="242"/>
      <c r="AB641" s="242"/>
      <c r="AC641" s="209"/>
      <c r="AD641" s="209"/>
      <c r="AE641" s="231"/>
      <c r="AF641" s="231"/>
      <c r="AG641" s="231"/>
      <c r="AH641" s="231"/>
      <c r="AI641" s="231"/>
      <c r="AJ641" s="210"/>
      <c r="AK641" s="232"/>
      <c r="AL641" s="210"/>
      <c r="AM641" s="231"/>
      <c r="AN641" s="231"/>
      <c r="AO641" s="231"/>
      <c r="AP641" s="231"/>
      <c r="AQ641" s="231"/>
      <c r="AR641" s="231"/>
      <c r="AS641" s="231"/>
      <c r="AT641" s="231"/>
      <c r="AU641" s="231"/>
      <c r="AV641" s="231"/>
      <c r="AW641" s="231"/>
      <c r="AX641" s="242"/>
      <c r="AY641" s="242"/>
      <c r="AZ641" s="242"/>
      <c r="BA641" s="242"/>
      <c r="BB641" s="242"/>
      <c r="BC641" s="242"/>
      <c r="BD641" s="242"/>
      <c r="BE641" s="231"/>
      <c r="BF641" s="242"/>
      <c r="BG641" s="242"/>
      <c r="BH641" s="242"/>
      <c r="BI641" s="242"/>
      <c r="BJ641" s="242"/>
      <c r="BK641" s="242"/>
      <c r="BL641" s="242"/>
      <c r="BM641" s="242"/>
      <c r="BN641" s="242"/>
      <c r="BO641" s="231"/>
      <c r="BP641" s="231"/>
      <c r="BQ641" s="231"/>
      <c r="BR641" s="231"/>
      <c r="BS641" s="231"/>
      <c r="BT641" s="231"/>
      <c r="BU641" s="231"/>
      <c r="BV641" s="231"/>
      <c r="BW641" s="231"/>
      <c r="BX641" s="231"/>
      <c r="BY641" s="231"/>
      <c r="BZ641" s="231"/>
      <c r="CA641" s="231"/>
      <c r="CB641" s="231"/>
      <c r="CC641" s="231"/>
      <c r="CD641" s="231"/>
      <c r="CE641" s="231"/>
      <c r="CF641" s="231"/>
      <c r="CG641" s="231"/>
      <c r="CH641" s="231"/>
      <c r="CI641" s="231"/>
    </row>
    <row r="642" spans="1:87" ht="25.2" customHeight="1">
      <c r="A642" s="204">
        <v>604</v>
      </c>
      <c r="B642" s="283">
        <v>15056</v>
      </c>
      <c r="C642" s="208" t="s">
        <v>811</v>
      </c>
      <c r="D642" s="194" t="s">
        <v>181</v>
      </c>
      <c r="E642" s="240">
        <f t="shared" si="75"/>
        <v>198.25</v>
      </c>
      <c r="F642" s="222">
        <v>56.2</v>
      </c>
      <c r="G642" s="220">
        <v>6</v>
      </c>
      <c r="H642" s="221">
        <v>9.65</v>
      </c>
      <c r="I642" s="234">
        <f t="shared" si="76"/>
        <v>21.85</v>
      </c>
      <c r="J642" s="235">
        <v>1</v>
      </c>
      <c r="K642" s="222">
        <v>6.3</v>
      </c>
      <c r="L642" s="232"/>
      <c r="M642" s="222">
        <v>25</v>
      </c>
      <c r="N642" s="222">
        <v>52.7</v>
      </c>
      <c r="O642" s="222">
        <v>1.62</v>
      </c>
      <c r="P642" s="222"/>
      <c r="Q642" s="222"/>
      <c r="R642" s="222"/>
      <c r="S642" s="222"/>
      <c r="T642" s="222"/>
      <c r="U642" s="222"/>
      <c r="V642" s="231"/>
      <c r="W642" s="242"/>
      <c r="X642" s="235">
        <v>0.7</v>
      </c>
      <c r="Y642" s="231"/>
      <c r="Z642" s="231"/>
      <c r="AA642" s="242"/>
      <c r="AB642" s="242"/>
      <c r="AC642" s="209"/>
      <c r="AD642" s="209"/>
      <c r="AE642" s="231"/>
      <c r="AF642" s="231"/>
      <c r="AG642" s="231"/>
      <c r="AH642" s="231"/>
      <c r="AI642" s="231"/>
      <c r="AJ642" s="210"/>
      <c r="AK642" s="232"/>
      <c r="AL642" s="210"/>
      <c r="AM642" s="231"/>
      <c r="AN642" s="231"/>
      <c r="AO642" s="231"/>
      <c r="AP642" s="231"/>
      <c r="AQ642" s="231"/>
      <c r="AR642" s="231"/>
      <c r="AS642" s="231"/>
      <c r="AT642" s="231"/>
      <c r="AU642" s="231"/>
      <c r="AV642" s="231"/>
      <c r="AW642" s="231"/>
      <c r="AX642" s="242"/>
      <c r="AY642" s="242"/>
      <c r="AZ642" s="242"/>
      <c r="BA642" s="242"/>
      <c r="BB642" s="242"/>
      <c r="BC642" s="242"/>
      <c r="BD642" s="242"/>
      <c r="BE642" s="231"/>
      <c r="BF642" s="242"/>
      <c r="BG642" s="242"/>
      <c r="BH642" s="242"/>
      <c r="BI642" s="242"/>
      <c r="BJ642" s="242"/>
      <c r="BK642" s="242"/>
      <c r="BL642" s="242"/>
      <c r="BM642" s="242"/>
      <c r="BN642" s="242"/>
      <c r="BO642" s="231"/>
      <c r="BP642" s="231"/>
      <c r="BQ642" s="231"/>
      <c r="BR642" s="231"/>
      <c r="BS642" s="231"/>
      <c r="BT642" s="231"/>
      <c r="BU642" s="231"/>
      <c r="BV642" s="231"/>
      <c r="BW642" s="231"/>
      <c r="BX642" s="231"/>
      <c r="BY642" s="231"/>
      <c r="BZ642" s="231"/>
      <c r="CA642" s="231"/>
      <c r="CB642" s="231"/>
      <c r="CC642" s="231"/>
      <c r="CD642" s="231"/>
      <c r="CE642" s="231"/>
      <c r="CF642" s="231"/>
      <c r="CG642" s="231"/>
      <c r="CH642" s="231"/>
      <c r="CI642" s="231"/>
    </row>
    <row r="643" spans="1:87" ht="25.2" customHeight="1">
      <c r="A643" s="204">
        <v>605</v>
      </c>
      <c r="B643" s="283">
        <v>15057</v>
      </c>
      <c r="C643" s="208" t="s">
        <v>812</v>
      </c>
      <c r="D643" s="194" t="s">
        <v>468</v>
      </c>
      <c r="E643" s="240">
        <f t="shared" si="75"/>
        <v>131</v>
      </c>
      <c r="F643" s="219">
        <v>75</v>
      </c>
      <c r="G643" s="220">
        <v>6.7</v>
      </c>
      <c r="H643" s="221">
        <v>7.4</v>
      </c>
      <c r="I643" s="234">
        <f t="shared" si="76"/>
        <v>9.3999999999999897</v>
      </c>
      <c r="J643" s="235">
        <v>1.02</v>
      </c>
      <c r="K643" s="219">
        <v>1.5</v>
      </c>
      <c r="L643" s="232"/>
      <c r="M643" s="222">
        <v>57.39</v>
      </c>
      <c r="N643" s="222">
        <v>44.35</v>
      </c>
      <c r="O643" s="222">
        <v>0.69</v>
      </c>
      <c r="P643" s="222"/>
      <c r="Q643" s="222"/>
      <c r="R643" s="222"/>
      <c r="S643" s="222"/>
      <c r="T643" s="222"/>
      <c r="U643" s="222"/>
      <c r="V643" s="231"/>
      <c r="W643" s="242"/>
      <c r="X643" s="235">
        <v>1.1000000000000001</v>
      </c>
      <c r="Y643" s="231"/>
      <c r="Z643" s="231"/>
      <c r="AA643" s="242"/>
      <c r="AB643" s="242"/>
      <c r="AC643" s="209"/>
      <c r="AD643" s="209"/>
      <c r="AE643" s="231"/>
      <c r="AF643" s="231"/>
      <c r="AG643" s="231"/>
      <c r="AH643" s="231"/>
      <c r="AI643" s="231"/>
      <c r="AJ643" s="210"/>
      <c r="AK643" s="232"/>
      <c r="AL643" s="210"/>
      <c r="AM643" s="231"/>
      <c r="AN643" s="231"/>
      <c r="AO643" s="231"/>
      <c r="AP643" s="231"/>
      <c r="AQ643" s="231"/>
      <c r="AR643" s="231"/>
      <c r="AS643" s="231"/>
      <c r="AT643" s="231"/>
      <c r="AU643" s="231"/>
      <c r="AV643" s="231"/>
      <c r="AW643" s="231"/>
      <c r="AX643" s="242"/>
      <c r="AY643" s="242"/>
      <c r="AZ643" s="242"/>
      <c r="BA643" s="242"/>
      <c r="BB643" s="242"/>
      <c r="BC643" s="242"/>
      <c r="BD643" s="242"/>
      <c r="BE643" s="231"/>
      <c r="BF643" s="242"/>
      <c r="BG643" s="242"/>
      <c r="BH643" s="242"/>
      <c r="BI643" s="242"/>
      <c r="BJ643" s="242"/>
      <c r="BK643" s="242"/>
      <c r="BL643" s="242"/>
      <c r="BM643" s="242"/>
      <c r="BN643" s="242"/>
      <c r="BO643" s="231"/>
      <c r="BP643" s="231"/>
      <c r="BQ643" s="231"/>
      <c r="BR643" s="231"/>
      <c r="BS643" s="231"/>
      <c r="BT643" s="231"/>
      <c r="BU643" s="231"/>
      <c r="BV643" s="231"/>
      <c r="BW643" s="231"/>
      <c r="BX643" s="231"/>
      <c r="BY643" s="231"/>
      <c r="BZ643" s="231"/>
      <c r="CA643" s="231"/>
      <c r="CB643" s="231"/>
      <c r="CC643" s="231"/>
      <c r="CD643" s="231"/>
      <c r="CE643" s="231"/>
      <c r="CF643" s="231"/>
      <c r="CG643" s="231"/>
      <c r="CH643" s="231"/>
      <c r="CI643" s="231"/>
    </row>
    <row r="644" spans="1:87" ht="25.2" customHeight="1">
      <c r="A644" s="204">
        <v>606</v>
      </c>
      <c r="B644" s="283">
        <v>15058</v>
      </c>
      <c r="C644" s="208" t="s">
        <v>813</v>
      </c>
      <c r="D644" s="194"/>
      <c r="E644" s="240">
        <f t="shared" si="75"/>
        <v>72.679999999999893</v>
      </c>
      <c r="F644" s="222">
        <v>83.9</v>
      </c>
      <c r="G644" s="220">
        <v>2.4</v>
      </c>
      <c r="H644" s="221">
        <v>2.6</v>
      </c>
      <c r="I644" s="234">
        <f t="shared" si="76"/>
        <v>9.9199999999999893</v>
      </c>
      <c r="J644" s="235">
        <v>0.16</v>
      </c>
      <c r="K644" s="222">
        <v>1.18</v>
      </c>
      <c r="L644" s="232"/>
      <c r="M644" s="222">
        <v>30.3</v>
      </c>
      <c r="N644" s="222">
        <v>35.4</v>
      </c>
      <c r="O644" s="222">
        <v>2.97</v>
      </c>
      <c r="P644" s="222"/>
      <c r="Q644" s="222"/>
      <c r="R644" s="222"/>
      <c r="S644" s="222"/>
      <c r="T644" s="222"/>
      <c r="U644" s="222"/>
      <c r="V644" s="231"/>
      <c r="W644" s="242"/>
      <c r="X644" s="235">
        <v>0.44</v>
      </c>
      <c r="Y644" s="231"/>
      <c r="Z644" s="231"/>
      <c r="AA644" s="242"/>
      <c r="AB644" s="242"/>
      <c r="AC644" s="209"/>
      <c r="AD644" s="209"/>
      <c r="AE644" s="231"/>
      <c r="AF644" s="231"/>
      <c r="AG644" s="231"/>
      <c r="AH644" s="231"/>
      <c r="AI644" s="231"/>
      <c r="AJ644" s="210"/>
      <c r="AK644" s="232"/>
      <c r="AL644" s="210"/>
      <c r="AM644" s="231"/>
      <c r="AN644" s="231"/>
      <c r="AO644" s="231"/>
      <c r="AP644" s="231"/>
      <c r="AQ644" s="231"/>
      <c r="AR644" s="231"/>
      <c r="AS644" s="231"/>
      <c r="AT644" s="231"/>
      <c r="AU644" s="231"/>
      <c r="AV644" s="231"/>
      <c r="AW644" s="231"/>
      <c r="AX644" s="242"/>
      <c r="AY644" s="242"/>
      <c r="AZ644" s="242"/>
      <c r="BA644" s="242"/>
      <c r="BB644" s="242"/>
      <c r="BC644" s="242"/>
      <c r="BD644" s="242"/>
      <c r="BE644" s="231"/>
      <c r="BF644" s="242"/>
      <c r="BG644" s="242"/>
      <c r="BH644" s="242"/>
      <c r="BI644" s="242"/>
      <c r="BJ644" s="242"/>
      <c r="BK644" s="242"/>
      <c r="BL644" s="242"/>
      <c r="BM644" s="242"/>
      <c r="BN644" s="242"/>
      <c r="BO644" s="231"/>
      <c r="BP644" s="231"/>
      <c r="BQ644" s="231"/>
      <c r="BR644" s="231"/>
      <c r="BS644" s="231"/>
      <c r="BT644" s="231"/>
      <c r="BU644" s="231"/>
      <c r="BV644" s="231"/>
      <c r="BW644" s="231"/>
      <c r="BX644" s="231"/>
      <c r="BY644" s="231"/>
      <c r="BZ644" s="231"/>
      <c r="CA644" s="231"/>
      <c r="CB644" s="231"/>
      <c r="CC644" s="231"/>
      <c r="CD644" s="231"/>
      <c r="CE644" s="231"/>
      <c r="CF644" s="231"/>
      <c r="CG644" s="231"/>
      <c r="CH644" s="231"/>
      <c r="CI644" s="231"/>
    </row>
    <row r="645" spans="1:87" ht="25.2" customHeight="1">
      <c r="A645" s="204">
        <v>607</v>
      </c>
      <c r="B645" s="283">
        <v>15059</v>
      </c>
      <c r="C645" s="208" t="s">
        <v>814</v>
      </c>
      <c r="D645" s="194"/>
      <c r="E645" s="240">
        <f t="shared" si="75"/>
        <v>65.44</v>
      </c>
      <c r="F645" s="222">
        <v>85.4</v>
      </c>
      <c r="G645" s="220">
        <v>2</v>
      </c>
      <c r="H645" s="221">
        <v>2.4</v>
      </c>
      <c r="I645" s="234">
        <f t="shared" si="76"/>
        <v>8.9599999999999902</v>
      </c>
      <c r="J645" s="235">
        <v>0.56000000000000005</v>
      </c>
      <c r="K645" s="222">
        <v>1.24</v>
      </c>
      <c r="L645" s="232"/>
      <c r="M645" s="222">
        <v>22.1</v>
      </c>
      <c r="N645" s="222">
        <v>22.1</v>
      </c>
      <c r="O645" s="222">
        <v>1.26</v>
      </c>
      <c r="P645" s="222"/>
      <c r="Q645" s="222"/>
      <c r="R645" s="222"/>
      <c r="S645" s="222"/>
      <c r="T645" s="222"/>
      <c r="U645" s="222"/>
      <c r="V645" s="231"/>
      <c r="W645" s="242"/>
      <c r="X645" s="235">
        <v>0.32</v>
      </c>
      <c r="Y645" s="231"/>
      <c r="Z645" s="231"/>
      <c r="AA645" s="242"/>
      <c r="AB645" s="242"/>
      <c r="AC645" s="209"/>
      <c r="AD645" s="209"/>
      <c r="AE645" s="231"/>
      <c r="AF645" s="231"/>
      <c r="AG645" s="231"/>
      <c r="AH645" s="231"/>
      <c r="AI645" s="231"/>
      <c r="AJ645" s="210"/>
      <c r="AK645" s="232"/>
      <c r="AL645" s="210"/>
      <c r="AM645" s="231"/>
      <c r="AN645" s="231"/>
      <c r="AO645" s="231"/>
      <c r="AP645" s="231"/>
      <c r="AQ645" s="231"/>
      <c r="AR645" s="231"/>
      <c r="AS645" s="231"/>
      <c r="AT645" s="231"/>
      <c r="AU645" s="231"/>
      <c r="AV645" s="231"/>
      <c r="AW645" s="231"/>
      <c r="AX645" s="242"/>
      <c r="AY645" s="242"/>
      <c r="AZ645" s="242"/>
      <c r="BA645" s="242"/>
      <c r="BB645" s="242"/>
      <c r="BC645" s="242"/>
      <c r="BD645" s="242"/>
      <c r="BE645" s="231"/>
      <c r="BF645" s="242"/>
      <c r="BG645" s="242"/>
      <c r="BH645" s="242"/>
      <c r="BI645" s="242"/>
      <c r="BJ645" s="242"/>
      <c r="BK645" s="242"/>
      <c r="BL645" s="242"/>
      <c r="BM645" s="242"/>
      <c r="BN645" s="242"/>
      <c r="BO645" s="231"/>
      <c r="BP645" s="231"/>
      <c r="BQ645" s="231"/>
      <c r="BR645" s="231"/>
      <c r="BS645" s="231"/>
      <c r="BT645" s="231"/>
      <c r="BU645" s="231"/>
      <c r="BV645" s="231"/>
      <c r="BW645" s="231"/>
      <c r="BX645" s="231"/>
      <c r="BY645" s="231"/>
      <c r="BZ645" s="231"/>
      <c r="CA645" s="231"/>
      <c r="CB645" s="231"/>
      <c r="CC645" s="231"/>
      <c r="CD645" s="231"/>
      <c r="CE645" s="231"/>
      <c r="CF645" s="231"/>
      <c r="CG645" s="231"/>
      <c r="CH645" s="231"/>
      <c r="CI645" s="231"/>
    </row>
    <row r="646" spans="1:87" ht="25.2" customHeight="1">
      <c r="A646" s="204">
        <v>608</v>
      </c>
      <c r="B646" s="283">
        <v>15060</v>
      </c>
      <c r="C646" s="208" t="s">
        <v>815</v>
      </c>
      <c r="D646" s="194" t="s">
        <v>181</v>
      </c>
      <c r="E646" s="240">
        <f t="shared" si="75"/>
        <v>80.620000000000104</v>
      </c>
      <c r="F646" s="222">
        <v>82.5</v>
      </c>
      <c r="G646" s="220">
        <v>2.6</v>
      </c>
      <c r="H646" s="221">
        <v>3.1</v>
      </c>
      <c r="I646" s="234">
        <f t="shared" si="76"/>
        <v>10.58</v>
      </c>
      <c r="J646" s="235">
        <v>0.23</v>
      </c>
      <c r="K646" s="222">
        <v>1.22</v>
      </c>
      <c r="L646" s="232"/>
      <c r="M646" s="222">
        <v>29.9</v>
      </c>
      <c r="N646" s="222">
        <v>31.4</v>
      </c>
      <c r="O646" s="222">
        <v>1.94</v>
      </c>
      <c r="P646" s="222"/>
      <c r="Q646" s="222"/>
      <c r="R646" s="222"/>
      <c r="S646" s="222"/>
      <c r="T646" s="222"/>
      <c r="U646" s="222"/>
      <c r="V646" s="231"/>
      <c r="W646" s="242"/>
      <c r="X646" s="235">
        <v>0.37</v>
      </c>
      <c r="Y646" s="231"/>
      <c r="Z646" s="231"/>
      <c r="AA646" s="242"/>
      <c r="AB646" s="242"/>
      <c r="AC646" s="209"/>
      <c r="AD646" s="209"/>
      <c r="AE646" s="231"/>
      <c r="AF646" s="231"/>
      <c r="AG646" s="231"/>
      <c r="AH646" s="231"/>
      <c r="AI646" s="231"/>
      <c r="AJ646" s="210"/>
      <c r="AK646" s="232"/>
      <c r="AL646" s="210"/>
      <c r="AM646" s="231"/>
      <c r="AN646" s="231"/>
      <c r="AO646" s="231"/>
      <c r="AP646" s="231"/>
      <c r="AQ646" s="231"/>
      <c r="AR646" s="231"/>
      <c r="AS646" s="231"/>
      <c r="AT646" s="231"/>
      <c r="AU646" s="231"/>
      <c r="AV646" s="231"/>
      <c r="AW646" s="231"/>
      <c r="AX646" s="242"/>
      <c r="AY646" s="242"/>
      <c r="AZ646" s="242"/>
      <c r="BA646" s="242"/>
      <c r="BB646" s="242"/>
      <c r="BC646" s="242"/>
      <c r="BD646" s="242"/>
      <c r="BE646" s="231"/>
      <c r="BF646" s="242"/>
      <c r="BG646" s="242"/>
      <c r="BH646" s="242"/>
      <c r="BI646" s="242"/>
      <c r="BJ646" s="242"/>
      <c r="BK646" s="242"/>
      <c r="BL646" s="242"/>
      <c r="BM646" s="242"/>
      <c r="BN646" s="242"/>
      <c r="BO646" s="231"/>
      <c r="BP646" s="231"/>
      <c r="BQ646" s="231"/>
      <c r="BR646" s="231"/>
      <c r="BS646" s="231"/>
      <c r="BT646" s="231"/>
      <c r="BU646" s="231"/>
      <c r="BV646" s="231"/>
      <c r="BW646" s="231"/>
      <c r="BX646" s="231"/>
      <c r="BY646" s="231"/>
      <c r="BZ646" s="231"/>
      <c r="CA646" s="231"/>
      <c r="CB646" s="231"/>
      <c r="CC646" s="231"/>
      <c r="CD646" s="231"/>
      <c r="CE646" s="231"/>
      <c r="CF646" s="231"/>
      <c r="CG646" s="231"/>
      <c r="CH646" s="231"/>
      <c r="CI646" s="231"/>
    </row>
    <row r="647" spans="1:87" ht="25.2" customHeight="1">
      <c r="A647" s="204">
        <v>609</v>
      </c>
      <c r="B647" s="283">
        <v>15061</v>
      </c>
      <c r="C647" s="208" t="s">
        <v>816</v>
      </c>
      <c r="D647" s="194" t="s">
        <v>181</v>
      </c>
      <c r="E647" s="240">
        <f t="shared" si="75"/>
        <v>139.44</v>
      </c>
      <c r="F647" s="222">
        <v>72.7</v>
      </c>
      <c r="G647" s="220">
        <v>5.7</v>
      </c>
      <c r="H647" s="221">
        <v>7</v>
      </c>
      <c r="I647" s="234">
        <f t="shared" si="76"/>
        <v>13.41</v>
      </c>
      <c r="J647" s="235">
        <v>0.91</v>
      </c>
      <c r="K647" s="222">
        <v>1.19</v>
      </c>
      <c r="L647" s="232"/>
      <c r="M647" s="222">
        <v>58.7</v>
      </c>
      <c r="N647" s="222">
        <v>36</v>
      </c>
      <c r="O647" s="222">
        <v>3.72</v>
      </c>
      <c r="P647" s="222"/>
      <c r="Q647" s="222"/>
      <c r="R647" s="222"/>
      <c r="S647" s="222"/>
      <c r="T647" s="222"/>
      <c r="U647" s="222"/>
      <c r="V647" s="231"/>
      <c r="W647" s="242"/>
      <c r="X647" s="235">
        <v>0.53</v>
      </c>
      <c r="Y647" s="231"/>
      <c r="Z647" s="231"/>
      <c r="AA647" s="242"/>
      <c r="AB647" s="242"/>
      <c r="AC647" s="209"/>
      <c r="AD647" s="209"/>
      <c r="AE647" s="231"/>
      <c r="AF647" s="231"/>
      <c r="AG647" s="231"/>
      <c r="AH647" s="231"/>
      <c r="AI647" s="231"/>
      <c r="AJ647" s="210"/>
      <c r="AK647" s="232"/>
      <c r="AL647" s="210"/>
      <c r="AM647" s="231"/>
      <c r="AN647" s="231"/>
      <c r="AO647" s="231"/>
      <c r="AP647" s="231"/>
      <c r="AQ647" s="231"/>
      <c r="AR647" s="231"/>
      <c r="AS647" s="231"/>
      <c r="AT647" s="231"/>
      <c r="AU647" s="231"/>
      <c r="AV647" s="231"/>
      <c r="AW647" s="231"/>
      <c r="AX647" s="242"/>
      <c r="AY647" s="242"/>
      <c r="AZ647" s="242"/>
      <c r="BA647" s="242"/>
      <c r="BB647" s="242"/>
      <c r="BC647" s="242"/>
      <c r="BD647" s="242"/>
      <c r="BE647" s="231"/>
      <c r="BF647" s="242"/>
      <c r="BG647" s="242"/>
      <c r="BH647" s="242"/>
      <c r="BI647" s="242"/>
      <c r="BJ647" s="242"/>
      <c r="BK647" s="242"/>
      <c r="BL647" s="242"/>
      <c r="BM647" s="242"/>
      <c r="BN647" s="242"/>
      <c r="BO647" s="231"/>
      <c r="BP647" s="231"/>
      <c r="BQ647" s="231"/>
      <c r="BR647" s="231"/>
      <c r="BS647" s="231"/>
      <c r="BT647" s="231"/>
      <c r="BU647" s="231"/>
      <c r="BV647" s="231"/>
      <c r="BW647" s="231"/>
      <c r="BX647" s="231"/>
      <c r="BY647" s="231"/>
      <c r="BZ647" s="231"/>
      <c r="CA647" s="231"/>
      <c r="CB647" s="231"/>
      <c r="CC647" s="231"/>
      <c r="CD647" s="231"/>
      <c r="CE647" s="231"/>
      <c r="CF647" s="231"/>
      <c r="CG647" s="231"/>
      <c r="CH647" s="231"/>
      <c r="CI647" s="231"/>
    </row>
    <row r="648" spans="1:87" ht="25.2" customHeight="1">
      <c r="A648" s="204">
        <v>610</v>
      </c>
      <c r="B648" s="283">
        <v>15062</v>
      </c>
      <c r="C648" s="208" t="s">
        <v>817</v>
      </c>
      <c r="D648" s="194" t="s">
        <v>468</v>
      </c>
      <c r="E648" s="240">
        <f t="shared" si="75"/>
        <v>182.78</v>
      </c>
      <c r="F648" s="222">
        <v>69.5</v>
      </c>
      <c r="G648" s="223">
        <v>6.7</v>
      </c>
      <c r="H648" s="224">
        <v>13.3</v>
      </c>
      <c r="I648" s="234">
        <f t="shared" si="76"/>
        <v>9.0699999999999896</v>
      </c>
      <c r="J648" s="235">
        <v>0.93116210214655704</v>
      </c>
      <c r="K648" s="222">
        <v>1.43</v>
      </c>
      <c r="L648" s="232"/>
      <c r="M648" s="222">
        <v>91.18</v>
      </c>
      <c r="N648" s="222">
        <v>57.95</v>
      </c>
      <c r="O648" s="222">
        <v>1.81</v>
      </c>
      <c r="P648" s="222"/>
      <c r="Q648" s="222"/>
      <c r="R648" s="222"/>
      <c r="S648" s="222"/>
      <c r="T648" s="222"/>
      <c r="U648" s="222"/>
      <c r="V648" s="231"/>
      <c r="W648" s="242"/>
      <c r="X648" s="222">
        <v>0.77</v>
      </c>
      <c r="Y648" s="231"/>
      <c r="Z648" s="231"/>
      <c r="AA648" s="242"/>
      <c r="AB648" s="242"/>
      <c r="AC648" s="209"/>
      <c r="AD648" s="209"/>
      <c r="AE648" s="231"/>
      <c r="AF648" s="231"/>
      <c r="AG648" s="231"/>
      <c r="AH648" s="231"/>
      <c r="AI648" s="231"/>
      <c r="AJ648" s="210"/>
      <c r="AK648" s="232"/>
      <c r="AL648" s="210"/>
      <c r="AM648" s="231"/>
      <c r="AN648" s="231"/>
      <c r="AO648" s="231"/>
      <c r="AP648" s="231"/>
      <c r="AQ648" s="231"/>
      <c r="AR648" s="231"/>
      <c r="AS648" s="231"/>
      <c r="AT648" s="231"/>
      <c r="AU648" s="231"/>
      <c r="AV648" s="231"/>
      <c r="AW648" s="231"/>
      <c r="AX648" s="242"/>
      <c r="AY648" s="242"/>
      <c r="AZ648" s="242"/>
      <c r="BA648" s="242"/>
      <c r="BB648" s="242"/>
      <c r="BC648" s="242"/>
      <c r="BD648" s="242"/>
      <c r="BE648" s="231"/>
      <c r="BF648" s="242"/>
      <c r="BG648" s="242"/>
      <c r="BH648" s="242"/>
      <c r="BI648" s="242"/>
      <c r="BJ648" s="242"/>
      <c r="BK648" s="242"/>
      <c r="BL648" s="242"/>
      <c r="BM648" s="242"/>
      <c r="BN648" s="242"/>
      <c r="BO648" s="231"/>
      <c r="BP648" s="231"/>
      <c r="BQ648" s="231"/>
      <c r="BR648" s="231"/>
      <c r="BS648" s="231"/>
      <c r="BT648" s="231"/>
      <c r="BU648" s="231"/>
      <c r="BV648" s="231"/>
      <c r="BW648" s="231"/>
      <c r="BX648" s="231"/>
      <c r="BY648" s="231"/>
      <c r="BZ648" s="231"/>
      <c r="CA648" s="231"/>
      <c r="CB648" s="231"/>
      <c r="CC648" s="231"/>
      <c r="CD648" s="231"/>
      <c r="CE648" s="231"/>
      <c r="CF648" s="231"/>
      <c r="CG648" s="231"/>
      <c r="CH648" s="231"/>
      <c r="CI648" s="231"/>
    </row>
    <row r="649" spans="1:87" ht="25.2" customHeight="1">
      <c r="A649" s="204">
        <v>611</v>
      </c>
      <c r="B649" s="283">
        <v>15063</v>
      </c>
      <c r="C649" s="208" t="s">
        <v>818</v>
      </c>
      <c r="D649" s="194"/>
      <c r="E649" s="240">
        <f t="shared" si="75"/>
        <v>144.97999999999999</v>
      </c>
      <c r="F649" s="222">
        <v>71.5</v>
      </c>
      <c r="G649" s="223">
        <v>4.5</v>
      </c>
      <c r="H649" s="224">
        <v>7.7</v>
      </c>
      <c r="I649" s="234">
        <f t="shared" si="76"/>
        <v>14.42</v>
      </c>
      <c r="J649" s="235">
        <v>1.28817541111981</v>
      </c>
      <c r="K649" s="222">
        <v>1.88</v>
      </c>
      <c r="L649" s="232"/>
      <c r="M649" s="222">
        <v>67.63</v>
      </c>
      <c r="N649" s="222">
        <v>28.65</v>
      </c>
      <c r="O649" s="222">
        <v>1.99</v>
      </c>
      <c r="P649" s="222"/>
      <c r="Q649" s="222"/>
      <c r="R649" s="222"/>
      <c r="S649" s="222"/>
      <c r="T649" s="222"/>
      <c r="U649" s="222"/>
      <c r="V649" s="231"/>
      <c r="W649" s="242"/>
      <c r="X649" s="222">
        <v>0.56999999999999995</v>
      </c>
      <c r="Y649" s="231"/>
      <c r="Z649" s="231"/>
      <c r="AA649" s="242"/>
      <c r="AB649" s="242"/>
      <c r="AC649" s="209"/>
      <c r="AD649" s="209"/>
      <c r="AE649" s="231"/>
      <c r="AF649" s="231"/>
      <c r="AG649" s="231"/>
      <c r="AH649" s="231"/>
      <c r="AI649" s="231"/>
      <c r="AJ649" s="210"/>
      <c r="AK649" s="232"/>
      <c r="AL649" s="210"/>
      <c r="AM649" s="231"/>
      <c r="AN649" s="231"/>
      <c r="AO649" s="231"/>
      <c r="AP649" s="231"/>
      <c r="AQ649" s="231"/>
      <c r="AR649" s="231"/>
      <c r="AS649" s="231"/>
      <c r="AT649" s="231"/>
      <c r="AU649" s="231"/>
      <c r="AV649" s="231"/>
      <c r="AW649" s="231"/>
      <c r="AX649" s="242"/>
      <c r="AY649" s="242"/>
      <c r="AZ649" s="242"/>
      <c r="BA649" s="242"/>
      <c r="BB649" s="242"/>
      <c r="BC649" s="242"/>
      <c r="BD649" s="242"/>
      <c r="BE649" s="231"/>
      <c r="BF649" s="242"/>
      <c r="BG649" s="242"/>
      <c r="BH649" s="242"/>
      <c r="BI649" s="242"/>
      <c r="BJ649" s="242"/>
      <c r="BK649" s="242"/>
      <c r="BL649" s="242"/>
      <c r="BM649" s="242"/>
      <c r="BN649" s="242"/>
      <c r="BO649" s="231"/>
      <c r="BP649" s="231"/>
      <c r="BQ649" s="231"/>
      <c r="BR649" s="231"/>
      <c r="BS649" s="231"/>
      <c r="BT649" s="231"/>
      <c r="BU649" s="231"/>
      <c r="BV649" s="231"/>
      <c r="BW649" s="231"/>
      <c r="BX649" s="231"/>
      <c r="BY649" s="231"/>
      <c r="BZ649" s="231"/>
      <c r="CA649" s="231"/>
      <c r="CB649" s="231"/>
      <c r="CC649" s="231"/>
      <c r="CD649" s="231"/>
      <c r="CE649" s="231"/>
      <c r="CF649" s="231"/>
      <c r="CG649" s="231"/>
      <c r="CH649" s="231"/>
      <c r="CI649" s="231"/>
    </row>
    <row r="650" spans="1:87" ht="25.2" customHeight="1">
      <c r="A650" s="204">
        <v>612</v>
      </c>
      <c r="B650" s="283">
        <v>15064</v>
      </c>
      <c r="C650" s="208" t="s">
        <v>819</v>
      </c>
      <c r="D650" s="194" t="s">
        <v>468</v>
      </c>
      <c r="E650" s="240">
        <f t="shared" si="75"/>
        <v>118.5</v>
      </c>
      <c r="F650" s="222">
        <v>76.7</v>
      </c>
      <c r="G650" s="223">
        <v>6.6</v>
      </c>
      <c r="H650" s="224">
        <v>6.3</v>
      </c>
      <c r="I650" s="234">
        <f t="shared" si="76"/>
        <v>8.8500000000000103</v>
      </c>
      <c r="J650" s="235">
        <v>1.25</v>
      </c>
      <c r="K650" s="222">
        <v>1.55</v>
      </c>
      <c r="L650" s="232"/>
      <c r="M650" s="222">
        <v>57.1</v>
      </c>
      <c r="N650" s="222">
        <v>11.9</v>
      </c>
      <c r="O650" s="222">
        <v>1.02</v>
      </c>
      <c r="P650" s="222"/>
      <c r="Q650" s="222"/>
      <c r="R650" s="222"/>
      <c r="S650" s="222"/>
      <c r="T650" s="222"/>
      <c r="U650" s="222"/>
      <c r="V650" s="231"/>
      <c r="W650" s="242"/>
      <c r="X650" s="222">
        <v>0.56999999999999995</v>
      </c>
      <c r="Y650" s="231"/>
      <c r="Z650" s="231"/>
      <c r="AA650" s="242"/>
      <c r="AB650" s="242"/>
      <c r="AC650" s="209"/>
      <c r="AD650" s="209"/>
      <c r="AE650" s="231"/>
      <c r="AF650" s="231"/>
      <c r="AG650" s="231"/>
      <c r="AH650" s="231"/>
      <c r="AI650" s="231"/>
      <c r="AJ650" s="210"/>
      <c r="AK650" s="232"/>
      <c r="AL650" s="210"/>
      <c r="AM650" s="231"/>
      <c r="AN650" s="231"/>
      <c r="AO650" s="231"/>
      <c r="AP650" s="231"/>
      <c r="AQ650" s="231"/>
      <c r="AR650" s="231"/>
      <c r="AS650" s="231"/>
      <c r="AT650" s="231"/>
      <c r="AU650" s="231"/>
      <c r="AV650" s="231"/>
      <c r="AW650" s="231"/>
      <c r="AX650" s="242"/>
      <c r="AY650" s="242"/>
      <c r="AZ650" s="242"/>
      <c r="BA650" s="242"/>
      <c r="BB650" s="242"/>
      <c r="BC650" s="242"/>
      <c r="BD650" s="242"/>
      <c r="BE650" s="231"/>
      <c r="BF650" s="242"/>
      <c r="BG650" s="242"/>
      <c r="BH650" s="242"/>
      <c r="BI650" s="242"/>
      <c r="BJ650" s="242"/>
      <c r="BK650" s="242"/>
      <c r="BL650" s="242"/>
      <c r="BM650" s="242"/>
      <c r="BN650" s="242"/>
      <c r="BO650" s="231"/>
      <c r="BP650" s="231"/>
      <c r="BQ650" s="231"/>
      <c r="BR650" s="231"/>
      <c r="BS650" s="231"/>
      <c r="BT650" s="231"/>
      <c r="BU650" s="231"/>
      <c r="BV650" s="231"/>
      <c r="BW650" s="231"/>
      <c r="BX650" s="231"/>
      <c r="BY650" s="231"/>
      <c r="BZ650" s="231"/>
      <c r="CA650" s="231"/>
      <c r="CB650" s="231"/>
      <c r="CC650" s="231"/>
      <c r="CD650" s="231"/>
      <c r="CE650" s="231"/>
      <c r="CF650" s="231"/>
      <c r="CG650" s="231"/>
      <c r="CH650" s="231"/>
      <c r="CI650" s="231"/>
    </row>
    <row r="651" spans="1:87" ht="25.2" customHeight="1">
      <c r="A651" s="204">
        <v>613</v>
      </c>
      <c r="B651" s="283">
        <v>15065</v>
      </c>
      <c r="C651" s="208" t="s">
        <v>820</v>
      </c>
      <c r="D651" s="194"/>
      <c r="E651" s="240">
        <f t="shared" ref="E651:E659" si="77">G651*4+H651*9+I651*4</f>
        <v>73.3</v>
      </c>
      <c r="F651" s="219">
        <v>81.7</v>
      </c>
      <c r="G651" s="220">
        <v>5.2</v>
      </c>
      <c r="H651" s="221">
        <v>0.9</v>
      </c>
      <c r="I651" s="234">
        <f t="shared" ref="I651:I659" si="78">100-SUM(F651,G651,H651,K651)</f>
        <v>11.1</v>
      </c>
      <c r="J651" s="235">
        <v>0.25</v>
      </c>
      <c r="K651" s="219">
        <v>1.1000000000000001</v>
      </c>
      <c r="L651" s="232"/>
      <c r="M651" s="222">
        <v>98.79</v>
      </c>
      <c r="N651" s="222">
        <v>33.4</v>
      </c>
      <c r="O651" s="222">
        <v>0.92</v>
      </c>
      <c r="P651" s="222"/>
      <c r="Q651" s="222"/>
      <c r="R651" s="222"/>
      <c r="S651" s="222"/>
      <c r="T651" s="222"/>
      <c r="U651" s="222"/>
      <c r="V651" s="231"/>
      <c r="W651" s="242"/>
      <c r="X651" s="235">
        <v>1.28</v>
      </c>
      <c r="Y651" s="231"/>
      <c r="Z651" s="231"/>
      <c r="AA651" s="242"/>
      <c r="AB651" s="242"/>
      <c r="AC651" s="209"/>
      <c r="AD651" s="209"/>
      <c r="AE651" s="231"/>
      <c r="AF651" s="231"/>
      <c r="AG651" s="231"/>
      <c r="AH651" s="231"/>
      <c r="AI651" s="231"/>
      <c r="AJ651" s="210"/>
      <c r="AK651" s="232"/>
      <c r="AL651" s="210"/>
      <c r="AM651" s="231"/>
      <c r="AN651" s="231"/>
      <c r="AO651" s="231"/>
      <c r="AP651" s="231"/>
      <c r="AQ651" s="231"/>
      <c r="AR651" s="231"/>
      <c r="AS651" s="231"/>
      <c r="AT651" s="231"/>
      <c r="AU651" s="231"/>
      <c r="AV651" s="231"/>
      <c r="AW651" s="231"/>
      <c r="AX651" s="242"/>
      <c r="AY651" s="242"/>
      <c r="AZ651" s="242"/>
      <c r="BA651" s="242"/>
      <c r="BB651" s="242"/>
      <c r="BC651" s="242"/>
      <c r="BD651" s="242"/>
      <c r="BE651" s="231"/>
      <c r="BF651" s="242"/>
      <c r="BG651" s="242"/>
      <c r="BH651" s="242"/>
      <c r="BI651" s="242"/>
      <c r="BJ651" s="242"/>
      <c r="BK651" s="242"/>
      <c r="BL651" s="242"/>
      <c r="BM651" s="242"/>
      <c r="BN651" s="242"/>
      <c r="BO651" s="231"/>
      <c r="BP651" s="231"/>
      <c r="BQ651" s="231"/>
      <c r="BR651" s="231"/>
      <c r="BS651" s="231"/>
      <c r="BT651" s="231"/>
      <c r="BU651" s="231"/>
      <c r="BV651" s="231"/>
      <c r="BW651" s="231"/>
      <c r="BX651" s="231"/>
      <c r="BY651" s="231"/>
      <c r="BZ651" s="231"/>
      <c r="CA651" s="231"/>
      <c r="CB651" s="231"/>
      <c r="CC651" s="231"/>
      <c r="CD651" s="231"/>
      <c r="CE651" s="231"/>
      <c r="CF651" s="231"/>
      <c r="CG651" s="231"/>
      <c r="CH651" s="231"/>
      <c r="CI651" s="231"/>
    </row>
    <row r="652" spans="1:87" ht="25.2" customHeight="1">
      <c r="A652" s="204">
        <v>614</v>
      </c>
      <c r="B652" s="283">
        <v>15066</v>
      </c>
      <c r="C652" s="208" t="s">
        <v>821</v>
      </c>
      <c r="D652" s="194"/>
      <c r="E652" s="240">
        <f t="shared" si="77"/>
        <v>67.099999999999994</v>
      </c>
      <c r="F652" s="219">
        <v>82.7</v>
      </c>
      <c r="G652" s="220">
        <v>4.3</v>
      </c>
      <c r="H652" s="221">
        <v>0.3</v>
      </c>
      <c r="I652" s="234">
        <f t="shared" si="78"/>
        <v>11.8</v>
      </c>
      <c r="J652" s="235">
        <v>0.23</v>
      </c>
      <c r="K652" s="219">
        <v>0.9</v>
      </c>
      <c r="L652" s="232"/>
      <c r="M652" s="222">
        <v>81.459999999999994</v>
      </c>
      <c r="N652" s="222">
        <v>27.47</v>
      </c>
      <c r="O652" s="222">
        <v>0.56000000000000005</v>
      </c>
      <c r="P652" s="222"/>
      <c r="Q652" s="222"/>
      <c r="R652" s="222"/>
      <c r="S652" s="222"/>
      <c r="T652" s="222"/>
      <c r="U652" s="222"/>
      <c r="V652" s="231"/>
      <c r="W652" s="242"/>
      <c r="X652" s="235">
        <v>0.64</v>
      </c>
      <c r="Y652" s="231"/>
      <c r="Z652" s="231"/>
      <c r="AA652" s="242"/>
      <c r="AB652" s="242"/>
      <c r="AC652" s="209"/>
      <c r="AD652" s="209"/>
      <c r="AE652" s="231"/>
      <c r="AF652" s="231"/>
      <c r="AG652" s="231"/>
      <c r="AH652" s="231"/>
      <c r="AI652" s="231"/>
      <c r="AJ652" s="210"/>
      <c r="AK652" s="232"/>
      <c r="AL652" s="210"/>
      <c r="AM652" s="231"/>
      <c r="AN652" s="231"/>
      <c r="AO652" s="231"/>
      <c r="AP652" s="231"/>
      <c r="AQ652" s="231"/>
      <c r="AR652" s="231"/>
      <c r="AS652" s="231"/>
      <c r="AT652" s="231"/>
      <c r="AU652" s="231"/>
      <c r="AV652" s="231"/>
      <c r="AW652" s="231"/>
      <c r="AX652" s="242"/>
      <c r="AY652" s="242"/>
      <c r="AZ652" s="242"/>
      <c r="BA652" s="242"/>
      <c r="BB652" s="242"/>
      <c r="BC652" s="242"/>
      <c r="BD652" s="242"/>
      <c r="BE652" s="231"/>
      <c r="BF652" s="242"/>
      <c r="BG652" s="242"/>
      <c r="BH652" s="242"/>
      <c r="BI652" s="242"/>
      <c r="BJ652" s="242"/>
      <c r="BK652" s="242"/>
      <c r="BL652" s="242"/>
      <c r="BM652" s="242"/>
      <c r="BN652" s="242"/>
      <c r="BO652" s="231"/>
      <c r="BP652" s="231"/>
      <c r="BQ652" s="231"/>
      <c r="BR652" s="231"/>
      <c r="BS652" s="231"/>
      <c r="BT652" s="231"/>
      <c r="BU652" s="231"/>
      <c r="BV652" s="231"/>
      <c r="BW652" s="231"/>
      <c r="BX652" s="231"/>
      <c r="BY652" s="231"/>
      <c r="BZ652" s="231"/>
      <c r="CA652" s="231"/>
      <c r="CB652" s="231"/>
      <c r="CC652" s="231"/>
      <c r="CD652" s="231"/>
      <c r="CE652" s="231"/>
      <c r="CF652" s="231"/>
      <c r="CG652" s="231"/>
      <c r="CH652" s="231"/>
      <c r="CI652" s="231"/>
    </row>
    <row r="653" spans="1:87" ht="25.2" customHeight="1">
      <c r="A653" s="204">
        <v>615</v>
      </c>
      <c r="B653" s="283">
        <v>15067</v>
      </c>
      <c r="C653" s="208" t="s">
        <v>822</v>
      </c>
      <c r="D653" s="194"/>
      <c r="E653" s="240">
        <f t="shared" si="77"/>
        <v>73.400000000000006</v>
      </c>
      <c r="F653" s="219">
        <v>81.900000000000006</v>
      </c>
      <c r="G653" s="220">
        <v>3.8</v>
      </c>
      <c r="H653" s="221">
        <v>1</v>
      </c>
      <c r="I653" s="234">
        <f t="shared" si="78"/>
        <v>12.3</v>
      </c>
      <c r="J653" s="235">
        <v>0.55000000000000004</v>
      </c>
      <c r="K653" s="219">
        <v>1</v>
      </c>
      <c r="L653" s="232"/>
      <c r="M653" s="222">
        <v>95.68</v>
      </c>
      <c r="N653" s="222">
        <v>25.17</v>
      </c>
      <c r="O653" s="222">
        <v>0.65</v>
      </c>
      <c r="P653" s="222"/>
      <c r="Q653" s="222"/>
      <c r="R653" s="222"/>
      <c r="S653" s="222"/>
      <c r="T653" s="222"/>
      <c r="U653" s="222"/>
      <c r="V653" s="231"/>
      <c r="W653" s="242"/>
      <c r="X653" s="235">
        <v>0.38</v>
      </c>
      <c r="Y653" s="231"/>
      <c r="Z653" s="231"/>
      <c r="AA653" s="242"/>
      <c r="AB653" s="242"/>
      <c r="AC653" s="209"/>
      <c r="AD653" s="209"/>
      <c r="AE653" s="231"/>
      <c r="AF653" s="231"/>
      <c r="AG653" s="231"/>
      <c r="AH653" s="231"/>
      <c r="AI653" s="231"/>
      <c r="AJ653" s="210"/>
      <c r="AK653" s="232"/>
      <c r="AL653" s="210"/>
      <c r="AM653" s="231"/>
      <c r="AN653" s="231"/>
      <c r="AO653" s="231"/>
      <c r="AP653" s="231"/>
      <c r="AQ653" s="231"/>
      <c r="AR653" s="231"/>
      <c r="AS653" s="231"/>
      <c r="AT653" s="231"/>
      <c r="AU653" s="231"/>
      <c r="AV653" s="231"/>
      <c r="AW653" s="231"/>
      <c r="AX653" s="242"/>
      <c r="AY653" s="242"/>
      <c r="AZ653" s="242"/>
      <c r="BA653" s="242"/>
      <c r="BB653" s="242"/>
      <c r="BC653" s="242"/>
      <c r="BD653" s="242"/>
      <c r="BE653" s="231"/>
      <c r="BF653" s="242"/>
      <c r="BG653" s="242"/>
      <c r="BH653" s="242"/>
      <c r="BI653" s="242"/>
      <c r="BJ653" s="242"/>
      <c r="BK653" s="242"/>
      <c r="BL653" s="242"/>
      <c r="BM653" s="242"/>
      <c r="BN653" s="242"/>
      <c r="BO653" s="231"/>
      <c r="BP653" s="231"/>
      <c r="BQ653" s="231"/>
      <c r="BR653" s="231"/>
      <c r="BS653" s="231"/>
      <c r="BT653" s="231"/>
      <c r="BU653" s="231"/>
      <c r="BV653" s="231"/>
      <c r="BW653" s="231"/>
      <c r="BX653" s="231"/>
      <c r="BY653" s="231"/>
      <c r="BZ653" s="231"/>
      <c r="CA653" s="231"/>
      <c r="CB653" s="231"/>
      <c r="CC653" s="231"/>
      <c r="CD653" s="231"/>
      <c r="CE653" s="231"/>
      <c r="CF653" s="231"/>
      <c r="CG653" s="231"/>
      <c r="CH653" s="231"/>
      <c r="CI653" s="231"/>
    </row>
    <row r="654" spans="1:87" ht="25.2" customHeight="1">
      <c r="A654" s="204">
        <v>616</v>
      </c>
      <c r="B654" s="283">
        <v>15068</v>
      </c>
      <c r="C654" s="208" t="s">
        <v>823</v>
      </c>
      <c r="D654" s="194" t="s">
        <v>468</v>
      </c>
      <c r="E654" s="240">
        <f t="shared" si="77"/>
        <v>322.36</v>
      </c>
      <c r="F654" s="222">
        <v>46.7</v>
      </c>
      <c r="G654" s="223">
        <v>26.5</v>
      </c>
      <c r="H654" s="224">
        <v>23.8</v>
      </c>
      <c r="I654" s="234">
        <f t="shared" si="78"/>
        <v>0.54000000000000603</v>
      </c>
      <c r="J654" s="235">
        <v>0.52</v>
      </c>
      <c r="K654" s="222">
        <v>2.46</v>
      </c>
      <c r="L654" s="232"/>
      <c r="M654" s="222">
        <v>140.30000000000001</v>
      </c>
      <c r="N654" s="222">
        <v>62.1</v>
      </c>
      <c r="O654" s="222">
        <v>7.88</v>
      </c>
      <c r="P654" s="222"/>
      <c r="Q654" s="222"/>
      <c r="R654" s="222"/>
      <c r="S654" s="222"/>
      <c r="T654" s="222"/>
      <c r="U654" s="222"/>
      <c r="V654" s="231"/>
      <c r="W654" s="242"/>
      <c r="X654" s="222">
        <v>2.66</v>
      </c>
      <c r="Y654" s="231"/>
      <c r="Z654" s="231"/>
      <c r="AA654" s="242"/>
      <c r="AB654" s="242"/>
      <c r="AC654" s="209"/>
      <c r="AD654" s="209"/>
      <c r="AE654" s="231"/>
      <c r="AF654" s="231"/>
      <c r="AG654" s="231"/>
      <c r="AH654" s="231"/>
      <c r="AI654" s="231"/>
      <c r="AJ654" s="210"/>
      <c r="AK654" s="232"/>
      <c r="AL654" s="210"/>
      <c r="AM654" s="231"/>
      <c r="AN654" s="231"/>
      <c r="AO654" s="231"/>
      <c r="AP654" s="231"/>
      <c r="AQ654" s="231"/>
      <c r="AR654" s="231"/>
      <c r="AS654" s="231"/>
      <c r="AT654" s="231"/>
      <c r="AU654" s="231"/>
      <c r="AV654" s="231"/>
      <c r="AW654" s="231"/>
      <c r="AX654" s="242"/>
      <c r="AY654" s="242"/>
      <c r="AZ654" s="242"/>
      <c r="BA654" s="242"/>
      <c r="BB654" s="242"/>
      <c r="BC654" s="242"/>
      <c r="BD654" s="242"/>
      <c r="BE654" s="231"/>
      <c r="BF654" s="242"/>
      <c r="BG654" s="242"/>
      <c r="BH654" s="242"/>
      <c r="BI654" s="242"/>
      <c r="BJ654" s="242"/>
      <c r="BK654" s="242"/>
      <c r="BL654" s="242"/>
      <c r="BM654" s="242"/>
      <c r="BN654" s="242"/>
      <c r="BO654" s="231"/>
      <c r="BP654" s="231"/>
      <c r="BQ654" s="231"/>
      <c r="BR654" s="231"/>
      <c r="BS654" s="231"/>
      <c r="BT654" s="231"/>
      <c r="BU654" s="231"/>
      <c r="BV654" s="231"/>
      <c r="BW654" s="231"/>
      <c r="BX654" s="231"/>
      <c r="BY654" s="231"/>
      <c r="BZ654" s="231"/>
      <c r="CA654" s="231"/>
      <c r="CB654" s="231"/>
      <c r="CC654" s="231"/>
      <c r="CD654" s="231"/>
      <c r="CE654" s="231"/>
      <c r="CF654" s="231"/>
      <c r="CG654" s="231"/>
      <c r="CH654" s="231"/>
      <c r="CI654" s="231"/>
    </row>
    <row r="655" spans="1:87" ht="25.2" customHeight="1">
      <c r="A655" s="204">
        <v>617</v>
      </c>
      <c r="B655" s="283">
        <v>15069</v>
      </c>
      <c r="C655" s="208" t="s">
        <v>824</v>
      </c>
      <c r="D655" s="194" t="s">
        <v>181</v>
      </c>
      <c r="E655" s="240">
        <f t="shared" si="77"/>
        <v>229.6</v>
      </c>
      <c r="F655" s="222">
        <v>42.4</v>
      </c>
      <c r="G655" s="223">
        <v>5.5</v>
      </c>
      <c r="H655" s="224">
        <v>0.4</v>
      </c>
      <c r="I655" s="234">
        <f t="shared" si="78"/>
        <v>51</v>
      </c>
      <c r="J655" s="235">
        <v>1.3</v>
      </c>
      <c r="K655" s="222">
        <v>0.7</v>
      </c>
      <c r="L655" s="232"/>
      <c r="M655" s="222">
        <v>54.3</v>
      </c>
      <c r="N655" s="222">
        <v>109.9</v>
      </c>
      <c r="O655" s="222">
        <v>0.51</v>
      </c>
      <c r="P655" s="222"/>
      <c r="Q655" s="222"/>
      <c r="R655" s="222"/>
      <c r="S655" s="222"/>
      <c r="T655" s="222"/>
      <c r="U655" s="222"/>
      <c r="V655" s="231"/>
      <c r="W655" s="242"/>
      <c r="X655" s="235">
        <v>0.98</v>
      </c>
      <c r="Y655" s="231"/>
      <c r="Z655" s="231"/>
      <c r="AA655" s="242"/>
      <c r="AB655" s="242"/>
      <c r="AC655" s="209"/>
      <c r="AD655" s="209"/>
      <c r="AE655" s="231"/>
      <c r="AF655" s="231"/>
      <c r="AG655" s="231"/>
      <c r="AH655" s="231"/>
      <c r="AI655" s="231"/>
      <c r="AJ655" s="210"/>
      <c r="AK655" s="232"/>
      <c r="AL655" s="210"/>
      <c r="AM655" s="231"/>
      <c r="AN655" s="231"/>
      <c r="AO655" s="231"/>
      <c r="AP655" s="231"/>
      <c r="AQ655" s="231"/>
      <c r="AR655" s="231"/>
      <c r="AS655" s="231"/>
      <c r="AT655" s="231"/>
      <c r="AU655" s="231"/>
      <c r="AV655" s="231"/>
      <c r="AW655" s="231"/>
      <c r="AX655" s="242"/>
      <c r="AY655" s="242"/>
      <c r="AZ655" s="242"/>
      <c r="BA655" s="242"/>
      <c r="BB655" s="242"/>
      <c r="BC655" s="242"/>
      <c r="BD655" s="242"/>
      <c r="BE655" s="231"/>
      <c r="BF655" s="242"/>
      <c r="BG655" s="242"/>
      <c r="BH655" s="242"/>
      <c r="BI655" s="242"/>
      <c r="BJ655" s="242"/>
      <c r="BK655" s="242"/>
      <c r="BL655" s="242"/>
      <c r="BM655" s="242"/>
      <c r="BN655" s="242"/>
      <c r="BO655" s="231"/>
      <c r="BP655" s="231"/>
      <c r="BQ655" s="231"/>
      <c r="BR655" s="231"/>
      <c r="BS655" s="231"/>
      <c r="BT655" s="231"/>
      <c r="BU655" s="231"/>
      <c r="BV655" s="231"/>
      <c r="BW655" s="231"/>
      <c r="BX655" s="231"/>
      <c r="BY655" s="231"/>
      <c r="BZ655" s="231"/>
      <c r="CA655" s="231"/>
      <c r="CB655" s="231"/>
      <c r="CC655" s="231"/>
      <c r="CD655" s="231"/>
      <c r="CE655" s="231"/>
      <c r="CF655" s="231"/>
      <c r="CG655" s="231"/>
      <c r="CH655" s="231"/>
      <c r="CI655" s="231"/>
    </row>
    <row r="656" spans="1:87" ht="25.2" customHeight="1">
      <c r="A656" s="204">
        <v>618</v>
      </c>
      <c r="B656" s="283">
        <v>15070</v>
      </c>
      <c r="C656" s="208" t="s">
        <v>825</v>
      </c>
      <c r="D656" s="194" t="s">
        <v>181</v>
      </c>
      <c r="E656" s="240">
        <f t="shared" si="77"/>
        <v>231.2</v>
      </c>
      <c r="F656" s="222">
        <v>42.8</v>
      </c>
      <c r="G656" s="223">
        <v>3.1</v>
      </c>
      <c r="H656" s="224">
        <v>0.8</v>
      </c>
      <c r="I656" s="234">
        <f t="shared" si="78"/>
        <v>52.9</v>
      </c>
      <c r="J656" s="235">
        <v>0.1</v>
      </c>
      <c r="K656" s="222">
        <v>0.4</v>
      </c>
      <c r="L656" s="232"/>
      <c r="M656" s="222">
        <v>23.6</v>
      </c>
      <c r="N656" s="222">
        <v>23</v>
      </c>
      <c r="O656" s="222">
        <v>0.28000000000000003</v>
      </c>
      <c r="P656" s="222"/>
      <c r="Q656" s="222"/>
      <c r="R656" s="222"/>
      <c r="S656" s="222"/>
      <c r="T656" s="222"/>
      <c r="U656" s="222"/>
      <c r="V656" s="231"/>
      <c r="W656" s="242"/>
      <c r="X656" s="235">
        <v>1.18</v>
      </c>
      <c r="Y656" s="231"/>
      <c r="Z656" s="231"/>
      <c r="AA656" s="242"/>
      <c r="AB656" s="242"/>
      <c r="AC656" s="209"/>
      <c r="AD656" s="209"/>
      <c r="AE656" s="231"/>
      <c r="AF656" s="231"/>
      <c r="AG656" s="231"/>
      <c r="AH656" s="231"/>
      <c r="AI656" s="231"/>
      <c r="AJ656" s="210"/>
      <c r="AK656" s="232"/>
      <c r="AL656" s="210"/>
      <c r="AM656" s="231"/>
      <c r="AN656" s="231"/>
      <c r="AO656" s="231"/>
      <c r="AP656" s="231"/>
      <c r="AQ656" s="231"/>
      <c r="AR656" s="231"/>
      <c r="AS656" s="231"/>
      <c r="AT656" s="231"/>
      <c r="AU656" s="231"/>
      <c r="AV656" s="231"/>
      <c r="AW656" s="231"/>
      <c r="AX656" s="242"/>
      <c r="AY656" s="242"/>
      <c r="AZ656" s="242"/>
      <c r="BA656" s="242"/>
      <c r="BB656" s="242"/>
      <c r="BC656" s="242"/>
      <c r="BD656" s="242"/>
      <c r="BE656" s="231"/>
      <c r="BF656" s="242"/>
      <c r="BG656" s="242"/>
      <c r="BH656" s="242"/>
      <c r="BI656" s="242"/>
      <c r="BJ656" s="242"/>
      <c r="BK656" s="242"/>
      <c r="BL656" s="242"/>
      <c r="BM656" s="242"/>
      <c r="BN656" s="242"/>
      <c r="BO656" s="231"/>
      <c r="BP656" s="231"/>
      <c r="BQ656" s="231"/>
      <c r="BR656" s="231"/>
      <c r="BS656" s="231"/>
      <c r="BT656" s="231"/>
      <c r="BU656" s="231"/>
      <c r="BV656" s="231"/>
      <c r="BW656" s="231"/>
      <c r="BX656" s="231"/>
      <c r="BY656" s="231"/>
      <c r="BZ656" s="231"/>
      <c r="CA656" s="231"/>
      <c r="CB656" s="231"/>
      <c r="CC656" s="231"/>
      <c r="CD656" s="231"/>
      <c r="CE656" s="231"/>
      <c r="CF656" s="231"/>
      <c r="CG656" s="231"/>
      <c r="CH656" s="231"/>
      <c r="CI656" s="231"/>
    </row>
    <row r="657" spans="1:87" ht="25.2" customHeight="1">
      <c r="A657" s="204">
        <v>619</v>
      </c>
      <c r="B657" s="283">
        <v>15071</v>
      </c>
      <c r="C657" s="208" t="s">
        <v>826</v>
      </c>
      <c r="D657" s="194" t="s">
        <v>181</v>
      </c>
      <c r="E657" s="240">
        <f t="shared" si="77"/>
        <v>245.5</v>
      </c>
      <c r="F657" s="222">
        <v>43.6</v>
      </c>
      <c r="G657" s="223">
        <v>4.2</v>
      </c>
      <c r="H657" s="224">
        <v>4.3</v>
      </c>
      <c r="I657" s="234">
        <f t="shared" si="78"/>
        <v>47.5</v>
      </c>
      <c r="J657" s="235">
        <v>1.1000000000000001</v>
      </c>
      <c r="K657" s="222">
        <v>0.4</v>
      </c>
      <c r="L657" s="232"/>
      <c r="M657" s="222">
        <v>33.299999999999997</v>
      </c>
      <c r="N657" s="222">
        <v>96.85</v>
      </c>
      <c r="O657" s="222">
        <v>0.32</v>
      </c>
      <c r="P657" s="222"/>
      <c r="Q657" s="222"/>
      <c r="R657" s="222"/>
      <c r="S657" s="222"/>
      <c r="T657" s="222"/>
      <c r="U657" s="222"/>
      <c r="V657" s="231"/>
      <c r="W657" s="242"/>
      <c r="X657" s="235">
        <v>1.04</v>
      </c>
      <c r="Y657" s="231"/>
      <c r="Z657" s="231"/>
      <c r="AA657" s="242"/>
      <c r="AB657" s="242"/>
      <c r="AC657" s="209"/>
      <c r="AD657" s="209"/>
      <c r="AE657" s="231"/>
      <c r="AF657" s="231"/>
      <c r="AG657" s="231"/>
      <c r="AH657" s="231"/>
      <c r="AI657" s="231"/>
      <c r="AJ657" s="210"/>
      <c r="AK657" s="232"/>
      <c r="AL657" s="210"/>
      <c r="AM657" s="231"/>
      <c r="AN657" s="231"/>
      <c r="AO657" s="231"/>
      <c r="AP657" s="231"/>
      <c r="AQ657" s="231"/>
      <c r="AR657" s="231"/>
      <c r="AS657" s="231"/>
      <c r="AT657" s="231"/>
      <c r="AU657" s="231"/>
      <c r="AV657" s="231"/>
      <c r="AW657" s="231"/>
      <c r="AX657" s="242"/>
      <c r="AY657" s="242"/>
      <c r="AZ657" s="242"/>
      <c r="BA657" s="242"/>
      <c r="BB657" s="242"/>
      <c r="BC657" s="242"/>
      <c r="BD657" s="242"/>
      <c r="BE657" s="231"/>
      <c r="BF657" s="242"/>
      <c r="BG657" s="242"/>
      <c r="BH657" s="242"/>
      <c r="BI657" s="242"/>
      <c r="BJ657" s="242"/>
      <c r="BK657" s="242"/>
      <c r="BL657" s="242"/>
      <c r="BM657" s="242"/>
      <c r="BN657" s="242"/>
      <c r="BO657" s="231"/>
      <c r="BP657" s="231"/>
      <c r="BQ657" s="231"/>
      <c r="BR657" s="231"/>
      <c r="BS657" s="231"/>
      <c r="BT657" s="231"/>
      <c r="BU657" s="231"/>
      <c r="BV657" s="231"/>
      <c r="BW657" s="231"/>
      <c r="BX657" s="231"/>
      <c r="BY657" s="231"/>
      <c r="BZ657" s="231"/>
      <c r="CA657" s="231"/>
      <c r="CB657" s="231"/>
      <c r="CC657" s="231"/>
      <c r="CD657" s="231"/>
      <c r="CE657" s="231"/>
      <c r="CF657" s="231"/>
      <c r="CG657" s="231"/>
      <c r="CH657" s="231"/>
      <c r="CI657" s="231"/>
    </row>
    <row r="658" spans="1:87" ht="25.2" customHeight="1">
      <c r="A658" s="204">
        <v>620</v>
      </c>
      <c r="B658" s="283">
        <v>15072</v>
      </c>
      <c r="C658" s="208" t="s">
        <v>827</v>
      </c>
      <c r="D658" s="194" t="s">
        <v>181</v>
      </c>
      <c r="E658" s="240">
        <f t="shared" si="77"/>
        <v>197.6</v>
      </c>
      <c r="F658" s="222">
        <v>54.6</v>
      </c>
      <c r="G658" s="223">
        <v>4.4000000000000004</v>
      </c>
      <c r="H658" s="224">
        <v>4</v>
      </c>
      <c r="I658" s="234">
        <f t="shared" si="78"/>
        <v>36</v>
      </c>
      <c r="J658" s="235">
        <v>1.2</v>
      </c>
      <c r="K658" s="219">
        <v>1</v>
      </c>
      <c r="L658" s="232"/>
      <c r="M658" s="222">
        <v>31.2</v>
      </c>
      <c r="N658" s="222">
        <v>177.64</v>
      </c>
      <c r="O658" s="222">
        <v>0.21</v>
      </c>
      <c r="P658" s="222"/>
      <c r="Q658" s="222"/>
      <c r="R658" s="222"/>
      <c r="S658" s="222"/>
      <c r="T658" s="222"/>
      <c r="U658" s="222"/>
      <c r="V658" s="231"/>
      <c r="W658" s="242"/>
      <c r="X658" s="235">
        <v>1.2</v>
      </c>
      <c r="Y658" s="231"/>
      <c r="Z658" s="231"/>
      <c r="AA658" s="242"/>
      <c r="AB658" s="242"/>
      <c r="AC658" s="209"/>
      <c r="AD658" s="209"/>
      <c r="AE658" s="231"/>
      <c r="AF658" s="231"/>
      <c r="AG658" s="231"/>
      <c r="AH658" s="231"/>
      <c r="AI658" s="231"/>
      <c r="AJ658" s="210"/>
      <c r="AK658" s="232"/>
      <c r="AL658" s="210"/>
      <c r="AM658" s="231"/>
      <c r="AN658" s="231"/>
      <c r="AO658" s="231"/>
      <c r="AP658" s="231"/>
      <c r="AQ658" s="231"/>
      <c r="AR658" s="231"/>
      <c r="AS658" s="231"/>
      <c r="AT658" s="231"/>
      <c r="AU658" s="231"/>
      <c r="AV658" s="231"/>
      <c r="AW658" s="231"/>
      <c r="AX658" s="242"/>
      <c r="AY658" s="242"/>
      <c r="AZ658" s="242"/>
      <c r="BA658" s="242"/>
      <c r="BB658" s="242"/>
      <c r="BC658" s="242"/>
      <c r="BD658" s="242"/>
      <c r="BE658" s="231"/>
      <c r="BF658" s="242"/>
      <c r="BG658" s="242"/>
      <c r="BH658" s="242"/>
      <c r="BI658" s="242"/>
      <c r="BJ658" s="242"/>
      <c r="BK658" s="242"/>
      <c r="BL658" s="242"/>
      <c r="BM658" s="242"/>
      <c r="BN658" s="242"/>
      <c r="BO658" s="231"/>
      <c r="BP658" s="231"/>
      <c r="BQ658" s="231"/>
      <c r="BR658" s="231"/>
      <c r="BS658" s="231"/>
      <c r="BT658" s="231"/>
      <c r="BU658" s="231"/>
      <c r="BV658" s="231"/>
      <c r="BW658" s="231"/>
      <c r="BX658" s="231"/>
      <c r="BY658" s="231"/>
      <c r="BZ658" s="231"/>
      <c r="CA658" s="231"/>
      <c r="CB658" s="231"/>
      <c r="CC658" s="231"/>
      <c r="CD658" s="231"/>
      <c r="CE658" s="231"/>
      <c r="CF658" s="231"/>
      <c r="CG658" s="231"/>
      <c r="CH658" s="231"/>
      <c r="CI658" s="231"/>
    </row>
    <row r="659" spans="1:87" ht="25.2" customHeight="1">
      <c r="A659" s="204">
        <v>621</v>
      </c>
      <c r="B659" s="283">
        <v>15073</v>
      </c>
      <c r="C659" s="208" t="s">
        <v>828</v>
      </c>
      <c r="D659" s="194" t="s">
        <v>181</v>
      </c>
      <c r="E659" s="240">
        <f t="shared" si="77"/>
        <v>254.1</v>
      </c>
      <c r="F659" s="222">
        <v>40.299999999999997</v>
      </c>
      <c r="G659" s="223">
        <v>4.3</v>
      </c>
      <c r="H659" s="224">
        <v>3.7</v>
      </c>
      <c r="I659" s="234">
        <f t="shared" si="78"/>
        <v>50.9</v>
      </c>
      <c r="J659" s="235">
        <v>0.4</v>
      </c>
      <c r="K659" s="222">
        <v>0.8</v>
      </c>
      <c r="L659" s="232"/>
      <c r="M659" s="222">
        <v>27.5</v>
      </c>
      <c r="N659" s="222">
        <v>67.599999999999994</v>
      </c>
      <c r="O659" s="222">
        <v>0.4</v>
      </c>
      <c r="P659" s="222"/>
      <c r="Q659" s="222"/>
      <c r="R659" s="222"/>
      <c r="S659" s="222"/>
      <c r="T659" s="222"/>
      <c r="U659" s="222"/>
      <c r="V659" s="231"/>
      <c r="W659" s="242"/>
      <c r="X659" s="235">
        <v>0.88</v>
      </c>
      <c r="Y659" s="231"/>
      <c r="Z659" s="231"/>
      <c r="AA659" s="242"/>
      <c r="AB659" s="242"/>
      <c r="AC659" s="209"/>
      <c r="AD659" s="209"/>
      <c r="AE659" s="231"/>
      <c r="AF659" s="231"/>
      <c r="AG659" s="231"/>
      <c r="AH659" s="231"/>
      <c r="AI659" s="231"/>
      <c r="AJ659" s="210"/>
      <c r="AK659" s="232"/>
      <c r="AL659" s="210"/>
      <c r="AM659" s="231"/>
      <c r="AN659" s="231"/>
      <c r="AO659" s="231"/>
      <c r="AP659" s="231"/>
      <c r="AQ659" s="231"/>
      <c r="AR659" s="231"/>
      <c r="AS659" s="231"/>
      <c r="AT659" s="231"/>
      <c r="AU659" s="231"/>
      <c r="AV659" s="231"/>
      <c r="AW659" s="231"/>
      <c r="AX659" s="242"/>
      <c r="AY659" s="242"/>
      <c r="AZ659" s="242"/>
      <c r="BA659" s="242"/>
      <c r="BB659" s="242"/>
      <c r="BC659" s="242"/>
      <c r="BD659" s="242"/>
      <c r="BE659" s="231"/>
      <c r="BF659" s="242"/>
      <c r="BG659" s="242"/>
      <c r="BH659" s="242"/>
      <c r="BI659" s="242"/>
      <c r="BJ659" s="242"/>
      <c r="BK659" s="242"/>
      <c r="BL659" s="242"/>
      <c r="BM659" s="242"/>
      <c r="BN659" s="242"/>
      <c r="BO659" s="231"/>
      <c r="BP659" s="231"/>
      <c r="BQ659" s="231"/>
      <c r="BR659" s="231"/>
      <c r="BS659" s="231"/>
      <c r="BT659" s="231"/>
      <c r="BU659" s="231"/>
      <c r="BV659" s="231"/>
      <c r="BW659" s="231"/>
      <c r="BX659" s="231"/>
      <c r="BY659" s="231"/>
      <c r="BZ659" s="231"/>
      <c r="CA659" s="231"/>
      <c r="CB659" s="231"/>
      <c r="CC659" s="231"/>
      <c r="CD659" s="231"/>
      <c r="CE659" s="231"/>
      <c r="CF659" s="231"/>
      <c r="CG659" s="231"/>
      <c r="CH659" s="231"/>
      <c r="CI659" s="231"/>
    </row>
    <row r="662" spans="1:87" ht="13.95" customHeight="1"/>
    <row r="663" spans="1:87" ht="13.2">
      <c r="C663" s="288"/>
    </row>
  </sheetData>
  <autoFilter ref="A1:CI661" xr:uid="{00000000-0009-0000-0000-000000000000}"/>
  <conditionalFormatting sqref="D1:D659">
    <cfRule type="cellIs" dxfId="97" priority="1" operator="equal">
      <formula>"ĐV"</formula>
    </cfRule>
  </conditionalFormatting>
  <conditionalFormatting sqref="O1 Z1 AK1 AV1 BG1 BR1 CC1 D662:D1048576">
    <cfRule type="cellIs" dxfId="96" priority="17" operator="equal">
      <formula>"ĐV"</formula>
    </cfRule>
  </conditionalFormatting>
  <pageMargins left="0.75" right="0.75" top="0.3" bottom="0.21" header="0.17" footer="0.21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B1:WZ129"/>
  <sheetViews>
    <sheetView zoomScale="79" zoomScaleNormal="79" workbookViewId="0">
      <selection activeCell="C6" sqref="C6"/>
    </sheetView>
  </sheetViews>
  <sheetFormatPr defaultColWidth="7.54296875" defaultRowHeight="15.6"/>
  <cols>
    <col min="1" max="1" width="7.54296875" style="83"/>
    <col min="2" max="2" width="19.54296875" style="83" customWidth="1"/>
    <col min="3" max="3" width="18.26953125" style="83" customWidth="1"/>
    <col min="4" max="4" width="12" style="83" customWidth="1"/>
    <col min="5" max="5" width="12.26953125" style="83" customWidth="1"/>
    <col min="6" max="6" width="9" style="83" customWidth="1"/>
    <col min="7" max="7" width="9.1796875" style="83"/>
    <col min="8" max="9" width="7.54296875" style="83"/>
    <col min="10" max="10" width="8.54296875" style="83"/>
    <col min="11" max="12" width="7.54296875" style="83"/>
    <col min="13" max="13" width="19.453125" style="83" customWidth="1"/>
    <col min="14" max="15" width="20.1796875" style="83" customWidth="1"/>
    <col min="16" max="18" width="18" style="83" customWidth="1"/>
    <col min="19" max="620" width="7.54296875" style="83" customWidth="1"/>
    <col min="621" max="621" width="0.7265625" style="84" customWidth="1"/>
    <col min="622" max="622" width="17.453125" style="83" customWidth="1"/>
    <col min="623" max="624" width="20.453125" style="83" customWidth="1"/>
    <col min="625" max="16384" width="7.54296875" style="83"/>
  </cols>
  <sheetData>
    <row r="1" spans="2:622" s="78" customFormat="1" ht="17.399999999999999">
      <c r="B1" s="289"/>
      <c r="C1" s="289"/>
      <c r="D1" s="289"/>
      <c r="E1" s="289"/>
      <c r="F1" s="289"/>
      <c r="G1" s="289"/>
      <c r="H1" s="85"/>
      <c r="WW1" s="149"/>
    </row>
    <row r="2" spans="2:622" s="79" customFormat="1" ht="16.8">
      <c r="L2" s="134"/>
      <c r="WW2" s="150"/>
    </row>
    <row r="3" spans="2:622" s="80" customFormat="1" ht="25.05" customHeight="1">
      <c r="B3" s="290" t="s">
        <v>829</v>
      </c>
      <c r="C3" s="291"/>
      <c r="D3" s="291"/>
      <c r="E3" s="291"/>
      <c r="F3" s="291"/>
      <c r="G3" s="292"/>
      <c r="L3" s="83"/>
      <c r="M3" s="293" t="s">
        <v>830</v>
      </c>
      <c r="N3" s="294"/>
      <c r="O3" s="295"/>
      <c r="WW3" s="151"/>
    </row>
    <row r="4" spans="2:622" ht="22.05" customHeight="1">
      <c r="B4" s="87" t="s">
        <v>831</v>
      </c>
      <c r="C4" s="88" t="s">
        <v>832</v>
      </c>
      <c r="F4" s="82"/>
      <c r="G4" s="89"/>
      <c r="I4" s="82"/>
      <c r="M4" s="135" t="s">
        <v>833</v>
      </c>
      <c r="N4" s="136" t="s">
        <v>834</v>
      </c>
      <c r="O4" s="136" t="s">
        <v>835</v>
      </c>
    </row>
    <row r="5" spans="2:622" ht="22.05" customHeight="1">
      <c r="B5" s="87" t="s">
        <v>836</v>
      </c>
      <c r="C5" s="90">
        <v>30</v>
      </c>
      <c r="E5" s="91" t="str">
        <f>IF(C5=0,"Nhập tuổi",_xlfn.XLOOKUP(C5,WX6:WX18,M6:M18,"Not Found",-1))</f>
        <v>30-49 tuổi</v>
      </c>
      <c r="G5" s="89"/>
      <c r="M5" s="135" t="s">
        <v>837</v>
      </c>
      <c r="N5" s="136" t="s">
        <v>838</v>
      </c>
      <c r="O5" s="136" t="s">
        <v>838</v>
      </c>
    </row>
    <row r="6" spans="2:622" ht="22.05" customHeight="1">
      <c r="B6" s="87" t="s">
        <v>839</v>
      </c>
      <c r="C6" s="88" t="s">
        <v>835</v>
      </c>
      <c r="E6" s="91" t="str">
        <f>IF(C6=0,"Nhập giới",C6)</f>
        <v>Nữ</v>
      </c>
      <c r="G6" s="92"/>
      <c r="L6" s="81"/>
      <c r="M6" s="137" t="s">
        <v>840</v>
      </c>
      <c r="N6" s="138">
        <v>740</v>
      </c>
      <c r="O6" s="138">
        <v>690</v>
      </c>
      <c r="WX6" s="152">
        <v>1</v>
      </c>
    </row>
    <row r="7" spans="2:622" ht="22.05" customHeight="1">
      <c r="B7" s="93" t="s">
        <v>841</v>
      </c>
      <c r="C7" s="94" t="s">
        <v>842</v>
      </c>
      <c r="D7" s="95"/>
      <c r="E7" s="96" t="str" cm="1">
        <f t="array" ref="E7">IF(E6="Nam",IF(COUNTIF(N46:N63,C7),INDEX(M46:M63,MATCH(C7,N46:N63,0)),"Không tìm thấy dữ liệu"),IF(E6="Nữ",IF(COUNTIF(O46:O63,C7),INDEX(M46:M63,MATCH(C7,O46:O63,0)),"Không tìm thấy dữ liệu"),"Nhập dữ liệu giới tính tại ô C6"))</f>
        <v>Lao động nhẹ</v>
      </c>
      <c r="F7" s="97"/>
      <c r="G7" s="89"/>
      <c r="L7" s="81"/>
      <c r="M7" s="137" t="s">
        <v>843</v>
      </c>
      <c r="N7" s="138">
        <v>910</v>
      </c>
      <c r="O7" s="138">
        <v>850</v>
      </c>
      <c r="WX7" s="152">
        <v>3</v>
      </c>
    </row>
    <row r="8" spans="2:622" s="81" customFormat="1" ht="22.05" customHeight="1">
      <c r="B8" s="296" t="s">
        <v>844</v>
      </c>
      <c r="C8" s="297"/>
      <c r="D8" s="297"/>
      <c r="E8" s="98" cm="1">
        <f t="array" ref="E8">IFERROR(INDEX(N29:P40,MATCH(E5,M29:M40,0),MATCH(E7,N41:P41,0)),0)</f>
        <v>1.5</v>
      </c>
      <c r="F8" s="83"/>
      <c r="G8" s="92"/>
      <c r="L8" s="83"/>
      <c r="M8" s="137" t="s">
        <v>845</v>
      </c>
      <c r="N8" s="138">
        <v>1010</v>
      </c>
      <c r="O8" s="138">
        <v>940</v>
      </c>
      <c r="WW8" s="153"/>
      <c r="WX8" s="152">
        <v>6</v>
      </c>
    </row>
    <row r="9" spans="2:622" s="81" customFormat="1">
      <c r="B9" s="99" t="s">
        <v>846</v>
      </c>
      <c r="C9" s="100" t="s">
        <v>847</v>
      </c>
      <c r="D9" s="101"/>
      <c r="E9" s="83"/>
      <c r="F9" s="83"/>
      <c r="G9" s="92"/>
      <c r="L9" s="83"/>
      <c r="M9" s="137" t="s">
        <v>848</v>
      </c>
      <c r="N9" s="138">
        <v>1140</v>
      </c>
      <c r="O9" s="138">
        <v>1080</v>
      </c>
      <c r="WW9" s="153"/>
      <c r="WX9" s="154">
        <v>8</v>
      </c>
    </row>
    <row r="10" spans="2:622" s="81" customFormat="1" ht="21.75" customHeight="1">
      <c r="B10" s="87" t="s">
        <v>849</v>
      </c>
      <c r="C10" s="90">
        <v>1.5</v>
      </c>
      <c r="D10" s="83"/>
      <c r="E10" s="83"/>
      <c r="F10" s="83"/>
      <c r="G10" s="92"/>
      <c r="L10" s="83"/>
      <c r="M10" s="137" t="s">
        <v>850</v>
      </c>
      <c r="N10" s="138">
        <v>1300</v>
      </c>
      <c r="O10" s="138">
        <v>1200</v>
      </c>
      <c r="WW10" s="153"/>
      <c r="WX10" s="154">
        <v>10</v>
      </c>
    </row>
    <row r="11" spans="2:622">
      <c r="B11" s="87" t="s">
        <v>851</v>
      </c>
      <c r="C11" s="90">
        <v>53</v>
      </c>
      <c r="F11" s="81"/>
      <c r="G11" s="89"/>
      <c r="M11" s="137" t="s">
        <v>852</v>
      </c>
      <c r="N11" s="138">
        <v>1470</v>
      </c>
      <c r="O11" s="138">
        <v>1360</v>
      </c>
      <c r="WX11" s="152">
        <v>12</v>
      </c>
    </row>
    <row r="12" spans="2:622">
      <c r="B12" s="87" t="s">
        <v>853</v>
      </c>
      <c r="D12" s="102" t="s">
        <v>854</v>
      </c>
      <c r="E12" s="103">
        <f>IFERROR(C11/C10/C10,0)</f>
        <v>23.5555555555556</v>
      </c>
      <c r="G12" s="89"/>
      <c r="M12" s="137" t="s">
        <v>855</v>
      </c>
      <c r="N12" s="138">
        <v>1610</v>
      </c>
      <c r="O12" s="138">
        <v>1360</v>
      </c>
      <c r="WX12" s="152">
        <v>15</v>
      </c>
    </row>
    <row r="13" spans="2:622">
      <c r="B13" s="104"/>
      <c r="D13" s="102"/>
      <c r="G13" s="89"/>
      <c r="M13" s="137" t="s">
        <v>856</v>
      </c>
      <c r="N13" s="138">
        <v>1470</v>
      </c>
      <c r="O13" s="138">
        <v>1170</v>
      </c>
      <c r="WX13" s="152">
        <v>18</v>
      </c>
    </row>
    <row r="14" spans="2:622">
      <c r="B14" s="104" t="s">
        <v>857</v>
      </c>
      <c r="G14" s="89"/>
      <c r="M14" s="137" t="s">
        <v>858</v>
      </c>
      <c r="N14" s="138">
        <v>1360</v>
      </c>
      <c r="O14" s="138">
        <v>1160</v>
      </c>
      <c r="WX14" s="152">
        <v>30</v>
      </c>
    </row>
    <row r="15" spans="2:622">
      <c r="B15" s="104"/>
      <c r="E15" s="105" cm="1">
        <f t="array" ref="E15">IFERROR(E8*INDEX(N6:O18,MATCH(E5,M6:M18,0),MATCH(E6,N4:O4,0))+VLOOKUP(C9,M19:O23,3,0),0)</f>
        <v>1740</v>
      </c>
      <c r="G15" s="89"/>
      <c r="M15" s="137" t="s">
        <v>859</v>
      </c>
      <c r="N15" s="138">
        <v>1350</v>
      </c>
      <c r="O15" s="138">
        <v>1130</v>
      </c>
      <c r="WX15" s="152">
        <v>50</v>
      </c>
    </row>
    <row r="16" spans="2:622">
      <c r="B16" s="298" t="s">
        <v>860</v>
      </c>
      <c r="C16" s="299"/>
      <c r="D16" s="299"/>
      <c r="E16" s="103">
        <f>IFERROR(IF(E6="Nữ",C10*C10*21,IF(E6="Nam",C10*C10*22)),0)</f>
        <v>47.25</v>
      </c>
      <c r="G16" s="89"/>
      <c r="M16" s="137" t="s">
        <v>861</v>
      </c>
      <c r="N16" s="138">
        <v>1300</v>
      </c>
      <c r="O16" s="138">
        <v>1070</v>
      </c>
      <c r="WX16" s="152">
        <v>65</v>
      </c>
    </row>
    <row r="17" spans="2:623">
      <c r="B17" s="87" t="s">
        <v>862</v>
      </c>
      <c r="E17" s="79"/>
      <c r="G17" s="89"/>
      <c r="M17" s="139" t="s">
        <v>863</v>
      </c>
      <c r="N17" s="138">
        <v>1290</v>
      </c>
      <c r="O17" s="138">
        <v>1070</v>
      </c>
      <c r="WX17" s="152">
        <v>75</v>
      </c>
    </row>
    <row r="18" spans="2:623" ht="34.5" customHeight="1">
      <c r="B18" s="87"/>
      <c r="E18" s="107">
        <f>E15</f>
        <v>1740</v>
      </c>
      <c r="G18" s="89"/>
      <c r="M18" s="79"/>
      <c r="N18" s="79"/>
      <c r="O18" s="79"/>
      <c r="WX18" s="152"/>
    </row>
    <row r="19" spans="2:623" ht="21" customHeight="1">
      <c r="B19" s="108"/>
      <c r="C19" s="109"/>
      <c r="D19" s="109"/>
      <c r="E19" s="109"/>
      <c r="F19" s="109"/>
      <c r="G19" s="110"/>
      <c r="L19" s="140"/>
      <c r="M19" s="141" t="s">
        <v>847</v>
      </c>
      <c r="N19" s="142">
        <v>0</v>
      </c>
      <c r="O19" s="143">
        <v>0</v>
      </c>
    </row>
    <row r="20" spans="2:623">
      <c r="H20" s="82"/>
      <c r="M20" s="141" t="s">
        <v>864</v>
      </c>
      <c r="N20" s="142" t="s">
        <v>865</v>
      </c>
      <c r="O20" s="143">
        <v>50</v>
      </c>
    </row>
    <row r="21" spans="2:623" ht="16.2">
      <c r="H21" s="111"/>
      <c r="L21" s="80"/>
      <c r="M21" s="141" t="s">
        <v>866</v>
      </c>
      <c r="N21" s="142" t="s">
        <v>867</v>
      </c>
      <c r="O21" s="143">
        <v>250</v>
      </c>
    </row>
    <row r="22" spans="2:623" ht="16.2">
      <c r="B22" s="86" t="s">
        <v>868</v>
      </c>
      <c r="C22" s="112" t="s">
        <v>869</v>
      </c>
      <c r="D22" s="112" t="s">
        <v>870</v>
      </c>
      <c r="E22" s="113" t="s">
        <v>171</v>
      </c>
      <c r="F22" s="112"/>
      <c r="G22" s="114" t="s">
        <v>172</v>
      </c>
      <c r="H22" s="111"/>
      <c r="L22" s="82"/>
      <c r="M22" s="141" t="s">
        <v>871</v>
      </c>
      <c r="N22" s="142" t="s">
        <v>872</v>
      </c>
      <c r="O22" s="143">
        <v>450</v>
      </c>
    </row>
    <row r="23" spans="2:623">
      <c r="B23" s="102" t="s">
        <v>873</v>
      </c>
      <c r="C23" s="115">
        <v>0.2</v>
      </c>
      <c r="D23" s="116">
        <f>$E$18</f>
        <v>1740</v>
      </c>
      <c r="E23" s="117">
        <f>C23*D23</f>
        <v>348</v>
      </c>
      <c r="F23" s="79">
        <v>4</v>
      </c>
      <c r="G23" s="118">
        <f t="shared" ref="G23:G29" si="0">E23/F23</f>
        <v>87</v>
      </c>
      <c r="H23" s="111"/>
      <c r="M23" s="141" t="s">
        <v>874</v>
      </c>
      <c r="N23" s="142" t="s">
        <v>875</v>
      </c>
      <c r="O23" s="143">
        <v>500</v>
      </c>
    </row>
    <row r="24" spans="2:623">
      <c r="B24" s="300" t="s">
        <v>876</v>
      </c>
      <c r="C24" s="300"/>
      <c r="D24" s="300"/>
      <c r="E24" s="119">
        <f>E23*30%</f>
        <v>104.4</v>
      </c>
      <c r="F24" s="83">
        <v>4</v>
      </c>
      <c r="G24" s="120">
        <f>G23*30%</f>
        <v>26.1</v>
      </c>
      <c r="H24" s="111"/>
    </row>
    <row r="25" spans="2:623">
      <c r="B25" s="300" t="s">
        <v>877</v>
      </c>
      <c r="C25" s="300"/>
      <c r="D25" s="300"/>
      <c r="E25" s="119">
        <f>E23-E24</f>
        <v>243.6</v>
      </c>
      <c r="F25" s="83">
        <v>4</v>
      </c>
      <c r="G25" s="120">
        <f>G23-G24</f>
        <v>60.9</v>
      </c>
      <c r="H25" s="111"/>
    </row>
    <row r="26" spans="2:623">
      <c r="B26" s="102" t="s">
        <v>878</v>
      </c>
      <c r="C26" s="115">
        <v>0.25</v>
      </c>
      <c r="D26" s="116">
        <f>$E$18</f>
        <v>1740</v>
      </c>
      <c r="E26" s="117">
        <f>C26*D26</f>
        <v>435</v>
      </c>
      <c r="F26" s="79">
        <v>9</v>
      </c>
      <c r="G26" s="118">
        <f t="shared" si="0"/>
        <v>48.3333333333333</v>
      </c>
      <c r="H26" s="111"/>
    </row>
    <row r="27" spans="2:623" s="80" customFormat="1" ht="16.2">
      <c r="B27" s="300" t="s">
        <v>879</v>
      </c>
      <c r="C27" s="300"/>
      <c r="D27" s="300"/>
      <c r="E27" s="119">
        <f>E26*50%</f>
        <v>217.5</v>
      </c>
      <c r="F27" s="83">
        <v>9</v>
      </c>
      <c r="G27" s="120">
        <f t="shared" si="0"/>
        <v>24.1666666666667</v>
      </c>
      <c r="H27" s="111"/>
      <c r="M27" s="301" t="s">
        <v>880</v>
      </c>
      <c r="N27" s="301"/>
      <c r="O27" s="301"/>
      <c r="P27" s="301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83"/>
      <c r="HO27" s="83"/>
      <c r="HP27" s="83"/>
      <c r="HQ27" s="83"/>
      <c r="HR27" s="83"/>
      <c r="HS27" s="83"/>
      <c r="HT27" s="83"/>
      <c r="HU27" s="83"/>
      <c r="HV27" s="83"/>
      <c r="HW27" s="83"/>
      <c r="HX27" s="83"/>
      <c r="HY27" s="83"/>
      <c r="HZ27" s="83"/>
      <c r="IA27" s="83"/>
      <c r="IB27" s="83"/>
      <c r="IC27" s="83"/>
      <c r="ID27" s="83"/>
      <c r="IE27" s="83"/>
      <c r="IF27" s="83"/>
      <c r="IG27" s="83"/>
      <c r="IH27" s="83"/>
      <c r="II27" s="83"/>
      <c r="IJ27" s="83"/>
      <c r="IK27" s="83"/>
      <c r="IL27" s="83"/>
      <c r="IM27" s="83"/>
      <c r="IN27" s="83"/>
      <c r="IO27" s="83"/>
      <c r="IP27" s="83"/>
      <c r="IQ27" s="83"/>
      <c r="IR27" s="83"/>
      <c r="IS27" s="83"/>
      <c r="IT27" s="83"/>
      <c r="IU27" s="83"/>
      <c r="IV27" s="83"/>
      <c r="IW27" s="83"/>
      <c r="IX27" s="83"/>
      <c r="IY27" s="83"/>
      <c r="IZ27" s="83"/>
      <c r="JA27" s="83"/>
      <c r="JB27" s="83"/>
      <c r="JC27" s="83"/>
      <c r="JD27" s="83"/>
      <c r="JE27" s="83"/>
      <c r="JF27" s="83"/>
      <c r="JG27" s="83"/>
      <c r="JH27" s="83"/>
      <c r="JI27" s="83"/>
      <c r="JJ27" s="83"/>
      <c r="JK27" s="83"/>
      <c r="JL27" s="83"/>
      <c r="JM27" s="83"/>
      <c r="JN27" s="83"/>
      <c r="JO27" s="83"/>
      <c r="JP27" s="83"/>
      <c r="JQ27" s="83"/>
      <c r="JR27" s="83"/>
      <c r="JS27" s="83"/>
      <c r="JT27" s="83"/>
      <c r="JU27" s="83"/>
      <c r="JV27" s="83"/>
      <c r="JW27" s="83"/>
      <c r="JX27" s="83"/>
      <c r="JY27" s="83"/>
      <c r="JZ27" s="83"/>
      <c r="KA27" s="83"/>
      <c r="KB27" s="83"/>
      <c r="KC27" s="83"/>
      <c r="KD27" s="83"/>
      <c r="KE27" s="83"/>
      <c r="KF27" s="83"/>
      <c r="KG27" s="83"/>
      <c r="KH27" s="83"/>
      <c r="KI27" s="83"/>
      <c r="KJ27" s="83"/>
      <c r="KK27" s="83"/>
      <c r="KL27" s="83"/>
      <c r="KM27" s="83"/>
      <c r="KN27" s="83"/>
      <c r="KO27" s="83"/>
      <c r="KP27" s="83"/>
      <c r="KQ27" s="83"/>
      <c r="KR27" s="83"/>
      <c r="KS27" s="83"/>
      <c r="KT27" s="83"/>
      <c r="KU27" s="83"/>
      <c r="KV27" s="83"/>
      <c r="KW27" s="83"/>
      <c r="KX27" s="83"/>
      <c r="KY27" s="83"/>
      <c r="KZ27" s="83"/>
      <c r="LA27" s="83"/>
      <c r="LB27" s="83"/>
      <c r="LC27" s="83"/>
      <c r="LD27" s="83"/>
      <c r="LE27" s="83"/>
      <c r="LF27" s="83"/>
      <c r="LG27" s="83"/>
      <c r="LH27" s="83"/>
      <c r="LI27" s="83"/>
      <c r="LJ27" s="83"/>
      <c r="LK27" s="83"/>
      <c r="LL27" s="83"/>
      <c r="LM27" s="83"/>
      <c r="LN27" s="83"/>
      <c r="LO27" s="83"/>
      <c r="LP27" s="83"/>
      <c r="LQ27" s="83"/>
      <c r="LR27" s="83"/>
      <c r="LS27" s="83"/>
      <c r="LT27" s="83"/>
      <c r="LU27" s="83"/>
      <c r="LV27" s="83"/>
      <c r="LW27" s="83"/>
      <c r="LX27" s="83"/>
      <c r="LY27" s="83"/>
      <c r="LZ27" s="83"/>
      <c r="MA27" s="83"/>
      <c r="MB27" s="83"/>
      <c r="MC27" s="83"/>
      <c r="MD27" s="83"/>
      <c r="ME27" s="83"/>
      <c r="MF27" s="83"/>
      <c r="MG27" s="83"/>
      <c r="MH27" s="83"/>
      <c r="MI27" s="83"/>
      <c r="MJ27" s="83"/>
      <c r="MK27" s="83"/>
      <c r="ML27" s="83"/>
      <c r="MM27" s="83"/>
      <c r="MN27" s="83"/>
      <c r="MO27" s="83"/>
      <c r="MP27" s="83"/>
      <c r="MQ27" s="83"/>
      <c r="MR27" s="83"/>
      <c r="MS27" s="83"/>
      <c r="MT27" s="83"/>
      <c r="MU27" s="83"/>
      <c r="MV27" s="83"/>
      <c r="MW27" s="83"/>
      <c r="MX27" s="83"/>
      <c r="MY27" s="83"/>
      <c r="MZ27" s="83"/>
      <c r="NA27" s="83"/>
      <c r="NB27" s="83"/>
      <c r="NC27" s="83"/>
      <c r="ND27" s="83"/>
      <c r="NE27" s="83"/>
      <c r="NF27" s="83"/>
      <c r="NG27" s="83"/>
      <c r="NH27" s="83"/>
      <c r="NI27" s="83"/>
      <c r="NJ27" s="83"/>
      <c r="NK27" s="83"/>
      <c r="NL27" s="83"/>
      <c r="NM27" s="83"/>
      <c r="NN27" s="83"/>
      <c r="NO27" s="83"/>
      <c r="NP27" s="83"/>
      <c r="NQ27" s="83"/>
      <c r="NR27" s="83"/>
      <c r="NS27" s="83"/>
      <c r="NT27" s="83"/>
      <c r="NU27" s="83"/>
      <c r="NV27" s="83"/>
      <c r="NW27" s="83"/>
      <c r="NX27" s="83"/>
      <c r="NY27" s="83"/>
      <c r="NZ27" s="83"/>
      <c r="OA27" s="83"/>
      <c r="OB27" s="83"/>
      <c r="OC27" s="83"/>
      <c r="OD27" s="83"/>
      <c r="OE27" s="83"/>
      <c r="OF27" s="83"/>
      <c r="OG27" s="83"/>
      <c r="OH27" s="83"/>
      <c r="OI27" s="83"/>
      <c r="OJ27" s="83"/>
      <c r="OK27" s="83"/>
      <c r="OL27" s="83"/>
      <c r="OM27" s="83"/>
      <c r="ON27" s="83"/>
      <c r="OO27" s="83"/>
      <c r="OP27" s="83"/>
      <c r="OQ27" s="83"/>
      <c r="OR27" s="83"/>
      <c r="OS27" s="83"/>
      <c r="OT27" s="83"/>
      <c r="OU27" s="83"/>
      <c r="OV27" s="83"/>
      <c r="OW27" s="83"/>
      <c r="OX27" s="83"/>
      <c r="OY27" s="83"/>
      <c r="OZ27" s="83"/>
      <c r="PA27" s="83"/>
      <c r="PB27" s="83"/>
      <c r="PC27" s="83"/>
      <c r="PD27" s="83"/>
      <c r="PE27" s="83"/>
      <c r="PF27" s="83"/>
      <c r="PG27" s="83"/>
      <c r="PH27" s="83"/>
      <c r="PI27" s="83"/>
      <c r="PJ27" s="83"/>
      <c r="PK27" s="83"/>
      <c r="PL27" s="83"/>
      <c r="PM27" s="83"/>
      <c r="PN27" s="83"/>
      <c r="PO27" s="83"/>
      <c r="PP27" s="83"/>
      <c r="PQ27" s="83"/>
      <c r="PR27" s="83"/>
      <c r="PS27" s="83"/>
      <c r="PT27" s="83"/>
      <c r="PU27" s="83"/>
      <c r="PV27" s="83"/>
      <c r="PW27" s="83"/>
      <c r="PX27" s="83"/>
      <c r="PY27" s="83"/>
      <c r="PZ27" s="83"/>
      <c r="QA27" s="83"/>
      <c r="QB27" s="83"/>
      <c r="QC27" s="83"/>
      <c r="QD27" s="83"/>
      <c r="QE27" s="83"/>
      <c r="QF27" s="83"/>
      <c r="QG27" s="83"/>
      <c r="QH27" s="83"/>
      <c r="QI27" s="83"/>
      <c r="QJ27" s="83"/>
      <c r="QK27" s="83"/>
      <c r="QL27" s="83"/>
      <c r="QM27" s="83"/>
      <c r="QN27" s="83"/>
      <c r="QO27" s="83"/>
      <c r="QP27" s="83"/>
      <c r="QQ27" s="83"/>
      <c r="QR27" s="83"/>
      <c r="QS27" s="83"/>
      <c r="QT27" s="83"/>
      <c r="QU27" s="83"/>
      <c r="QV27" s="83"/>
      <c r="QW27" s="83"/>
      <c r="QX27" s="83"/>
      <c r="QY27" s="83"/>
      <c r="QZ27" s="83"/>
      <c r="RA27" s="83"/>
      <c r="RB27" s="83"/>
      <c r="RC27" s="83"/>
      <c r="RD27" s="83"/>
      <c r="RE27" s="83"/>
      <c r="RF27" s="83"/>
      <c r="RG27" s="83"/>
      <c r="RH27" s="83"/>
      <c r="RI27" s="83"/>
      <c r="RJ27" s="83"/>
      <c r="RK27" s="83"/>
      <c r="RL27" s="83"/>
      <c r="RM27" s="83"/>
      <c r="RN27" s="83"/>
      <c r="RO27" s="83"/>
      <c r="RP27" s="83"/>
      <c r="RQ27" s="83"/>
      <c r="RR27" s="83"/>
      <c r="RS27" s="83"/>
      <c r="RT27" s="83"/>
      <c r="RU27" s="83"/>
      <c r="RV27" s="83"/>
      <c r="RW27" s="83"/>
      <c r="RX27" s="83"/>
      <c r="RY27" s="83"/>
      <c r="RZ27" s="83"/>
      <c r="SA27" s="83"/>
      <c r="SB27" s="83"/>
      <c r="SC27" s="83"/>
      <c r="SD27" s="83"/>
      <c r="SE27" s="83"/>
      <c r="SF27" s="83"/>
      <c r="SG27" s="83"/>
      <c r="SH27" s="83"/>
      <c r="SI27" s="83"/>
      <c r="SJ27" s="83"/>
      <c r="SK27" s="83"/>
      <c r="SL27" s="83"/>
      <c r="SM27" s="83"/>
      <c r="SN27" s="83"/>
      <c r="SO27" s="83"/>
      <c r="SP27" s="83"/>
      <c r="SQ27" s="83"/>
      <c r="SR27" s="83"/>
      <c r="SS27" s="83"/>
      <c r="ST27" s="83"/>
      <c r="SU27" s="83"/>
      <c r="SV27" s="83"/>
      <c r="SW27" s="83"/>
      <c r="SX27" s="83"/>
      <c r="SY27" s="83"/>
      <c r="SZ27" s="83"/>
      <c r="TA27" s="83"/>
      <c r="TB27" s="83"/>
      <c r="TC27" s="83"/>
      <c r="TD27" s="83"/>
      <c r="TE27" s="83"/>
      <c r="TF27" s="83"/>
      <c r="TG27" s="83"/>
      <c r="TH27" s="83"/>
      <c r="TI27" s="83"/>
      <c r="TJ27" s="83"/>
      <c r="TK27" s="83"/>
      <c r="TL27" s="83"/>
      <c r="TM27" s="83"/>
      <c r="TN27" s="83"/>
      <c r="TO27" s="83"/>
      <c r="TP27" s="83"/>
      <c r="TQ27" s="83"/>
      <c r="TR27" s="83"/>
      <c r="TS27" s="83"/>
      <c r="TT27" s="83"/>
      <c r="TU27" s="83"/>
      <c r="TV27" s="83"/>
      <c r="TW27" s="83"/>
      <c r="TX27" s="83"/>
      <c r="TY27" s="83"/>
      <c r="TZ27" s="83"/>
      <c r="UA27" s="83"/>
      <c r="UB27" s="83"/>
      <c r="UC27" s="83"/>
      <c r="UD27" s="83"/>
      <c r="UE27" s="83"/>
      <c r="UF27" s="83"/>
      <c r="UG27" s="83"/>
      <c r="UH27" s="83"/>
      <c r="UI27" s="83"/>
      <c r="UJ27" s="83"/>
      <c r="UK27" s="83"/>
      <c r="UL27" s="83"/>
      <c r="UM27" s="83"/>
      <c r="UN27" s="83"/>
      <c r="UO27" s="83"/>
      <c r="UP27" s="83"/>
      <c r="UQ27" s="83"/>
      <c r="UR27" s="83"/>
      <c r="US27" s="83"/>
      <c r="UT27" s="83"/>
      <c r="UU27" s="83"/>
      <c r="UV27" s="83"/>
      <c r="UW27" s="83"/>
      <c r="UX27" s="83"/>
      <c r="UY27" s="83"/>
      <c r="UZ27" s="83"/>
      <c r="VA27" s="83"/>
      <c r="VB27" s="83"/>
      <c r="VC27" s="83"/>
      <c r="VD27" s="83"/>
      <c r="VE27" s="83"/>
      <c r="VF27" s="83"/>
      <c r="VG27" s="83"/>
      <c r="VH27" s="83"/>
      <c r="VI27" s="83"/>
      <c r="VJ27" s="83"/>
      <c r="VK27" s="83"/>
      <c r="VL27" s="83"/>
      <c r="VM27" s="83"/>
      <c r="VN27" s="83"/>
      <c r="VO27" s="83"/>
      <c r="VP27" s="83"/>
      <c r="VQ27" s="83"/>
      <c r="VR27" s="83"/>
      <c r="VS27" s="83"/>
      <c r="VT27" s="83"/>
      <c r="VU27" s="83"/>
      <c r="VV27" s="83"/>
      <c r="VW27" s="83"/>
      <c r="VX27" s="83"/>
      <c r="VY27" s="83"/>
      <c r="VZ27" s="83"/>
      <c r="WA27" s="83"/>
      <c r="WB27" s="83"/>
      <c r="WC27" s="83"/>
      <c r="WD27" s="83"/>
      <c r="WE27" s="83"/>
      <c r="WF27" s="83"/>
      <c r="WG27" s="83"/>
      <c r="WH27" s="83"/>
      <c r="WI27" s="83"/>
      <c r="WJ27" s="83"/>
      <c r="WK27" s="83"/>
      <c r="WL27" s="83"/>
      <c r="WM27" s="83"/>
      <c r="WN27" s="83"/>
      <c r="WO27" s="83"/>
      <c r="WP27" s="83"/>
      <c r="WQ27" s="83"/>
      <c r="WR27" s="83"/>
      <c r="WS27" s="83"/>
      <c r="WT27" s="83"/>
      <c r="WU27" s="83"/>
      <c r="WV27" s="83"/>
      <c r="WW27" s="84"/>
      <c r="WX27" s="83"/>
      <c r="WY27" s="83"/>
    </row>
    <row r="28" spans="2:623" s="82" customFormat="1" ht="16.2">
      <c r="B28" s="300" t="s">
        <v>881</v>
      </c>
      <c r="C28" s="300"/>
      <c r="D28" s="300"/>
      <c r="E28" s="119">
        <f>E26*50%</f>
        <v>217.5</v>
      </c>
      <c r="F28" s="83">
        <v>9</v>
      </c>
      <c r="G28" s="120">
        <f t="shared" si="0"/>
        <v>24.1666666666667</v>
      </c>
      <c r="H28" s="80"/>
      <c r="M28" s="135" t="s">
        <v>837</v>
      </c>
      <c r="N28" s="135" t="s">
        <v>882</v>
      </c>
      <c r="O28" s="135" t="s">
        <v>883</v>
      </c>
      <c r="P28" s="135" t="s">
        <v>884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  <c r="HZ28" s="83"/>
      <c r="IA28" s="83"/>
      <c r="IB28" s="83"/>
      <c r="IC28" s="83"/>
      <c r="ID28" s="83"/>
      <c r="IE28" s="83"/>
      <c r="IF28" s="83"/>
      <c r="IG28" s="83"/>
      <c r="IH28" s="83"/>
      <c r="II28" s="83"/>
      <c r="IJ28" s="83"/>
      <c r="IK28" s="83"/>
      <c r="IL28" s="83"/>
      <c r="IM28" s="83"/>
      <c r="IN28" s="83"/>
      <c r="IO28" s="83"/>
      <c r="IP28" s="83"/>
      <c r="IQ28" s="83"/>
      <c r="IR28" s="83"/>
      <c r="IS28" s="83"/>
      <c r="IT28" s="83"/>
      <c r="IU28" s="83"/>
      <c r="IV28" s="83"/>
      <c r="IW28" s="83"/>
      <c r="IX28" s="83"/>
      <c r="IY28" s="83"/>
      <c r="IZ28" s="83"/>
      <c r="JA28" s="83"/>
      <c r="JB28" s="83"/>
      <c r="JC28" s="83"/>
      <c r="JD28" s="83"/>
      <c r="JE28" s="83"/>
      <c r="JF28" s="83"/>
      <c r="JG28" s="83"/>
      <c r="JH28" s="83"/>
      <c r="JI28" s="83"/>
      <c r="JJ28" s="83"/>
      <c r="JK28" s="83"/>
      <c r="JL28" s="83"/>
      <c r="JM28" s="83"/>
      <c r="JN28" s="83"/>
      <c r="JO28" s="83"/>
      <c r="JP28" s="83"/>
      <c r="JQ28" s="83"/>
      <c r="JR28" s="83"/>
      <c r="JS28" s="83"/>
      <c r="JT28" s="83"/>
      <c r="JU28" s="83"/>
      <c r="JV28" s="83"/>
      <c r="JW28" s="83"/>
      <c r="JX28" s="83"/>
      <c r="JY28" s="83"/>
      <c r="JZ28" s="83"/>
      <c r="KA28" s="83"/>
      <c r="KB28" s="83"/>
      <c r="KC28" s="83"/>
      <c r="KD28" s="83"/>
      <c r="KE28" s="83"/>
      <c r="KF28" s="83"/>
      <c r="KG28" s="83"/>
      <c r="KH28" s="83"/>
      <c r="KI28" s="83"/>
      <c r="KJ28" s="83"/>
      <c r="KK28" s="83"/>
      <c r="KL28" s="83"/>
      <c r="KM28" s="83"/>
      <c r="KN28" s="83"/>
      <c r="KO28" s="83"/>
      <c r="KP28" s="83"/>
      <c r="KQ28" s="83"/>
      <c r="KR28" s="83"/>
      <c r="KS28" s="83"/>
      <c r="KT28" s="83"/>
      <c r="KU28" s="83"/>
      <c r="KV28" s="83"/>
      <c r="KW28" s="83"/>
      <c r="KX28" s="83"/>
      <c r="KY28" s="83"/>
      <c r="KZ28" s="83"/>
      <c r="LA28" s="83"/>
      <c r="LB28" s="83"/>
      <c r="LC28" s="83"/>
      <c r="LD28" s="83"/>
      <c r="LE28" s="83"/>
      <c r="LF28" s="83"/>
      <c r="LG28" s="83"/>
      <c r="LH28" s="83"/>
      <c r="LI28" s="83"/>
      <c r="LJ28" s="83"/>
      <c r="LK28" s="83"/>
      <c r="LL28" s="83"/>
      <c r="LM28" s="83"/>
      <c r="LN28" s="83"/>
      <c r="LO28" s="83"/>
      <c r="LP28" s="83"/>
      <c r="LQ28" s="83"/>
      <c r="LR28" s="83"/>
      <c r="LS28" s="83"/>
      <c r="LT28" s="83"/>
      <c r="LU28" s="83"/>
      <c r="LV28" s="83"/>
      <c r="LW28" s="83"/>
      <c r="LX28" s="83"/>
      <c r="LY28" s="83"/>
      <c r="LZ28" s="83"/>
      <c r="MA28" s="83"/>
      <c r="MB28" s="83"/>
      <c r="MC28" s="83"/>
      <c r="MD28" s="83"/>
      <c r="ME28" s="83"/>
      <c r="MF28" s="83"/>
      <c r="MG28" s="83"/>
      <c r="MH28" s="83"/>
      <c r="MI28" s="83"/>
      <c r="MJ28" s="83"/>
      <c r="MK28" s="83"/>
      <c r="ML28" s="83"/>
      <c r="MM28" s="83"/>
      <c r="MN28" s="83"/>
      <c r="MO28" s="83"/>
      <c r="MP28" s="83"/>
      <c r="MQ28" s="83"/>
      <c r="MR28" s="83"/>
      <c r="MS28" s="83"/>
      <c r="MT28" s="83"/>
      <c r="MU28" s="83"/>
      <c r="MV28" s="83"/>
      <c r="MW28" s="83"/>
      <c r="MX28" s="83"/>
      <c r="MY28" s="83"/>
      <c r="MZ28" s="83"/>
      <c r="NA28" s="83"/>
      <c r="NB28" s="83"/>
      <c r="NC28" s="83"/>
      <c r="ND28" s="83"/>
      <c r="NE28" s="83"/>
      <c r="NF28" s="83"/>
      <c r="NG28" s="83"/>
      <c r="NH28" s="83"/>
      <c r="NI28" s="83"/>
      <c r="NJ28" s="83"/>
      <c r="NK28" s="83"/>
      <c r="NL28" s="83"/>
      <c r="NM28" s="83"/>
      <c r="NN28" s="83"/>
      <c r="NO28" s="83"/>
      <c r="NP28" s="83"/>
      <c r="NQ28" s="83"/>
      <c r="NR28" s="83"/>
      <c r="NS28" s="83"/>
      <c r="NT28" s="83"/>
      <c r="NU28" s="83"/>
      <c r="NV28" s="83"/>
      <c r="NW28" s="83"/>
      <c r="NX28" s="83"/>
      <c r="NY28" s="83"/>
      <c r="NZ28" s="83"/>
      <c r="OA28" s="83"/>
      <c r="OB28" s="83"/>
      <c r="OC28" s="83"/>
      <c r="OD28" s="83"/>
      <c r="OE28" s="83"/>
      <c r="OF28" s="83"/>
      <c r="OG28" s="83"/>
      <c r="OH28" s="83"/>
      <c r="OI28" s="83"/>
      <c r="OJ28" s="83"/>
      <c r="OK28" s="83"/>
      <c r="OL28" s="83"/>
      <c r="OM28" s="83"/>
      <c r="ON28" s="83"/>
      <c r="OO28" s="83"/>
      <c r="OP28" s="83"/>
      <c r="OQ28" s="83"/>
      <c r="OR28" s="83"/>
      <c r="OS28" s="83"/>
      <c r="OT28" s="83"/>
      <c r="OU28" s="83"/>
      <c r="OV28" s="83"/>
      <c r="OW28" s="83"/>
      <c r="OX28" s="83"/>
      <c r="OY28" s="83"/>
      <c r="OZ28" s="83"/>
      <c r="PA28" s="83"/>
      <c r="PB28" s="83"/>
      <c r="PC28" s="83"/>
      <c r="PD28" s="83"/>
      <c r="PE28" s="83"/>
      <c r="PF28" s="83"/>
      <c r="PG28" s="83"/>
      <c r="PH28" s="83"/>
      <c r="PI28" s="83"/>
      <c r="PJ28" s="83"/>
      <c r="PK28" s="83"/>
      <c r="PL28" s="83"/>
      <c r="PM28" s="83"/>
      <c r="PN28" s="83"/>
      <c r="PO28" s="83"/>
      <c r="PP28" s="83"/>
      <c r="PQ28" s="83"/>
      <c r="PR28" s="83"/>
      <c r="PS28" s="83"/>
      <c r="PT28" s="83"/>
      <c r="PU28" s="83"/>
      <c r="PV28" s="83"/>
      <c r="PW28" s="83"/>
      <c r="PX28" s="83"/>
      <c r="PY28" s="83"/>
      <c r="PZ28" s="83"/>
      <c r="QA28" s="83"/>
      <c r="QB28" s="83"/>
      <c r="QC28" s="83"/>
      <c r="QD28" s="83"/>
      <c r="QE28" s="83"/>
      <c r="QF28" s="83"/>
      <c r="QG28" s="83"/>
      <c r="QH28" s="83"/>
      <c r="QI28" s="83"/>
      <c r="QJ28" s="83"/>
      <c r="QK28" s="83"/>
      <c r="QL28" s="83"/>
      <c r="QM28" s="83"/>
      <c r="QN28" s="83"/>
      <c r="QO28" s="83"/>
      <c r="QP28" s="83"/>
      <c r="QQ28" s="83"/>
      <c r="QR28" s="83"/>
      <c r="QS28" s="83"/>
      <c r="QT28" s="83"/>
      <c r="QU28" s="83"/>
      <c r="QV28" s="83"/>
      <c r="QW28" s="83"/>
      <c r="QX28" s="83"/>
      <c r="QY28" s="83"/>
      <c r="QZ28" s="83"/>
      <c r="RA28" s="83"/>
      <c r="RB28" s="83"/>
      <c r="RC28" s="83"/>
      <c r="RD28" s="83"/>
      <c r="RE28" s="83"/>
      <c r="RF28" s="83"/>
      <c r="RG28" s="83"/>
      <c r="RH28" s="83"/>
      <c r="RI28" s="83"/>
      <c r="RJ28" s="83"/>
      <c r="RK28" s="83"/>
      <c r="RL28" s="83"/>
      <c r="RM28" s="83"/>
      <c r="RN28" s="83"/>
      <c r="RO28" s="83"/>
      <c r="RP28" s="83"/>
      <c r="RQ28" s="83"/>
      <c r="RR28" s="83"/>
      <c r="RS28" s="83"/>
      <c r="RT28" s="83"/>
      <c r="RU28" s="83"/>
      <c r="RV28" s="83"/>
      <c r="RW28" s="83"/>
      <c r="RX28" s="83"/>
      <c r="RY28" s="83"/>
      <c r="RZ28" s="83"/>
      <c r="SA28" s="83"/>
      <c r="SB28" s="83"/>
      <c r="SC28" s="83"/>
      <c r="SD28" s="83"/>
      <c r="SE28" s="83"/>
      <c r="SF28" s="83"/>
      <c r="SG28" s="83"/>
      <c r="SH28" s="83"/>
      <c r="SI28" s="83"/>
      <c r="SJ28" s="83"/>
      <c r="SK28" s="83"/>
      <c r="SL28" s="83"/>
      <c r="SM28" s="83"/>
      <c r="SN28" s="83"/>
      <c r="SO28" s="83"/>
      <c r="SP28" s="83"/>
      <c r="SQ28" s="83"/>
      <c r="SR28" s="83"/>
      <c r="SS28" s="83"/>
      <c r="ST28" s="83"/>
      <c r="SU28" s="83"/>
      <c r="SV28" s="83"/>
      <c r="SW28" s="83"/>
      <c r="SX28" s="83"/>
      <c r="SY28" s="83"/>
      <c r="SZ28" s="83"/>
      <c r="TA28" s="83"/>
      <c r="TB28" s="83"/>
      <c r="TC28" s="83"/>
      <c r="TD28" s="83"/>
      <c r="TE28" s="83"/>
      <c r="TF28" s="83"/>
      <c r="TG28" s="83"/>
      <c r="TH28" s="83"/>
      <c r="TI28" s="83"/>
      <c r="TJ28" s="83"/>
      <c r="TK28" s="83"/>
      <c r="TL28" s="83"/>
      <c r="TM28" s="83"/>
      <c r="TN28" s="83"/>
      <c r="TO28" s="83"/>
      <c r="TP28" s="83"/>
      <c r="TQ28" s="83"/>
      <c r="TR28" s="83"/>
      <c r="TS28" s="83"/>
      <c r="TT28" s="83"/>
      <c r="TU28" s="83"/>
      <c r="TV28" s="83"/>
      <c r="TW28" s="83"/>
      <c r="TX28" s="83"/>
      <c r="TY28" s="83"/>
      <c r="TZ28" s="83"/>
      <c r="UA28" s="83"/>
      <c r="UB28" s="83"/>
      <c r="UC28" s="83"/>
      <c r="UD28" s="83"/>
      <c r="UE28" s="83"/>
      <c r="UF28" s="83"/>
      <c r="UG28" s="83"/>
      <c r="UH28" s="83"/>
      <c r="UI28" s="83"/>
      <c r="UJ28" s="83"/>
      <c r="UK28" s="83"/>
      <c r="UL28" s="83"/>
      <c r="UM28" s="83"/>
      <c r="UN28" s="83"/>
      <c r="UO28" s="83"/>
      <c r="UP28" s="83"/>
      <c r="UQ28" s="83"/>
      <c r="UR28" s="83"/>
      <c r="US28" s="83"/>
      <c r="UT28" s="83"/>
      <c r="UU28" s="83"/>
      <c r="UV28" s="83"/>
      <c r="UW28" s="83"/>
      <c r="UX28" s="83"/>
      <c r="UY28" s="83"/>
      <c r="UZ28" s="83"/>
      <c r="VA28" s="83"/>
      <c r="VB28" s="83"/>
      <c r="VC28" s="83"/>
      <c r="VD28" s="83"/>
      <c r="VE28" s="83"/>
      <c r="VF28" s="83"/>
      <c r="VG28" s="83"/>
      <c r="VH28" s="83"/>
      <c r="VI28" s="83"/>
      <c r="VJ28" s="83"/>
      <c r="VK28" s="83"/>
      <c r="VL28" s="83"/>
      <c r="VM28" s="83"/>
      <c r="VN28" s="83"/>
      <c r="VO28" s="83"/>
      <c r="VP28" s="83"/>
      <c r="VQ28" s="83"/>
      <c r="VR28" s="83"/>
      <c r="VS28" s="83"/>
      <c r="VT28" s="83"/>
      <c r="VU28" s="83"/>
      <c r="VV28" s="83"/>
      <c r="VW28" s="83"/>
      <c r="VX28" s="83"/>
      <c r="VY28" s="83"/>
      <c r="VZ28" s="83"/>
      <c r="WA28" s="83"/>
      <c r="WB28" s="83"/>
      <c r="WC28" s="83"/>
      <c r="WD28" s="83"/>
      <c r="WE28" s="83"/>
      <c r="WF28" s="83"/>
      <c r="WG28" s="83"/>
      <c r="WH28" s="83"/>
      <c r="WI28" s="83"/>
      <c r="WJ28" s="83"/>
      <c r="WK28" s="83"/>
      <c r="WL28" s="83"/>
      <c r="WM28" s="83"/>
      <c r="WN28" s="83"/>
      <c r="WO28" s="83"/>
      <c r="WP28" s="83"/>
      <c r="WQ28" s="83"/>
      <c r="WR28" s="83"/>
      <c r="WS28" s="83"/>
      <c r="WT28" s="83"/>
      <c r="WU28" s="83"/>
      <c r="WV28" s="83"/>
      <c r="WW28" s="84"/>
      <c r="WX28" s="83"/>
      <c r="WY28" s="83"/>
    </row>
    <row r="29" spans="2:623">
      <c r="B29" s="102" t="s">
        <v>885</v>
      </c>
      <c r="C29" s="115">
        <f>100%-(C23+C26)</f>
        <v>0.55000000000000004</v>
      </c>
      <c r="D29" s="116">
        <f>$E$18</f>
        <v>1740</v>
      </c>
      <c r="E29" s="117">
        <f>C29*D29</f>
        <v>957</v>
      </c>
      <c r="F29" s="79">
        <v>4</v>
      </c>
      <c r="G29" s="118">
        <f t="shared" si="0"/>
        <v>239.25</v>
      </c>
      <c r="H29" s="82"/>
      <c r="M29" s="137" t="s">
        <v>840</v>
      </c>
      <c r="N29" s="138" t="s">
        <v>247</v>
      </c>
      <c r="O29" s="138">
        <v>1.35</v>
      </c>
      <c r="P29" s="138" t="s">
        <v>247</v>
      </c>
      <c r="WX29" s="152">
        <v>1</v>
      </c>
    </row>
    <row r="30" spans="2:623">
      <c r="B30" s="102"/>
      <c r="C30" s="115"/>
      <c r="D30" s="116"/>
      <c r="E30" s="117"/>
      <c r="F30" s="79"/>
      <c r="G30" s="118"/>
      <c r="M30" s="137" t="s">
        <v>843</v>
      </c>
      <c r="N30" s="138" t="s">
        <v>247</v>
      </c>
      <c r="O30" s="138">
        <v>1.45</v>
      </c>
      <c r="P30" s="138" t="s">
        <v>247</v>
      </c>
      <c r="WX30" s="152">
        <v>3</v>
      </c>
    </row>
    <row r="31" spans="2:623">
      <c r="B31" s="102"/>
      <c r="C31" s="115"/>
      <c r="D31" s="116"/>
      <c r="E31" s="117"/>
      <c r="F31" s="79"/>
      <c r="G31" s="118"/>
      <c r="H31" s="121"/>
      <c r="M31" s="137" t="s">
        <v>845</v>
      </c>
      <c r="N31" s="138">
        <v>1.35</v>
      </c>
      <c r="O31" s="138">
        <v>1.55</v>
      </c>
      <c r="P31" s="138">
        <v>1.75</v>
      </c>
      <c r="WX31" s="152">
        <v>6</v>
      </c>
    </row>
    <row r="32" spans="2:623" ht="21" customHeight="1">
      <c r="B32" s="302" t="s">
        <v>886</v>
      </c>
      <c r="C32" s="303"/>
      <c r="D32" s="303"/>
      <c r="E32" s="303"/>
      <c r="F32" s="303"/>
      <c r="G32" s="304"/>
      <c r="H32" s="121"/>
      <c r="M32" s="137" t="s">
        <v>848</v>
      </c>
      <c r="N32" s="138">
        <v>1.4</v>
      </c>
      <c r="O32" s="138">
        <v>1.6</v>
      </c>
      <c r="P32" s="138">
        <v>1.8</v>
      </c>
      <c r="WX32" s="154">
        <v>8</v>
      </c>
    </row>
    <row r="33" spans="2:624" ht="16.2">
      <c r="B33" s="305" t="s">
        <v>887</v>
      </c>
      <c r="C33" s="122" t="s">
        <v>888</v>
      </c>
      <c r="D33" s="123" t="s">
        <v>889</v>
      </c>
      <c r="E33" s="316"/>
      <c r="F33" s="317"/>
      <c r="G33" s="317"/>
      <c r="H33" s="121"/>
      <c r="M33" s="137" t="s">
        <v>850</v>
      </c>
      <c r="N33" s="138">
        <v>1.45</v>
      </c>
      <c r="O33" s="138">
        <v>1.65</v>
      </c>
      <c r="P33" s="138">
        <v>1.85</v>
      </c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80"/>
      <c r="FF33" s="80"/>
      <c r="FG33" s="80"/>
      <c r="FH33" s="80"/>
      <c r="FI33" s="80"/>
      <c r="FJ33" s="80"/>
      <c r="FK33" s="80"/>
      <c r="FL33" s="80"/>
      <c r="FM33" s="80"/>
      <c r="FN33" s="80"/>
      <c r="FO33" s="80"/>
      <c r="FP33" s="80"/>
      <c r="FQ33" s="80"/>
      <c r="FR33" s="80"/>
      <c r="FS33" s="80"/>
      <c r="FT33" s="80"/>
      <c r="FU33" s="80"/>
      <c r="FV33" s="80"/>
      <c r="FW33" s="80"/>
      <c r="FX33" s="80"/>
      <c r="FY33" s="80"/>
      <c r="FZ33" s="80"/>
      <c r="GA33" s="80"/>
      <c r="GB33" s="80"/>
      <c r="GC33" s="80"/>
      <c r="GD33" s="80"/>
      <c r="GE33" s="80"/>
      <c r="GF33" s="80"/>
      <c r="GG33" s="80"/>
      <c r="GH33" s="80"/>
      <c r="GI33" s="80"/>
      <c r="GJ33" s="80"/>
      <c r="GK33" s="80"/>
      <c r="GL33" s="80"/>
      <c r="GM33" s="80"/>
      <c r="GN33" s="80"/>
      <c r="GO33" s="80"/>
      <c r="GP33" s="80"/>
      <c r="GQ33" s="80"/>
      <c r="GR33" s="80"/>
      <c r="GS33" s="80"/>
      <c r="GT33" s="80"/>
      <c r="GU33" s="80"/>
      <c r="GV33" s="80"/>
      <c r="GW33" s="80"/>
      <c r="GX33" s="80"/>
      <c r="GY33" s="80"/>
      <c r="GZ33" s="80"/>
      <c r="HA33" s="80"/>
      <c r="HB33" s="80"/>
      <c r="HC33" s="80"/>
      <c r="HD33" s="80"/>
      <c r="HE33" s="80"/>
      <c r="HF33" s="80"/>
      <c r="HG33" s="80"/>
      <c r="HH33" s="80"/>
      <c r="HI33" s="80"/>
      <c r="HJ33" s="80"/>
      <c r="HK33" s="80"/>
      <c r="HL33" s="80"/>
      <c r="HM33" s="80"/>
      <c r="HN33" s="80"/>
      <c r="HO33" s="80"/>
      <c r="HP33" s="80"/>
      <c r="HQ33" s="80"/>
      <c r="HR33" s="80"/>
      <c r="HS33" s="80"/>
      <c r="HT33" s="80"/>
      <c r="HU33" s="80"/>
      <c r="HV33" s="80"/>
      <c r="HW33" s="80"/>
      <c r="HX33" s="80"/>
      <c r="HY33" s="80"/>
      <c r="HZ33" s="80"/>
      <c r="IA33" s="80"/>
      <c r="IB33" s="80"/>
      <c r="IC33" s="80"/>
      <c r="ID33" s="80"/>
      <c r="IE33" s="80"/>
      <c r="IF33" s="80"/>
      <c r="IG33" s="80"/>
      <c r="IH33" s="80"/>
      <c r="II33" s="80"/>
      <c r="IJ33" s="80"/>
      <c r="IK33" s="80"/>
      <c r="IL33" s="80"/>
      <c r="IM33" s="80"/>
      <c r="IN33" s="80"/>
      <c r="IO33" s="80"/>
      <c r="IP33" s="80"/>
      <c r="IQ33" s="80"/>
      <c r="IR33" s="80"/>
      <c r="IS33" s="80"/>
      <c r="IT33" s="80"/>
      <c r="IU33" s="80"/>
      <c r="IV33" s="80"/>
      <c r="IW33" s="80"/>
      <c r="IX33" s="80"/>
      <c r="IY33" s="80"/>
      <c r="IZ33" s="80"/>
      <c r="JA33" s="80"/>
      <c r="JB33" s="80"/>
      <c r="JC33" s="80"/>
      <c r="JD33" s="80"/>
      <c r="JE33" s="80"/>
      <c r="JF33" s="80"/>
      <c r="JG33" s="80"/>
      <c r="JH33" s="80"/>
      <c r="JI33" s="80"/>
      <c r="JJ33" s="80"/>
      <c r="JK33" s="80"/>
      <c r="JL33" s="80"/>
      <c r="JM33" s="80"/>
      <c r="JN33" s="80"/>
      <c r="JO33" s="80"/>
      <c r="JP33" s="80"/>
      <c r="JQ33" s="80"/>
      <c r="JR33" s="80"/>
      <c r="JS33" s="80"/>
      <c r="JT33" s="80"/>
      <c r="JU33" s="80"/>
      <c r="JV33" s="80"/>
      <c r="JW33" s="80"/>
      <c r="JX33" s="80"/>
      <c r="JY33" s="80"/>
      <c r="JZ33" s="80"/>
      <c r="KA33" s="80"/>
      <c r="KB33" s="80"/>
      <c r="KC33" s="80"/>
      <c r="KD33" s="80"/>
      <c r="KE33" s="80"/>
      <c r="KF33" s="80"/>
      <c r="KG33" s="80"/>
      <c r="KH33" s="80"/>
      <c r="KI33" s="80"/>
      <c r="KJ33" s="80"/>
      <c r="KK33" s="80"/>
      <c r="KL33" s="80"/>
      <c r="KM33" s="80"/>
      <c r="KN33" s="80"/>
      <c r="KO33" s="80"/>
      <c r="KP33" s="80"/>
      <c r="KQ33" s="80"/>
      <c r="KR33" s="80"/>
      <c r="KS33" s="80"/>
      <c r="KT33" s="80"/>
      <c r="KU33" s="80"/>
      <c r="KV33" s="80"/>
      <c r="KW33" s="80"/>
      <c r="KX33" s="80"/>
      <c r="KY33" s="80"/>
      <c r="KZ33" s="80"/>
      <c r="LA33" s="80"/>
      <c r="LB33" s="80"/>
      <c r="LC33" s="80"/>
      <c r="LD33" s="80"/>
      <c r="LE33" s="80"/>
      <c r="LF33" s="80"/>
      <c r="LG33" s="80"/>
      <c r="LH33" s="80"/>
      <c r="LI33" s="80"/>
      <c r="LJ33" s="80"/>
      <c r="LK33" s="80"/>
      <c r="LL33" s="80"/>
      <c r="LM33" s="80"/>
      <c r="LN33" s="80"/>
      <c r="LO33" s="80"/>
      <c r="LP33" s="80"/>
      <c r="LQ33" s="80"/>
      <c r="LR33" s="80"/>
      <c r="LS33" s="80"/>
      <c r="LT33" s="80"/>
      <c r="LU33" s="80"/>
      <c r="LV33" s="80"/>
      <c r="LW33" s="80"/>
      <c r="LX33" s="80"/>
      <c r="LY33" s="80"/>
      <c r="LZ33" s="80"/>
      <c r="MA33" s="80"/>
      <c r="MB33" s="80"/>
      <c r="MC33" s="80"/>
      <c r="MD33" s="80"/>
      <c r="ME33" s="80"/>
      <c r="MF33" s="80"/>
      <c r="MG33" s="80"/>
      <c r="MH33" s="80"/>
      <c r="MI33" s="80"/>
      <c r="MJ33" s="80"/>
      <c r="MK33" s="80"/>
      <c r="ML33" s="80"/>
      <c r="MM33" s="80"/>
      <c r="MN33" s="80"/>
      <c r="MO33" s="80"/>
      <c r="MP33" s="80"/>
      <c r="MQ33" s="80"/>
      <c r="MR33" s="80"/>
      <c r="MS33" s="80"/>
      <c r="MT33" s="80"/>
      <c r="MU33" s="80"/>
      <c r="MV33" s="80"/>
      <c r="MW33" s="80"/>
      <c r="MX33" s="80"/>
      <c r="MY33" s="80"/>
      <c r="MZ33" s="80"/>
      <c r="NA33" s="80"/>
      <c r="NB33" s="80"/>
      <c r="NC33" s="80"/>
      <c r="ND33" s="80"/>
      <c r="NE33" s="80"/>
      <c r="NF33" s="80"/>
      <c r="NG33" s="80"/>
      <c r="NH33" s="80"/>
      <c r="NI33" s="80"/>
      <c r="NJ33" s="80"/>
      <c r="NK33" s="80"/>
      <c r="NL33" s="80"/>
      <c r="NM33" s="80"/>
      <c r="NN33" s="80"/>
      <c r="NO33" s="80"/>
      <c r="NP33" s="80"/>
      <c r="NQ33" s="80"/>
      <c r="NR33" s="80"/>
      <c r="NS33" s="80"/>
      <c r="NT33" s="80"/>
      <c r="NU33" s="80"/>
      <c r="NV33" s="80"/>
      <c r="NW33" s="80"/>
      <c r="NX33" s="80"/>
      <c r="NY33" s="80"/>
      <c r="NZ33" s="80"/>
      <c r="OA33" s="80"/>
      <c r="OB33" s="80"/>
      <c r="OC33" s="80"/>
      <c r="OD33" s="80"/>
      <c r="OE33" s="80"/>
      <c r="OF33" s="80"/>
      <c r="OG33" s="80"/>
      <c r="OH33" s="80"/>
      <c r="OI33" s="80"/>
      <c r="OJ33" s="80"/>
      <c r="OK33" s="80"/>
      <c r="OL33" s="80"/>
      <c r="OM33" s="80"/>
      <c r="ON33" s="80"/>
      <c r="OO33" s="80"/>
      <c r="OP33" s="80"/>
      <c r="OQ33" s="80"/>
      <c r="OR33" s="80"/>
      <c r="OS33" s="80"/>
      <c r="OT33" s="80"/>
      <c r="OU33" s="80"/>
      <c r="OV33" s="80"/>
      <c r="OW33" s="80"/>
      <c r="OX33" s="80"/>
      <c r="OY33" s="80"/>
      <c r="OZ33" s="80"/>
      <c r="PA33" s="80"/>
      <c r="PB33" s="80"/>
      <c r="PC33" s="80"/>
      <c r="PD33" s="80"/>
      <c r="PE33" s="80"/>
      <c r="PF33" s="80"/>
      <c r="PG33" s="80"/>
      <c r="PH33" s="80"/>
      <c r="PI33" s="80"/>
      <c r="PJ33" s="80"/>
      <c r="PK33" s="80"/>
      <c r="PL33" s="80"/>
      <c r="PM33" s="80"/>
      <c r="PN33" s="80"/>
      <c r="PO33" s="80"/>
      <c r="PP33" s="80"/>
      <c r="PQ33" s="80"/>
      <c r="PR33" s="80"/>
      <c r="PS33" s="80"/>
      <c r="PT33" s="80"/>
      <c r="PU33" s="80"/>
      <c r="PV33" s="80"/>
      <c r="PW33" s="80"/>
      <c r="PX33" s="80"/>
      <c r="PY33" s="80"/>
      <c r="PZ33" s="80"/>
      <c r="QA33" s="80"/>
      <c r="QB33" s="80"/>
      <c r="QC33" s="80"/>
      <c r="QD33" s="80"/>
      <c r="QE33" s="80"/>
      <c r="QF33" s="80"/>
      <c r="QG33" s="80"/>
      <c r="QH33" s="80"/>
      <c r="QI33" s="80"/>
      <c r="QJ33" s="80"/>
      <c r="QK33" s="80"/>
      <c r="QL33" s="80"/>
      <c r="QM33" s="80"/>
      <c r="QN33" s="80"/>
      <c r="QO33" s="80"/>
      <c r="QP33" s="80"/>
      <c r="QQ33" s="80"/>
      <c r="QR33" s="80"/>
      <c r="QS33" s="80"/>
      <c r="QT33" s="80"/>
      <c r="QU33" s="80"/>
      <c r="QV33" s="80"/>
      <c r="QW33" s="80"/>
      <c r="QX33" s="80"/>
      <c r="QY33" s="80"/>
      <c r="QZ33" s="80"/>
      <c r="RA33" s="80"/>
      <c r="RB33" s="80"/>
      <c r="RC33" s="80"/>
      <c r="RD33" s="80"/>
      <c r="RE33" s="80"/>
      <c r="RF33" s="80"/>
      <c r="RG33" s="80"/>
      <c r="RH33" s="80"/>
      <c r="RI33" s="80"/>
      <c r="RJ33" s="80"/>
      <c r="RK33" s="80"/>
      <c r="RL33" s="80"/>
      <c r="RM33" s="80"/>
      <c r="RN33" s="80"/>
      <c r="RO33" s="80"/>
      <c r="RP33" s="80"/>
      <c r="RQ33" s="80"/>
      <c r="RR33" s="80"/>
      <c r="RS33" s="80"/>
      <c r="RT33" s="80"/>
      <c r="RU33" s="80"/>
      <c r="RV33" s="80"/>
      <c r="RW33" s="80"/>
      <c r="RX33" s="80"/>
      <c r="RY33" s="80"/>
      <c r="RZ33" s="80"/>
      <c r="SA33" s="80"/>
      <c r="SB33" s="80"/>
      <c r="SC33" s="80"/>
      <c r="SD33" s="80"/>
      <c r="SE33" s="80"/>
      <c r="SF33" s="80"/>
      <c r="SG33" s="80"/>
      <c r="SH33" s="80"/>
      <c r="SI33" s="80"/>
      <c r="SJ33" s="80"/>
      <c r="SK33" s="80"/>
      <c r="SL33" s="80"/>
      <c r="SM33" s="80"/>
      <c r="SN33" s="80"/>
      <c r="SO33" s="80"/>
      <c r="SP33" s="80"/>
      <c r="SQ33" s="80"/>
      <c r="SR33" s="80"/>
      <c r="SS33" s="80"/>
      <c r="ST33" s="80"/>
      <c r="SU33" s="80"/>
      <c r="SV33" s="80"/>
      <c r="SW33" s="80"/>
      <c r="SX33" s="80"/>
      <c r="SY33" s="80"/>
      <c r="SZ33" s="80"/>
      <c r="TA33" s="80"/>
      <c r="TB33" s="80"/>
      <c r="TC33" s="80"/>
      <c r="TD33" s="80"/>
      <c r="TE33" s="80"/>
      <c r="TF33" s="80"/>
      <c r="TG33" s="80"/>
      <c r="TH33" s="80"/>
      <c r="TI33" s="80"/>
      <c r="TJ33" s="80"/>
      <c r="TK33" s="80"/>
      <c r="TL33" s="80"/>
      <c r="TM33" s="80"/>
      <c r="TN33" s="80"/>
      <c r="TO33" s="80"/>
      <c r="TP33" s="80"/>
      <c r="TQ33" s="80"/>
      <c r="TR33" s="80"/>
      <c r="TS33" s="80"/>
      <c r="TT33" s="80"/>
      <c r="TU33" s="80"/>
      <c r="TV33" s="80"/>
      <c r="TW33" s="80"/>
      <c r="TX33" s="80"/>
      <c r="TY33" s="80"/>
      <c r="TZ33" s="80"/>
      <c r="UA33" s="80"/>
      <c r="UB33" s="80"/>
      <c r="UC33" s="80"/>
      <c r="UD33" s="80"/>
      <c r="UE33" s="80"/>
      <c r="UF33" s="80"/>
      <c r="UG33" s="80"/>
      <c r="UH33" s="80"/>
      <c r="UI33" s="80"/>
      <c r="UJ33" s="80"/>
      <c r="UK33" s="80"/>
      <c r="UL33" s="80"/>
      <c r="UM33" s="80"/>
      <c r="UN33" s="80"/>
      <c r="UO33" s="80"/>
      <c r="UP33" s="80"/>
      <c r="UQ33" s="80"/>
      <c r="UR33" s="80"/>
      <c r="US33" s="80"/>
      <c r="UT33" s="80"/>
      <c r="UU33" s="80"/>
      <c r="UV33" s="80"/>
      <c r="UW33" s="80"/>
      <c r="UX33" s="80"/>
      <c r="UY33" s="80"/>
      <c r="UZ33" s="80"/>
      <c r="VA33" s="80"/>
      <c r="VB33" s="80"/>
      <c r="VC33" s="80"/>
      <c r="VD33" s="80"/>
      <c r="VE33" s="80"/>
      <c r="VF33" s="80"/>
      <c r="VG33" s="80"/>
      <c r="VH33" s="80"/>
      <c r="VI33" s="80"/>
      <c r="VJ33" s="80"/>
      <c r="VK33" s="80"/>
      <c r="VL33" s="80"/>
      <c r="VM33" s="80"/>
      <c r="VN33" s="80"/>
      <c r="VO33" s="80"/>
      <c r="VP33" s="80"/>
      <c r="VQ33" s="80"/>
      <c r="VR33" s="80"/>
      <c r="VS33" s="80"/>
      <c r="VT33" s="80"/>
      <c r="VU33" s="80"/>
      <c r="VV33" s="80"/>
      <c r="VW33" s="80"/>
      <c r="VX33" s="80"/>
      <c r="VY33" s="80"/>
      <c r="VZ33" s="80"/>
      <c r="WA33" s="80"/>
      <c r="WB33" s="80"/>
      <c r="WC33" s="80"/>
      <c r="WD33" s="80"/>
      <c r="WE33" s="80"/>
      <c r="WF33" s="80"/>
      <c r="WG33" s="80"/>
      <c r="WH33" s="80"/>
      <c r="WI33" s="80"/>
      <c r="WJ33" s="80"/>
      <c r="WK33" s="80"/>
      <c r="WL33" s="80"/>
      <c r="WM33" s="80"/>
      <c r="WN33" s="80"/>
      <c r="WO33" s="80"/>
      <c r="WP33" s="80"/>
      <c r="WQ33" s="80"/>
      <c r="WR33" s="80"/>
      <c r="WS33" s="80"/>
      <c r="WT33" s="80"/>
      <c r="WU33" s="80"/>
      <c r="WV33" s="80"/>
      <c r="WW33" s="151"/>
      <c r="WX33" s="154">
        <v>10</v>
      </c>
    </row>
    <row r="34" spans="2:624">
      <c r="B34" s="305"/>
      <c r="C34" s="122">
        <v>100</v>
      </c>
      <c r="D34" s="124">
        <f>E18</f>
        <v>1740</v>
      </c>
      <c r="E34" s="317"/>
      <c r="F34" s="317"/>
      <c r="G34" s="317"/>
      <c r="H34" s="121"/>
      <c r="M34" s="137" t="s">
        <v>852</v>
      </c>
      <c r="N34" s="138">
        <v>1.5</v>
      </c>
      <c r="O34" s="138">
        <v>1.7</v>
      </c>
      <c r="P34" s="138">
        <v>1.9</v>
      </c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  <c r="FC34" s="82"/>
      <c r="FD34" s="82"/>
      <c r="FE34" s="82"/>
      <c r="FF34" s="82"/>
      <c r="FG34" s="82"/>
      <c r="FH34" s="82"/>
      <c r="FI34" s="82"/>
      <c r="FJ34" s="82"/>
      <c r="FK34" s="82"/>
      <c r="FL34" s="82"/>
      <c r="FM34" s="82"/>
      <c r="FN34" s="82"/>
      <c r="FO34" s="82"/>
      <c r="FP34" s="82"/>
      <c r="FQ34" s="82"/>
      <c r="FR34" s="82"/>
      <c r="FS34" s="82"/>
      <c r="FT34" s="82"/>
      <c r="FU34" s="82"/>
      <c r="FV34" s="82"/>
      <c r="FW34" s="82"/>
      <c r="FX34" s="82"/>
      <c r="FY34" s="82"/>
      <c r="FZ34" s="82"/>
      <c r="GA34" s="82"/>
      <c r="GB34" s="82"/>
      <c r="GC34" s="82"/>
      <c r="GD34" s="82"/>
      <c r="GE34" s="82"/>
      <c r="GF34" s="82"/>
      <c r="GG34" s="82"/>
      <c r="GH34" s="82"/>
      <c r="GI34" s="82"/>
      <c r="GJ34" s="82"/>
      <c r="GK34" s="82"/>
      <c r="GL34" s="82"/>
      <c r="GM34" s="82"/>
      <c r="GN34" s="82"/>
      <c r="GO34" s="82"/>
      <c r="GP34" s="82"/>
      <c r="GQ34" s="82"/>
      <c r="GR34" s="82"/>
      <c r="GS34" s="82"/>
      <c r="GT34" s="82"/>
      <c r="GU34" s="82"/>
      <c r="GV34" s="82"/>
      <c r="GW34" s="82"/>
      <c r="GX34" s="82"/>
      <c r="GY34" s="82"/>
      <c r="GZ34" s="82"/>
      <c r="HA34" s="82"/>
      <c r="HB34" s="82"/>
      <c r="HC34" s="82"/>
      <c r="HD34" s="82"/>
      <c r="HE34" s="82"/>
      <c r="HF34" s="82"/>
      <c r="HG34" s="82"/>
      <c r="HH34" s="82"/>
      <c r="HI34" s="82"/>
      <c r="HJ34" s="82"/>
      <c r="HK34" s="82"/>
      <c r="HL34" s="82"/>
      <c r="HM34" s="82"/>
      <c r="HN34" s="82"/>
      <c r="HO34" s="82"/>
      <c r="HP34" s="82"/>
      <c r="HQ34" s="82"/>
      <c r="HR34" s="82"/>
      <c r="HS34" s="82"/>
      <c r="HT34" s="82"/>
      <c r="HU34" s="82"/>
      <c r="HV34" s="82"/>
      <c r="HW34" s="82"/>
      <c r="HX34" s="82"/>
      <c r="HY34" s="82"/>
      <c r="HZ34" s="82"/>
      <c r="IA34" s="82"/>
      <c r="IB34" s="82"/>
      <c r="IC34" s="82"/>
      <c r="ID34" s="82"/>
      <c r="IE34" s="82"/>
      <c r="IF34" s="82"/>
      <c r="IG34" s="82"/>
      <c r="IH34" s="82"/>
      <c r="II34" s="82"/>
      <c r="IJ34" s="82"/>
      <c r="IK34" s="82"/>
      <c r="IL34" s="82"/>
      <c r="IM34" s="82"/>
      <c r="IN34" s="82"/>
      <c r="IO34" s="82"/>
      <c r="IP34" s="82"/>
      <c r="IQ34" s="82"/>
      <c r="IR34" s="82"/>
      <c r="IS34" s="82"/>
      <c r="IT34" s="82"/>
      <c r="IU34" s="82"/>
      <c r="IV34" s="82"/>
      <c r="IW34" s="82"/>
      <c r="IX34" s="82"/>
      <c r="IY34" s="82"/>
      <c r="IZ34" s="82"/>
      <c r="JA34" s="82"/>
      <c r="JB34" s="82"/>
      <c r="JC34" s="82"/>
      <c r="JD34" s="82"/>
      <c r="JE34" s="82"/>
      <c r="JF34" s="82"/>
      <c r="JG34" s="82"/>
      <c r="JH34" s="82"/>
      <c r="JI34" s="82"/>
      <c r="JJ34" s="82"/>
      <c r="JK34" s="82"/>
      <c r="JL34" s="82"/>
      <c r="JM34" s="82"/>
      <c r="JN34" s="82"/>
      <c r="JO34" s="82"/>
      <c r="JP34" s="82"/>
      <c r="JQ34" s="82"/>
      <c r="JR34" s="82"/>
      <c r="JS34" s="82"/>
      <c r="JT34" s="82"/>
      <c r="JU34" s="82"/>
      <c r="JV34" s="82"/>
      <c r="JW34" s="82"/>
      <c r="JX34" s="82"/>
      <c r="JY34" s="82"/>
      <c r="JZ34" s="82"/>
      <c r="KA34" s="82"/>
      <c r="KB34" s="82"/>
      <c r="KC34" s="82"/>
      <c r="KD34" s="82"/>
      <c r="KE34" s="82"/>
      <c r="KF34" s="82"/>
      <c r="KG34" s="82"/>
      <c r="KH34" s="82"/>
      <c r="KI34" s="82"/>
      <c r="KJ34" s="82"/>
      <c r="KK34" s="82"/>
      <c r="KL34" s="82"/>
      <c r="KM34" s="82"/>
      <c r="KN34" s="82"/>
      <c r="KO34" s="82"/>
      <c r="KP34" s="82"/>
      <c r="KQ34" s="82"/>
      <c r="KR34" s="82"/>
      <c r="KS34" s="82"/>
      <c r="KT34" s="82"/>
      <c r="KU34" s="82"/>
      <c r="KV34" s="82"/>
      <c r="KW34" s="82"/>
      <c r="KX34" s="82"/>
      <c r="KY34" s="82"/>
      <c r="KZ34" s="82"/>
      <c r="LA34" s="82"/>
      <c r="LB34" s="82"/>
      <c r="LC34" s="82"/>
      <c r="LD34" s="82"/>
      <c r="LE34" s="82"/>
      <c r="LF34" s="82"/>
      <c r="LG34" s="82"/>
      <c r="LH34" s="82"/>
      <c r="LI34" s="82"/>
      <c r="LJ34" s="82"/>
      <c r="LK34" s="82"/>
      <c r="LL34" s="82"/>
      <c r="LM34" s="82"/>
      <c r="LN34" s="82"/>
      <c r="LO34" s="82"/>
      <c r="LP34" s="82"/>
      <c r="LQ34" s="82"/>
      <c r="LR34" s="82"/>
      <c r="LS34" s="82"/>
      <c r="LT34" s="82"/>
      <c r="LU34" s="82"/>
      <c r="LV34" s="82"/>
      <c r="LW34" s="82"/>
      <c r="LX34" s="82"/>
      <c r="LY34" s="82"/>
      <c r="LZ34" s="82"/>
      <c r="MA34" s="82"/>
      <c r="MB34" s="82"/>
      <c r="MC34" s="82"/>
      <c r="MD34" s="82"/>
      <c r="ME34" s="82"/>
      <c r="MF34" s="82"/>
      <c r="MG34" s="82"/>
      <c r="MH34" s="82"/>
      <c r="MI34" s="82"/>
      <c r="MJ34" s="82"/>
      <c r="MK34" s="82"/>
      <c r="ML34" s="82"/>
      <c r="MM34" s="82"/>
      <c r="MN34" s="82"/>
      <c r="MO34" s="82"/>
      <c r="MP34" s="82"/>
      <c r="MQ34" s="82"/>
      <c r="MR34" s="82"/>
      <c r="MS34" s="82"/>
      <c r="MT34" s="82"/>
      <c r="MU34" s="82"/>
      <c r="MV34" s="82"/>
      <c r="MW34" s="82"/>
      <c r="MX34" s="82"/>
      <c r="MY34" s="82"/>
      <c r="MZ34" s="82"/>
      <c r="NA34" s="82"/>
      <c r="NB34" s="82"/>
      <c r="NC34" s="82"/>
      <c r="ND34" s="82"/>
      <c r="NE34" s="82"/>
      <c r="NF34" s="82"/>
      <c r="NG34" s="82"/>
      <c r="NH34" s="82"/>
      <c r="NI34" s="82"/>
      <c r="NJ34" s="82"/>
      <c r="NK34" s="82"/>
      <c r="NL34" s="82"/>
      <c r="NM34" s="82"/>
      <c r="NN34" s="82"/>
      <c r="NO34" s="82"/>
      <c r="NP34" s="82"/>
      <c r="NQ34" s="82"/>
      <c r="NR34" s="82"/>
      <c r="NS34" s="82"/>
      <c r="NT34" s="82"/>
      <c r="NU34" s="82"/>
      <c r="NV34" s="82"/>
      <c r="NW34" s="82"/>
      <c r="NX34" s="82"/>
      <c r="NY34" s="82"/>
      <c r="NZ34" s="82"/>
      <c r="OA34" s="82"/>
      <c r="OB34" s="82"/>
      <c r="OC34" s="82"/>
      <c r="OD34" s="82"/>
      <c r="OE34" s="82"/>
      <c r="OF34" s="82"/>
      <c r="OG34" s="82"/>
      <c r="OH34" s="82"/>
      <c r="OI34" s="82"/>
      <c r="OJ34" s="82"/>
      <c r="OK34" s="82"/>
      <c r="OL34" s="82"/>
      <c r="OM34" s="82"/>
      <c r="ON34" s="82"/>
      <c r="OO34" s="82"/>
      <c r="OP34" s="82"/>
      <c r="OQ34" s="82"/>
      <c r="OR34" s="82"/>
      <c r="OS34" s="82"/>
      <c r="OT34" s="82"/>
      <c r="OU34" s="82"/>
      <c r="OV34" s="82"/>
      <c r="OW34" s="82"/>
      <c r="OX34" s="82"/>
      <c r="OY34" s="82"/>
      <c r="OZ34" s="82"/>
      <c r="PA34" s="82"/>
      <c r="PB34" s="82"/>
      <c r="PC34" s="82"/>
      <c r="PD34" s="82"/>
      <c r="PE34" s="82"/>
      <c r="PF34" s="82"/>
      <c r="PG34" s="82"/>
      <c r="PH34" s="82"/>
      <c r="PI34" s="82"/>
      <c r="PJ34" s="82"/>
      <c r="PK34" s="82"/>
      <c r="PL34" s="82"/>
      <c r="PM34" s="82"/>
      <c r="PN34" s="82"/>
      <c r="PO34" s="82"/>
      <c r="PP34" s="82"/>
      <c r="PQ34" s="82"/>
      <c r="PR34" s="82"/>
      <c r="PS34" s="82"/>
      <c r="PT34" s="82"/>
      <c r="PU34" s="82"/>
      <c r="PV34" s="82"/>
      <c r="PW34" s="82"/>
      <c r="PX34" s="82"/>
      <c r="PY34" s="82"/>
      <c r="PZ34" s="82"/>
      <c r="QA34" s="82"/>
      <c r="QB34" s="82"/>
      <c r="QC34" s="82"/>
      <c r="QD34" s="82"/>
      <c r="QE34" s="82"/>
      <c r="QF34" s="82"/>
      <c r="QG34" s="82"/>
      <c r="QH34" s="82"/>
      <c r="QI34" s="82"/>
      <c r="QJ34" s="82"/>
      <c r="QK34" s="82"/>
      <c r="QL34" s="82"/>
      <c r="QM34" s="82"/>
      <c r="QN34" s="82"/>
      <c r="QO34" s="82"/>
      <c r="QP34" s="82"/>
      <c r="QQ34" s="82"/>
      <c r="QR34" s="82"/>
      <c r="QS34" s="82"/>
      <c r="QT34" s="82"/>
      <c r="QU34" s="82"/>
      <c r="QV34" s="82"/>
      <c r="QW34" s="82"/>
      <c r="QX34" s="82"/>
      <c r="QY34" s="82"/>
      <c r="QZ34" s="82"/>
      <c r="RA34" s="82"/>
      <c r="RB34" s="82"/>
      <c r="RC34" s="82"/>
      <c r="RD34" s="82"/>
      <c r="RE34" s="82"/>
      <c r="RF34" s="82"/>
      <c r="RG34" s="82"/>
      <c r="RH34" s="82"/>
      <c r="RI34" s="82"/>
      <c r="RJ34" s="82"/>
      <c r="RK34" s="82"/>
      <c r="RL34" s="82"/>
      <c r="RM34" s="82"/>
      <c r="RN34" s="82"/>
      <c r="RO34" s="82"/>
      <c r="RP34" s="82"/>
      <c r="RQ34" s="82"/>
      <c r="RR34" s="82"/>
      <c r="RS34" s="82"/>
      <c r="RT34" s="82"/>
      <c r="RU34" s="82"/>
      <c r="RV34" s="82"/>
      <c r="RW34" s="82"/>
      <c r="RX34" s="82"/>
      <c r="RY34" s="82"/>
      <c r="RZ34" s="82"/>
      <c r="SA34" s="82"/>
      <c r="SB34" s="82"/>
      <c r="SC34" s="82"/>
      <c r="SD34" s="82"/>
      <c r="SE34" s="82"/>
      <c r="SF34" s="82"/>
      <c r="SG34" s="82"/>
      <c r="SH34" s="82"/>
      <c r="SI34" s="82"/>
      <c r="SJ34" s="82"/>
      <c r="SK34" s="82"/>
      <c r="SL34" s="82"/>
      <c r="SM34" s="82"/>
      <c r="SN34" s="82"/>
      <c r="SO34" s="82"/>
      <c r="SP34" s="82"/>
      <c r="SQ34" s="82"/>
      <c r="SR34" s="82"/>
      <c r="SS34" s="82"/>
      <c r="ST34" s="82"/>
      <c r="SU34" s="82"/>
      <c r="SV34" s="82"/>
      <c r="SW34" s="82"/>
      <c r="SX34" s="82"/>
      <c r="SY34" s="82"/>
      <c r="SZ34" s="82"/>
      <c r="TA34" s="82"/>
      <c r="TB34" s="82"/>
      <c r="TC34" s="82"/>
      <c r="TD34" s="82"/>
      <c r="TE34" s="82"/>
      <c r="TF34" s="82"/>
      <c r="TG34" s="82"/>
      <c r="TH34" s="82"/>
      <c r="TI34" s="82"/>
      <c r="TJ34" s="82"/>
      <c r="TK34" s="82"/>
      <c r="TL34" s="82"/>
      <c r="TM34" s="82"/>
      <c r="TN34" s="82"/>
      <c r="TO34" s="82"/>
      <c r="TP34" s="82"/>
      <c r="TQ34" s="82"/>
      <c r="TR34" s="82"/>
      <c r="TS34" s="82"/>
      <c r="TT34" s="82"/>
      <c r="TU34" s="82"/>
      <c r="TV34" s="82"/>
      <c r="TW34" s="82"/>
      <c r="TX34" s="82"/>
      <c r="TY34" s="82"/>
      <c r="TZ34" s="82"/>
      <c r="UA34" s="82"/>
      <c r="UB34" s="82"/>
      <c r="UC34" s="82"/>
      <c r="UD34" s="82"/>
      <c r="UE34" s="82"/>
      <c r="UF34" s="82"/>
      <c r="UG34" s="82"/>
      <c r="UH34" s="82"/>
      <c r="UI34" s="82"/>
      <c r="UJ34" s="82"/>
      <c r="UK34" s="82"/>
      <c r="UL34" s="82"/>
      <c r="UM34" s="82"/>
      <c r="UN34" s="82"/>
      <c r="UO34" s="82"/>
      <c r="UP34" s="82"/>
      <c r="UQ34" s="82"/>
      <c r="UR34" s="82"/>
      <c r="US34" s="82"/>
      <c r="UT34" s="82"/>
      <c r="UU34" s="82"/>
      <c r="UV34" s="82"/>
      <c r="UW34" s="82"/>
      <c r="UX34" s="82"/>
      <c r="UY34" s="82"/>
      <c r="UZ34" s="82"/>
      <c r="VA34" s="82"/>
      <c r="VB34" s="82"/>
      <c r="VC34" s="82"/>
      <c r="VD34" s="82"/>
      <c r="VE34" s="82"/>
      <c r="VF34" s="82"/>
      <c r="VG34" s="82"/>
      <c r="VH34" s="82"/>
      <c r="VI34" s="82"/>
      <c r="VJ34" s="82"/>
      <c r="VK34" s="82"/>
      <c r="VL34" s="82"/>
      <c r="VM34" s="82"/>
      <c r="VN34" s="82"/>
      <c r="VO34" s="82"/>
      <c r="VP34" s="82"/>
      <c r="VQ34" s="82"/>
      <c r="VR34" s="82"/>
      <c r="VS34" s="82"/>
      <c r="VT34" s="82"/>
      <c r="VU34" s="82"/>
      <c r="VV34" s="82"/>
      <c r="VW34" s="82"/>
      <c r="VX34" s="82"/>
      <c r="VY34" s="82"/>
      <c r="VZ34" s="82"/>
      <c r="WA34" s="82"/>
      <c r="WB34" s="82"/>
      <c r="WC34" s="82"/>
      <c r="WD34" s="82"/>
      <c r="WE34" s="82"/>
      <c r="WF34" s="82"/>
      <c r="WG34" s="82"/>
      <c r="WH34" s="82"/>
      <c r="WI34" s="82"/>
      <c r="WJ34" s="82"/>
      <c r="WK34" s="82"/>
      <c r="WL34" s="82"/>
      <c r="WM34" s="82"/>
      <c r="WN34" s="82"/>
      <c r="WO34" s="82"/>
      <c r="WP34" s="82"/>
      <c r="WQ34" s="82"/>
      <c r="WR34" s="82"/>
      <c r="WS34" s="82"/>
      <c r="WT34" s="82"/>
      <c r="WU34" s="82"/>
      <c r="WV34" s="82"/>
      <c r="WW34" s="155"/>
      <c r="WX34" s="152">
        <v>12</v>
      </c>
    </row>
    <row r="35" spans="2:624">
      <c r="B35" s="311" t="s">
        <v>890</v>
      </c>
      <c r="C35" s="312">
        <v>0.25</v>
      </c>
      <c r="D35" s="314">
        <f>C35*$D$34</f>
        <v>435</v>
      </c>
      <c r="E35" s="305" t="str">
        <f>B35</f>
        <v>Sáng</v>
      </c>
      <c r="F35" s="305"/>
      <c r="G35" s="305"/>
      <c r="H35" s="121"/>
      <c r="M35" s="137" t="s">
        <v>855</v>
      </c>
      <c r="N35" s="138">
        <v>1.55</v>
      </c>
      <c r="O35" s="138">
        <v>1.75</v>
      </c>
      <c r="P35" s="138">
        <v>1.95</v>
      </c>
      <c r="WX35" s="152">
        <v>15</v>
      </c>
    </row>
    <row r="36" spans="2:624">
      <c r="B36" s="311"/>
      <c r="C36" s="313"/>
      <c r="D36" s="315"/>
      <c r="E36" s="125" t="s">
        <v>873</v>
      </c>
      <c r="F36" s="126"/>
      <c r="G36" s="127">
        <f>$G$23*C35</f>
        <v>21.75</v>
      </c>
      <c r="H36" s="121"/>
      <c r="M36" s="137" t="s">
        <v>856</v>
      </c>
      <c r="N36" s="138">
        <v>1.5</v>
      </c>
      <c r="O36" s="138">
        <v>1.75</v>
      </c>
      <c r="P36" s="138">
        <v>2</v>
      </c>
      <c r="WX36" s="152">
        <v>18</v>
      </c>
    </row>
    <row r="37" spans="2:624" s="82" customFormat="1">
      <c r="B37" s="311"/>
      <c r="C37" s="313"/>
      <c r="D37" s="315"/>
      <c r="E37" s="128" t="s">
        <v>876</v>
      </c>
      <c r="F37" s="129">
        <v>0.3</v>
      </c>
      <c r="G37" s="130">
        <f>F37*G36</f>
        <v>6.5250000000000004</v>
      </c>
      <c r="H37" s="121"/>
      <c r="J37" s="144"/>
      <c r="M37" s="137" t="s">
        <v>858</v>
      </c>
      <c r="N37" s="138">
        <v>1.5</v>
      </c>
      <c r="O37" s="138">
        <v>1.75</v>
      </c>
      <c r="P37" s="138">
        <v>2</v>
      </c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  <c r="HZ37" s="83"/>
      <c r="IA37" s="83"/>
      <c r="IB37" s="83"/>
      <c r="IC37" s="83"/>
      <c r="ID37" s="83"/>
      <c r="IE37" s="83"/>
      <c r="IF37" s="83"/>
      <c r="IG37" s="83"/>
      <c r="IH37" s="83"/>
      <c r="II37" s="83"/>
      <c r="IJ37" s="83"/>
      <c r="IK37" s="83"/>
      <c r="IL37" s="83"/>
      <c r="IM37" s="83"/>
      <c r="IN37" s="83"/>
      <c r="IO37" s="83"/>
      <c r="IP37" s="83"/>
      <c r="IQ37" s="83"/>
      <c r="IR37" s="83"/>
      <c r="IS37" s="83"/>
      <c r="IT37" s="83"/>
      <c r="IU37" s="83"/>
      <c r="IV37" s="83"/>
      <c r="IW37" s="83"/>
      <c r="IX37" s="83"/>
      <c r="IY37" s="83"/>
      <c r="IZ37" s="83"/>
      <c r="JA37" s="83"/>
      <c r="JB37" s="83"/>
      <c r="JC37" s="83"/>
      <c r="JD37" s="83"/>
      <c r="JE37" s="83"/>
      <c r="JF37" s="83"/>
      <c r="JG37" s="83"/>
      <c r="JH37" s="83"/>
      <c r="JI37" s="83"/>
      <c r="JJ37" s="83"/>
      <c r="JK37" s="83"/>
      <c r="JL37" s="83"/>
      <c r="JM37" s="83"/>
      <c r="JN37" s="83"/>
      <c r="JO37" s="83"/>
      <c r="JP37" s="83"/>
      <c r="JQ37" s="83"/>
      <c r="JR37" s="83"/>
      <c r="JS37" s="83"/>
      <c r="JT37" s="83"/>
      <c r="JU37" s="83"/>
      <c r="JV37" s="83"/>
      <c r="JW37" s="83"/>
      <c r="JX37" s="83"/>
      <c r="JY37" s="83"/>
      <c r="JZ37" s="83"/>
      <c r="KA37" s="83"/>
      <c r="KB37" s="83"/>
      <c r="KC37" s="83"/>
      <c r="KD37" s="83"/>
      <c r="KE37" s="83"/>
      <c r="KF37" s="83"/>
      <c r="KG37" s="83"/>
      <c r="KH37" s="83"/>
      <c r="KI37" s="83"/>
      <c r="KJ37" s="83"/>
      <c r="KK37" s="83"/>
      <c r="KL37" s="83"/>
      <c r="KM37" s="83"/>
      <c r="KN37" s="83"/>
      <c r="KO37" s="83"/>
      <c r="KP37" s="83"/>
      <c r="KQ37" s="83"/>
      <c r="KR37" s="83"/>
      <c r="KS37" s="83"/>
      <c r="KT37" s="83"/>
      <c r="KU37" s="83"/>
      <c r="KV37" s="83"/>
      <c r="KW37" s="83"/>
      <c r="KX37" s="83"/>
      <c r="KY37" s="83"/>
      <c r="KZ37" s="83"/>
      <c r="LA37" s="83"/>
      <c r="LB37" s="83"/>
      <c r="LC37" s="83"/>
      <c r="LD37" s="83"/>
      <c r="LE37" s="83"/>
      <c r="LF37" s="83"/>
      <c r="LG37" s="83"/>
      <c r="LH37" s="83"/>
      <c r="LI37" s="83"/>
      <c r="LJ37" s="83"/>
      <c r="LK37" s="83"/>
      <c r="LL37" s="83"/>
      <c r="LM37" s="83"/>
      <c r="LN37" s="83"/>
      <c r="LO37" s="83"/>
      <c r="LP37" s="83"/>
      <c r="LQ37" s="83"/>
      <c r="LR37" s="83"/>
      <c r="LS37" s="83"/>
      <c r="LT37" s="83"/>
      <c r="LU37" s="83"/>
      <c r="LV37" s="83"/>
      <c r="LW37" s="83"/>
      <c r="LX37" s="83"/>
      <c r="LY37" s="83"/>
      <c r="LZ37" s="83"/>
      <c r="MA37" s="83"/>
      <c r="MB37" s="83"/>
      <c r="MC37" s="83"/>
      <c r="MD37" s="83"/>
      <c r="ME37" s="83"/>
      <c r="MF37" s="83"/>
      <c r="MG37" s="83"/>
      <c r="MH37" s="83"/>
      <c r="MI37" s="83"/>
      <c r="MJ37" s="83"/>
      <c r="MK37" s="83"/>
      <c r="ML37" s="83"/>
      <c r="MM37" s="83"/>
      <c r="MN37" s="83"/>
      <c r="MO37" s="83"/>
      <c r="MP37" s="83"/>
      <c r="MQ37" s="83"/>
      <c r="MR37" s="83"/>
      <c r="MS37" s="83"/>
      <c r="MT37" s="83"/>
      <c r="MU37" s="83"/>
      <c r="MV37" s="83"/>
      <c r="MW37" s="83"/>
      <c r="MX37" s="83"/>
      <c r="MY37" s="83"/>
      <c r="MZ37" s="83"/>
      <c r="NA37" s="83"/>
      <c r="NB37" s="83"/>
      <c r="NC37" s="83"/>
      <c r="ND37" s="83"/>
      <c r="NE37" s="83"/>
      <c r="NF37" s="83"/>
      <c r="NG37" s="83"/>
      <c r="NH37" s="83"/>
      <c r="NI37" s="83"/>
      <c r="NJ37" s="83"/>
      <c r="NK37" s="83"/>
      <c r="NL37" s="83"/>
      <c r="NM37" s="83"/>
      <c r="NN37" s="83"/>
      <c r="NO37" s="83"/>
      <c r="NP37" s="83"/>
      <c r="NQ37" s="83"/>
      <c r="NR37" s="83"/>
      <c r="NS37" s="83"/>
      <c r="NT37" s="83"/>
      <c r="NU37" s="83"/>
      <c r="NV37" s="83"/>
      <c r="NW37" s="83"/>
      <c r="NX37" s="83"/>
      <c r="NY37" s="83"/>
      <c r="NZ37" s="83"/>
      <c r="OA37" s="83"/>
      <c r="OB37" s="83"/>
      <c r="OC37" s="83"/>
      <c r="OD37" s="83"/>
      <c r="OE37" s="83"/>
      <c r="OF37" s="83"/>
      <c r="OG37" s="83"/>
      <c r="OH37" s="83"/>
      <c r="OI37" s="83"/>
      <c r="OJ37" s="83"/>
      <c r="OK37" s="83"/>
      <c r="OL37" s="83"/>
      <c r="OM37" s="83"/>
      <c r="ON37" s="83"/>
      <c r="OO37" s="83"/>
      <c r="OP37" s="83"/>
      <c r="OQ37" s="83"/>
      <c r="OR37" s="83"/>
      <c r="OS37" s="83"/>
      <c r="OT37" s="83"/>
      <c r="OU37" s="83"/>
      <c r="OV37" s="83"/>
      <c r="OW37" s="83"/>
      <c r="OX37" s="83"/>
      <c r="OY37" s="83"/>
      <c r="OZ37" s="83"/>
      <c r="PA37" s="83"/>
      <c r="PB37" s="83"/>
      <c r="PC37" s="83"/>
      <c r="PD37" s="83"/>
      <c r="PE37" s="83"/>
      <c r="PF37" s="83"/>
      <c r="PG37" s="83"/>
      <c r="PH37" s="83"/>
      <c r="PI37" s="83"/>
      <c r="PJ37" s="83"/>
      <c r="PK37" s="83"/>
      <c r="PL37" s="83"/>
      <c r="PM37" s="83"/>
      <c r="PN37" s="83"/>
      <c r="PO37" s="83"/>
      <c r="PP37" s="83"/>
      <c r="PQ37" s="83"/>
      <c r="PR37" s="83"/>
      <c r="PS37" s="83"/>
      <c r="PT37" s="83"/>
      <c r="PU37" s="83"/>
      <c r="PV37" s="83"/>
      <c r="PW37" s="83"/>
      <c r="PX37" s="83"/>
      <c r="PY37" s="83"/>
      <c r="PZ37" s="83"/>
      <c r="QA37" s="83"/>
      <c r="QB37" s="83"/>
      <c r="QC37" s="83"/>
      <c r="QD37" s="83"/>
      <c r="QE37" s="83"/>
      <c r="QF37" s="83"/>
      <c r="QG37" s="83"/>
      <c r="QH37" s="83"/>
      <c r="QI37" s="83"/>
      <c r="QJ37" s="83"/>
      <c r="QK37" s="83"/>
      <c r="QL37" s="83"/>
      <c r="QM37" s="83"/>
      <c r="QN37" s="83"/>
      <c r="QO37" s="83"/>
      <c r="QP37" s="83"/>
      <c r="QQ37" s="83"/>
      <c r="QR37" s="83"/>
      <c r="QS37" s="83"/>
      <c r="QT37" s="83"/>
      <c r="QU37" s="83"/>
      <c r="QV37" s="83"/>
      <c r="QW37" s="83"/>
      <c r="QX37" s="83"/>
      <c r="QY37" s="83"/>
      <c r="QZ37" s="83"/>
      <c r="RA37" s="83"/>
      <c r="RB37" s="83"/>
      <c r="RC37" s="83"/>
      <c r="RD37" s="83"/>
      <c r="RE37" s="83"/>
      <c r="RF37" s="83"/>
      <c r="RG37" s="83"/>
      <c r="RH37" s="83"/>
      <c r="RI37" s="83"/>
      <c r="RJ37" s="83"/>
      <c r="RK37" s="83"/>
      <c r="RL37" s="83"/>
      <c r="RM37" s="83"/>
      <c r="RN37" s="83"/>
      <c r="RO37" s="83"/>
      <c r="RP37" s="83"/>
      <c r="RQ37" s="83"/>
      <c r="RR37" s="83"/>
      <c r="RS37" s="83"/>
      <c r="RT37" s="83"/>
      <c r="RU37" s="83"/>
      <c r="RV37" s="83"/>
      <c r="RW37" s="83"/>
      <c r="RX37" s="83"/>
      <c r="RY37" s="83"/>
      <c r="RZ37" s="83"/>
      <c r="SA37" s="83"/>
      <c r="SB37" s="83"/>
      <c r="SC37" s="83"/>
      <c r="SD37" s="83"/>
      <c r="SE37" s="83"/>
      <c r="SF37" s="83"/>
      <c r="SG37" s="83"/>
      <c r="SH37" s="83"/>
      <c r="SI37" s="83"/>
      <c r="SJ37" s="83"/>
      <c r="SK37" s="83"/>
      <c r="SL37" s="83"/>
      <c r="SM37" s="83"/>
      <c r="SN37" s="83"/>
      <c r="SO37" s="83"/>
      <c r="SP37" s="83"/>
      <c r="SQ37" s="83"/>
      <c r="SR37" s="83"/>
      <c r="SS37" s="83"/>
      <c r="ST37" s="83"/>
      <c r="SU37" s="83"/>
      <c r="SV37" s="83"/>
      <c r="SW37" s="83"/>
      <c r="SX37" s="83"/>
      <c r="SY37" s="83"/>
      <c r="SZ37" s="83"/>
      <c r="TA37" s="83"/>
      <c r="TB37" s="83"/>
      <c r="TC37" s="83"/>
      <c r="TD37" s="83"/>
      <c r="TE37" s="83"/>
      <c r="TF37" s="83"/>
      <c r="TG37" s="83"/>
      <c r="TH37" s="83"/>
      <c r="TI37" s="83"/>
      <c r="TJ37" s="83"/>
      <c r="TK37" s="83"/>
      <c r="TL37" s="83"/>
      <c r="TM37" s="83"/>
      <c r="TN37" s="83"/>
      <c r="TO37" s="83"/>
      <c r="TP37" s="83"/>
      <c r="TQ37" s="83"/>
      <c r="TR37" s="83"/>
      <c r="TS37" s="83"/>
      <c r="TT37" s="83"/>
      <c r="TU37" s="83"/>
      <c r="TV37" s="83"/>
      <c r="TW37" s="83"/>
      <c r="TX37" s="83"/>
      <c r="TY37" s="83"/>
      <c r="TZ37" s="83"/>
      <c r="UA37" s="83"/>
      <c r="UB37" s="83"/>
      <c r="UC37" s="83"/>
      <c r="UD37" s="83"/>
      <c r="UE37" s="83"/>
      <c r="UF37" s="83"/>
      <c r="UG37" s="83"/>
      <c r="UH37" s="83"/>
      <c r="UI37" s="83"/>
      <c r="UJ37" s="83"/>
      <c r="UK37" s="83"/>
      <c r="UL37" s="83"/>
      <c r="UM37" s="83"/>
      <c r="UN37" s="83"/>
      <c r="UO37" s="83"/>
      <c r="UP37" s="83"/>
      <c r="UQ37" s="83"/>
      <c r="UR37" s="83"/>
      <c r="US37" s="83"/>
      <c r="UT37" s="83"/>
      <c r="UU37" s="83"/>
      <c r="UV37" s="83"/>
      <c r="UW37" s="83"/>
      <c r="UX37" s="83"/>
      <c r="UY37" s="83"/>
      <c r="UZ37" s="83"/>
      <c r="VA37" s="83"/>
      <c r="VB37" s="83"/>
      <c r="VC37" s="83"/>
      <c r="VD37" s="83"/>
      <c r="VE37" s="83"/>
      <c r="VF37" s="83"/>
      <c r="VG37" s="83"/>
      <c r="VH37" s="83"/>
      <c r="VI37" s="83"/>
      <c r="VJ37" s="83"/>
      <c r="VK37" s="83"/>
      <c r="VL37" s="83"/>
      <c r="VM37" s="83"/>
      <c r="VN37" s="83"/>
      <c r="VO37" s="83"/>
      <c r="VP37" s="83"/>
      <c r="VQ37" s="83"/>
      <c r="VR37" s="83"/>
      <c r="VS37" s="83"/>
      <c r="VT37" s="83"/>
      <c r="VU37" s="83"/>
      <c r="VV37" s="83"/>
      <c r="VW37" s="83"/>
      <c r="VX37" s="83"/>
      <c r="VY37" s="83"/>
      <c r="VZ37" s="83"/>
      <c r="WA37" s="83"/>
      <c r="WB37" s="83"/>
      <c r="WC37" s="83"/>
      <c r="WD37" s="83"/>
      <c r="WE37" s="83"/>
      <c r="WF37" s="83"/>
      <c r="WG37" s="83"/>
      <c r="WH37" s="83"/>
      <c r="WI37" s="83"/>
      <c r="WJ37" s="83"/>
      <c r="WK37" s="83"/>
      <c r="WL37" s="83"/>
      <c r="WM37" s="83"/>
      <c r="WN37" s="83"/>
      <c r="WO37" s="83"/>
      <c r="WP37" s="83"/>
      <c r="WQ37" s="83"/>
      <c r="WR37" s="83"/>
      <c r="WS37" s="83"/>
      <c r="WT37" s="83"/>
      <c r="WU37" s="83"/>
      <c r="WV37" s="83"/>
      <c r="WW37" s="84"/>
      <c r="WX37" s="152">
        <v>30</v>
      </c>
      <c r="WY37" s="83"/>
    </row>
    <row r="38" spans="2:624">
      <c r="B38" s="311"/>
      <c r="C38" s="313"/>
      <c r="D38" s="315"/>
      <c r="E38" s="128" t="s">
        <v>877</v>
      </c>
      <c r="F38" s="129">
        <f>100%-F37</f>
        <v>0.7</v>
      </c>
      <c r="G38" s="130">
        <f>F38*G36</f>
        <v>15.225</v>
      </c>
      <c r="H38" s="82"/>
      <c r="M38" s="137" t="s">
        <v>859</v>
      </c>
      <c r="N38" s="138">
        <v>1.5</v>
      </c>
      <c r="O38" s="138">
        <v>1.75</v>
      </c>
      <c r="P38" s="138">
        <v>2</v>
      </c>
      <c r="WX38" s="152">
        <v>50</v>
      </c>
    </row>
    <row r="39" spans="2:624">
      <c r="B39" s="311"/>
      <c r="C39" s="313"/>
      <c r="D39" s="315"/>
      <c r="E39" s="125" t="s">
        <v>878</v>
      </c>
      <c r="F39" s="126"/>
      <c r="G39" s="127">
        <f>$G$26*C35</f>
        <v>12.0833333333333</v>
      </c>
      <c r="M39" s="137" t="s">
        <v>861</v>
      </c>
      <c r="N39" s="138">
        <v>1.45</v>
      </c>
      <c r="O39" s="138">
        <v>1.7</v>
      </c>
      <c r="P39" s="138">
        <v>1.95</v>
      </c>
      <c r="WX39" s="152">
        <v>65</v>
      </c>
    </row>
    <row r="40" spans="2:624">
      <c r="B40" s="311"/>
      <c r="C40" s="313"/>
      <c r="D40" s="315"/>
      <c r="E40" s="128" t="s">
        <v>879</v>
      </c>
      <c r="F40" s="129">
        <v>0.5</v>
      </c>
      <c r="G40" s="130">
        <f>G39*F40</f>
        <v>6.0416666666666696</v>
      </c>
      <c r="H40" s="121"/>
      <c r="M40" s="139" t="s">
        <v>863</v>
      </c>
      <c r="N40" s="138">
        <v>1.4</v>
      </c>
      <c r="O40" s="138">
        <v>1.65</v>
      </c>
      <c r="P40" s="138"/>
      <c r="WX40" s="152">
        <v>75</v>
      </c>
    </row>
    <row r="41" spans="2:624">
      <c r="B41" s="311"/>
      <c r="C41" s="313"/>
      <c r="D41" s="315"/>
      <c r="E41" s="128" t="s">
        <v>881</v>
      </c>
      <c r="F41" s="129">
        <f>100%-F40</f>
        <v>0.5</v>
      </c>
      <c r="G41" s="130">
        <f>G39*F41</f>
        <v>6.0416666666666696</v>
      </c>
      <c r="H41" s="121"/>
      <c r="M41" s="140"/>
      <c r="N41" s="145" t="s">
        <v>891</v>
      </c>
      <c r="O41" s="146" t="s">
        <v>892</v>
      </c>
      <c r="P41" s="147" t="s">
        <v>893</v>
      </c>
    </row>
    <row r="42" spans="2:624">
      <c r="B42" s="311"/>
      <c r="C42" s="313"/>
      <c r="D42" s="315"/>
      <c r="E42" s="125" t="s">
        <v>885</v>
      </c>
      <c r="F42" s="126"/>
      <c r="G42" s="127">
        <f>$G$29*C35</f>
        <v>59.8125</v>
      </c>
      <c r="H42" s="121"/>
      <c r="M42" s="140"/>
      <c r="N42" s="140"/>
      <c r="O42" s="140"/>
    </row>
    <row r="43" spans="2:624">
      <c r="B43" s="123"/>
      <c r="C43" s="131"/>
      <c r="D43" s="132"/>
      <c r="E43" s="306" t="str">
        <f>$D$33&amp;": "&amp;E35</f>
        <v>E (kcal): Sáng</v>
      </c>
      <c r="F43" s="307"/>
      <c r="G43" s="133">
        <f>D35</f>
        <v>435</v>
      </c>
      <c r="H43" s="121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  <c r="FU43" s="82"/>
      <c r="FV43" s="82"/>
      <c r="FW43" s="82"/>
      <c r="FX43" s="82"/>
      <c r="FY43" s="82"/>
      <c r="FZ43" s="82"/>
      <c r="GA43" s="82"/>
      <c r="GB43" s="82"/>
      <c r="GC43" s="82"/>
      <c r="GD43" s="82"/>
      <c r="GE43" s="82"/>
      <c r="GF43" s="82"/>
      <c r="GG43" s="82"/>
      <c r="GH43" s="82"/>
      <c r="GI43" s="82"/>
      <c r="GJ43" s="82"/>
      <c r="GK43" s="82"/>
      <c r="GL43" s="82"/>
      <c r="GM43" s="82"/>
      <c r="GN43" s="82"/>
      <c r="GO43" s="82"/>
      <c r="GP43" s="82"/>
      <c r="GQ43" s="82"/>
      <c r="GR43" s="82"/>
      <c r="GS43" s="82"/>
      <c r="GT43" s="82"/>
      <c r="GU43" s="82"/>
      <c r="GV43" s="82"/>
      <c r="GW43" s="82"/>
      <c r="GX43" s="82"/>
      <c r="GY43" s="82"/>
      <c r="GZ43" s="82"/>
      <c r="HA43" s="82"/>
      <c r="HB43" s="82"/>
      <c r="HC43" s="82"/>
      <c r="HD43" s="82"/>
      <c r="HE43" s="82"/>
      <c r="HF43" s="82"/>
      <c r="HG43" s="82"/>
      <c r="HH43" s="82"/>
      <c r="HI43" s="82"/>
      <c r="HJ43" s="82"/>
      <c r="HK43" s="82"/>
      <c r="HL43" s="82"/>
      <c r="HM43" s="82"/>
      <c r="HN43" s="82"/>
      <c r="HO43" s="82"/>
      <c r="HP43" s="82"/>
      <c r="HQ43" s="82"/>
      <c r="HR43" s="82"/>
      <c r="HS43" s="82"/>
      <c r="HT43" s="82"/>
      <c r="HU43" s="82"/>
      <c r="HV43" s="82"/>
      <c r="HW43" s="82"/>
      <c r="HX43" s="82"/>
      <c r="HY43" s="82"/>
      <c r="HZ43" s="82"/>
      <c r="IA43" s="82"/>
      <c r="IB43" s="82"/>
      <c r="IC43" s="82"/>
      <c r="ID43" s="82"/>
      <c r="IE43" s="82"/>
      <c r="IF43" s="82"/>
      <c r="IG43" s="82"/>
      <c r="IH43" s="82"/>
      <c r="II43" s="82"/>
      <c r="IJ43" s="82"/>
      <c r="IK43" s="82"/>
      <c r="IL43" s="82"/>
      <c r="IM43" s="82"/>
      <c r="IN43" s="82"/>
      <c r="IO43" s="82"/>
      <c r="IP43" s="82"/>
      <c r="IQ43" s="82"/>
      <c r="IR43" s="82"/>
      <c r="IS43" s="82"/>
      <c r="IT43" s="82"/>
      <c r="IU43" s="82"/>
      <c r="IV43" s="82"/>
      <c r="IW43" s="82"/>
      <c r="IX43" s="82"/>
      <c r="IY43" s="82"/>
      <c r="IZ43" s="82"/>
      <c r="JA43" s="82"/>
      <c r="JB43" s="82"/>
      <c r="JC43" s="82"/>
      <c r="JD43" s="82"/>
      <c r="JE43" s="82"/>
      <c r="JF43" s="82"/>
      <c r="JG43" s="82"/>
      <c r="JH43" s="82"/>
      <c r="JI43" s="82"/>
      <c r="JJ43" s="82"/>
      <c r="JK43" s="82"/>
      <c r="JL43" s="82"/>
      <c r="JM43" s="82"/>
      <c r="JN43" s="82"/>
      <c r="JO43" s="82"/>
      <c r="JP43" s="82"/>
      <c r="JQ43" s="82"/>
      <c r="JR43" s="82"/>
      <c r="JS43" s="82"/>
      <c r="JT43" s="82"/>
      <c r="JU43" s="82"/>
      <c r="JV43" s="82"/>
      <c r="JW43" s="82"/>
      <c r="JX43" s="82"/>
      <c r="JY43" s="82"/>
      <c r="JZ43" s="82"/>
      <c r="KA43" s="82"/>
      <c r="KB43" s="82"/>
      <c r="KC43" s="82"/>
      <c r="KD43" s="82"/>
      <c r="KE43" s="82"/>
      <c r="KF43" s="82"/>
      <c r="KG43" s="82"/>
      <c r="KH43" s="82"/>
      <c r="KI43" s="82"/>
      <c r="KJ43" s="82"/>
      <c r="KK43" s="82"/>
      <c r="KL43" s="82"/>
      <c r="KM43" s="82"/>
      <c r="KN43" s="82"/>
      <c r="KO43" s="82"/>
      <c r="KP43" s="82"/>
      <c r="KQ43" s="82"/>
      <c r="KR43" s="82"/>
      <c r="KS43" s="82"/>
      <c r="KT43" s="82"/>
      <c r="KU43" s="82"/>
      <c r="KV43" s="82"/>
      <c r="KW43" s="82"/>
      <c r="KX43" s="82"/>
      <c r="KY43" s="82"/>
      <c r="KZ43" s="82"/>
      <c r="LA43" s="82"/>
      <c r="LB43" s="82"/>
      <c r="LC43" s="82"/>
      <c r="LD43" s="82"/>
      <c r="LE43" s="82"/>
      <c r="LF43" s="82"/>
      <c r="LG43" s="82"/>
      <c r="LH43" s="82"/>
      <c r="LI43" s="82"/>
      <c r="LJ43" s="82"/>
      <c r="LK43" s="82"/>
      <c r="LL43" s="82"/>
      <c r="LM43" s="82"/>
      <c r="LN43" s="82"/>
      <c r="LO43" s="82"/>
      <c r="LP43" s="82"/>
      <c r="LQ43" s="82"/>
      <c r="LR43" s="82"/>
      <c r="LS43" s="82"/>
      <c r="LT43" s="82"/>
      <c r="LU43" s="82"/>
      <c r="LV43" s="82"/>
      <c r="LW43" s="82"/>
      <c r="LX43" s="82"/>
      <c r="LY43" s="82"/>
      <c r="LZ43" s="82"/>
      <c r="MA43" s="82"/>
      <c r="MB43" s="82"/>
      <c r="MC43" s="82"/>
      <c r="MD43" s="82"/>
      <c r="ME43" s="82"/>
      <c r="MF43" s="82"/>
      <c r="MG43" s="82"/>
      <c r="MH43" s="82"/>
      <c r="MI43" s="82"/>
      <c r="MJ43" s="82"/>
      <c r="MK43" s="82"/>
      <c r="ML43" s="82"/>
      <c r="MM43" s="82"/>
      <c r="MN43" s="82"/>
      <c r="MO43" s="82"/>
      <c r="MP43" s="82"/>
      <c r="MQ43" s="82"/>
      <c r="MR43" s="82"/>
      <c r="MS43" s="82"/>
      <c r="MT43" s="82"/>
      <c r="MU43" s="82"/>
      <c r="MV43" s="82"/>
      <c r="MW43" s="82"/>
      <c r="MX43" s="82"/>
      <c r="MY43" s="82"/>
      <c r="MZ43" s="82"/>
      <c r="NA43" s="82"/>
      <c r="NB43" s="82"/>
      <c r="NC43" s="82"/>
      <c r="ND43" s="82"/>
      <c r="NE43" s="82"/>
      <c r="NF43" s="82"/>
      <c r="NG43" s="82"/>
      <c r="NH43" s="82"/>
      <c r="NI43" s="82"/>
      <c r="NJ43" s="82"/>
      <c r="NK43" s="82"/>
      <c r="NL43" s="82"/>
      <c r="NM43" s="82"/>
      <c r="NN43" s="82"/>
      <c r="NO43" s="82"/>
      <c r="NP43" s="82"/>
      <c r="NQ43" s="82"/>
      <c r="NR43" s="82"/>
      <c r="NS43" s="82"/>
      <c r="NT43" s="82"/>
      <c r="NU43" s="82"/>
      <c r="NV43" s="82"/>
      <c r="NW43" s="82"/>
      <c r="NX43" s="82"/>
      <c r="NY43" s="82"/>
      <c r="NZ43" s="82"/>
      <c r="OA43" s="82"/>
      <c r="OB43" s="82"/>
      <c r="OC43" s="82"/>
      <c r="OD43" s="82"/>
      <c r="OE43" s="82"/>
      <c r="OF43" s="82"/>
      <c r="OG43" s="82"/>
      <c r="OH43" s="82"/>
      <c r="OI43" s="82"/>
      <c r="OJ43" s="82"/>
      <c r="OK43" s="82"/>
      <c r="OL43" s="82"/>
      <c r="OM43" s="82"/>
      <c r="ON43" s="82"/>
      <c r="OO43" s="82"/>
      <c r="OP43" s="82"/>
      <c r="OQ43" s="82"/>
      <c r="OR43" s="82"/>
      <c r="OS43" s="82"/>
      <c r="OT43" s="82"/>
      <c r="OU43" s="82"/>
      <c r="OV43" s="82"/>
      <c r="OW43" s="82"/>
      <c r="OX43" s="82"/>
      <c r="OY43" s="82"/>
      <c r="OZ43" s="82"/>
      <c r="PA43" s="82"/>
      <c r="PB43" s="82"/>
      <c r="PC43" s="82"/>
      <c r="PD43" s="82"/>
      <c r="PE43" s="82"/>
      <c r="PF43" s="82"/>
      <c r="PG43" s="82"/>
      <c r="PH43" s="82"/>
      <c r="PI43" s="82"/>
      <c r="PJ43" s="82"/>
      <c r="PK43" s="82"/>
      <c r="PL43" s="82"/>
      <c r="PM43" s="82"/>
      <c r="PN43" s="82"/>
      <c r="PO43" s="82"/>
      <c r="PP43" s="82"/>
      <c r="PQ43" s="82"/>
      <c r="PR43" s="82"/>
      <c r="PS43" s="82"/>
      <c r="PT43" s="82"/>
      <c r="PU43" s="82"/>
      <c r="PV43" s="82"/>
      <c r="PW43" s="82"/>
      <c r="PX43" s="82"/>
      <c r="PY43" s="82"/>
      <c r="PZ43" s="82"/>
      <c r="QA43" s="82"/>
      <c r="QB43" s="82"/>
      <c r="QC43" s="82"/>
      <c r="QD43" s="82"/>
      <c r="QE43" s="82"/>
      <c r="QF43" s="82"/>
      <c r="QG43" s="82"/>
      <c r="QH43" s="82"/>
      <c r="QI43" s="82"/>
      <c r="QJ43" s="82"/>
      <c r="QK43" s="82"/>
      <c r="QL43" s="82"/>
      <c r="QM43" s="82"/>
      <c r="QN43" s="82"/>
      <c r="QO43" s="82"/>
      <c r="QP43" s="82"/>
      <c r="QQ43" s="82"/>
      <c r="QR43" s="82"/>
      <c r="QS43" s="82"/>
      <c r="QT43" s="82"/>
      <c r="QU43" s="82"/>
      <c r="QV43" s="82"/>
      <c r="QW43" s="82"/>
      <c r="QX43" s="82"/>
      <c r="QY43" s="82"/>
      <c r="QZ43" s="82"/>
      <c r="RA43" s="82"/>
      <c r="RB43" s="82"/>
      <c r="RC43" s="82"/>
      <c r="RD43" s="82"/>
      <c r="RE43" s="82"/>
      <c r="RF43" s="82"/>
      <c r="RG43" s="82"/>
      <c r="RH43" s="82"/>
      <c r="RI43" s="82"/>
      <c r="RJ43" s="82"/>
      <c r="RK43" s="82"/>
      <c r="RL43" s="82"/>
      <c r="RM43" s="82"/>
      <c r="RN43" s="82"/>
      <c r="RO43" s="82"/>
      <c r="RP43" s="82"/>
      <c r="RQ43" s="82"/>
      <c r="RR43" s="82"/>
      <c r="RS43" s="82"/>
      <c r="RT43" s="82"/>
      <c r="RU43" s="82"/>
      <c r="RV43" s="82"/>
      <c r="RW43" s="82"/>
      <c r="RX43" s="82"/>
      <c r="RY43" s="82"/>
      <c r="RZ43" s="82"/>
      <c r="SA43" s="82"/>
      <c r="SB43" s="82"/>
      <c r="SC43" s="82"/>
      <c r="SD43" s="82"/>
      <c r="SE43" s="82"/>
      <c r="SF43" s="82"/>
      <c r="SG43" s="82"/>
      <c r="SH43" s="82"/>
      <c r="SI43" s="82"/>
      <c r="SJ43" s="82"/>
      <c r="SK43" s="82"/>
      <c r="SL43" s="82"/>
      <c r="SM43" s="82"/>
      <c r="SN43" s="82"/>
      <c r="SO43" s="82"/>
      <c r="SP43" s="82"/>
      <c r="SQ43" s="82"/>
      <c r="SR43" s="82"/>
      <c r="SS43" s="82"/>
      <c r="ST43" s="82"/>
      <c r="SU43" s="82"/>
      <c r="SV43" s="82"/>
      <c r="SW43" s="82"/>
      <c r="SX43" s="82"/>
      <c r="SY43" s="82"/>
      <c r="SZ43" s="82"/>
      <c r="TA43" s="82"/>
      <c r="TB43" s="82"/>
      <c r="TC43" s="82"/>
      <c r="TD43" s="82"/>
      <c r="TE43" s="82"/>
      <c r="TF43" s="82"/>
      <c r="TG43" s="82"/>
      <c r="TH43" s="82"/>
      <c r="TI43" s="82"/>
      <c r="TJ43" s="82"/>
      <c r="TK43" s="82"/>
      <c r="TL43" s="82"/>
      <c r="TM43" s="82"/>
      <c r="TN43" s="82"/>
      <c r="TO43" s="82"/>
      <c r="TP43" s="82"/>
      <c r="TQ43" s="82"/>
      <c r="TR43" s="82"/>
      <c r="TS43" s="82"/>
      <c r="TT43" s="82"/>
      <c r="TU43" s="82"/>
      <c r="TV43" s="82"/>
      <c r="TW43" s="82"/>
      <c r="TX43" s="82"/>
      <c r="TY43" s="82"/>
      <c r="TZ43" s="82"/>
      <c r="UA43" s="82"/>
      <c r="UB43" s="82"/>
      <c r="UC43" s="82"/>
      <c r="UD43" s="82"/>
      <c r="UE43" s="82"/>
      <c r="UF43" s="82"/>
      <c r="UG43" s="82"/>
      <c r="UH43" s="82"/>
      <c r="UI43" s="82"/>
      <c r="UJ43" s="82"/>
      <c r="UK43" s="82"/>
      <c r="UL43" s="82"/>
      <c r="UM43" s="82"/>
      <c r="UN43" s="82"/>
      <c r="UO43" s="82"/>
      <c r="UP43" s="82"/>
      <c r="UQ43" s="82"/>
      <c r="UR43" s="82"/>
      <c r="US43" s="82"/>
      <c r="UT43" s="82"/>
      <c r="UU43" s="82"/>
      <c r="UV43" s="82"/>
      <c r="UW43" s="82"/>
      <c r="UX43" s="82"/>
      <c r="UY43" s="82"/>
      <c r="UZ43" s="82"/>
      <c r="VA43" s="82"/>
      <c r="VB43" s="82"/>
      <c r="VC43" s="82"/>
      <c r="VD43" s="82"/>
      <c r="VE43" s="82"/>
      <c r="VF43" s="82"/>
      <c r="VG43" s="82"/>
      <c r="VH43" s="82"/>
      <c r="VI43" s="82"/>
      <c r="VJ43" s="82"/>
      <c r="VK43" s="82"/>
      <c r="VL43" s="82"/>
      <c r="VM43" s="82"/>
      <c r="VN43" s="82"/>
      <c r="VO43" s="82"/>
      <c r="VP43" s="82"/>
      <c r="VQ43" s="82"/>
      <c r="VR43" s="82"/>
      <c r="VS43" s="82"/>
      <c r="VT43" s="82"/>
      <c r="VU43" s="82"/>
      <c r="VV43" s="82"/>
      <c r="VW43" s="82"/>
      <c r="VX43" s="82"/>
      <c r="VY43" s="82"/>
      <c r="VZ43" s="82"/>
      <c r="WA43" s="82"/>
      <c r="WB43" s="82"/>
      <c r="WC43" s="82"/>
      <c r="WD43" s="82"/>
      <c r="WE43" s="82"/>
      <c r="WF43" s="82"/>
      <c r="WG43" s="82"/>
      <c r="WH43" s="82"/>
      <c r="WI43" s="82"/>
      <c r="WJ43" s="82"/>
      <c r="WK43" s="82"/>
      <c r="WL43" s="82"/>
      <c r="WM43" s="82"/>
      <c r="WN43" s="82"/>
      <c r="WO43" s="82"/>
      <c r="WP43" s="82"/>
      <c r="WQ43" s="82"/>
      <c r="WR43" s="82"/>
      <c r="WS43" s="82"/>
      <c r="WT43" s="82"/>
      <c r="WU43" s="82"/>
      <c r="WV43" s="82"/>
      <c r="WW43" s="155"/>
      <c r="WX43" s="82"/>
      <c r="WY43" s="82"/>
    </row>
    <row r="44" spans="2:624">
      <c r="B44" s="311" t="s">
        <v>894</v>
      </c>
      <c r="C44" s="312">
        <v>0.1</v>
      </c>
      <c r="D44" s="315">
        <f>C44*$D$34</f>
        <v>174</v>
      </c>
      <c r="E44" s="305" t="str">
        <f>B44</f>
        <v>Phụ sáng</v>
      </c>
      <c r="F44" s="305"/>
      <c r="G44" s="305"/>
      <c r="H44" s="121"/>
      <c r="I44" s="111"/>
      <c r="M44" s="301" t="s">
        <v>895</v>
      </c>
      <c r="N44" s="301"/>
      <c r="O44" s="301"/>
      <c r="WX44" s="105" t="s">
        <v>842</v>
      </c>
      <c r="WY44" s="156" t="s">
        <v>891</v>
      </c>
    </row>
    <row r="45" spans="2:624">
      <c r="B45" s="311"/>
      <c r="C45" s="313"/>
      <c r="D45" s="315"/>
      <c r="E45" s="125" t="s">
        <v>873</v>
      </c>
      <c r="F45" s="126"/>
      <c r="G45" s="127">
        <f>$G$23*C44</f>
        <v>8.6999999999999993</v>
      </c>
      <c r="H45" s="121"/>
      <c r="M45" s="107" t="s">
        <v>896</v>
      </c>
      <c r="N45" s="107" t="s">
        <v>834</v>
      </c>
      <c r="O45" s="107" t="s">
        <v>835</v>
      </c>
      <c r="WX45" s="105" t="s">
        <v>897</v>
      </c>
      <c r="WY45" s="156" t="s">
        <v>891</v>
      </c>
    </row>
    <row r="46" spans="2:624" s="82" customFormat="1">
      <c r="B46" s="311"/>
      <c r="C46" s="313"/>
      <c r="D46" s="315"/>
      <c r="E46" s="128" t="s">
        <v>876</v>
      </c>
      <c r="F46" s="129">
        <f>$F$37</f>
        <v>0.3</v>
      </c>
      <c r="G46" s="130">
        <f>F46*G45</f>
        <v>2.61</v>
      </c>
      <c r="H46" s="121"/>
      <c r="I46" s="83"/>
      <c r="J46" s="148"/>
      <c r="M46" s="105" t="s">
        <v>891</v>
      </c>
      <c r="N46" s="105" t="s">
        <v>842</v>
      </c>
      <c r="O46" s="105" t="s">
        <v>842</v>
      </c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  <c r="HZ46" s="83"/>
      <c r="IA46" s="83"/>
      <c r="IB46" s="83"/>
      <c r="IC46" s="83"/>
      <c r="ID46" s="83"/>
      <c r="IE46" s="83"/>
      <c r="IF46" s="83"/>
      <c r="IG46" s="83"/>
      <c r="IH46" s="83"/>
      <c r="II46" s="83"/>
      <c r="IJ46" s="83"/>
      <c r="IK46" s="83"/>
      <c r="IL46" s="83"/>
      <c r="IM46" s="83"/>
      <c r="IN46" s="83"/>
      <c r="IO46" s="83"/>
      <c r="IP46" s="83"/>
      <c r="IQ46" s="83"/>
      <c r="IR46" s="83"/>
      <c r="IS46" s="83"/>
      <c r="IT46" s="83"/>
      <c r="IU46" s="83"/>
      <c r="IV46" s="83"/>
      <c r="IW46" s="83"/>
      <c r="IX46" s="83"/>
      <c r="IY46" s="83"/>
      <c r="IZ46" s="83"/>
      <c r="JA46" s="83"/>
      <c r="JB46" s="83"/>
      <c r="JC46" s="83"/>
      <c r="JD46" s="83"/>
      <c r="JE46" s="83"/>
      <c r="JF46" s="83"/>
      <c r="JG46" s="83"/>
      <c r="JH46" s="83"/>
      <c r="JI46" s="83"/>
      <c r="JJ46" s="83"/>
      <c r="JK46" s="83"/>
      <c r="JL46" s="83"/>
      <c r="JM46" s="83"/>
      <c r="JN46" s="83"/>
      <c r="JO46" s="83"/>
      <c r="JP46" s="83"/>
      <c r="JQ46" s="83"/>
      <c r="JR46" s="83"/>
      <c r="JS46" s="83"/>
      <c r="JT46" s="83"/>
      <c r="JU46" s="83"/>
      <c r="JV46" s="83"/>
      <c r="JW46" s="83"/>
      <c r="JX46" s="83"/>
      <c r="JY46" s="83"/>
      <c r="JZ46" s="83"/>
      <c r="KA46" s="83"/>
      <c r="KB46" s="83"/>
      <c r="KC46" s="83"/>
      <c r="KD46" s="83"/>
      <c r="KE46" s="83"/>
      <c r="KF46" s="83"/>
      <c r="KG46" s="83"/>
      <c r="KH46" s="83"/>
      <c r="KI46" s="83"/>
      <c r="KJ46" s="83"/>
      <c r="KK46" s="83"/>
      <c r="KL46" s="83"/>
      <c r="KM46" s="83"/>
      <c r="KN46" s="83"/>
      <c r="KO46" s="83"/>
      <c r="KP46" s="83"/>
      <c r="KQ46" s="83"/>
      <c r="KR46" s="83"/>
      <c r="KS46" s="83"/>
      <c r="KT46" s="83"/>
      <c r="KU46" s="83"/>
      <c r="KV46" s="83"/>
      <c r="KW46" s="83"/>
      <c r="KX46" s="83"/>
      <c r="KY46" s="83"/>
      <c r="KZ46" s="83"/>
      <c r="LA46" s="83"/>
      <c r="LB46" s="83"/>
      <c r="LC46" s="83"/>
      <c r="LD46" s="83"/>
      <c r="LE46" s="83"/>
      <c r="LF46" s="83"/>
      <c r="LG46" s="83"/>
      <c r="LH46" s="83"/>
      <c r="LI46" s="83"/>
      <c r="LJ46" s="83"/>
      <c r="LK46" s="83"/>
      <c r="LL46" s="83"/>
      <c r="LM46" s="83"/>
      <c r="LN46" s="83"/>
      <c r="LO46" s="83"/>
      <c r="LP46" s="83"/>
      <c r="LQ46" s="83"/>
      <c r="LR46" s="83"/>
      <c r="LS46" s="83"/>
      <c r="LT46" s="83"/>
      <c r="LU46" s="83"/>
      <c r="LV46" s="83"/>
      <c r="LW46" s="83"/>
      <c r="LX46" s="83"/>
      <c r="LY46" s="83"/>
      <c r="LZ46" s="83"/>
      <c r="MA46" s="83"/>
      <c r="MB46" s="83"/>
      <c r="MC46" s="83"/>
      <c r="MD46" s="83"/>
      <c r="ME46" s="83"/>
      <c r="MF46" s="83"/>
      <c r="MG46" s="83"/>
      <c r="MH46" s="83"/>
      <c r="MI46" s="83"/>
      <c r="MJ46" s="83"/>
      <c r="MK46" s="83"/>
      <c r="ML46" s="83"/>
      <c r="MM46" s="83"/>
      <c r="MN46" s="83"/>
      <c r="MO46" s="83"/>
      <c r="MP46" s="83"/>
      <c r="MQ46" s="83"/>
      <c r="MR46" s="83"/>
      <c r="MS46" s="83"/>
      <c r="MT46" s="83"/>
      <c r="MU46" s="83"/>
      <c r="MV46" s="83"/>
      <c r="MW46" s="83"/>
      <c r="MX46" s="83"/>
      <c r="MY46" s="83"/>
      <c r="MZ46" s="83"/>
      <c r="NA46" s="83"/>
      <c r="NB46" s="83"/>
      <c r="NC46" s="83"/>
      <c r="ND46" s="83"/>
      <c r="NE46" s="83"/>
      <c r="NF46" s="83"/>
      <c r="NG46" s="83"/>
      <c r="NH46" s="83"/>
      <c r="NI46" s="83"/>
      <c r="NJ46" s="83"/>
      <c r="NK46" s="83"/>
      <c r="NL46" s="83"/>
      <c r="NM46" s="83"/>
      <c r="NN46" s="83"/>
      <c r="NO46" s="83"/>
      <c r="NP46" s="83"/>
      <c r="NQ46" s="83"/>
      <c r="NR46" s="83"/>
      <c r="NS46" s="83"/>
      <c r="NT46" s="83"/>
      <c r="NU46" s="83"/>
      <c r="NV46" s="83"/>
      <c r="NW46" s="83"/>
      <c r="NX46" s="83"/>
      <c r="NY46" s="83"/>
      <c r="NZ46" s="83"/>
      <c r="OA46" s="83"/>
      <c r="OB46" s="83"/>
      <c r="OC46" s="83"/>
      <c r="OD46" s="83"/>
      <c r="OE46" s="83"/>
      <c r="OF46" s="83"/>
      <c r="OG46" s="83"/>
      <c r="OH46" s="83"/>
      <c r="OI46" s="83"/>
      <c r="OJ46" s="83"/>
      <c r="OK46" s="83"/>
      <c r="OL46" s="83"/>
      <c r="OM46" s="83"/>
      <c r="ON46" s="83"/>
      <c r="OO46" s="83"/>
      <c r="OP46" s="83"/>
      <c r="OQ46" s="83"/>
      <c r="OR46" s="83"/>
      <c r="OS46" s="83"/>
      <c r="OT46" s="83"/>
      <c r="OU46" s="83"/>
      <c r="OV46" s="83"/>
      <c r="OW46" s="83"/>
      <c r="OX46" s="83"/>
      <c r="OY46" s="83"/>
      <c r="OZ46" s="83"/>
      <c r="PA46" s="83"/>
      <c r="PB46" s="83"/>
      <c r="PC46" s="83"/>
      <c r="PD46" s="83"/>
      <c r="PE46" s="83"/>
      <c r="PF46" s="83"/>
      <c r="PG46" s="83"/>
      <c r="PH46" s="83"/>
      <c r="PI46" s="83"/>
      <c r="PJ46" s="83"/>
      <c r="PK46" s="83"/>
      <c r="PL46" s="83"/>
      <c r="PM46" s="83"/>
      <c r="PN46" s="83"/>
      <c r="PO46" s="83"/>
      <c r="PP46" s="83"/>
      <c r="PQ46" s="83"/>
      <c r="PR46" s="83"/>
      <c r="PS46" s="83"/>
      <c r="PT46" s="83"/>
      <c r="PU46" s="83"/>
      <c r="PV46" s="83"/>
      <c r="PW46" s="83"/>
      <c r="PX46" s="83"/>
      <c r="PY46" s="83"/>
      <c r="PZ46" s="83"/>
      <c r="QA46" s="83"/>
      <c r="QB46" s="83"/>
      <c r="QC46" s="83"/>
      <c r="QD46" s="83"/>
      <c r="QE46" s="83"/>
      <c r="QF46" s="83"/>
      <c r="QG46" s="83"/>
      <c r="QH46" s="83"/>
      <c r="QI46" s="83"/>
      <c r="QJ46" s="83"/>
      <c r="QK46" s="83"/>
      <c r="QL46" s="83"/>
      <c r="QM46" s="83"/>
      <c r="QN46" s="83"/>
      <c r="QO46" s="83"/>
      <c r="QP46" s="83"/>
      <c r="QQ46" s="83"/>
      <c r="QR46" s="83"/>
      <c r="QS46" s="83"/>
      <c r="QT46" s="83"/>
      <c r="QU46" s="83"/>
      <c r="QV46" s="83"/>
      <c r="QW46" s="83"/>
      <c r="QX46" s="83"/>
      <c r="QY46" s="83"/>
      <c r="QZ46" s="83"/>
      <c r="RA46" s="83"/>
      <c r="RB46" s="83"/>
      <c r="RC46" s="83"/>
      <c r="RD46" s="83"/>
      <c r="RE46" s="83"/>
      <c r="RF46" s="83"/>
      <c r="RG46" s="83"/>
      <c r="RH46" s="83"/>
      <c r="RI46" s="83"/>
      <c r="RJ46" s="83"/>
      <c r="RK46" s="83"/>
      <c r="RL46" s="83"/>
      <c r="RM46" s="83"/>
      <c r="RN46" s="83"/>
      <c r="RO46" s="83"/>
      <c r="RP46" s="83"/>
      <c r="RQ46" s="83"/>
      <c r="RR46" s="83"/>
      <c r="RS46" s="83"/>
      <c r="RT46" s="83"/>
      <c r="RU46" s="83"/>
      <c r="RV46" s="83"/>
      <c r="RW46" s="83"/>
      <c r="RX46" s="83"/>
      <c r="RY46" s="83"/>
      <c r="RZ46" s="83"/>
      <c r="SA46" s="83"/>
      <c r="SB46" s="83"/>
      <c r="SC46" s="83"/>
      <c r="SD46" s="83"/>
      <c r="SE46" s="83"/>
      <c r="SF46" s="83"/>
      <c r="SG46" s="83"/>
      <c r="SH46" s="83"/>
      <c r="SI46" s="83"/>
      <c r="SJ46" s="83"/>
      <c r="SK46" s="83"/>
      <c r="SL46" s="83"/>
      <c r="SM46" s="83"/>
      <c r="SN46" s="83"/>
      <c r="SO46" s="83"/>
      <c r="SP46" s="83"/>
      <c r="SQ46" s="83"/>
      <c r="SR46" s="83"/>
      <c r="SS46" s="83"/>
      <c r="ST46" s="83"/>
      <c r="SU46" s="83"/>
      <c r="SV46" s="83"/>
      <c r="SW46" s="83"/>
      <c r="SX46" s="83"/>
      <c r="SY46" s="83"/>
      <c r="SZ46" s="83"/>
      <c r="TA46" s="83"/>
      <c r="TB46" s="83"/>
      <c r="TC46" s="83"/>
      <c r="TD46" s="83"/>
      <c r="TE46" s="83"/>
      <c r="TF46" s="83"/>
      <c r="TG46" s="83"/>
      <c r="TH46" s="83"/>
      <c r="TI46" s="83"/>
      <c r="TJ46" s="83"/>
      <c r="TK46" s="83"/>
      <c r="TL46" s="83"/>
      <c r="TM46" s="83"/>
      <c r="TN46" s="83"/>
      <c r="TO46" s="83"/>
      <c r="TP46" s="83"/>
      <c r="TQ46" s="83"/>
      <c r="TR46" s="83"/>
      <c r="TS46" s="83"/>
      <c r="TT46" s="83"/>
      <c r="TU46" s="83"/>
      <c r="TV46" s="83"/>
      <c r="TW46" s="83"/>
      <c r="TX46" s="83"/>
      <c r="TY46" s="83"/>
      <c r="TZ46" s="83"/>
      <c r="UA46" s="83"/>
      <c r="UB46" s="83"/>
      <c r="UC46" s="83"/>
      <c r="UD46" s="83"/>
      <c r="UE46" s="83"/>
      <c r="UF46" s="83"/>
      <c r="UG46" s="83"/>
      <c r="UH46" s="83"/>
      <c r="UI46" s="83"/>
      <c r="UJ46" s="83"/>
      <c r="UK46" s="83"/>
      <c r="UL46" s="83"/>
      <c r="UM46" s="83"/>
      <c r="UN46" s="83"/>
      <c r="UO46" s="83"/>
      <c r="UP46" s="83"/>
      <c r="UQ46" s="83"/>
      <c r="UR46" s="83"/>
      <c r="US46" s="83"/>
      <c r="UT46" s="83"/>
      <c r="UU46" s="83"/>
      <c r="UV46" s="83"/>
      <c r="UW46" s="83"/>
      <c r="UX46" s="83"/>
      <c r="UY46" s="83"/>
      <c r="UZ46" s="83"/>
      <c r="VA46" s="83"/>
      <c r="VB46" s="83"/>
      <c r="VC46" s="83"/>
      <c r="VD46" s="83"/>
      <c r="VE46" s="83"/>
      <c r="VF46" s="83"/>
      <c r="VG46" s="83"/>
      <c r="VH46" s="83"/>
      <c r="VI46" s="83"/>
      <c r="VJ46" s="83"/>
      <c r="VK46" s="83"/>
      <c r="VL46" s="83"/>
      <c r="VM46" s="83"/>
      <c r="VN46" s="83"/>
      <c r="VO46" s="83"/>
      <c r="VP46" s="83"/>
      <c r="VQ46" s="83"/>
      <c r="VR46" s="83"/>
      <c r="VS46" s="83"/>
      <c r="VT46" s="83"/>
      <c r="VU46" s="83"/>
      <c r="VV46" s="83"/>
      <c r="VW46" s="83"/>
      <c r="VX46" s="83"/>
      <c r="VY46" s="83"/>
      <c r="VZ46" s="83"/>
      <c r="WA46" s="83"/>
      <c r="WB46" s="83"/>
      <c r="WC46" s="83"/>
      <c r="WD46" s="83"/>
      <c r="WE46" s="83"/>
      <c r="WF46" s="83"/>
      <c r="WG46" s="83"/>
      <c r="WH46" s="83"/>
      <c r="WI46" s="83"/>
      <c r="WJ46" s="83"/>
      <c r="WK46" s="83"/>
      <c r="WL46" s="83"/>
      <c r="WM46" s="83"/>
      <c r="WN46" s="83"/>
      <c r="WO46" s="83"/>
      <c r="WP46" s="83"/>
      <c r="WQ46" s="83"/>
      <c r="WR46" s="83"/>
      <c r="WS46" s="83"/>
      <c r="WT46" s="83"/>
      <c r="WU46" s="83"/>
      <c r="WV46" s="83"/>
      <c r="WW46" s="84"/>
      <c r="WX46" s="105" t="s">
        <v>898</v>
      </c>
      <c r="WY46" s="156" t="s">
        <v>891</v>
      </c>
      <c r="WZ46" s="83"/>
    </row>
    <row r="47" spans="2:624">
      <c r="B47" s="311"/>
      <c r="C47" s="313"/>
      <c r="D47" s="315"/>
      <c r="E47" s="128" t="s">
        <v>877</v>
      </c>
      <c r="F47" s="129">
        <f>100%-F46</f>
        <v>0.7</v>
      </c>
      <c r="G47" s="130">
        <f>F47*G45</f>
        <v>6.09</v>
      </c>
      <c r="H47" s="82"/>
      <c r="M47" s="105" t="s">
        <v>891</v>
      </c>
      <c r="N47" s="105" t="s">
        <v>897</v>
      </c>
      <c r="O47" s="105" t="s">
        <v>899</v>
      </c>
      <c r="WX47" s="105" t="s">
        <v>899</v>
      </c>
      <c r="WY47" s="156" t="s">
        <v>891</v>
      </c>
    </row>
    <row r="48" spans="2:624">
      <c r="B48" s="311"/>
      <c r="C48" s="313"/>
      <c r="D48" s="315"/>
      <c r="E48" s="125" t="s">
        <v>878</v>
      </c>
      <c r="F48" s="126"/>
      <c r="G48" s="127">
        <f>$G$26*C44</f>
        <v>4.8333333333333304</v>
      </c>
      <c r="M48" s="105" t="s">
        <v>891</v>
      </c>
      <c r="N48" s="105" t="s">
        <v>898</v>
      </c>
      <c r="O48" s="105" t="s">
        <v>898</v>
      </c>
    </row>
    <row r="49" spans="2:623">
      <c r="B49" s="311"/>
      <c r="C49" s="313"/>
      <c r="D49" s="315"/>
      <c r="E49" s="128" t="s">
        <v>879</v>
      </c>
      <c r="F49" s="129">
        <f>$F$40</f>
        <v>0.5</v>
      </c>
      <c r="G49" s="130">
        <f>G48*F49</f>
        <v>2.4166666666666701</v>
      </c>
      <c r="H49" s="121"/>
      <c r="M49" s="308"/>
      <c r="N49" s="309"/>
      <c r="O49" s="310"/>
      <c r="WX49" s="105" t="s">
        <v>900</v>
      </c>
      <c r="WY49" s="157" t="s">
        <v>892</v>
      </c>
    </row>
    <row r="50" spans="2:623">
      <c r="B50" s="311"/>
      <c r="C50" s="313"/>
      <c r="D50" s="315"/>
      <c r="E50" s="128" t="s">
        <v>881</v>
      </c>
      <c r="F50" s="129">
        <f>100%-F49</f>
        <v>0.5</v>
      </c>
      <c r="G50" s="130">
        <f>G48*F50</f>
        <v>2.4166666666666701</v>
      </c>
      <c r="H50" s="121"/>
      <c r="M50" s="105" t="s">
        <v>892</v>
      </c>
      <c r="N50" s="105" t="s">
        <v>900</v>
      </c>
      <c r="O50" s="105" t="s">
        <v>900</v>
      </c>
      <c r="WX50" s="105" t="s">
        <v>901</v>
      </c>
      <c r="WY50" s="157" t="s">
        <v>892</v>
      </c>
    </row>
    <row r="51" spans="2:623">
      <c r="B51" s="311"/>
      <c r="C51" s="313"/>
      <c r="D51" s="315"/>
      <c r="E51" s="125" t="s">
        <v>885</v>
      </c>
      <c r="F51" s="126"/>
      <c r="G51" s="127">
        <f>$G$29*C44</f>
        <v>23.925000000000001</v>
      </c>
      <c r="H51" s="121"/>
      <c r="M51" s="105" t="s">
        <v>892</v>
      </c>
      <c r="N51" s="105" t="s">
        <v>901</v>
      </c>
      <c r="O51" s="105" t="s">
        <v>902</v>
      </c>
      <c r="WX51" s="105" t="s">
        <v>903</v>
      </c>
      <c r="WY51" s="157" t="s">
        <v>892</v>
      </c>
    </row>
    <row r="52" spans="2:623">
      <c r="B52" s="123"/>
      <c r="C52" s="131"/>
      <c r="D52" s="132"/>
      <c r="E52" s="306" t="str">
        <f>$D$33&amp;": "&amp;E44</f>
        <v>E (kcal): Phụ sáng</v>
      </c>
      <c r="F52" s="307"/>
      <c r="G52" s="133">
        <f>D44</f>
        <v>174</v>
      </c>
      <c r="H52" s="121"/>
      <c r="M52" s="105" t="s">
        <v>892</v>
      </c>
      <c r="N52" s="105" t="s">
        <v>903</v>
      </c>
      <c r="O52" s="105" t="s">
        <v>901</v>
      </c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  <c r="EY52" s="82"/>
      <c r="EZ52" s="82"/>
      <c r="FA52" s="82"/>
      <c r="FB52" s="82"/>
      <c r="FC52" s="82"/>
      <c r="FD52" s="82"/>
      <c r="FE52" s="82"/>
      <c r="FF52" s="82"/>
      <c r="FG52" s="82"/>
      <c r="FH52" s="82"/>
      <c r="FI52" s="82"/>
      <c r="FJ52" s="82"/>
      <c r="FK52" s="82"/>
      <c r="FL52" s="82"/>
      <c r="FM52" s="82"/>
      <c r="FN52" s="82"/>
      <c r="FO52" s="82"/>
      <c r="FP52" s="82"/>
      <c r="FQ52" s="82"/>
      <c r="FR52" s="82"/>
      <c r="FS52" s="82"/>
      <c r="FT52" s="82"/>
      <c r="FU52" s="82"/>
      <c r="FV52" s="82"/>
      <c r="FW52" s="82"/>
      <c r="FX52" s="82"/>
      <c r="FY52" s="82"/>
      <c r="FZ52" s="82"/>
      <c r="GA52" s="82"/>
      <c r="GB52" s="82"/>
      <c r="GC52" s="82"/>
      <c r="GD52" s="82"/>
      <c r="GE52" s="82"/>
      <c r="GF52" s="82"/>
      <c r="GG52" s="82"/>
      <c r="GH52" s="82"/>
      <c r="GI52" s="82"/>
      <c r="GJ52" s="82"/>
      <c r="GK52" s="82"/>
      <c r="GL52" s="82"/>
      <c r="GM52" s="82"/>
      <c r="GN52" s="82"/>
      <c r="GO52" s="82"/>
      <c r="GP52" s="82"/>
      <c r="GQ52" s="82"/>
      <c r="GR52" s="82"/>
      <c r="GS52" s="82"/>
      <c r="GT52" s="82"/>
      <c r="GU52" s="82"/>
      <c r="GV52" s="82"/>
      <c r="GW52" s="82"/>
      <c r="GX52" s="82"/>
      <c r="GY52" s="82"/>
      <c r="GZ52" s="82"/>
      <c r="HA52" s="82"/>
      <c r="HB52" s="82"/>
      <c r="HC52" s="82"/>
      <c r="HD52" s="82"/>
      <c r="HE52" s="82"/>
      <c r="HF52" s="82"/>
      <c r="HG52" s="82"/>
      <c r="HH52" s="82"/>
      <c r="HI52" s="82"/>
      <c r="HJ52" s="82"/>
      <c r="HK52" s="82"/>
      <c r="HL52" s="82"/>
      <c r="HM52" s="82"/>
      <c r="HN52" s="82"/>
      <c r="HO52" s="82"/>
      <c r="HP52" s="82"/>
      <c r="HQ52" s="82"/>
      <c r="HR52" s="82"/>
      <c r="HS52" s="82"/>
      <c r="HT52" s="82"/>
      <c r="HU52" s="82"/>
      <c r="HV52" s="82"/>
      <c r="HW52" s="82"/>
      <c r="HX52" s="82"/>
      <c r="HY52" s="82"/>
      <c r="HZ52" s="82"/>
      <c r="IA52" s="82"/>
      <c r="IB52" s="82"/>
      <c r="IC52" s="82"/>
      <c r="ID52" s="82"/>
      <c r="IE52" s="82"/>
      <c r="IF52" s="82"/>
      <c r="IG52" s="82"/>
      <c r="IH52" s="82"/>
      <c r="II52" s="82"/>
      <c r="IJ52" s="82"/>
      <c r="IK52" s="82"/>
      <c r="IL52" s="82"/>
      <c r="IM52" s="82"/>
      <c r="IN52" s="82"/>
      <c r="IO52" s="82"/>
      <c r="IP52" s="82"/>
      <c r="IQ52" s="82"/>
      <c r="IR52" s="82"/>
      <c r="IS52" s="82"/>
      <c r="IT52" s="82"/>
      <c r="IU52" s="82"/>
      <c r="IV52" s="82"/>
      <c r="IW52" s="82"/>
      <c r="IX52" s="82"/>
      <c r="IY52" s="82"/>
      <c r="IZ52" s="82"/>
      <c r="JA52" s="82"/>
      <c r="JB52" s="82"/>
      <c r="JC52" s="82"/>
      <c r="JD52" s="82"/>
      <c r="JE52" s="82"/>
      <c r="JF52" s="82"/>
      <c r="JG52" s="82"/>
      <c r="JH52" s="82"/>
      <c r="JI52" s="82"/>
      <c r="JJ52" s="82"/>
      <c r="JK52" s="82"/>
      <c r="JL52" s="82"/>
      <c r="JM52" s="82"/>
      <c r="JN52" s="82"/>
      <c r="JO52" s="82"/>
      <c r="JP52" s="82"/>
      <c r="JQ52" s="82"/>
      <c r="JR52" s="82"/>
      <c r="JS52" s="82"/>
      <c r="JT52" s="82"/>
      <c r="JU52" s="82"/>
      <c r="JV52" s="82"/>
      <c r="JW52" s="82"/>
      <c r="JX52" s="82"/>
      <c r="JY52" s="82"/>
      <c r="JZ52" s="82"/>
      <c r="KA52" s="82"/>
      <c r="KB52" s="82"/>
      <c r="KC52" s="82"/>
      <c r="KD52" s="82"/>
      <c r="KE52" s="82"/>
      <c r="KF52" s="82"/>
      <c r="KG52" s="82"/>
      <c r="KH52" s="82"/>
      <c r="KI52" s="82"/>
      <c r="KJ52" s="82"/>
      <c r="KK52" s="82"/>
      <c r="KL52" s="82"/>
      <c r="KM52" s="82"/>
      <c r="KN52" s="82"/>
      <c r="KO52" s="82"/>
      <c r="KP52" s="82"/>
      <c r="KQ52" s="82"/>
      <c r="KR52" s="82"/>
      <c r="KS52" s="82"/>
      <c r="KT52" s="82"/>
      <c r="KU52" s="82"/>
      <c r="KV52" s="82"/>
      <c r="KW52" s="82"/>
      <c r="KX52" s="82"/>
      <c r="KY52" s="82"/>
      <c r="KZ52" s="82"/>
      <c r="LA52" s="82"/>
      <c r="LB52" s="82"/>
      <c r="LC52" s="82"/>
      <c r="LD52" s="82"/>
      <c r="LE52" s="82"/>
      <c r="LF52" s="82"/>
      <c r="LG52" s="82"/>
      <c r="LH52" s="82"/>
      <c r="LI52" s="82"/>
      <c r="LJ52" s="82"/>
      <c r="LK52" s="82"/>
      <c r="LL52" s="82"/>
      <c r="LM52" s="82"/>
      <c r="LN52" s="82"/>
      <c r="LO52" s="82"/>
      <c r="LP52" s="82"/>
      <c r="LQ52" s="82"/>
      <c r="LR52" s="82"/>
      <c r="LS52" s="82"/>
      <c r="LT52" s="82"/>
      <c r="LU52" s="82"/>
      <c r="LV52" s="82"/>
      <c r="LW52" s="82"/>
      <c r="LX52" s="82"/>
      <c r="LY52" s="82"/>
      <c r="LZ52" s="82"/>
      <c r="MA52" s="82"/>
      <c r="MB52" s="82"/>
      <c r="MC52" s="82"/>
      <c r="MD52" s="82"/>
      <c r="ME52" s="82"/>
      <c r="MF52" s="82"/>
      <c r="MG52" s="82"/>
      <c r="MH52" s="82"/>
      <c r="MI52" s="82"/>
      <c r="MJ52" s="82"/>
      <c r="MK52" s="82"/>
      <c r="ML52" s="82"/>
      <c r="MM52" s="82"/>
      <c r="MN52" s="82"/>
      <c r="MO52" s="82"/>
      <c r="MP52" s="82"/>
      <c r="MQ52" s="82"/>
      <c r="MR52" s="82"/>
      <c r="MS52" s="82"/>
      <c r="MT52" s="82"/>
      <c r="MU52" s="82"/>
      <c r="MV52" s="82"/>
      <c r="MW52" s="82"/>
      <c r="MX52" s="82"/>
      <c r="MY52" s="82"/>
      <c r="MZ52" s="82"/>
      <c r="NA52" s="82"/>
      <c r="NB52" s="82"/>
      <c r="NC52" s="82"/>
      <c r="ND52" s="82"/>
      <c r="NE52" s="82"/>
      <c r="NF52" s="82"/>
      <c r="NG52" s="82"/>
      <c r="NH52" s="82"/>
      <c r="NI52" s="82"/>
      <c r="NJ52" s="82"/>
      <c r="NK52" s="82"/>
      <c r="NL52" s="82"/>
      <c r="NM52" s="82"/>
      <c r="NN52" s="82"/>
      <c r="NO52" s="82"/>
      <c r="NP52" s="82"/>
      <c r="NQ52" s="82"/>
      <c r="NR52" s="82"/>
      <c r="NS52" s="82"/>
      <c r="NT52" s="82"/>
      <c r="NU52" s="82"/>
      <c r="NV52" s="82"/>
      <c r="NW52" s="82"/>
      <c r="NX52" s="82"/>
      <c r="NY52" s="82"/>
      <c r="NZ52" s="82"/>
      <c r="OA52" s="82"/>
      <c r="OB52" s="82"/>
      <c r="OC52" s="82"/>
      <c r="OD52" s="82"/>
      <c r="OE52" s="82"/>
      <c r="OF52" s="82"/>
      <c r="OG52" s="82"/>
      <c r="OH52" s="82"/>
      <c r="OI52" s="82"/>
      <c r="OJ52" s="82"/>
      <c r="OK52" s="82"/>
      <c r="OL52" s="82"/>
      <c r="OM52" s="82"/>
      <c r="ON52" s="82"/>
      <c r="OO52" s="82"/>
      <c r="OP52" s="82"/>
      <c r="OQ52" s="82"/>
      <c r="OR52" s="82"/>
      <c r="OS52" s="82"/>
      <c r="OT52" s="82"/>
      <c r="OU52" s="82"/>
      <c r="OV52" s="82"/>
      <c r="OW52" s="82"/>
      <c r="OX52" s="82"/>
      <c r="OY52" s="82"/>
      <c r="OZ52" s="82"/>
      <c r="PA52" s="82"/>
      <c r="PB52" s="82"/>
      <c r="PC52" s="82"/>
      <c r="PD52" s="82"/>
      <c r="PE52" s="82"/>
      <c r="PF52" s="82"/>
      <c r="PG52" s="82"/>
      <c r="PH52" s="82"/>
      <c r="PI52" s="82"/>
      <c r="PJ52" s="82"/>
      <c r="PK52" s="82"/>
      <c r="PL52" s="82"/>
      <c r="PM52" s="82"/>
      <c r="PN52" s="82"/>
      <c r="PO52" s="82"/>
      <c r="PP52" s="82"/>
      <c r="PQ52" s="82"/>
      <c r="PR52" s="82"/>
      <c r="PS52" s="82"/>
      <c r="PT52" s="82"/>
      <c r="PU52" s="82"/>
      <c r="PV52" s="82"/>
      <c r="PW52" s="82"/>
      <c r="PX52" s="82"/>
      <c r="PY52" s="82"/>
      <c r="PZ52" s="82"/>
      <c r="QA52" s="82"/>
      <c r="QB52" s="82"/>
      <c r="QC52" s="82"/>
      <c r="QD52" s="82"/>
      <c r="QE52" s="82"/>
      <c r="QF52" s="82"/>
      <c r="QG52" s="82"/>
      <c r="QH52" s="82"/>
      <c r="QI52" s="82"/>
      <c r="QJ52" s="82"/>
      <c r="QK52" s="82"/>
      <c r="QL52" s="82"/>
      <c r="QM52" s="82"/>
      <c r="QN52" s="82"/>
      <c r="QO52" s="82"/>
      <c r="QP52" s="82"/>
      <c r="QQ52" s="82"/>
      <c r="QR52" s="82"/>
      <c r="QS52" s="82"/>
      <c r="QT52" s="82"/>
      <c r="QU52" s="82"/>
      <c r="QV52" s="82"/>
      <c r="QW52" s="82"/>
      <c r="QX52" s="82"/>
      <c r="QY52" s="82"/>
      <c r="QZ52" s="82"/>
      <c r="RA52" s="82"/>
      <c r="RB52" s="82"/>
      <c r="RC52" s="82"/>
      <c r="RD52" s="82"/>
      <c r="RE52" s="82"/>
      <c r="RF52" s="82"/>
      <c r="RG52" s="82"/>
      <c r="RH52" s="82"/>
      <c r="RI52" s="82"/>
      <c r="RJ52" s="82"/>
      <c r="RK52" s="82"/>
      <c r="RL52" s="82"/>
      <c r="RM52" s="82"/>
      <c r="RN52" s="82"/>
      <c r="RO52" s="82"/>
      <c r="RP52" s="82"/>
      <c r="RQ52" s="82"/>
      <c r="RR52" s="82"/>
      <c r="RS52" s="82"/>
      <c r="RT52" s="82"/>
      <c r="RU52" s="82"/>
      <c r="RV52" s="82"/>
      <c r="RW52" s="82"/>
      <c r="RX52" s="82"/>
      <c r="RY52" s="82"/>
      <c r="RZ52" s="82"/>
      <c r="SA52" s="82"/>
      <c r="SB52" s="82"/>
      <c r="SC52" s="82"/>
      <c r="SD52" s="82"/>
      <c r="SE52" s="82"/>
      <c r="SF52" s="82"/>
      <c r="SG52" s="82"/>
      <c r="SH52" s="82"/>
      <c r="SI52" s="82"/>
      <c r="SJ52" s="82"/>
      <c r="SK52" s="82"/>
      <c r="SL52" s="82"/>
      <c r="SM52" s="82"/>
      <c r="SN52" s="82"/>
      <c r="SO52" s="82"/>
      <c r="SP52" s="82"/>
      <c r="SQ52" s="82"/>
      <c r="SR52" s="82"/>
      <c r="SS52" s="82"/>
      <c r="ST52" s="82"/>
      <c r="SU52" s="82"/>
      <c r="SV52" s="82"/>
      <c r="SW52" s="82"/>
      <c r="SX52" s="82"/>
      <c r="SY52" s="82"/>
      <c r="SZ52" s="82"/>
      <c r="TA52" s="82"/>
      <c r="TB52" s="82"/>
      <c r="TC52" s="82"/>
      <c r="TD52" s="82"/>
      <c r="TE52" s="82"/>
      <c r="TF52" s="82"/>
      <c r="TG52" s="82"/>
      <c r="TH52" s="82"/>
      <c r="TI52" s="82"/>
      <c r="TJ52" s="82"/>
      <c r="TK52" s="82"/>
      <c r="TL52" s="82"/>
      <c r="TM52" s="82"/>
      <c r="TN52" s="82"/>
      <c r="TO52" s="82"/>
      <c r="TP52" s="82"/>
      <c r="TQ52" s="82"/>
      <c r="TR52" s="82"/>
      <c r="TS52" s="82"/>
      <c r="TT52" s="82"/>
      <c r="TU52" s="82"/>
      <c r="TV52" s="82"/>
      <c r="TW52" s="82"/>
      <c r="TX52" s="82"/>
      <c r="TY52" s="82"/>
      <c r="TZ52" s="82"/>
      <c r="UA52" s="82"/>
      <c r="UB52" s="82"/>
      <c r="UC52" s="82"/>
      <c r="UD52" s="82"/>
      <c r="UE52" s="82"/>
      <c r="UF52" s="82"/>
      <c r="UG52" s="82"/>
      <c r="UH52" s="82"/>
      <c r="UI52" s="82"/>
      <c r="UJ52" s="82"/>
      <c r="UK52" s="82"/>
      <c r="UL52" s="82"/>
      <c r="UM52" s="82"/>
      <c r="UN52" s="82"/>
      <c r="UO52" s="82"/>
      <c r="UP52" s="82"/>
      <c r="UQ52" s="82"/>
      <c r="UR52" s="82"/>
      <c r="US52" s="82"/>
      <c r="UT52" s="82"/>
      <c r="UU52" s="82"/>
      <c r="UV52" s="82"/>
      <c r="UW52" s="82"/>
      <c r="UX52" s="82"/>
      <c r="UY52" s="82"/>
      <c r="UZ52" s="82"/>
      <c r="VA52" s="82"/>
      <c r="VB52" s="82"/>
      <c r="VC52" s="82"/>
      <c r="VD52" s="82"/>
      <c r="VE52" s="82"/>
      <c r="VF52" s="82"/>
      <c r="VG52" s="82"/>
      <c r="VH52" s="82"/>
      <c r="VI52" s="82"/>
      <c r="VJ52" s="82"/>
      <c r="VK52" s="82"/>
      <c r="VL52" s="82"/>
      <c r="VM52" s="82"/>
      <c r="VN52" s="82"/>
      <c r="VO52" s="82"/>
      <c r="VP52" s="82"/>
      <c r="VQ52" s="82"/>
      <c r="VR52" s="82"/>
      <c r="VS52" s="82"/>
      <c r="VT52" s="82"/>
      <c r="VU52" s="82"/>
      <c r="VV52" s="82"/>
      <c r="VW52" s="82"/>
      <c r="VX52" s="82"/>
      <c r="VY52" s="82"/>
      <c r="VZ52" s="82"/>
      <c r="WA52" s="82"/>
      <c r="WB52" s="82"/>
      <c r="WC52" s="82"/>
      <c r="WD52" s="82"/>
      <c r="WE52" s="82"/>
      <c r="WF52" s="82"/>
      <c r="WG52" s="82"/>
      <c r="WH52" s="82"/>
      <c r="WI52" s="82"/>
      <c r="WJ52" s="82"/>
      <c r="WK52" s="82"/>
      <c r="WL52" s="82"/>
      <c r="WM52" s="82"/>
      <c r="WN52" s="82"/>
      <c r="WO52" s="82"/>
      <c r="WP52" s="82"/>
      <c r="WQ52" s="82"/>
      <c r="WR52" s="82"/>
      <c r="WS52" s="82"/>
      <c r="WT52" s="82"/>
      <c r="WU52" s="82"/>
      <c r="WV52" s="82"/>
      <c r="WW52" s="155"/>
      <c r="WX52" s="105" t="s">
        <v>904</v>
      </c>
      <c r="WY52" s="157" t="s">
        <v>892</v>
      </c>
    </row>
    <row r="53" spans="2:623">
      <c r="B53" s="311" t="s">
        <v>905</v>
      </c>
      <c r="C53" s="312">
        <v>0.35</v>
      </c>
      <c r="D53" s="315">
        <f>C53*$D$34</f>
        <v>609</v>
      </c>
      <c r="E53" s="305" t="str">
        <f>B53</f>
        <v>Trưa</v>
      </c>
      <c r="F53" s="305"/>
      <c r="G53" s="305"/>
      <c r="H53" s="121"/>
      <c r="M53" s="105" t="s">
        <v>892</v>
      </c>
      <c r="N53" s="105" t="s">
        <v>904</v>
      </c>
      <c r="O53" s="105" t="s">
        <v>906</v>
      </c>
      <c r="WX53" s="105" t="s">
        <v>907</v>
      </c>
      <c r="WY53" s="157" t="s">
        <v>892</v>
      </c>
    </row>
    <row r="54" spans="2:623">
      <c r="B54" s="311"/>
      <c r="C54" s="313"/>
      <c r="D54" s="315"/>
      <c r="E54" s="125" t="s">
        <v>873</v>
      </c>
      <c r="F54" s="126"/>
      <c r="G54" s="127">
        <f>$G$23*C53</f>
        <v>30.45</v>
      </c>
      <c r="H54" s="121"/>
      <c r="M54" s="105" t="s">
        <v>892</v>
      </c>
      <c r="N54" s="105" t="s">
        <v>907</v>
      </c>
      <c r="O54" s="105"/>
      <c r="WX54" s="105" t="s">
        <v>908</v>
      </c>
      <c r="WY54" s="157" t="s">
        <v>892</v>
      </c>
    </row>
    <row r="55" spans="2:623">
      <c r="B55" s="311"/>
      <c r="C55" s="313"/>
      <c r="D55" s="315"/>
      <c r="E55" s="128" t="s">
        <v>876</v>
      </c>
      <c r="F55" s="129">
        <v>0.3</v>
      </c>
      <c r="G55" s="130">
        <f>F55*G54</f>
        <v>9.1349999999999998</v>
      </c>
      <c r="H55" s="121"/>
      <c r="M55" s="105" t="s">
        <v>892</v>
      </c>
      <c r="N55" s="105" t="s">
        <v>908</v>
      </c>
      <c r="O55" s="105"/>
      <c r="WX55" s="105" t="s">
        <v>902</v>
      </c>
      <c r="WY55" s="157" t="s">
        <v>892</v>
      </c>
    </row>
    <row r="56" spans="2:623">
      <c r="B56" s="311"/>
      <c r="C56" s="313"/>
      <c r="D56" s="315"/>
      <c r="E56" s="128" t="s">
        <v>877</v>
      </c>
      <c r="F56" s="129">
        <f>100%-F55</f>
        <v>0.7</v>
      </c>
      <c r="G56" s="130">
        <f>F56*G54</f>
        <v>21.315000000000001</v>
      </c>
      <c r="H56" s="82"/>
      <c r="M56" s="308"/>
      <c r="N56" s="309"/>
      <c r="O56" s="310"/>
      <c r="WX56" s="105" t="s">
        <v>906</v>
      </c>
      <c r="WY56" s="157" t="s">
        <v>892</v>
      </c>
    </row>
    <row r="57" spans="2:623">
      <c r="B57" s="311"/>
      <c r="C57" s="313"/>
      <c r="D57" s="315"/>
      <c r="E57" s="125" t="s">
        <v>878</v>
      </c>
      <c r="F57" s="126"/>
      <c r="G57" s="127">
        <f>$G$26*C53</f>
        <v>16.9166666666667</v>
      </c>
      <c r="M57" s="105" t="s">
        <v>893</v>
      </c>
      <c r="N57" s="105" t="s">
        <v>909</v>
      </c>
      <c r="O57" s="105" t="s">
        <v>909</v>
      </c>
    </row>
    <row r="58" spans="2:623">
      <c r="B58" s="311"/>
      <c r="C58" s="313"/>
      <c r="D58" s="315"/>
      <c r="E58" s="128" t="s">
        <v>879</v>
      </c>
      <c r="F58" s="129">
        <v>0.5</v>
      </c>
      <c r="G58" s="130">
        <f>G57*F58</f>
        <v>8.4583333333333304</v>
      </c>
      <c r="M58" s="105" t="s">
        <v>893</v>
      </c>
      <c r="N58" s="105" t="s">
        <v>910</v>
      </c>
      <c r="O58" s="105" t="s">
        <v>911</v>
      </c>
      <c r="WX58" s="105" t="s">
        <v>909</v>
      </c>
      <c r="WY58" s="158" t="s">
        <v>893</v>
      </c>
    </row>
    <row r="59" spans="2:623">
      <c r="B59" s="311"/>
      <c r="C59" s="313"/>
      <c r="D59" s="315"/>
      <c r="E59" s="128" t="s">
        <v>881</v>
      </c>
      <c r="F59" s="129">
        <f>100%-F58</f>
        <v>0.5</v>
      </c>
      <c r="G59" s="130">
        <f>G57*F59</f>
        <v>8.4583333333333304</v>
      </c>
      <c r="M59" s="105" t="s">
        <v>893</v>
      </c>
      <c r="N59" s="105" t="s">
        <v>912</v>
      </c>
      <c r="O59" s="105" t="s">
        <v>913</v>
      </c>
      <c r="WX59" s="105" t="s">
        <v>910</v>
      </c>
      <c r="WY59" s="158" t="s">
        <v>893</v>
      </c>
    </row>
    <row r="60" spans="2:623">
      <c r="B60" s="311"/>
      <c r="C60" s="313"/>
      <c r="D60" s="315"/>
      <c r="E60" s="125" t="s">
        <v>885</v>
      </c>
      <c r="F60" s="126"/>
      <c r="G60" s="127">
        <f>$G$29*C53</f>
        <v>83.737499999999997</v>
      </c>
      <c r="M60" s="105" t="s">
        <v>893</v>
      </c>
      <c r="N60" s="105" t="s">
        <v>914</v>
      </c>
      <c r="O60" s="105"/>
      <c r="WX60" s="105" t="s">
        <v>912</v>
      </c>
      <c r="WY60" s="158" t="s">
        <v>893</v>
      </c>
    </row>
    <row r="61" spans="2:623">
      <c r="B61" s="123"/>
      <c r="C61" s="131"/>
      <c r="D61" s="132"/>
      <c r="E61" s="306" t="str">
        <f>$D$33&amp;": "&amp;E53</f>
        <v>E (kcal): Trưa</v>
      </c>
      <c r="F61" s="307"/>
      <c r="G61" s="133">
        <f>D53</f>
        <v>609</v>
      </c>
      <c r="M61" s="105" t="s">
        <v>893</v>
      </c>
      <c r="N61" s="105" t="s">
        <v>915</v>
      </c>
      <c r="O61" s="105"/>
      <c r="WX61" s="105" t="s">
        <v>914</v>
      </c>
      <c r="WY61" s="158" t="s">
        <v>893</v>
      </c>
    </row>
    <row r="62" spans="2:623">
      <c r="B62" s="311" t="s">
        <v>916</v>
      </c>
      <c r="C62" s="312">
        <v>0.1</v>
      </c>
      <c r="D62" s="315">
        <f>C62*$D$34</f>
        <v>174</v>
      </c>
      <c r="E62" s="305" t="str">
        <f>B62</f>
        <v>Phụ chiều</v>
      </c>
      <c r="F62" s="305"/>
      <c r="G62" s="305"/>
      <c r="M62" s="105" t="s">
        <v>893</v>
      </c>
      <c r="N62" s="105" t="s">
        <v>917</v>
      </c>
      <c r="O62" s="105"/>
      <c r="WX62" s="105" t="s">
        <v>915</v>
      </c>
      <c r="WY62" s="158" t="s">
        <v>893</v>
      </c>
    </row>
    <row r="63" spans="2:623">
      <c r="B63" s="311"/>
      <c r="C63" s="313"/>
      <c r="D63" s="315"/>
      <c r="E63" s="125" t="s">
        <v>873</v>
      </c>
      <c r="F63" s="126"/>
      <c r="G63" s="127">
        <f>$G$23*C62</f>
        <v>8.6999999999999993</v>
      </c>
      <c r="M63" s="105" t="s">
        <v>893</v>
      </c>
      <c r="N63" s="105" t="s">
        <v>913</v>
      </c>
      <c r="O63" s="105"/>
      <c r="WX63" s="105" t="s">
        <v>917</v>
      </c>
      <c r="WY63" s="158" t="s">
        <v>893</v>
      </c>
    </row>
    <row r="64" spans="2:623">
      <c r="B64" s="311"/>
      <c r="C64" s="313"/>
      <c r="D64" s="315"/>
      <c r="E64" s="128" t="s">
        <v>876</v>
      </c>
      <c r="F64" s="129">
        <v>0.3</v>
      </c>
      <c r="G64" s="130">
        <f>F64*G63</f>
        <v>2.61</v>
      </c>
      <c r="WX64" s="105" t="s">
        <v>913</v>
      </c>
      <c r="WY64" s="158" t="s">
        <v>893</v>
      </c>
    </row>
    <row r="65" spans="2:623">
      <c r="B65" s="311"/>
      <c r="C65" s="313"/>
      <c r="D65" s="315"/>
      <c r="E65" s="128" t="s">
        <v>877</v>
      </c>
      <c r="F65" s="129">
        <f>100%-F64</f>
        <v>0.7</v>
      </c>
      <c r="G65" s="130">
        <f>F65*G63</f>
        <v>6.09</v>
      </c>
      <c r="WX65" s="105" t="s">
        <v>911</v>
      </c>
      <c r="WY65" s="158" t="s">
        <v>893</v>
      </c>
    </row>
    <row r="66" spans="2:623">
      <c r="B66" s="311"/>
      <c r="C66" s="313"/>
      <c r="D66" s="315"/>
      <c r="E66" s="125" t="s">
        <v>878</v>
      </c>
      <c r="F66" s="126"/>
      <c r="G66" s="127">
        <f>$G$26*C62</f>
        <v>4.8333333333333304</v>
      </c>
    </row>
    <row r="67" spans="2:623">
      <c r="B67" s="311"/>
      <c r="C67" s="313"/>
      <c r="D67" s="315"/>
      <c r="E67" s="128" t="s">
        <v>879</v>
      </c>
      <c r="F67" s="129">
        <v>0.5</v>
      </c>
      <c r="G67" s="130">
        <f>G66*F67</f>
        <v>2.4166666666666701</v>
      </c>
      <c r="M67" s="301" t="s">
        <v>918</v>
      </c>
      <c r="N67" s="301"/>
      <c r="O67" s="301"/>
      <c r="P67" s="301"/>
      <c r="Q67" s="301"/>
      <c r="R67" s="301"/>
    </row>
    <row r="68" spans="2:623">
      <c r="B68" s="311"/>
      <c r="C68" s="313"/>
      <c r="D68" s="315"/>
      <c r="E68" s="128" t="s">
        <v>881</v>
      </c>
      <c r="F68" s="129">
        <f>100%-F67</f>
        <v>0.5</v>
      </c>
      <c r="G68" s="130">
        <f>G66*F68</f>
        <v>2.4166666666666701</v>
      </c>
      <c r="M68" s="105"/>
      <c r="N68" s="163" t="s">
        <v>919</v>
      </c>
      <c r="O68" s="122" t="s">
        <v>894</v>
      </c>
      <c r="P68" s="163" t="s">
        <v>920</v>
      </c>
      <c r="Q68" s="122" t="s">
        <v>921</v>
      </c>
      <c r="R68" s="163" t="s">
        <v>922</v>
      </c>
    </row>
    <row r="69" spans="2:623">
      <c r="B69" s="311"/>
      <c r="C69" s="313"/>
      <c r="D69" s="315"/>
      <c r="E69" s="125" t="s">
        <v>885</v>
      </c>
      <c r="F69" s="126"/>
      <c r="G69" s="127">
        <f>$G$29*C62</f>
        <v>23.925000000000001</v>
      </c>
      <c r="M69" s="105" t="s">
        <v>923</v>
      </c>
      <c r="N69" s="164" t="s">
        <v>924</v>
      </c>
      <c r="O69" s="105"/>
      <c r="P69" s="156" t="s">
        <v>925</v>
      </c>
      <c r="Q69" s="105"/>
      <c r="R69" s="164" t="s">
        <v>926</v>
      </c>
    </row>
    <row r="70" spans="2:623">
      <c r="B70" s="123"/>
      <c r="C70" s="131"/>
      <c r="D70" s="132"/>
      <c r="E70" s="306" t="str">
        <f>$D$33&amp;": "&amp;E62</f>
        <v>E (kcal): Phụ chiều</v>
      </c>
      <c r="F70" s="307"/>
      <c r="G70" s="133">
        <f>D62</f>
        <v>174</v>
      </c>
      <c r="M70" s="105" t="s">
        <v>927</v>
      </c>
      <c r="N70" s="164" t="s">
        <v>926</v>
      </c>
      <c r="O70" s="105" t="s">
        <v>928</v>
      </c>
      <c r="P70" s="156" t="s">
        <v>925</v>
      </c>
      <c r="Q70" s="105"/>
      <c r="R70" s="164" t="s">
        <v>926</v>
      </c>
    </row>
    <row r="71" spans="2:623">
      <c r="B71" s="311" t="s">
        <v>929</v>
      </c>
      <c r="C71" s="312">
        <v>0.2</v>
      </c>
      <c r="D71" s="315">
        <f>C71*$D$34</f>
        <v>348</v>
      </c>
      <c r="E71" s="305" t="str">
        <f>B71</f>
        <v>Tối</v>
      </c>
      <c r="F71" s="305"/>
      <c r="G71" s="305"/>
      <c r="M71" s="105" t="s">
        <v>930</v>
      </c>
      <c r="N71" s="164" t="s">
        <v>926</v>
      </c>
      <c r="O71" s="105" t="s">
        <v>928</v>
      </c>
      <c r="P71" s="164" t="s">
        <v>924</v>
      </c>
      <c r="Q71" s="105" t="s">
        <v>928</v>
      </c>
      <c r="R71" s="164" t="s">
        <v>931</v>
      </c>
    </row>
    <row r="72" spans="2:623">
      <c r="B72" s="311"/>
      <c r="C72" s="313"/>
      <c r="D72" s="315"/>
      <c r="E72" s="125" t="s">
        <v>873</v>
      </c>
      <c r="F72" s="126"/>
      <c r="G72" s="127">
        <f>$G$23*C71</f>
        <v>17.399999999999999</v>
      </c>
    </row>
    <row r="73" spans="2:623">
      <c r="B73" s="311"/>
      <c r="C73" s="313"/>
      <c r="D73" s="315"/>
      <c r="E73" s="128" t="s">
        <v>876</v>
      </c>
      <c r="F73" s="129">
        <v>0.3</v>
      </c>
      <c r="G73" s="130">
        <f>F73*G72</f>
        <v>5.22</v>
      </c>
    </row>
    <row r="74" spans="2:623">
      <c r="B74" s="311"/>
      <c r="C74" s="313"/>
      <c r="D74" s="315"/>
      <c r="E74" s="128" t="s">
        <v>877</v>
      </c>
      <c r="F74" s="129">
        <f>100%-F73</f>
        <v>0.7</v>
      </c>
      <c r="G74" s="130">
        <f>F74*G72</f>
        <v>12.18</v>
      </c>
    </row>
    <row r="75" spans="2:623">
      <c r="B75" s="311"/>
      <c r="C75" s="313"/>
      <c r="D75" s="315"/>
      <c r="E75" s="125" t="s">
        <v>878</v>
      </c>
      <c r="F75" s="126"/>
      <c r="G75" s="127">
        <f>$G$26*C71</f>
        <v>9.6666666666666696</v>
      </c>
    </row>
    <row r="76" spans="2:623">
      <c r="B76" s="311"/>
      <c r="C76" s="313"/>
      <c r="D76" s="315"/>
      <c r="E76" s="128" t="s">
        <v>879</v>
      </c>
      <c r="F76" s="129">
        <v>0.5</v>
      </c>
      <c r="G76" s="130">
        <f>G75*F76</f>
        <v>4.8333333333333304</v>
      </c>
    </row>
    <row r="77" spans="2:623">
      <c r="B77" s="311"/>
      <c r="C77" s="313"/>
      <c r="D77" s="315"/>
      <c r="E77" s="128" t="s">
        <v>881</v>
      </c>
      <c r="F77" s="129">
        <f>100%-F76</f>
        <v>0.5</v>
      </c>
      <c r="G77" s="130">
        <f>G75*F77</f>
        <v>4.8333333333333304</v>
      </c>
    </row>
    <row r="78" spans="2:623">
      <c r="B78" s="311"/>
      <c r="C78" s="313"/>
      <c r="D78" s="315"/>
      <c r="E78" s="125" t="s">
        <v>885</v>
      </c>
      <c r="F78" s="126"/>
      <c r="G78" s="127">
        <f>$G$29*C71</f>
        <v>47.85</v>
      </c>
    </row>
    <row r="79" spans="2:623">
      <c r="C79" s="159">
        <f>SUM(C35:C78)</f>
        <v>1</v>
      </c>
      <c r="E79" s="306" t="str">
        <f>$D$33&amp;": "&amp;E71</f>
        <v>E (kcal): Tối</v>
      </c>
      <c r="F79" s="307"/>
      <c r="G79" s="133">
        <f>D71</f>
        <v>348</v>
      </c>
    </row>
    <row r="80" spans="2:623">
      <c r="C80" s="160" t="b">
        <f>SUM(C35:C78)=C34%</f>
        <v>1</v>
      </c>
      <c r="D80" s="160" t="b">
        <f>SUM(D35:D78)=D34</f>
        <v>1</v>
      </c>
      <c r="E80" s="161"/>
      <c r="F80" s="82"/>
      <c r="G80" s="82"/>
    </row>
    <row r="81" spans="3:7">
      <c r="C81" s="106"/>
      <c r="D81" s="82"/>
      <c r="E81" s="161"/>
      <c r="F81" s="162"/>
      <c r="G81" s="82"/>
    </row>
    <row r="82" spans="3:7">
      <c r="C82" s="106"/>
      <c r="D82" s="82"/>
      <c r="E82" s="161"/>
      <c r="F82" s="82"/>
      <c r="G82" s="82"/>
    </row>
    <row r="96" spans="3:7">
      <c r="C96" s="106"/>
      <c r="D96" s="82"/>
      <c r="E96" s="161"/>
      <c r="F96" s="82"/>
      <c r="G96" s="82"/>
    </row>
    <row r="97" spans="3:7">
      <c r="C97" s="106"/>
      <c r="D97" s="82"/>
      <c r="E97" s="161"/>
      <c r="F97" s="82"/>
      <c r="G97" s="82"/>
    </row>
    <row r="98" spans="3:7">
      <c r="C98" s="106"/>
      <c r="D98" s="82"/>
      <c r="E98" s="161"/>
      <c r="F98" s="82"/>
      <c r="G98" s="82"/>
    </row>
    <row r="99" spans="3:7">
      <c r="C99" s="106"/>
      <c r="D99" s="82"/>
      <c r="E99" s="161"/>
      <c r="F99" s="82"/>
      <c r="G99" s="82"/>
    </row>
    <row r="100" spans="3:7">
      <c r="C100" s="106"/>
      <c r="D100" s="82"/>
      <c r="E100" s="161"/>
      <c r="F100" s="82"/>
      <c r="G100" s="82"/>
    </row>
    <row r="101" spans="3:7">
      <c r="C101" s="106"/>
      <c r="D101" s="82"/>
      <c r="E101" s="161"/>
      <c r="F101" s="82"/>
      <c r="G101" s="82"/>
    </row>
    <row r="102" spans="3:7">
      <c r="C102" s="106"/>
      <c r="D102" s="82"/>
      <c r="E102" s="161"/>
      <c r="F102" s="82"/>
      <c r="G102" s="82"/>
    </row>
    <row r="103" spans="3:7">
      <c r="C103" s="106"/>
      <c r="D103" s="82"/>
      <c r="E103" s="161"/>
      <c r="F103" s="82"/>
      <c r="G103" s="82"/>
    </row>
    <row r="104" spans="3:7">
      <c r="C104" s="106"/>
      <c r="D104" s="82"/>
      <c r="E104" s="161"/>
      <c r="F104" s="82"/>
      <c r="G104" s="82"/>
    </row>
    <row r="105" spans="3:7">
      <c r="C105" s="106"/>
      <c r="D105" s="82"/>
      <c r="E105" s="161"/>
      <c r="F105" s="82"/>
      <c r="G105" s="82"/>
    </row>
    <row r="106" spans="3:7">
      <c r="C106" s="106"/>
      <c r="D106" s="82"/>
      <c r="E106" s="161"/>
      <c r="F106" s="82"/>
      <c r="G106" s="82"/>
    </row>
    <row r="107" spans="3:7">
      <c r="C107" s="106"/>
      <c r="D107" s="82"/>
      <c r="E107" s="161"/>
      <c r="F107" s="82"/>
      <c r="G107" s="82"/>
    </row>
    <row r="108" spans="3:7">
      <c r="C108" s="106"/>
      <c r="D108" s="82"/>
      <c r="E108" s="161"/>
      <c r="F108" s="82"/>
      <c r="G108" s="82"/>
    </row>
    <row r="109" spans="3:7">
      <c r="C109" s="106"/>
      <c r="D109" s="82"/>
      <c r="E109" s="161"/>
      <c r="F109" s="82"/>
      <c r="G109" s="82"/>
    </row>
    <row r="110" spans="3:7">
      <c r="C110" s="106"/>
      <c r="D110" s="82"/>
      <c r="E110" s="161"/>
      <c r="F110" s="82"/>
      <c r="G110" s="82"/>
    </row>
    <row r="111" spans="3:7">
      <c r="C111" s="106"/>
      <c r="D111" s="82"/>
      <c r="E111" s="161"/>
      <c r="F111" s="82"/>
      <c r="G111" s="82"/>
    </row>
    <row r="112" spans="3:7">
      <c r="C112" s="106"/>
      <c r="D112" s="82"/>
      <c r="E112" s="161"/>
      <c r="F112" s="82"/>
      <c r="G112" s="82"/>
    </row>
    <row r="113" spans="3:7">
      <c r="C113" s="106"/>
      <c r="D113" s="82"/>
      <c r="E113" s="161"/>
      <c r="F113" s="82"/>
      <c r="G113" s="82"/>
    </row>
    <row r="114" spans="3:7">
      <c r="C114" s="106"/>
      <c r="D114" s="82"/>
      <c r="E114" s="161"/>
      <c r="F114" s="82"/>
      <c r="G114" s="82"/>
    </row>
    <row r="115" spans="3:7">
      <c r="C115" s="106"/>
      <c r="D115" s="82"/>
      <c r="E115" s="161"/>
      <c r="F115" s="82"/>
      <c r="G115" s="82"/>
    </row>
    <row r="116" spans="3:7">
      <c r="C116" s="106"/>
      <c r="D116" s="82"/>
      <c r="E116" s="161"/>
      <c r="F116" s="82"/>
      <c r="G116" s="82"/>
    </row>
    <row r="117" spans="3:7">
      <c r="C117" s="106"/>
      <c r="D117" s="82"/>
      <c r="E117" s="161"/>
      <c r="F117" s="82"/>
      <c r="G117" s="82"/>
    </row>
    <row r="118" spans="3:7">
      <c r="C118" s="106"/>
      <c r="D118" s="82"/>
      <c r="E118" s="161"/>
      <c r="F118" s="82"/>
      <c r="G118" s="82"/>
    </row>
    <row r="119" spans="3:7">
      <c r="C119" s="106"/>
      <c r="D119" s="82"/>
      <c r="E119" s="161"/>
      <c r="F119" s="82"/>
      <c r="G119" s="82"/>
    </row>
    <row r="120" spans="3:7">
      <c r="C120" s="106"/>
      <c r="D120" s="82"/>
      <c r="E120" s="161"/>
      <c r="F120" s="82"/>
      <c r="G120" s="82"/>
    </row>
    <row r="121" spans="3:7">
      <c r="C121" s="106"/>
      <c r="D121" s="82"/>
      <c r="E121" s="161"/>
      <c r="F121" s="82"/>
      <c r="G121" s="82"/>
    </row>
    <row r="122" spans="3:7">
      <c r="C122" s="106"/>
      <c r="D122" s="82"/>
      <c r="E122" s="161"/>
      <c r="F122" s="82"/>
      <c r="G122" s="82"/>
    </row>
    <row r="123" spans="3:7">
      <c r="C123" s="106"/>
      <c r="D123" s="82"/>
      <c r="E123" s="161"/>
      <c r="F123" s="82"/>
      <c r="G123" s="82"/>
    </row>
    <row r="124" spans="3:7">
      <c r="C124" s="106"/>
      <c r="D124" s="82"/>
      <c r="E124" s="161"/>
      <c r="F124" s="82"/>
      <c r="G124" s="82"/>
    </row>
    <row r="125" spans="3:7">
      <c r="C125" s="106"/>
      <c r="D125" s="82"/>
      <c r="E125" s="161"/>
      <c r="F125" s="82"/>
      <c r="G125" s="82"/>
    </row>
    <row r="126" spans="3:7">
      <c r="C126" s="106"/>
      <c r="D126" s="82"/>
      <c r="E126" s="161"/>
      <c r="F126" s="82"/>
      <c r="G126" s="82"/>
    </row>
    <row r="127" spans="3:7">
      <c r="C127" s="106"/>
      <c r="D127" s="82"/>
      <c r="E127" s="161"/>
      <c r="F127" s="82"/>
      <c r="G127" s="82"/>
    </row>
    <row r="128" spans="3:7">
      <c r="C128" s="106"/>
      <c r="D128" s="82"/>
      <c r="E128" s="161"/>
      <c r="F128" s="82"/>
      <c r="G128" s="82"/>
    </row>
    <row r="129" spans="4:4">
      <c r="D129" s="165"/>
    </row>
  </sheetData>
  <mergeCells count="42">
    <mergeCell ref="D53:D60"/>
    <mergeCell ref="D62:D69"/>
    <mergeCell ref="D71:D78"/>
    <mergeCell ref="E33:G34"/>
    <mergeCell ref="B53:B60"/>
    <mergeCell ref="B62:B69"/>
    <mergeCell ref="B71:B78"/>
    <mergeCell ref="C35:C42"/>
    <mergeCell ref="C44:C51"/>
    <mergeCell ref="C53:C60"/>
    <mergeCell ref="C62:C69"/>
    <mergeCell ref="C71:C78"/>
    <mergeCell ref="E62:G62"/>
    <mergeCell ref="M67:R67"/>
    <mergeCell ref="E70:F70"/>
    <mergeCell ref="E71:G71"/>
    <mergeCell ref="E79:F79"/>
    <mergeCell ref="M49:O49"/>
    <mergeCell ref="E52:F52"/>
    <mergeCell ref="E53:G53"/>
    <mergeCell ref="M56:O56"/>
    <mergeCell ref="E61:F61"/>
    <mergeCell ref="B32:G32"/>
    <mergeCell ref="E35:G35"/>
    <mergeCell ref="E43:F43"/>
    <mergeCell ref="E44:G44"/>
    <mergeCell ref="M44:O44"/>
    <mergeCell ref="B33:B34"/>
    <mergeCell ref="B35:B42"/>
    <mergeCell ref="B44:B51"/>
    <mergeCell ref="D35:D42"/>
    <mergeCell ref="D44:D51"/>
    <mergeCell ref="B24:D24"/>
    <mergeCell ref="B25:D25"/>
    <mergeCell ref="B27:D27"/>
    <mergeCell ref="M27:P27"/>
    <mergeCell ref="B28:D28"/>
    <mergeCell ref="B1:G1"/>
    <mergeCell ref="B3:G3"/>
    <mergeCell ref="M3:O3"/>
    <mergeCell ref="B8:D8"/>
    <mergeCell ref="B16:D16"/>
  </mergeCells>
  <conditionalFormatting sqref="C9">
    <cfRule type="cellIs" dxfId="95" priority="2" operator="equal">
      <formula>$M$23</formula>
    </cfRule>
    <cfRule type="cellIs" dxfId="94" priority="3" operator="equal">
      <formula>$M$22</formula>
    </cfRule>
    <cfRule type="cellIs" dxfId="93" priority="4" operator="equal">
      <formula>$M$21</formula>
    </cfRule>
    <cfRule type="cellIs" dxfId="92" priority="5" operator="equal">
      <formula>$M$20</formula>
    </cfRule>
    <cfRule type="cellIs" dxfId="91" priority="11" operator="equal">
      <formula>$M$19</formula>
    </cfRule>
    <cfRule type="cellIs" dxfId="90" priority="12" operator="equal">
      <formula>$M$23</formula>
    </cfRule>
    <cfRule type="cellIs" dxfId="89" priority="13" operator="equal">
      <formula>$M$22</formula>
    </cfRule>
    <cfRule type="cellIs" dxfId="88" priority="14" operator="equal">
      <formula>$M$21</formula>
    </cfRule>
    <cfRule type="cellIs" dxfId="87" priority="15" operator="equal">
      <formula>$M$20</formula>
    </cfRule>
    <cfRule type="cellIs" dxfId="86" priority="16" operator="equal">
      <formula>$M$19</formula>
    </cfRule>
  </conditionalFormatting>
  <conditionalFormatting sqref="C80:D80">
    <cfRule type="cellIs" dxfId="85" priority="9" operator="equal">
      <formula>FALSE</formula>
    </cfRule>
  </conditionalFormatting>
  <conditionalFormatting sqref="E5">
    <cfRule type="cellIs" dxfId="84" priority="6" operator="equal">
      <formula>"Nhập tuổi"</formula>
    </cfRule>
    <cfRule type="cellIs" dxfId="83" priority="17" operator="equal">
      <formula>"Not Found"</formula>
    </cfRule>
  </conditionalFormatting>
  <conditionalFormatting sqref="E6">
    <cfRule type="cellIs" dxfId="82" priority="1" operator="equal">
      <formula>"Nhập giới"</formula>
    </cfRule>
  </conditionalFormatting>
  <conditionalFormatting sqref="E7">
    <cfRule type="cellIs" dxfId="81" priority="7" operator="equal">
      <formula>"Không tìm thấy dữ liệu"</formula>
    </cfRule>
    <cfRule type="cellIs" dxfId="80" priority="8" operator="equal">
      <formula>"Nhập dữ liệu giới tính tại ô C6"</formula>
    </cfRule>
  </conditionalFormatting>
  <dataValidations count="3">
    <dataValidation type="list" allowBlank="1" showInputMessage="1" showErrorMessage="1" sqref="C6" xr:uid="{00000000-0002-0000-0100-000000000000}">
      <formula1>"Nam, Nữ"</formula1>
    </dataValidation>
    <dataValidation type="list" allowBlank="1" showInputMessage="1" showErrorMessage="1" sqref="C7" xr:uid="{00000000-0002-0000-0100-000001000000}">
      <formula1>$WX$44:$WX$65</formula1>
    </dataValidation>
    <dataValidation type="list" allowBlank="1" showInputMessage="1" showErrorMessage="1" sqref="C9" xr:uid="{00000000-0002-0000-0100-000002000000}">
      <formula1>$M$19:$M$23</formula1>
    </dataValidation>
  </dataValidations>
  <pageMargins left="1" right="0.25" top="0.75" bottom="0.5" header="0.25" footer="0.25"/>
  <pageSetup paperSize="9"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ADF1FF"/>
  </sheetPr>
  <dimension ref="A1:DA311"/>
  <sheetViews>
    <sheetView tabSelected="1" topLeftCell="A6" zoomScale="85" zoomScaleNormal="85" workbookViewId="0">
      <selection activeCell="G16" sqref="G16"/>
    </sheetView>
  </sheetViews>
  <sheetFormatPr defaultColWidth="9" defaultRowHeight="13.8"/>
  <cols>
    <col min="1" max="3" width="9" style="41"/>
    <col min="4" max="4" width="23" style="41" customWidth="1"/>
    <col min="5" max="5" width="13" style="28" customWidth="1"/>
    <col min="6" max="6" width="26.6328125" style="28" customWidth="1"/>
    <col min="7" max="8" width="13" style="28" customWidth="1"/>
    <col min="9" max="9" width="9.7265625" style="28" hidden="1" customWidth="1"/>
    <col min="10" max="10" width="12.54296875" style="28" customWidth="1"/>
    <col min="11" max="11" width="12.54296875" style="28" hidden="1" customWidth="1"/>
    <col min="12" max="13" width="12.54296875" style="28" customWidth="1"/>
    <col min="14" max="14" width="12.54296875" style="28" hidden="1" customWidth="1"/>
    <col min="15" max="16" width="12.54296875" style="28" customWidth="1"/>
    <col min="17" max="17" width="12.54296875" style="28" hidden="1" customWidth="1"/>
    <col min="18" max="23" width="12.54296875" style="28" customWidth="1"/>
    <col min="24" max="31" width="12.54296875" style="41" customWidth="1"/>
    <col min="32" max="32" width="10" style="44" customWidth="1"/>
    <col min="33" max="33" width="6.26953125" style="44" customWidth="1"/>
    <col min="34" max="34" width="7.54296875" style="44" customWidth="1"/>
    <col min="35" max="35" width="8.81640625" style="44" customWidth="1"/>
    <col min="36" max="36" width="12.7265625" style="44" customWidth="1"/>
    <col min="37" max="37" width="8.7265625" style="44" customWidth="1"/>
    <col min="38" max="38" width="10.54296875" style="44" customWidth="1"/>
    <col min="39" max="39" width="16.7265625" style="44" customWidth="1"/>
    <col min="40" max="40" width="13.54296875" style="44" customWidth="1"/>
    <col min="41" max="41" width="9.54296875" style="44" customWidth="1"/>
    <col min="42" max="42" width="14.1796875" style="44" customWidth="1"/>
    <col min="43" max="43" width="6.7265625" style="44" customWidth="1"/>
    <col min="44" max="44" width="12.81640625" style="44" customWidth="1"/>
    <col min="45" max="45" width="8" style="44" customWidth="1"/>
    <col min="46" max="46" width="7.81640625" style="44" customWidth="1"/>
    <col min="47" max="47" width="8.1796875" style="44" customWidth="1"/>
    <col min="48" max="48" width="10" style="44" customWidth="1"/>
    <col min="49" max="49" width="12.453125" style="44" customWidth="1"/>
    <col min="50" max="50" width="14.7265625" style="44" customWidth="1"/>
    <col min="51" max="51" width="8.26953125" style="44" customWidth="1"/>
    <col min="52" max="52" width="14.7265625" style="44" customWidth="1"/>
    <col min="53" max="53" width="10" style="44" customWidth="1"/>
    <col min="54" max="56" width="8.81640625" style="44" customWidth="1"/>
    <col min="57" max="57" width="5.81640625" style="44" customWidth="1"/>
    <col min="58" max="58" width="11.26953125" style="44" customWidth="1"/>
    <col min="59" max="59" width="12.1796875" style="44" customWidth="1"/>
    <col min="60" max="60" width="12.7265625" style="44" customWidth="1"/>
    <col min="61" max="61" width="11.1796875" style="44" customWidth="1"/>
    <col min="62" max="62" width="13.1796875" style="44" customWidth="1"/>
    <col min="63" max="63" width="11.81640625" style="44" customWidth="1"/>
    <col min="64" max="64" width="13.7265625" style="44" customWidth="1"/>
    <col min="65" max="65" width="22.54296875" style="44" customWidth="1"/>
    <col min="66" max="67" width="14.1796875" style="44" customWidth="1"/>
    <col min="68" max="68" width="9.81640625" style="44" customWidth="1"/>
    <col min="69" max="69" width="25.7265625" style="44" customWidth="1"/>
    <col min="70" max="70" width="6.453125" style="44" customWidth="1"/>
    <col min="71" max="71" width="7.26953125" style="44" customWidth="1"/>
    <col min="72" max="72" width="14.81640625" style="44" customWidth="1"/>
    <col min="73" max="73" width="11.54296875" style="44" customWidth="1"/>
    <col min="74" max="74" width="12.1796875" style="44" customWidth="1"/>
    <col min="75" max="75" width="12.81640625" style="44" customWidth="1"/>
    <col min="76" max="77" width="8.7265625" style="44" customWidth="1"/>
    <col min="78" max="78" width="6.81640625" style="44" customWidth="1"/>
    <col min="79" max="79" width="8.453125" style="44" customWidth="1"/>
    <col min="80" max="80" width="9.453125" style="44" customWidth="1"/>
    <col min="81" max="81" width="10.26953125" style="44" customWidth="1"/>
    <col min="82" max="82" width="7.54296875" style="44" customWidth="1"/>
    <col min="83" max="84" width="6.81640625" style="44" customWidth="1"/>
    <col min="85" max="85" width="8.1796875" style="44" customWidth="1"/>
    <col min="86" max="86" width="7.1796875" style="44" customWidth="1"/>
    <col min="87" max="87" width="7.453125" style="44" customWidth="1"/>
    <col min="88" max="88" width="6.453125" style="44" customWidth="1"/>
    <col min="89" max="89" width="7.1796875" style="44" customWidth="1"/>
    <col min="90" max="90" width="6.81640625" style="44" customWidth="1"/>
    <col min="91" max="91" width="10.453125" style="44" customWidth="1"/>
    <col min="92" max="92" width="11" style="44" customWidth="1"/>
    <col min="93" max="93" width="6.81640625" style="44" customWidth="1"/>
    <col min="94" max="94" width="6.1796875" style="44" customWidth="1"/>
    <col min="95" max="95" width="6.81640625" style="44" customWidth="1"/>
    <col min="96" max="104" width="9" style="41" customWidth="1"/>
    <col min="105" max="105" width="9" style="28" customWidth="1"/>
    <col min="106" max="16384" width="9" style="41"/>
  </cols>
  <sheetData>
    <row r="1" spans="1:105" ht="13.8" customHeight="1"/>
    <row r="5" spans="1:105" ht="27" customHeight="1">
      <c r="A5" s="318" t="s">
        <v>932</v>
      </c>
      <c r="B5" s="318"/>
      <c r="C5" s="318"/>
      <c r="D5" s="47"/>
      <c r="E5" s="48"/>
      <c r="F5" s="47"/>
      <c r="G5" s="47"/>
      <c r="H5" s="48"/>
      <c r="I5" s="47"/>
      <c r="J5" s="48"/>
      <c r="K5" s="47"/>
      <c r="L5" s="48"/>
      <c r="M5" s="48"/>
      <c r="N5" s="47"/>
      <c r="O5" s="48"/>
      <c r="P5" s="48"/>
      <c r="Q5" s="47"/>
      <c r="R5" s="48"/>
      <c r="S5" s="47"/>
      <c r="T5" s="48"/>
      <c r="U5" s="47"/>
      <c r="V5" s="48"/>
      <c r="W5" s="47"/>
      <c r="X5" s="48"/>
      <c r="Y5" s="47"/>
      <c r="Z5" s="48"/>
      <c r="AA5" s="47"/>
      <c r="AB5" s="48"/>
    </row>
    <row r="6" spans="1:105" ht="31.95" customHeight="1">
      <c r="D6" s="49" t="s">
        <v>933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 spans="1:105" ht="61.95" customHeight="1">
      <c r="D7" s="51"/>
      <c r="E7" s="319" t="s">
        <v>934</v>
      </c>
      <c r="F7" s="320"/>
      <c r="G7" s="320"/>
      <c r="H7" s="320"/>
      <c r="I7" s="53"/>
      <c r="J7" s="321" t="s">
        <v>935</v>
      </c>
      <c r="K7" s="322"/>
      <c r="L7" s="322"/>
      <c r="M7" s="322"/>
      <c r="N7" s="322"/>
      <c r="O7" s="322"/>
      <c r="P7" s="319"/>
      <c r="Q7" s="67"/>
      <c r="R7" s="321" t="s">
        <v>936</v>
      </c>
      <c r="S7" s="322"/>
      <c r="T7" s="319"/>
      <c r="U7" s="321" t="s">
        <v>937</v>
      </c>
      <c r="V7" s="322"/>
      <c r="W7" s="322"/>
      <c r="X7" s="319"/>
      <c r="Y7" s="321" t="s">
        <v>938</v>
      </c>
      <c r="Z7" s="319"/>
      <c r="AA7" s="323" t="s">
        <v>939</v>
      </c>
      <c r="AB7" s="323"/>
      <c r="AC7" s="324" t="s">
        <v>940</v>
      </c>
      <c r="AD7" s="325"/>
      <c r="AE7" s="326"/>
    </row>
    <row r="8" spans="1:105" s="28" customFormat="1" ht="31.05" customHeight="1">
      <c r="D8" s="54" t="s">
        <v>941</v>
      </c>
      <c r="E8" s="52" t="s">
        <v>942</v>
      </c>
      <c r="F8" s="53" t="s">
        <v>943</v>
      </c>
      <c r="G8" s="53" t="s">
        <v>944</v>
      </c>
      <c r="H8" s="53" t="s">
        <v>945</v>
      </c>
      <c r="J8" s="53" t="s">
        <v>942</v>
      </c>
      <c r="L8" s="53" t="s">
        <v>943</v>
      </c>
      <c r="M8" s="53" t="s">
        <v>944</v>
      </c>
      <c r="O8" s="53" t="s">
        <v>945</v>
      </c>
      <c r="P8" s="53" t="s">
        <v>946</v>
      </c>
      <c r="R8" s="53" t="s">
        <v>942</v>
      </c>
      <c r="S8" s="53" t="s">
        <v>943</v>
      </c>
      <c r="T8" s="53" t="s">
        <v>944</v>
      </c>
      <c r="U8" s="53" t="s">
        <v>942</v>
      </c>
      <c r="V8" s="53" t="s">
        <v>943</v>
      </c>
      <c r="W8" s="53" t="s">
        <v>944</v>
      </c>
      <c r="X8" s="53" t="s">
        <v>945</v>
      </c>
      <c r="Y8" s="69" t="s">
        <v>942</v>
      </c>
      <c r="Z8" s="69" t="s">
        <v>943</v>
      </c>
      <c r="AA8" s="53" t="s">
        <v>942</v>
      </c>
      <c r="AB8" s="53" t="s">
        <v>943</v>
      </c>
      <c r="AC8" s="69" t="s">
        <v>942</v>
      </c>
      <c r="AD8" s="69" t="s">
        <v>943</v>
      </c>
      <c r="AE8" s="69" t="s">
        <v>944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DA8" s="71" t="s">
        <v>947</v>
      </c>
    </row>
    <row r="9" spans="1:105" ht="20.399999999999999">
      <c r="D9" s="55" t="s">
        <v>919</v>
      </c>
      <c r="E9" s="56" t="s">
        <v>185</v>
      </c>
      <c r="F9" s="56" t="s">
        <v>194</v>
      </c>
      <c r="G9" s="56"/>
      <c r="H9" s="56"/>
      <c r="J9" s="56" t="s">
        <v>288</v>
      </c>
      <c r="L9" s="56" t="s">
        <v>374</v>
      </c>
      <c r="M9" s="56" t="s">
        <v>308</v>
      </c>
      <c r="O9" s="56"/>
      <c r="P9" s="56"/>
      <c r="R9" s="56"/>
      <c r="S9" s="56"/>
      <c r="T9" s="56"/>
      <c r="U9" s="56" t="s">
        <v>575</v>
      </c>
      <c r="V9" s="56"/>
      <c r="W9" s="56"/>
      <c r="X9" s="56"/>
      <c r="Y9" s="56" t="s">
        <v>469</v>
      </c>
      <c r="Z9" s="56"/>
      <c r="AA9" s="56" t="s">
        <v>268</v>
      </c>
      <c r="AB9" s="56"/>
      <c r="AC9" s="56"/>
      <c r="AD9" s="56"/>
      <c r="AE9" s="56"/>
      <c r="DA9" s="72" t="s">
        <v>948</v>
      </c>
    </row>
    <row r="10" spans="1:105" ht="20.399999999999999">
      <c r="D10" s="55" t="s">
        <v>949</v>
      </c>
      <c r="E10" s="57" t="s">
        <v>181</v>
      </c>
      <c r="F10" s="57" t="s">
        <v>181</v>
      </c>
      <c r="G10" s="57"/>
      <c r="H10" s="57"/>
      <c r="J10" s="57" t="s">
        <v>181</v>
      </c>
      <c r="L10" s="57" t="s">
        <v>181</v>
      </c>
      <c r="M10" s="57" t="s">
        <v>181</v>
      </c>
      <c r="O10" s="57"/>
      <c r="P10" s="57"/>
      <c r="R10" s="57"/>
      <c r="S10" s="57"/>
      <c r="T10" s="57"/>
      <c r="U10" s="57" t="s">
        <v>468</v>
      </c>
      <c r="V10" s="57"/>
      <c r="W10" s="57"/>
      <c r="X10" s="57"/>
      <c r="Y10" s="57" t="s">
        <v>181</v>
      </c>
      <c r="Z10" s="57"/>
      <c r="AA10" s="57" t="s">
        <v>181</v>
      </c>
      <c r="AB10" s="57"/>
      <c r="AC10" s="57"/>
      <c r="AD10" s="57"/>
      <c r="AE10" s="57"/>
      <c r="DA10" s="72" t="s">
        <v>948</v>
      </c>
    </row>
    <row r="11" spans="1:105" ht="28.05" customHeight="1">
      <c r="D11" s="58" t="s">
        <v>950</v>
      </c>
      <c r="E11" s="59">
        <v>180</v>
      </c>
      <c r="F11" s="59">
        <v>15</v>
      </c>
      <c r="G11" s="59"/>
      <c r="H11" s="59"/>
      <c r="J11" s="59">
        <v>40</v>
      </c>
      <c r="L11" s="59">
        <v>10</v>
      </c>
      <c r="M11" s="59">
        <v>25</v>
      </c>
      <c r="O11" s="59"/>
      <c r="P11" s="59"/>
      <c r="R11" s="59"/>
      <c r="S11" s="59"/>
      <c r="T11" s="59"/>
      <c r="U11" s="59">
        <v>55</v>
      </c>
      <c r="V11" s="59"/>
      <c r="W11" s="59"/>
      <c r="X11" s="59"/>
      <c r="Y11" s="59">
        <v>5.5</v>
      </c>
      <c r="Z11" s="59"/>
      <c r="AA11" s="59">
        <v>200</v>
      </c>
      <c r="AB11" s="59"/>
      <c r="AC11" s="59"/>
      <c r="AD11" s="59"/>
      <c r="AE11" s="59"/>
      <c r="DA11" s="72" t="s">
        <v>948</v>
      </c>
    </row>
    <row r="12" spans="1:105">
      <c r="E12" s="60" t="e">
        <f ca="1">IF(E9=0,0,100*$R$44/_xlfn.XLOOKUP(E9,'FCDB 2017 (full)'!$C:$C,'FCDB 2017 (full)'!$I:$I))</f>
        <v>#NAME?</v>
      </c>
      <c r="F12" s="60" t="e">
        <f ca="1">IF(F9=0,0,100*$R$44/_xlfn.XLOOKUP(F9,'FCDB 2017 (full)'!$C:$C,'FCDB 2017 (full)'!$I:$I))</f>
        <v>#NAME?</v>
      </c>
      <c r="G12" s="60">
        <f>IF(G9=0,0,100*$R$44/_xlfn.XLOOKUP(G9,'FCDB 2017 (full)'!$C:$C,'FCDB 2017 (full)'!$I:$I))</f>
        <v>0</v>
      </c>
      <c r="H12" s="60">
        <f>IF(H9=0,0,100*$R$44/_xlfn.XLOOKUP(H9,'FCDB 2017 (full)'!$C:$C,'FCDB 2017 (full)'!$I:$I))</f>
        <v>0</v>
      </c>
      <c r="I12" s="63"/>
      <c r="J12" s="60" t="e">
        <f ca="1">IF(J9=0,0,100*$R$44/_xlfn.XLOOKUP(J9,'FCDB 2017 (full)'!$C:$C,'FCDB 2017 (full)'!$I:$I))</f>
        <v>#NAME?</v>
      </c>
      <c r="K12" s="63"/>
      <c r="L12" s="60" t="e">
        <f ca="1">IF(L9=0,0,100*$R$44/_xlfn.XLOOKUP(L9,'FCDB 2017 (full)'!$C:$C,'FCDB 2017 (full)'!$I:$I))</f>
        <v>#NAME?</v>
      </c>
      <c r="M12" s="60" t="e">
        <f ca="1">IF(M9=0,0,100*$R$44/_xlfn.XLOOKUP(M9,'FCDB 2017 (full)'!$C:$C,'FCDB 2017 (full)'!$I:$I))</f>
        <v>#NAME?</v>
      </c>
      <c r="N12" s="63"/>
      <c r="O12" s="63"/>
      <c r="P12" s="63"/>
      <c r="Q12" s="63"/>
      <c r="R12" s="60">
        <f>IF(R9=0,0,100*$R$44/_xlfn.XLOOKUP(R9,'FCDB 2017 (full)'!$C:$C,'FCDB 2017 (full)'!$I:$I))</f>
        <v>0</v>
      </c>
      <c r="S12" s="60">
        <f>IF(S9=0,0,100*$R$44/_xlfn.XLOOKUP(S9,'FCDB 2017 (full)'!$C:$C,'FCDB 2017 (full)'!$I:$I))</f>
        <v>0</v>
      </c>
      <c r="T12" s="60">
        <f>IF(T9=0,0,100*$R$44/_xlfn.XLOOKUP(T9,'FCDB 2017 (full)'!$C:$C,'FCDB 2017 (full)'!$I:$I))</f>
        <v>0</v>
      </c>
      <c r="U12" s="60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DA12" s="72" t="s">
        <v>948</v>
      </c>
    </row>
    <row r="13" spans="1:105">
      <c r="DA13" s="72" t="s">
        <v>948</v>
      </c>
    </row>
    <row r="14" spans="1:105" ht="28.95" customHeight="1">
      <c r="E14" s="41"/>
      <c r="F14" s="327" t="str">
        <f>D9</f>
        <v>Bữa sáng</v>
      </c>
      <c r="G14" s="327"/>
      <c r="H14" s="343" t="s">
        <v>951</v>
      </c>
      <c r="I14" s="3" t="s">
        <v>952</v>
      </c>
      <c r="J14" s="345" t="s">
        <v>953</v>
      </c>
      <c r="K14" s="3" t="s">
        <v>954</v>
      </c>
      <c r="L14" s="328" t="s">
        <v>955</v>
      </c>
      <c r="M14" s="328"/>
      <c r="N14" s="3" t="s">
        <v>956</v>
      </c>
      <c r="O14" s="328" t="s">
        <v>91</v>
      </c>
      <c r="P14" s="328"/>
      <c r="Q14" s="3" t="s">
        <v>957</v>
      </c>
      <c r="R14" s="348" t="s">
        <v>958</v>
      </c>
      <c r="S14" s="348" t="s">
        <v>959</v>
      </c>
      <c r="T14" s="348" t="s">
        <v>960</v>
      </c>
      <c r="U14" s="348" t="s">
        <v>95</v>
      </c>
      <c r="V14" s="348" t="s">
        <v>961</v>
      </c>
      <c r="W14" s="348" t="s">
        <v>97</v>
      </c>
      <c r="X14" s="348" t="s">
        <v>962</v>
      </c>
      <c r="Y14" s="348" t="s">
        <v>99</v>
      </c>
      <c r="Z14" s="348" t="s">
        <v>100</v>
      </c>
      <c r="AA14" s="348" t="s">
        <v>101</v>
      </c>
      <c r="AB14" s="348" t="s">
        <v>102</v>
      </c>
      <c r="AC14" s="348" t="s">
        <v>103</v>
      </c>
      <c r="AD14" s="348" t="s">
        <v>104</v>
      </c>
      <c r="AE14" s="348" t="s">
        <v>105</v>
      </c>
      <c r="AF14" s="348" t="s">
        <v>963</v>
      </c>
      <c r="AG14" s="348" t="s">
        <v>964</v>
      </c>
      <c r="AH14" s="348" t="s">
        <v>965</v>
      </c>
      <c r="AI14" s="348" t="s">
        <v>966</v>
      </c>
      <c r="AJ14" s="348" t="s">
        <v>110</v>
      </c>
      <c r="AK14" s="348" t="s">
        <v>111</v>
      </c>
      <c r="AL14" s="348" t="s">
        <v>112</v>
      </c>
      <c r="AM14" s="348" t="s">
        <v>967</v>
      </c>
      <c r="AN14" s="348" t="s">
        <v>968</v>
      </c>
      <c r="AO14" s="348" t="s">
        <v>115</v>
      </c>
      <c r="AP14" s="348" t="s">
        <v>116</v>
      </c>
      <c r="AQ14" s="348" t="s">
        <v>117</v>
      </c>
      <c r="AR14" s="348" t="s">
        <v>118</v>
      </c>
      <c r="AS14" s="348" t="s">
        <v>119</v>
      </c>
      <c r="AT14" s="348" t="s">
        <v>120</v>
      </c>
      <c r="AU14" s="348" t="s">
        <v>121</v>
      </c>
      <c r="AV14" s="348" t="s">
        <v>122</v>
      </c>
      <c r="AW14" s="348" t="s">
        <v>123</v>
      </c>
      <c r="AX14" s="348" t="s">
        <v>124</v>
      </c>
      <c r="AY14" s="348" t="s">
        <v>125</v>
      </c>
      <c r="AZ14" s="348" t="s">
        <v>126</v>
      </c>
      <c r="BA14" s="348" t="s">
        <v>969</v>
      </c>
      <c r="BB14" s="348" t="s">
        <v>128</v>
      </c>
      <c r="BC14" s="348" t="s">
        <v>129</v>
      </c>
      <c r="BD14" s="348" t="s">
        <v>130</v>
      </c>
      <c r="BE14" s="348" t="s">
        <v>131</v>
      </c>
      <c r="BF14" s="348" t="s">
        <v>132</v>
      </c>
      <c r="BG14" s="348" t="s">
        <v>133</v>
      </c>
      <c r="BH14" s="348" t="s">
        <v>134</v>
      </c>
      <c r="BI14" s="348" t="s">
        <v>135</v>
      </c>
      <c r="BJ14" s="348" t="s">
        <v>136</v>
      </c>
      <c r="BK14" s="348" t="s">
        <v>137</v>
      </c>
      <c r="BL14" s="348" t="s">
        <v>138</v>
      </c>
      <c r="BM14" s="348" t="s">
        <v>139</v>
      </c>
      <c r="BN14" s="348" t="s">
        <v>140</v>
      </c>
      <c r="BO14" s="348" t="s">
        <v>141</v>
      </c>
      <c r="BP14" s="348" t="s">
        <v>142</v>
      </c>
      <c r="BQ14" s="348" t="s">
        <v>143</v>
      </c>
      <c r="BR14" s="348" t="s">
        <v>144</v>
      </c>
      <c r="BS14" s="348" t="s">
        <v>145</v>
      </c>
      <c r="BT14" s="348" t="s">
        <v>146</v>
      </c>
      <c r="BU14" s="348" t="s">
        <v>147</v>
      </c>
      <c r="BV14" s="348" t="s">
        <v>148</v>
      </c>
      <c r="BW14" s="348" t="s">
        <v>149</v>
      </c>
      <c r="BX14" s="348" t="s">
        <v>150</v>
      </c>
      <c r="BY14" s="348" t="s">
        <v>151</v>
      </c>
      <c r="BZ14" s="348" t="s">
        <v>152</v>
      </c>
      <c r="CA14" s="348" t="s">
        <v>153</v>
      </c>
      <c r="CB14" s="348" t="s">
        <v>154</v>
      </c>
      <c r="CC14" s="348" t="s">
        <v>155</v>
      </c>
      <c r="CD14" s="348" t="s">
        <v>156</v>
      </c>
      <c r="CE14" s="348" t="s">
        <v>157</v>
      </c>
      <c r="CF14" s="348" t="s">
        <v>158</v>
      </c>
      <c r="CG14" s="348" t="s">
        <v>159</v>
      </c>
      <c r="CH14" s="348" t="s">
        <v>160</v>
      </c>
      <c r="CI14" s="348" t="s">
        <v>161</v>
      </c>
      <c r="CJ14" s="348" t="s">
        <v>162</v>
      </c>
      <c r="CK14" s="348" t="s">
        <v>163</v>
      </c>
      <c r="CL14" s="348" t="s">
        <v>164</v>
      </c>
      <c r="CM14" s="348" t="s">
        <v>165</v>
      </c>
      <c r="CN14" s="348" t="s">
        <v>166</v>
      </c>
      <c r="CO14" s="348" t="s">
        <v>167</v>
      </c>
      <c r="CP14" s="348" t="s">
        <v>168</v>
      </c>
      <c r="CQ14" s="348" t="s">
        <v>169</v>
      </c>
      <c r="DA14" s="73" t="s">
        <v>948</v>
      </c>
    </row>
    <row r="15" spans="1:105" ht="28.95" customHeight="1">
      <c r="E15" s="41"/>
      <c r="F15" s="4" t="s">
        <v>970</v>
      </c>
      <c r="G15" s="4" t="s">
        <v>971</v>
      </c>
      <c r="H15" s="344"/>
      <c r="I15" s="3"/>
      <c r="J15" s="344"/>
      <c r="K15" s="3"/>
      <c r="L15" s="2" t="s">
        <v>468</v>
      </c>
      <c r="M15" s="2" t="s">
        <v>181</v>
      </c>
      <c r="N15" s="3"/>
      <c r="O15" s="2" t="s">
        <v>468</v>
      </c>
      <c r="P15" s="2" t="s">
        <v>181</v>
      </c>
      <c r="Q15" s="3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348"/>
      <c r="AL15" s="348"/>
      <c r="AM15" s="348"/>
      <c r="AN15" s="348"/>
      <c r="AO15" s="348"/>
      <c r="AP15" s="348"/>
      <c r="AQ15" s="348"/>
      <c r="AR15" s="348"/>
      <c r="AS15" s="348"/>
      <c r="AT15" s="348"/>
      <c r="AU15" s="348"/>
      <c r="AV15" s="348"/>
      <c r="AW15" s="348"/>
      <c r="AX15" s="348"/>
      <c r="AY15" s="348"/>
      <c r="AZ15" s="348"/>
      <c r="BA15" s="348"/>
      <c r="BB15" s="348"/>
      <c r="BC15" s="348"/>
      <c r="BD15" s="348"/>
      <c r="BE15" s="348"/>
      <c r="BF15" s="348"/>
      <c r="BG15" s="348"/>
      <c r="BH15" s="348"/>
      <c r="BI15" s="348"/>
      <c r="BJ15" s="348"/>
      <c r="BK15" s="348"/>
      <c r="BL15" s="348"/>
      <c r="BM15" s="348"/>
      <c r="BN15" s="348"/>
      <c r="BO15" s="348"/>
      <c r="BP15" s="348"/>
      <c r="BQ15" s="348"/>
      <c r="BR15" s="348"/>
      <c r="BS15" s="348"/>
      <c r="BT15" s="348"/>
      <c r="BU15" s="348"/>
      <c r="BV15" s="348"/>
      <c r="BW15" s="348"/>
      <c r="BX15" s="348"/>
      <c r="BY15" s="348"/>
      <c r="BZ15" s="348"/>
      <c r="CA15" s="348"/>
      <c r="CB15" s="348"/>
      <c r="CC15" s="348"/>
      <c r="CD15" s="348"/>
      <c r="CE15" s="348"/>
      <c r="CF15" s="348"/>
      <c r="CG15" s="348"/>
      <c r="CH15" s="348"/>
      <c r="CI15" s="348"/>
      <c r="CJ15" s="348"/>
      <c r="CK15" s="348"/>
      <c r="CL15" s="348"/>
      <c r="CM15" s="348"/>
      <c r="CN15" s="348"/>
      <c r="CO15" s="348"/>
      <c r="CP15" s="348"/>
      <c r="CQ15" s="348"/>
      <c r="DA15" s="72" t="s">
        <v>948</v>
      </c>
    </row>
    <row r="16" spans="1:105">
      <c r="E16" s="61"/>
      <c r="F16" s="11" t="str">
        <f>IFERROR(VLOOKUP($D$9,$D:$AE,2,0),0)</f>
        <v>Gạo lứt</v>
      </c>
      <c r="G16" s="7" t="e">
        <f ca="1">IF(F16=0,0,IF(_xlfn.XLOOKUP(F16,$E$9:$AE$9,$E$10:$AE$10)=0,"Nhập ĐV/TV",_xlfn.XLOOKUP(F16,$E$9:$AE$9,$E$10:$AE$10)))</f>
        <v>#NAME?</v>
      </c>
      <c r="H16" s="8">
        <f>IFERROR(INDEX($E$11:$AE$11,MATCH(F16,$E$9:$AE$9,0)),0)</f>
        <v>180</v>
      </c>
      <c r="I16" s="9">
        <f ca="1">IFERROR(_xlfn.XLOOKUP($F16,'FCDB 2017 (full)'!$C:$C,'FCDB 2017 (full)'!$E:$E),0)</f>
        <v>0</v>
      </c>
      <c r="J16" s="10">
        <f ca="1">$H16*I16/100</f>
        <v>0</v>
      </c>
      <c r="K16" s="9">
        <f ca="1">IFERROR(_xlfn.XLOOKUP($F16,'FCDB 2017 (full)'!$C:$C,'FCDB 2017 (full)'!$G:$G),0)</f>
        <v>0</v>
      </c>
      <c r="L16" s="13" t="e">
        <f t="shared" ref="L16:M16" ca="1" si="0">IF($G16=L$15,$H16*$K16/100,0)</f>
        <v>#NAME?</v>
      </c>
      <c r="M16" s="13" t="e">
        <f t="shared" ca="1" si="0"/>
        <v>#NAME?</v>
      </c>
      <c r="N16" s="9">
        <f ca="1">IFERROR(_xlfn.XLOOKUP($F16,'FCDB 2017 (full)'!$C:$C,'FCDB 2017 (full)'!$H:$H),0)</f>
        <v>0</v>
      </c>
      <c r="O16" s="14" t="e">
        <f ca="1">IF($G16=O$15,$H16*$N16/100,0)</f>
        <v>#NAME?</v>
      </c>
      <c r="P16" s="14" t="e">
        <f ca="1">IF($G16=P$15,$H16*$N16/100,0)</f>
        <v>#NAME?</v>
      </c>
      <c r="Q16" s="9">
        <f ca="1">IFERROR(_xlfn.XLOOKUP($F16,'FCDB 2017 (full)'!$C:$C,'FCDB 2017 (full)'!$I:$I),0)</f>
        <v>0</v>
      </c>
      <c r="R16" s="15">
        <f ca="1">$H16*Q16/100</f>
        <v>0</v>
      </c>
      <c r="S16" s="16">
        <f ca="1">IFERROR(_xlfn.XLOOKUP($F16,'FCDB 2017 (full)'!$C:$C,'FCDB 2017 (full)'!$J:$J)*$H16/100,0)</f>
        <v>0</v>
      </c>
      <c r="T16" s="16">
        <f ca="1">IFERROR(_xlfn.XLOOKUP($F16,'FCDB 2017 (full)'!$C:$C,'FCDB 2017 (full)'!$K:$K)*$H16/100,0)</f>
        <v>0</v>
      </c>
      <c r="U16" s="16">
        <f ca="1">IFERROR(_xlfn.XLOOKUP($F16,'FCDB 2017 (full)'!$C:$C,'FCDB 2017 (full)'!$L:$L)*$H16/100,0)</f>
        <v>0</v>
      </c>
      <c r="V16" s="16">
        <f ca="1">IFERROR(_xlfn.XLOOKUP($F16,'FCDB 2017 (full)'!$C:$C,'FCDB 2017 (full)'!$M:$M)*$H16/100,0)</f>
        <v>0</v>
      </c>
      <c r="W16" s="16">
        <f ca="1">IFERROR(_xlfn.XLOOKUP($F16,'FCDB 2017 (full)'!$C:$C,'FCDB 2017 (full)'!$N:$N)*$H16/100,0)</f>
        <v>0</v>
      </c>
      <c r="X16" s="16">
        <f ca="1">IFERROR(_xlfn.XLOOKUP($F16,'FCDB 2017 (full)'!$C:$C,'FCDB 2017 (full)'!$O:$O)*$H16/100,0)</f>
        <v>0</v>
      </c>
      <c r="Y16" s="16">
        <f ca="1">IFERROR(_xlfn.XLOOKUP($F16,'FCDB 2017 (full)'!$C:$C,'FCDB 2017 (full)'!$P:$P)*$H16/100,0)</f>
        <v>0</v>
      </c>
      <c r="Z16" s="16">
        <f ca="1">IFERROR(_xlfn.XLOOKUP($F16,'FCDB 2017 (full)'!$C:$C,'FCDB 2017 (full)'!$Q:$Q)*$H16/100,0)</f>
        <v>0</v>
      </c>
      <c r="AA16" s="16">
        <f ca="1">IFERROR(_xlfn.XLOOKUP($F16,'FCDB 2017 (full)'!$C:$C,'FCDB 2017 (full)'!$R:$R)*$H16/100,0)</f>
        <v>0</v>
      </c>
      <c r="AB16" s="16">
        <f ca="1">IFERROR(_xlfn.XLOOKUP($F16,'FCDB 2017 (full)'!$C:$C,'FCDB 2017 (full)'!$S:$S)*$H16/100,0)</f>
        <v>0</v>
      </c>
      <c r="AC16" s="16">
        <f ca="1">IFERROR(_xlfn.XLOOKUP($F16,'FCDB 2017 (full)'!$C:$C,'FCDB 2017 (full)'!$T:$T)*$H16/100,0)</f>
        <v>0</v>
      </c>
      <c r="AD16" s="16">
        <f ca="1">IFERROR(_xlfn.XLOOKUP($F16,'FCDB 2017 (full)'!$C:$C,'FCDB 2017 (full)'!$U:$U)*$H16/100,0)</f>
        <v>0</v>
      </c>
      <c r="AE16" s="16">
        <f ca="1">IFERROR(_xlfn.XLOOKUP($F16,'FCDB 2017 (full)'!$C:$C,'FCDB 2017 (full)'!$V:$V)*$H16/100,0)</f>
        <v>0</v>
      </c>
      <c r="AF16" s="16">
        <f ca="1">IFERROR(_xlfn.XLOOKUP($F16,'FCDB 2017 (full)'!$C:$C,'FCDB 2017 (full)'!$W:$W)*$H16/100,0)</f>
        <v>0</v>
      </c>
      <c r="AG16" s="16">
        <f ca="1">IFERROR(_xlfn.XLOOKUP($F16,'FCDB 2017 (full)'!$C:$C,'FCDB 2017 (full)'!$X:$X)*$H16/100,0)</f>
        <v>0</v>
      </c>
      <c r="AH16" s="16">
        <f ca="1">IFERROR(_xlfn.XLOOKUP($F16,'FCDB 2017 (full)'!$C:$C,'FCDB 2017 (full)'!$Y:$Y)*$H16/100,0)</f>
        <v>0</v>
      </c>
      <c r="AI16" s="16">
        <f ca="1">IFERROR(_xlfn.XLOOKUP($F16,'FCDB 2017 (full)'!$C:$C,'FCDB 2017 (full)'!$Z:$Z)*$H16/100,0)</f>
        <v>0</v>
      </c>
      <c r="AJ16" s="16">
        <f ca="1">IFERROR(_xlfn.XLOOKUP($F16,'FCDB 2017 (full)'!$C:$C,'FCDB 2017 (full)'!$AA:$AA)*$H16/100,0)</f>
        <v>0</v>
      </c>
      <c r="AK16" s="16">
        <f ca="1">IFERROR(_xlfn.XLOOKUP($F16,'FCDB 2017 (full)'!$C:$C,'FCDB 2017 (full)'!$AB:$AB)*$H16/100,0)</f>
        <v>0</v>
      </c>
      <c r="AL16" s="16">
        <f ca="1">IFERROR(_xlfn.XLOOKUP($F16,'FCDB 2017 (full)'!$C:$C,'FCDB 2017 (full)'!$AC:$AC)*$H16/100,0)</f>
        <v>0</v>
      </c>
      <c r="AM16" s="16">
        <f ca="1">IFERROR(_xlfn.XLOOKUP($F16,'FCDB 2017 (full)'!$C:$C,'FCDB 2017 (full)'!$AD:$AD)*$H16/100,0)</f>
        <v>0</v>
      </c>
      <c r="AN16" s="16">
        <f ca="1">IFERROR(_xlfn.XLOOKUP($F16,'FCDB 2017 (full)'!$C:$C,'FCDB 2017 (full)'!$AE:$AE)*$H16/100,0)</f>
        <v>0</v>
      </c>
      <c r="AO16" s="16">
        <f ca="1">IFERROR(_xlfn.XLOOKUP($F16,'FCDB 2017 (full)'!$C:$C,'FCDB 2017 (full)'!$AF:$AF)*$H16/100,0)</f>
        <v>0</v>
      </c>
      <c r="AP16" s="16">
        <f ca="1">IFERROR(_xlfn.XLOOKUP($F16,'FCDB 2017 (full)'!$C:$C,'FCDB 2017 (full)'!$AG:$AG)*$H16/100,0)</f>
        <v>0</v>
      </c>
      <c r="AQ16" s="16">
        <f ca="1">IFERROR(_xlfn.XLOOKUP($F16,'FCDB 2017 (full)'!$C:$C,'FCDB 2017 (full)'!$AH:$AH)*$H16/100,0)</f>
        <v>0</v>
      </c>
      <c r="AR16" s="16">
        <f ca="1">IFERROR(_xlfn.XLOOKUP($F16,'FCDB 2017 (full)'!$C:$C,'FCDB 2017 (full)'!$AI:$AI)*$H16/100,0)</f>
        <v>0</v>
      </c>
      <c r="AS16" s="16">
        <f ca="1">IFERROR(_xlfn.XLOOKUP($F16,'FCDB 2017 (full)'!$C:$C,'FCDB 2017 (full)'!$AJ:$AJ)*$H16/100,0)</f>
        <v>0</v>
      </c>
      <c r="AT16" s="16">
        <f ca="1">IFERROR(_xlfn.XLOOKUP($F16,'FCDB 2017 (full)'!$C:$C,'FCDB 2017 (full)'!$AK:$AK)*$H16/100,0)</f>
        <v>0</v>
      </c>
      <c r="AU16" s="16">
        <f ca="1">IFERROR(_xlfn.XLOOKUP($F16,'FCDB 2017 (full)'!$C:$C,'FCDB 2017 (full)'!$AK:$AK)*$H16/100,0)</f>
        <v>0</v>
      </c>
      <c r="AV16" s="16">
        <f ca="1">IFERROR(_xlfn.XLOOKUP($F16,'FCDB 2017 (full)'!$C:$C,'FCDB 2017 (full)'!$AM:$AM)*$H16/100,0)</f>
        <v>0</v>
      </c>
      <c r="AW16" s="16">
        <f ca="1">IFERROR(_xlfn.XLOOKUP($F16,'FCDB 2017 (full)'!$C:$C,'FCDB 2017 (full)'!$AN:$AN)*$H16/100,0)</f>
        <v>0</v>
      </c>
      <c r="AX16" s="16">
        <f ca="1">IFERROR(_xlfn.XLOOKUP($F16,'FCDB 2017 (full)'!$C:$C,'FCDB 2017 (full)'!$AO:$AO)*$H16/100,0)</f>
        <v>0</v>
      </c>
      <c r="AY16" s="16">
        <f ca="1">IFERROR(_xlfn.XLOOKUP($F16,'FCDB 2017 (full)'!$C:$C,'FCDB 2017 (full)'!$AP:$AP)*$H16/100,0)</f>
        <v>0</v>
      </c>
      <c r="AZ16" s="16">
        <f ca="1">IFERROR(_xlfn.XLOOKUP($F16,'FCDB 2017 (full)'!$C:$C,'FCDB 2017 (full)'!$AQ:$AQ)*$H16/100,0)</f>
        <v>0</v>
      </c>
      <c r="BA16" s="16">
        <f ca="1">IFERROR(_xlfn.XLOOKUP($F16,'FCDB 2017 (full)'!$C:$C,'FCDB 2017 (full)'!$AR:$AR)*$H16/100,0)</f>
        <v>0</v>
      </c>
      <c r="BB16" s="16">
        <f ca="1">IFERROR(_xlfn.XLOOKUP($F16,'FCDB 2017 (full)'!$C:$C,'FCDB 2017 (full)'!$AS:$AS)*$H16/100,0)</f>
        <v>0</v>
      </c>
      <c r="BC16" s="16">
        <f ca="1">IFERROR(_xlfn.XLOOKUP($F16,'FCDB 2017 (full)'!$C:$C,'FCDB 2017 (full)'!$AT:$AT)*$H16/100,0)</f>
        <v>0</v>
      </c>
      <c r="BD16" s="16">
        <f ca="1">IFERROR(_xlfn.XLOOKUP($F16,'FCDB 2017 (full)'!$C:$C,'FCDB 2017 (full)'!$AU:$AU)*$H16/100,0)</f>
        <v>0</v>
      </c>
      <c r="BE16" s="16">
        <f ca="1">IFERROR(_xlfn.XLOOKUP($F16,'FCDB 2017 (full)'!$C:$C,'FCDB 2017 (full)'!$AV:$AV)*$H16/100,0)</f>
        <v>0</v>
      </c>
      <c r="BF16" s="16">
        <f ca="1">IFERROR(_xlfn.XLOOKUP($F16,'FCDB 2017 (full)'!$C:$C,'FCDB 2017 (full)'!$AW:$AW)*$H16/100,0)</f>
        <v>0</v>
      </c>
      <c r="BG16" s="16">
        <f ca="1">IFERROR(_xlfn.XLOOKUP($F16,'FCDB 2017 (full)'!$C:$C,'FCDB 2017 (full)'!$AX:$AX)*$H16/100,0)</f>
        <v>0</v>
      </c>
      <c r="BH16" s="16">
        <f ca="1">IFERROR(_xlfn.XLOOKUP($F16,'FCDB 2017 (full)'!$C:$C,'FCDB 2017 (full)'!$AY:$AY)*$H16/100,0)</f>
        <v>0</v>
      </c>
      <c r="BI16" s="16">
        <f ca="1">IFERROR(_xlfn.XLOOKUP($F16,'FCDB 2017 (full)'!$C:$C,'FCDB 2017 (full)'!$AZ:$AZ)*$H16/100,0)</f>
        <v>0</v>
      </c>
      <c r="BJ16" s="16">
        <f ca="1">IFERROR(_xlfn.XLOOKUP($F16,'FCDB 2017 (full)'!$C:$C,'FCDB 2017 (full)'!$BA:$BA)*$H16/100,0)</f>
        <v>0</v>
      </c>
      <c r="BK16" s="16">
        <f ca="1">IFERROR(_xlfn.XLOOKUP($F16,'FCDB 2017 (full)'!$C:$C,'FCDB 2017 (full)'!$BB:$BB)*$H16/100,0)</f>
        <v>0</v>
      </c>
      <c r="BL16" s="16">
        <f ca="1">IFERROR(_xlfn.XLOOKUP($F16,'FCDB 2017 (full)'!$C:$C,'FCDB 2017 (full)'!$BC:$BC)*$H16/100,0)</f>
        <v>0</v>
      </c>
      <c r="BM16" s="16">
        <f ca="1">IFERROR(_xlfn.XLOOKUP($F16,'FCDB 2017 (full)'!$C:$C,'FCDB 2017 (full)'!$BD:$BD)*$H16/100,0)</f>
        <v>0</v>
      </c>
      <c r="BN16" s="16">
        <f ca="1">IFERROR(_xlfn.XLOOKUP($F16,'FCDB 2017 (full)'!$C:$C,'FCDB 2017 (full)'!$BE:$BE)*$H16/100,0)</f>
        <v>0</v>
      </c>
      <c r="BO16" s="16">
        <f ca="1">IFERROR(_xlfn.XLOOKUP($F16,'FCDB 2017 (full)'!$C:$C,'FCDB 2017 (full)'!$BF:$BF)*$H16/100,0)</f>
        <v>0</v>
      </c>
      <c r="BP16" s="16">
        <f ca="1">IFERROR(_xlfn.XLOOKUP($F16,'FCDB 2017 (full)'!$C:$C,'FCDB 2017 (full)'!$BG:$BG)*$H16/100,0)</f>
        <v>0</v>
      </c>
      <c r="BQ16" s="16">
        <f ca="1">IFERROR(_xlfn.XLOOKUP($F16,'FCDB 2017 (full)'!$C:$C,'FCDB 2017 (full)'!$BH:$BH)*$H16/100,0)</f>
        <v>0</v>
      </c>
      <c r="BR16" s="16">
        <f ca="1">IFERROR(_xlfn.XLOOKUP($F16,'FCDB 2017 (full)'!$C:$C,'FCDB 2017 (full)'!$BI:$BI)*$H16/100,0)</f>
        <v>0</v>
      </c>
      <c r="BS16" s="16">
        <f ca="1">IFERROR(_xlfn.XLOOKUP($F16,'FCDB 2017 (full)'!$C:$C,'FCDB 2017 (full)'!$BJ:$BJ)*$H16/100,0)</f>
        <v>0</v>
      </c>
      <c r="BT16" s="16">
        <f ca="1">IFERROR(_xlfn.XLOOKUP($F16,'FCDB 2017 (full)'!$C:$C,'FCDB 2017 (full)'!$BK:$BK)*$H16/100,0)</f>
        <v>0</v>
      </c>
      <c r="BU16" s="16">
        <f ca="1">IFERROR(_xlfn.XLOOKUP($F16,'FCDB 2017 (full)'!$C:$C,'FCDB 2017 (full)'!$BL:$BL)*$H16/100,0)</f>
        <v>0</v>
      </c>
      <c r="BV16" s="16">
        <f ca="1">IFERROR(_xlfn.XLOOKUP($F16,'FCDB 2017 (full)'!$C:$C,'FCDB 2017 (full)'!$BM:$BM)*$H16/100,0)</f>
        <v>0</v>
      </c>
      <c r="BW16" s="16">
        <f ca="1">IFERROR(_xlfn.XLOOKUP($F16,'FCDB 2017 (full)'!$C:$C,'FCDB 2017 (full)'!$BN:$BN)*$H16/100,0)</f>
        <v>0</v>
      </c>
      <c r="BX16" s="16">
        <f ca="1">IFERROR(_xlfn.XLOOKUP($F16,'FCDB 2017 (full)'!$C:$C,'FCDB 2017 (full)'!$BO:$BO)*$H16/100,0)</f>
        <v>0</v>
      </c>
      <c r="BY16" s="16">
        <f ca="1">IFERROR(_xlfn.XLOOKUP($F16,'FCDB 2017 (full)'!$C:$C,'FCDB 2017 (full)'!$BP:$BP)*$H16/100,0)</f>
        <v>0</v>
      </c>
      <c r="BZ16" s="16">
        <f ca="1">IFERROR(_xlfn.XLOOKUP($F16,'FCDB 2017 (full)'!$C:$C,'FCDB 2017 (full)'!$BQ:$BQ)*$H16/100,0)</f>
        <v>0</v>
      </c>
      <c r="CA16" s="16">
        <f ca="1">IFERROR(_xlfn.XLOOKUP($F16,'FCDB 2017 (full)'!$C:$C,'FCDB 2017 (full)'!$BR:$BR)*$H16/100,0)</f>
        <v>0</v>
      </c>
      <c r="CB16" s="16">
        <f ca="1">IFERROR(_xlfn.XLOOKUP($F16,'FCDB 2017 (full)'!$C:$C,'FCDB 2017 (full)'!$BS:$BS)*$H16/100,0)</f>
        <v>0</v>
      </c>
      <c r="CC16" s="16">
        <f ca="1">IFERROR(_xlfn.XLOOKUP($F16,'FCDB 2017 (full)'!$C:$C,'FCDB 2017 (full)'!$BT:$BT)*$H16/100,0)</f>
        <v>0</v>
      </c>
      <c r="CD16" s="16">
        <f ca="1">IFERROR(_xlfn.XLOOKUP($F16,'FCDB 2017 (full)'!$C:$C,'FCDB 2017 (full)'!$BU:$BU)*$H16/100,0)</f>
        <v>0</v>
      </c>
      <c r="CE16" s="16">
        <f ca="1">IFERROR(_xlfn.XLOOKUP($F16,'FCDB 2017 (full)'!$C:$C,'FCDB 2017 (full)'!$BV:$BV)*$H16/100,0)</f>
        <v>0</v>
      </c>
      <c r="CF16" s="16">
        <f ca="1">IFERROR(_xlfn.XLOOKUP($F16,'FCDB 2017 (full)'!$C:$C,'FCDB 2017 (full)'!$BW:$BW)*$H16/100,0)</f>
        <v>0</v>
      </c>
      <c r="CG16" s="16">
        <f ca="1">IFERROR(_xlfn.XLOOKUP($F16,'FCDB 2017 (full)'!$C:$C,'FCDB 2017 (full)'!$BX:$BX)*$H16/100,0)</f>
        <v>0</v>
      </c>
      <c r="CH16" s="16">
        <f ca="1">IFERROR(_xlfn.XLOOKUP($F16,'FCDB 2017 (full)'!$C:$C,'FCDB 2017 (full)'!$BY:$BY)*$H16/100,0)</f>
        <v>0</v>
      </c>
      <c r="CI16" s="16">
        <f ca="1">IFERROR(_xlfn.XLOOKUP($F16,'FCDB 2017 (full)'!$C:$C,'FCDB 2017 (full)'!$BZ:$BZ)*$H16/100,0)</f>
        <v>0</v>
      </c>
      <c r="CJ16" s="16">
        <f ca="1">IFERROR(_xlfn.XLOOKUP($F16,'FCDB 2017 (full)'!$C:$C,'FCDB 2017 (full)'!$CA:$CA)*$H16/100,0)</f>
        <v>0</v>
      </c>
      <c r="CK16" s="16">
        <f ca="1">IFERROR(_xlfn.XLOOKUP($F16,'FCDB 2017 (full)'!$C:$C,'FCDB 2017 (full)'!$CB:$CB)*$H16/100,0)</f>
        <v>0</v>
      </c>
      <c r="CL16" s="16">
        <f ca="1">IFERROR(_xlfn.XLOOKUP($F16,'FCDB 2017 (full)'!$C:$C,'FCDB 2017 (full)'!$CC:$CC)*$H16/100,0)</f>
        <v>0</v>
      </c>
      <c r="CM16" s="16">
        <f ca="1">IFERROR(_xlfn.XLOOKUP($F16,'FCDB 2017 (full)'!$C:$C,'FCDB 2017 (full)'!$CD:$CD)*$H16/100,0)</f>
        <v>0</v>
      </c>
      <c r="CN16" s="16">
        <f ca="1">IFERROR(_xlfn.XLOOKUP($F16,'FCDB 2017 (full)'!$C:$C,'FCDB 2017 (full)'!$CE:$CE)*$H16/100,0)</f>
        <v>0</v>
      </c>
      <c r="CO16" s="16">
        <f ca="1">IFERROR(_xlfn.XLOOKUP($F16,'FCDB 2017 (full)'!$C:$C,'FCDB 2017 (full)'!$CF:$CF)*$H16/100,0)</f>
        <v>0</v>
      </c>
      <c r="CP16" s="16">
        <f ca="1">IFERROR(_xlfn.XLOOKUP($F16,'FCDB 2017 (full)'!$C:$C,'FCDB 2017 (full)'!$CG:$CG)*$H16/100,0)</f>
        <v>0</v>
      </c>
      <c r="CQ16" s="16">
        <f ca="1">IFERROR(_xlfn.XLOOKUP($F16,'FCDB 2017 (full)'!$C:$C,'FCDB 2017 (full)'!$CH:$CH)*$H16/100,0)</f>
        <v>0</v>
      </c>
      <c r="DA16" s="73" t="s">
        <v>948</v>
      </c>
    </row>
    <row r="17" spans="5:105">
      <c r="E17" s="41"/>
      <c r="F17" s="11" t="str">
        <f>IFERROR(VLOOKUP($D$9,$D:$AE,3,0),0)</f>
        <v>Bánh quẩy nóng</v>
      </c>
      <c r="G17" s="7" t="e" cm="1">
        <f t="array" aca="1" ref="G17" ca="1">IF(F17=0,0,IF(_xlfn.XLOOKUP(F17,$E$9:$AE$9,$E$10:$AE$10)=0,"Nhập ĐV/TV",_xlfn.XLOOKUP(F17,$E$9:$AE$9,$E$10:$AE$10)))</f>
        <v>#NAME?</v>
      </c>
      <c r="H17" s="8" cm="1">
        <f t="array" ref="H17">IFERROR(INDEX($E$11:$AE$11,MATCH(F17,$E$9:$AE$9,0)),0)</f>
        <v>15</v>
      </c>
      <c r="I17" s="9">
        <f ca="1">IFERROR(_xlfn.XLOOKUP($F17,'FCDB 2017 (full)'!$C:$C,'FCDB 2017 (full)'!$E:$E),0)</f>
        <v>0</v>
      </c>
      <c r="J17" s="10">
        <f t="shared" ref="J17:J38" ca="1" si="1">$H17*I17/100</f>
        <v>0</v>
      </c>
      <c r="K17" s="9">
        <f ca="1">IFERROR(_xlfn.XLOOKUP($F17,'FCDB 2017 (full)'!$C:$C,'FCDB 2017 (full)'!$G:$G),0)</f>
        <v>0</v>
      </c>
      <c r="L17" s="13" t="e">
        <f t="shared" ref="L17:L38" ca="1" si="2">IF($G17=L$15,$H17*$K17/100,0)</f>
        <v>#NAME?</v>
      </c>
      <c r="M17" s="13" t="e">
        <f t="shared" ref="M17:M38" ca="1" si="3">IF($G17=M$15,$H17*$K17/100,0)</f>
        <v>#NAME?</v>
      </c>
      <c r="N17" s="9">
        <f ca="1">IFERROR(_xlfn.XLOOKUP($F17,'FCDB 2017 (full)'!$C:$C,'FCDB 2017 (full)'!$H:$H),0)</f>
        <v>0</v>
      </c>
      <c r="O17" s="14" t="e">
        <f t="shared" ref="O17:O38" ca="1" si="4">IF($G17=O$15,$H17*$N17/100,0)</f>
        <v>#NAME?</v>
      </c>
      <c r="P17" s="14" t="e">
        <f t="shared" ref="P17:P38" ca="1" si="5">IF($G17=P$15,$H17*$N17/100,0)</f>
        <v>#NAME?</v>
      </c>
      <c r="Q17" s="9">
        <f ca="1">IFERROR(_xlfn.XLOOKUP($F17,'FCDB 2017 (full)'!$C:$C,'FCDB 2017 (full)'!$I:$I),0)</f>
        <v>0</v>
      </c>
      <c r="R17" s="15">
        <f t="shared" ref="R17:R38" ca="1" si="6">$H17*Q17/100</f>
        <v>0</v>
      </c>
      <c r="S17" s="16">
        <f ca="1">IFERROR(_xlfn.XLOOKUP($F17,'FCDB 2017 (full)'!$C:$C,'FCDB 2017 (full)'!$J:$J)*$H17/100,0)</f>
        <v>0</v>
      </c>
      <c r="T17" s="16">
        <f ca="1">IFERROR(_xlfn.XLOOKUP($F17,'FCDB 2017 (full)'!$C:$C,'FCDB 2017 (full)'!$K:$K)*$H17/100,0)</f>
        <v>0</v>
      </c>
      <c r="U17" s="16">
        <f ca="1">IFERROR(_xlfn.XLOOKUP($F17,'FCDB 2017 (full)'!$C:$C,'FCDB 2017 (full)'!$L:$L)*$H17/100,0)</f>
        <v>0</v>
      </c>
      <c r="V17" s="16">
        <f ca="1">IFERROR(_xlfn.XLOOKUP($F17,'FCDB 2017 (full)'!$C:$C,'FCDB 2017 (full)'!$M:$M)*$H17/100,0)</f>
        <v>0</v>
      </c>
      <c r="W17" s="16">
        <f ca="1">IFERROR(_xlfn.XLOOKUP($F17,'FCDB 2017 (full)'!$C:$C,'FCDB 2017 (full)'!$N:$N)*$H17/100,0)</f>
        <v>0</v>
      </c>
      <c r="X17" s="16">
        <f ca="1">IFERROR(_xlfn.XLOOKUP($F17,'FCDB 2017 (full)'!$C:$C,'FCDB 2017 (full)'!$O:$O)*$H17/100,0)</f>
        <v>0</v>
      </c>
      <c r="Y17" s="16">
        <f ca="1">IFERROR(_xlfn.XLOOKUP($F17,'FCDB 2017 (full)'!$C:$C,'FCDB 2017 (full)'!$P:$P)*$H17/100,0)</f>
        <v>0</v>
      </c>
      <c r="Z17" s="16">
        <f ca="1">IFERROR(_xlfn.XLOOKUP($F17,'FCDB 2017 (full)'!$C:$C,'FCDB 2017 (full)'!$Q:$Q)*$H17/100,0)</f>
        <v>0</v>
      </c>
      <c r="AA17" s="16">
        <f ca="1">IFERROR(_xlfn.XLOOKUP($F17,'FCDB 2017 (full)'!$C:$C,'FCDB 2017 (full)'!$R:$R)*$H17/100,0)</f>
        <v>0</v>
      </c>
      <c r="AB17" s="16">
        <f ca="1">IFERROR(_xlfn.XLOOKUP($F17,'FCDB 2017 (full)'!$C:$C,'FCDB 2017 (full)'!$S:$S)*$H17/100,0)</f>
        <v>0</v>
      </c>
      <c r="AC17" s="16">
        <f ca="1">IFERROR(_xlfn.XLOOKUP($F17,'FCDB 2017 (full)'!$C:$C,'FCDB 2017 (full)'!$T:$T)*$H17/100,0)</f>
        <v>0</v>
      </c>
      <c r="AD17" s="16">
        <f ca="1">IFERROR(_xlfn.XLOOKUP($F17,'FCDB 2017 (full)'!$C:$C,'FCDB 2017 (full)'!$U:$U)*$H17/100,0)</f>
        <v>0</v>
      </c>
      <c r="AE17" s="16">
        <f ca="1">IFERROR(_xlfn.XLOOKUP($F17,'FCDB 2017 (full)'!$C:$C,'FCDB 2017 (full)'!$V:$V)*$H17/100,0)</f>
        <v>0</v>
      </c>
      <c r="AF17" s="16">
        <f ca="1">IFERROR(_xlfn.XLOOKUP($F17,'FCDB 2017 (full)'!$C:$C,'FCDB 2017 (full)'!$W:$W)*$H17/100,0)</f>
        <v>0</v>
      </c>
      <c r="AG17" s="16">
        <f ca="1">IFERROR(_xlfn.XLOOKUP($F17,'FCDB 2017 (full)'!$C:$C,'FCDB 2017 (full)'!$X:$X)*$H17/100,0)</f>
        <v>0</v>
      </c>
      <c r="AH17" s="16">
        <f ca="1">IFERROR(_xlfn.XLOOKUP($F17,'FCDB 2017 (full)'!$C:$C,'FCDB 2017 (full)'!$Y:$Y)*$H17/100,0)</f>
        <v>0</v>
      </c>
      <c r="AI17" s="16">
        <f ca="1">IFERROR(_xlfn.XLOOKUP($F17,'FCDB 2017 (full)'!$C:$C,'FCDB 2017 (full)'!$Z:$Z)*$H17/100,0)</f>
        <v>0</v>
      </c>
      <c r="AJ17" s="16">
        <f ca="1">IFERROR(_xlfn.XLOOKUP($F17,'FCDB 2017 (full)'!$C:$C,'FCDB 2017 (full)'!$AA:$AA)*$H17/100,0)</f>
        <v>0</v>
      </c>
      <c r="AK17" s="16">
        <f ca="1">IFERROR(_xlfn.XLOOKUP($F17,'FCDB 2017 (full)'!$C:$C,'FCDB 2017 (full)'!$AB:$AB)*$H17/100,0)</f>
        <v>0</v>
      </c>
      <c r="AL17" s="16">
        <f ca="1">IFERROR(_xlfn.XLOOKUP($F17,'FCDB 2017 (full)'!$C:$C,'FCDB 2017 (full)'!$AC:$AC)*$H17/100,0)</f>
        <v>0</v>
      </c>
      <c r="AM17" s="16">
        <f ca="1">IFERROR(_xlfn.XLOOKUP($F17,'FCDB 2017 (full)'!$C:$C,'FCDB 2017 (full)'!$AD:$AD)*$H17/100,0)</f>
        <v>0</v>
      </c>
      <c r="AN17" s="16">
        <f ca="1">IFERROR(_xlfn.XLOOKUP($F17,'FCDB 2017 (full)'!$C:$C,'FCDB 2017 (full)'!$AE:$AE)*$H17/100,0)</f>
        <v>0</v>
      </c>
      <c r="AO17" s="16">
        <f ca="1">IFERROR(_xlfn.XLOOKUP($F17,'FCDB 2017 (full)'!$C:$C,'FCDB 2017 (full)'!$AF:$AF)*$H17/100,0)</f>
        <v>0</v>
      </c>
      <c r="AP17" s="16">
        <f ca="1">IFERROR(_xlfn.XLOOKUP($F17,'FCDB 2017 (full)'!$C:$C,'FCDB 2017 (full)'!$AG:$AG)*$H17/100,0)</f>
        <v>0</v>
      </c>
      <c r="AQ17" s="16">
        <f ca="1">IFERROR(_xlfn.XLOOKUP($F17,'FCDB 2017 (full)'!$C:$C,'FCDB 2017 (full)'!$AH:$AH)*$H17/100,0)</f>
        <v>0</v>
      </c>
      <c r="AR17" s="16">
        <f ca="1">IFERROR(_xlfn.XLOOKUP($F17,'FCDB 2017 (full)'!$C:$C,'FCDB 2017 (full)'!$AI:$AI)*$H17/100,0)</f>
        <v>0</v>
      </c>
      <c r="AS17" s="16">
        <f ca="1">IFERROR(_xlfn.XLOOKUP($F17,'FCDB 2017 (full)'!$C:$C,'FCDB 2017 (full)'!$AJ:$AJ)*$H17/100,0)</f>
        <v>0</v>
      </c>
      <c r="AT17" s="16">
        <f ca="1">IFERROR(_xlfn.XLOOKUP($F17,'FCDB 2017 (full)'!$C:$C,'FCDB 2017 (full)'!$AK:$AK)*$H17/100,0)</f>
        <v>0</v>
      </c>
      <c r="AU17" s="16">
        <f ca="1">IFERROR(_xlfn.XLOOKUP($F17,'FCDB 2017 (full)'!$C:$C,'FCDB 2017 (full)'!$AK:$AK)*$H17/100,0)</f>
        <v>0</v>
      </c>
      <c r="AV17" s="16">
        <f ca="1">IFERROR(_xlfn.XLOOKUP($F17,'FCDB 2017 (full)'!$C:$C,'FCDB 2017 (full)'!$AM:$AM)*$H17/100,0)</f>
        <v>0</v>
      </c>
      <c r="AW17" s="16">
        <f ca="1">IFERROR(_xlfn.XLOOKUP($F17,'FCDB 2017 (full)'!$C:$C,'FCDB 2017 (full)'!$AN:$AN)*$H17/100,0)</f>
        <v>0</v>
      </c>
      <c r="AX17" s="16">
        <f ca="1">IFERROR(_xlfn.XLOOKUP($F17,'FCDB 2017 (full)'!$C:$C,'FCDB 2017 (full)'!$AO:$AO)*$H17/100,0)</f>
        <v>0</v>
      </c>
      <c r="AY17" s="16">
        <f ca="1">IFERROR(_xlfn.XLOOKUP($F17,'FCDB 2017 (full)'!$C:$C,'FCDB 2017 (full)'!$AP:$AP)*$H17/100,0)</f>
        <v>0</v>
      </c>
      <c r="AZ17" s="16">
        <f ca="1">IFERROR(_xlfn.XLOOKUP($F17,'FCDB 2017 (full)'!$C:$C,'FCDB 2017 (full)'!$AQ:$AQ)*$H17/100,0)</f>
        <v>0</v>
      </c>
      <c r="BA17" s="16">
        <f ca="1">IFERROR(_xlfn.XLOOKUP($F17,'FCDB 2017 (full)'!$C:$C,'FCDB 2017 (full)'!$AR:$AR)*$H17/100,0)</f>
        <v>0</v>
      </c>
      <c r="BB17" s="16">
        <f ca="1">IFERROR(_xlfn.XLOOKUP($F17,'FCDB 2017 (full)'!$C:$C,'FCDB 2017 (full)'!$AS:$AS)*$H17/100,0)</f>
        <v>0</v>
      </c>
      <c r="BC17" s="16">
        <f ca="1">IFERROR(_xlfn.XLOOKUP($F17,'FCDB 2017 (full)'!$C:$C,'FCDB 2017 (full)'!$AT:$AT)*$H17/100,0)</f>
        <v>0</v>
      </c>
      <c r="BD17" s="16">
        <f ca="1">IFERROR(_xlfn.XLOOKUP($F17,'FCDB 2017 (full)'!$C:$C,'FCDB 2017 (full)'!$AU:$AU)*$H17/100,0)</f>
        <v>0</v>
      </c>
      <c r="BE17" s="16">
        <f ca="1">IFERROR(_xlfn.XLOOKUP($F17,'FCDB 2017 (full)'!$C:$C,'FCDB 2017 (full)'!$AV:$AV)*$H17/100,0)</f>
        <v>0</v>
      </c>
      <c r="BF17" s="16">
        <f ca="1">IFERROR(_xlfn.XLOOKUP($F17,'FCDB 2017 (full)'!$C:$C,'FCDB 2017 (full)'!$AW:$AW)*$H17/100,0)</f>
        <v>0</v>
      </c>
      <c r="BG17" s="16">
        <f ca="1">IFERROR(_xlfn.XLOOKUP($F17,'FCDB 2017 (full)'!$C:$C,'FCDB 2017 (full)'!$AX:$AX)*$H17/100,0)</f>
        <v>0</v>
      </c>
      <c r="BH17" s="16">
        <f ca="1">IFERROR(_xlfn.XLOOKUP($F17,'FCDB 2017 (full)'!$C:$C,'FCDB 2017 (full)'!$AY:$AY)*$H17/100,0)</f>
        <v>0</v>
      </c>
      <c r="BI17" s="16">
        <f ca="1">IFERROR(_xlfn.XLOOKUP($F17,'FCDB 2017 (full)'!$C:$C,'FCDB 2017 (full)'!$AZ:$AZ)*$H17/100,0)</f>
        <v>0</v>
      </c>
      <c r="BJ17" s="16">
        <f ca="1">IFERROR(_xlfn.XLOOKUP($F17,'FCDB 2017 (full)'!$C:$C,'FCDB 2017 (full)'!$BA:$BA)*$H17/100,0)</f>
        <v>0</v>
      </c>
      <c r="BK17" s="16">
        <f ca="1">IFERROR(_xlfn.XLOOKUP($F17,'FCDB 2017 (full)'!$C:$C,'FCDB 2017 (full)'!$BB:$BB)*$H17/100,0)</f>
        <v>0</v>
      </c>
      <c r="BL17" s="16">
        <f ca="1">IFERROR(_xlfn.XLOOKUP($F17,'FCDB 2017 (full)'!$C:$C,'FCDB 2017 (full)'!$BC:$BC)*$H17/100,0)</f>
        <v>0</v>
      </c>
      <c r="BM17" s="16">
        <f ca="1">IFERROR(_xlfn.XLOOKUP($F17,'FCDB 2017 (full)'!$C:$C,'FCDB 2017 (full)'!$BD:$BD)*$H17/100,0)</f>
        <v>0</v>
      </c>
      <c r="BN17" s="16">
        <f ca="1">IFERROR(_xlfn.XLOOKUP($F17,'FCDB 2017 (full)'!$C:$C,'FCDB 2017 (full)'!$BE:$BE)*$H17/100,0)</f>
        <v>0</v>
      </c>
      <c r="BO17" s="16">
        <f ca="1">IFERROR(_xlfn.XLOOKUP($F17,'FCDB 2017 (full)'!$C:$C,'FCDB 2017 (full)'!$BF:$BF)*$H17/100,0)</f>
        <v>0</v>
      </c>
      <c r="BP17" s="16">
        <f ca="1">IFERROR(_xlfn.XLOOKUP($F17,'FCDB 2017 (full)'!$C:$C,'FCDB 2017 (full)'!$BG:$BG)*$H17/100,0)</f>
        <v>0</v>
      </c>
      <c r="BQ17" s="16">
        <f ca="1">IFERROR(_xlfn.XLOOKUP($F17,'FCDB 2017 (full)'!$C:$C,'FCDB 2017 (full)'!$BH:$BH)*$H17/100,0)</f>
        <v>0</v>
      </c>
      <c r="BR17" s="16">
        <f ca="1">IFERROR(_xlfn.XLOOKUP($F17,'FCDB 2017 (full)'!$C:$C,'FCDB 2017 (full)'!$BI:$BI)*$H17/100,0)</f>
        <v>0</v>
      </c>
      <c r="BS17" s="16">
        <f ca="1">IFERROR(_xlfn.XLOOKUP($F17,'FCDB 2017 (full)'!$C:$C,'FCDB 2017 (full)'!$BJ:$BJ)*$H17/100,0)</f>
        <v>0</v>
      </c>
      <c r="BT17" s="16">
        <f ca="1">IFERROR(_xlfn.XLOOKUP($F17,'FCDB 2017 (full)'!$C:$C,'FCDB 2017 (full)'!$BK:$BK)*$H17/100,0)</f>
        <v>0</v>
      </c>
      <c r="BU17" s="16">
        <f ca="1">IFERROR(_xlfn.XLOOKUP($F17,'FCDB 2017 (full)'!$C:$C,'FCDB 2017 (full)'!$BL:$BL)*$H17/100,0)</f>
        <v>0</v>
      </c>
      <c r="BV17" s="16">
        <f ca="1">IFERROR(_xlfn.XLOOKUP($F17,'FCDB 2017 (full)'!$C:$C,'FCDB 2017 (full)'!$BM:$BM)*$H17/100,0)</f>
        <v>0</v>
      </c>
      <c r="BW17" s="16">
        <f ca="1">IFERROR(_xlfn.XLOOKUP($F17,'FCDB 2017 (full)'!$C:$C,'FCDB 2017 (full)'!$BN:$BN)*$H17/100,0)</f>
        <v>0</v>
      </c>
      <c r="BX17" s="16">
        <f ca="1">IFERROR(_xlfn.XLOOKUP($F17,'FCDB 2017 (full)'!$C:$C,'FCDB 2017 (full)'!$BO:$BO)*$H17/100,0)</f>
        <v>0</v>
      </c>
      <c r="BY17" s="16">
        <f ca="1">IFERROR(_xlfn.XLOOKUP($F17,'FCDB 2017 (full)'!$C:$C,'FCDB 2017 (full)'!$BP:$BP)*$H17/100,0)</f>
        <v>0</v>
      </c>
      <c r="BZ17" s="16">
        <f ca="1">IFERROR(_xlfn.XLOOKUP($F17,'FCDB 2017 (full)'!$C:$C,'FCDB 2017 (full)'!$BQ:$BQ)*$H17/100,0)</f>
        <v>0</v>
      </c>
      <c r="CA17" s="16">
        <f ca="1">IFERROR(_xlfn.XLOOKUP($F17,'FCDB 2017 (full)'!$C:$C,'FCDB 2017 (full)'!$BR:$BR)*$H17/100,0)</f>
        <v>0</v>
      </c>
      <c r="CB17" s="16">
        <f ca="1">IFERROR(_xlfn.XLOOKUP($F17,'FCDB 2017 (full)'!$C:$C,'FCDB 2017 (full)'!$BS:$BS)*$H17/100,0)</f>
        <v>0</v>
      </c>
      <c r="CC17" s="16">
        <f ca="1">IFERROR(_xlfn.XLOOKUP($F17,'FCDB 2017 (full)'!$C:$C,'FCDB 2017 (full)'!$BT:$BT)*$H17/100,0)</f>
        <v>0</v>
      </c>
      <c r="CD17" s="16">
        <f ca="1">IFERROR(_xlfn.XLOOKUP($F17,'FCDB 2017 (full)'!$C:$C,'FCDB 2017 (full)'!$BU:$BU)*$H17/100,0)</f>
        <v>0</v>
      </c>
      <c r="CE17" s="16">
        <f ca="1">IFERROR(_xlfn.XLOOKUP($F17,'FCDB 2017 (full)'!$C:$C,'FCDB 2017 (full)'!$BV:$BV)*$H17/100,0)</f>
        <v>0</v>
      </c>
      <c r="CF17" s="16">
        <f ca="1">IFERROR(_xlfn.XLOOKUP($F17,'FCDB 2017 (full)'!$C:$C,'FCDB 2017 (full)'!$BW:$BW)*$H17/100,0)</f>
        <v>0</v>
      </c>
      <c r="CG17" s="16">
        <f ca="1">IFERROR(_xlfn.XLOOKUP($F17,'FCDB 2017 (full)'!$C:$C,'FCDB 2017 (full)'!$BX:$BX)*$H17/100,0)</f>
        <v>0</v>
      </c>
      <c r="CH17" s="16">
        <f ca="1">IFERROR(_xlfn.XLOOKUP($F17,'FCDB 2017 (full)'!$C:$C,'FCDB 2017 (full)'!$BY:$BY)*$H17/100,0)</f>
        <v>0</v>
      </c>
      <c r="CI17" s="16">
        <f ca="1">IFERROR(_xlfn.XLOOKUP($F17,'FCDB 2017 (full)'!$C:$C,'FCDB 2017 (full)'!$BZ:$BZ)*$H17/100,0)</f>
        <v>0</v>
      </c>
      <c r="CJ17" s="16">
        <f ca="1">IFERROR(_xlfn.XLOOKUP($F17,'FCDB 2017 (full)'!$C:$C,'FCDB 2017 (full)'!$CA:$CA)*$H17/100,0)</f>
        <v>0</v>
      </c>
      <c r="CK17" s="16">
        <f ca="1">IFERROR(_xlfn.XLOOKUP($F17,'FCDB 2017 (full)'!$C:$C,'FCDB 2017 (full)'!$CB:$CB)*$H17/100,0)</f>
        <v>0</v>
      </c>
      <c r="CL17" s="16">
        <f ca="1">IFERROR(_xlfn.XLOOKUP($F17,'FCDB 2017 (full)'!$C:$C,'FCDB 2017 (full)'!$CC:$CC)*$H17/100,0)</f>
        <v>0</v>
      </c>
      <c r="CM17" s="16">
        <f ca="1">IFERROR(_xlfn.XLOOKUP($F17,'FCDB 2017 (full)'!$C:$C,'FCDB 2017 (full)'!$CD:$CD)*$H17/100,0)</f>
        <v>0</v>
      </c>
      <c r="CN17" s="16">
        <f ca="1">IFERROR(_xlfn.XLOOKUP($F17,'FCDB 2017 (full)'!$C:$C,'FCDB 2017 (full)'!$CE:$CE)*$H17/100,0)</f>
        <v>0</v>
      </c>
      <c r="CO17" s="16">
        <f ca="1">IFERROR(_xlfn.XLOOKUP($F17,'FCDB 2017 (full)'!$C:$C,'FCDB 2017 (full)'!$CF:$CF)*$H17/100,0)</f>
        <v>0</v>
      </c>
      <c r="CP17" s="16">
        <f ca="1">IFERROR(_xlfn.XLOOKUP($F17,'FCDB 2017 (full)'!$C:$C,'FCDB 2017 (full)'!$CG:$CG)*$H17/100,0)</f>
        <v>0</v>
      </c>
      <c r="CQ17" s="16">
        <f ca="1">IFERROR(_xlfn.XLOOKUP($F17,'FCDB 2017 (full)'!$C:$C,'FCDB 2017 (full)'!$CH:$CH)*$H17/100,0)</f>
        <v>0</v>
      </c>
      <c r="DA17" s="72" t="s">
        <v>948</v>
      </c>
    </row>
    <row r="18" spans="5:105">
      <c r="E18" s="41"/>
      <c r="F18" s="11">
        <f>IFERROR(VLOOKUP($D$9,$D:$AE,4,0),0)</f>
        <v>0</v>
      </c>
      <c r="G18" s="7" cm="1">
        <f t="array" ref="G18">IF(F18=0,0,IF(_xlfn.XLOOKUP(F18,$E$9:$AE$9,$E$10:$AE$10)=0,"Nhập ĐV/TV",_xlfn.XLOOKUP(F18,$E$9:$AE$9,$E$10:$AE$10)))</f>
        <v>0</v>
      </c>
      <c r="H18" s="8" cm="1">
        <f t="array" ref="H18">IFERROR(INDEX($E$11:$AE$11,MATCH(F18,$E$9:$AE$9,0)),0)</f>
        <v>0</v>
      </c>
      <c r="I18" s="9">
        <f ca="1">IFERROR(_xlfn.XLOOKUP($F18,'FCDB 2017 (full)'!$C:$C,'FCDB 2017 (full)'!$E:$E),0)</f>
        <v>0</v>
      </c>
      <c r="J18" s="10">
        <f t="shared" ca="1" si="1"/>
        <v>0</v>
      </c>
      <c r="K18" s="9">
        <f ca="1">IFERROR(_xlfn.XLOOKUP($F18,'FCDB 2017 (full)'!$C:$C,'FCDB 2017 (full)'!$G:$G),0)</f>
        <v>0</v>
      </c>
      <c r="L18" s="13">
        <f t="shared" si="2"/>
        <v>0</v>
      </c>
      <c r="M18" s="13">
        <f t="shared" si="3"/>
        <v>0</v>
      </c>
      <c r="N18" s="9">
        <f ca="1">IFERROR(_xlfn.XLOOKUP($F18,'FCDB 2017 (full)'!$C:$C,'FCDB 2017 (full)'!$H:$H),0)</f>
        <v>0</v>
      </c>
      <c r="O18" s="14">
        <f t="shared" si="4"/>
        <v>0</v>
      </c>
      <c r="P18" s="14">
        <f t="shared" si="5"/>
        <v>0</v>
      </c>
      <c r="Q18" s="9">
        <f ca="1">IFERROR(_xlfn.XLOOKUP($F18,'FCDB 2017 (full)'!$C:$C,'FCDB 2017 (full)'!$I:$I),0)</f>
        <v>0</v>
      </c>
      <c r="R18" s="15">
        <f t="shared" ca="1" si="6"/>
        <v>0</v>
      </c>
      <c r="S18" s="16">
        <f ca="1">IFERROR(_xlfn.XLOOKUP($F18,'FCDB 2017 (full)'!$C:$C,'FCDB 2017 (full)'!$J:$J)*$H18/100,0)</f>
        <v>0</v>
      </c>
      <c r="T18" s="16">
        <f ca="1">IFERROR(_xlfn.XLOOKUP($F18,'FCDB 2017 (full)'!$C:$C,'FCDB 2017 (full)'!$K:$K)*$H18/100,0)</f>
        <v>0</v>
      </c>
      <c r="U18" s="16">
        <f ca="1">IFERROR(_xlfn.XLOOKUP($F18,'FCDB 2017 (full)'!$C:$C,'FCDB 2017 (full)'!$L:$L)*$H18/100,0)</f>
        <v>0</v>
      </c>
      <c r="V18" s="16">
        <f ca="1">IFERROR(_xlfn.XLOOKUP($F18,'FCDB 2017 (full)'!$C:$C,'FCDB 2017 (full)'!$M:$M)*$H18/100,0)</f>
        <v>0</v>
      </c>
      <c r="W18" s="16">
        <f ca="1">IFERROR(_xlfn.XLOOKUP($F18,'FCDB 2017 (full)'!$C:$C,'FCDB 2017 (full)'!$N:$N)*$H18/100,0)</f>
        <v>0</v>
      </c>
      <c r="X18" s="16">
        <f ca="1">IFERROR(_xlfn.XLOOKUP($F18,'FCDB 2017 (full)'!$C:$C,'FCDB 2017 (full)'!$O:$O)*$H18/100,0)</f>
        <v>0</v>
      </c>
      <c r="Y18" s="16">
        <f ca="1">IFERROR(_xlfn.XLOOKUP($F18,'FCDB 2017 (full)'!$C:$C,'FCDB 2017 (full)'!$P:$P)*$H18/100,0)</f>
        <v>0</v>
      </c>
      <c r="Z18" s="16">
        <f ca="1">IFERROR(_xlfn.XLOOKUP($F18,'FCDB 2017 (full)'!$C:$C,'FCDB 2017 (full)'!$Q:$Q)*$H18/100,0)</f>
        <v>0</v>
      </c>
      <c r="AA18" s="16">
        <f ca="1">IFERROR(_xlfn.XLOOKUP($F18,'FCDB 2017 (full)'!$C:$C,'FCDB 2017 (full)'!$R:$R)*$H18/100,0)</f>
        <v>0</v>
      </c>
      <c r="AB18" s="16">
        <f ca="1">IFERROR(_xlfn.XLOOKUP($F18,'FCDB 2017 (full)'!$C:$C,'FCDB 2017 (full)'!$S:$S)*$H18/100,0)</f>
        <v>0</v>
      </c>
      <c r="AC18" s="16">
        <f ca="1">IFERROR(_xlfn.XLOOKUP($F18,'FCDB 2017 (full)'!$C:$C,'FCDB 2017 (full)'!$T:$T)*$H18/100,0)</f>
        <v>0</v>
      </c>
      <c r="AD18" s="16">
        <f ca="1">IFERROR(_xlfn.XLOOKUP($F18,'FCDB 2017 (full)'!$C:$C,'FCDB 2017 (full)'!$U:$U)*$H18/100,0)</f>
        <v>0</v>
      </c>
      <c r="AE18" s="16">
        <f ca="1">IFERROR(_xlfn.XLOOKUP($F18,'FCDB 2017 (full)'!$C:$C,'FCDB 2017 (full)'!$V:$V)*$H18/100,0)</f>
        <v>0</v>
      </c>
      <c r="AF18" s="16">
        <f ca="1">IFERROR(_xlfn.XLOOKUP($F18,'FCDB 2017 (full)'!$C:$C,'FCDB 2017 (full)'!$W:$W)*$H18/100,0)</f>
        <v>0</v>
      </c>
      <c r="AG18" s="16">
        <f ca="1">IFERROR(_xlfn.XLOOKUP($F18,'FCDB 2017 (full)'!$C:$C,'FCDB 2017 (full)'!$X:$X)*$H18/100,0)</f>
        <v>0</v>
      </c>
      <c r="AH18" s="16">
        <f ca="1">IFERROR(_xlfn.XLOOKUP($F18,'FCDB 2017 (full)'!$C:$C,'FCDB 2017 (full)'!$Y:$Y)*$H18/100,0)</f>
        <v>0</v>
      </c>
      <c r="AI18" s="16">
        <f ca="1">IFERROR(_xlfn.XLOOKUP($F18,'FCDB 2017 (full)'!$C:$C,'FCDB 2017 (full)'!$Z:$Z)*$H18/100,0)</f>
        <v>0</v>
      </c>
      <c r="AJ18" s="16">
        <f ca="1">IFERROR(_xlfn.XLOOKUP($F18,'FCDB 2017 (full)'!$C:$C,'FCDB 2017 (full)'!$AA:$AA)*$H18/100,0)</f>
        <v>0</v>
      </c>
      <c r="AK18" s="16">
        <f ca="1">IFERROR(_xlfn.XLOOKUP($F18,'FCDB 2017 (full)'!$C:$C,'FCDB 2017 (full)'!$AB:$AB)*$H18/100,0)</f>
        <v>0</v>
      </c>
      <c r="AL18" s="16">
        <f ca="1">IFERROR(_xlfn.XLOOKUP($F18,'FCDB 2017 (full)'!$C:$C,'FCDB 2017 (full)'!$AC:$AC)*$H18/100,0)</f>
        <v>0</v>
      </c>
      <c r="AM18" s="16">
        <f ca="1">IFERROR(_xlfn.XLOOKUP($F18,'FCDB 2017 (full)'!$C:$C,'FCDB 2017 (full)'!$AD:$AD)*$H18/100,0)</f>
        <v>0</v>
      </c>
      <c r="AN18" s="16">
        <f ca="1">IFERROR(_xlfn.XLOOKUP($F18,'FCDB 2017 (full)'!$C:$C,'FCDB 2017 (full)'!$AE:$AE)*$H18/100,0)</f>
        <v>0</v>
      </c>
      <c r="AO18" s="16">
        <f ca="1">IFERROR(_xlfn.XLOOKUP($F18,'FCDB 2017 (full)'!$C:$C,'FCDB 2017 (full)'!$AF:$AF)*$H18/100,0)</f>
        <v>0</v>
      </c>
      <c r="AP18" s="16">
        <f ca="1">IFERROR(_xlfn.XLOOKUP($F18,'FCDB 2017 (full)'!$C:$C,'FCDB 2017 (full)'!$AG:$AG)*$H18/100,0)</f>
        <v>0</v>
      </c>
      <c r="AQ18" s="16">
        <f ca="1">IFERROR(_xlfn.XLOOKUP($F18,'FCDB 2017 (full)'!$C:$C,'FCDB 2017 (full)'!$AH:$AH)*$H18/100,0)</f>
        <v>0</v>
      </c>
      <c r="AR18" s="16">
        <f ca="1">IFERROR(_xlfn.XLOOKUP($F18,'FCDB 2017 (full)'!$C:$C,'FCDB 2017 (full)'!$AI:$AI)*$H18/100,0)</f>
        <v>0</v>
      </c>
      <c r="AS18" s="16">
        <f ca="1">IFERROR(_xlfn.XLOOKUP($F18,'FCDB 2017 (full)'!$C:$C,'FCDB 2017 (full)'!$AJ:$AJ)*$H18/100,0)</f>
        <v>0</v>
      </c>
      <c r="AT18" s="16">
        <f ca="1">IFERROR(_xlfn.XLOOKUP($F18,'FCDB 2017 (full)'!$C:$C,'FCDB 2017 (full)'!$AK:$AK)*$H18/100,0)</f>
        <v>0</v>
      </c>
      <c r="AU18" s="16">
        <f ca="1">IFERROR(_xlfn.XLOOKUP($F18,'FCDB 2017 (full)'!$C:$C,'FCDB 2017 (full)'!$AK:$AK)*$H18/100,0)</f>
        <v>0</v>
      </c>
      <c r="AV18" s="16">
        <f ca="1">IFERROR(_xlfn.XLOOKUP($F18,'FCDB 2017 (full)'!$C:$C,'FCDB 2017 (full)'!$AM:$AM)*$H18/100,0)</f>
        <v>0</v>
      </c>
      <c r="AW18" s="16">
        <f ca="1">IFERROR(_xlfn.XLOOKUP($F18,'FCDB 2017 (full)'!$C:$C,'FCDB 2017 (full)'!$AN:$AN)*$H18/100,0)</f>
        <v>0</v>
      </c>
      <c r="AX18" s="16">
        <f ca="1">IFERROR(_xlfn.XLOOKUP($F18,'FCDB 2017 (full)'!$C:$C,'FCDB 2017 (full)'!$AO:$AO)*$H18/100,0)</f>
        <v>0</v>
      </c>
      <c r="AY18" s="16">
        <f ca="1">IFERROR(_xlfn.XLOOKUP($F18,'FCDB 2017 (full)'!$C:$C,'FCDB 2017 (full)'!$AP:$AP)*$H18/100,0)</f>
        <v>0</v>
      </c>
      <c r="AZ18" s="16">
        <f ca="1">IFERROR(_xlfn.XLOOKUP($F18,'FCDB 2017 (full)'!$C:$C,'FCDB 2017 (full)'!$AQ:$AQ)*$H18/100,0)</f>
        <v>0</v>
      </c>
      <c r="BA18" s="16">
        <f ca="1">IFERROR(_xlfn.XLOOKUP($F18,'FCDB 2017 (full)'!$C:$C,'FCDB 2017 (full)'!$AR:$AR)*$H18/100,0)</f>
        <v>0</v>
      </c>
      <c r="BB18" s="16">
        <f ca="1">IFERROR(_xlfn.XLOOKUP($F18,'FCDB 2017 (full)'!$C:$C,'FCDB 2017 (full)'!$AS:$AS)*$H18/100,0)</f>
        <v>0</v>
      </c>
      <c r="BC18" s="16">
        <f ca="1">IFERROR(_xlfn.XLOOKUP($F18,'FCDB 2017 (full)'!$C:$C,'FCDB 2017 (full)'!$AT:$AT)*$H18/100,0)</f>
        <v>0</v>
      </c>
      <c r="BD18" s="16">
        <f ca="1">IFERROR(_xlfn.XLOOKUP($F18,'FCDB 2017 (full)'!$C:$C,'FCDB 2017 (full)'!$AU:$AU)*$H18/100,0)</f>
        <v>0</v>
      </c>
      <c r="BE18" s="16">
        <f ca="1">IFERROR(_xlfn.XLOOKUP($F18,'FCDB 2017 (full)'!$C:$C,'FCDB 2017 (full)'!$AV:$AV)*$H18/100,0)</f>
        <v>0</v>
      </c>
      <c r="BF18" s="16">
        <f ca="1">IFERROR(_xlfn.XLOOKUP($F18,'FCDB 2017 (full)'!$C:$C,'FCDB 2017 (full)'!$AW:$AW)*$H18/100,0)</f>
        <v>0</v>
      </c>
      <c r="BG18" s="16">
        <f ca="1">IFERROR(_xlfn.XLOOKUP($F18,'FCDB 2017 (full)'!$C:$C,'FCDB 2017 (full)'!$AX:$AX)*$H18/100,0)</f>
        <v>0</v>
      </c>
      <c r="BH18" s="16">
        <f ca="1">IFERROR(_xlfn.XLOOKUP($F18,'FCDB 2017 (full)'!$C:$C,'FCDB 2017 (full)'!$AY:$AY)*$H18/100,0)</f>
        <v>0</v>
      </c>
      <c r="BI18" s="16">
        <f ca="1">IFERROR(_xlfn.XLOOKUP($F18,'FCDB 2017 (full)'!$C:$C,'FCDB 2017 (full)'!$AZ:$AZ)*$H18/100,0)</f>
        <v>0</v>
      </c>
      <c r="BJ18" s="16">
        <f ca="1">IFERROR(_xlfn.XLOOKUP($F18,'FCDB 2017 (full)'!$C:$C,'FCDB 2017 (full)'!$BA:$BA)*$H18/100,0)</f>
        <v>0</v>
      </c>
      <c r="BK18" s="16">
        <f ca="1">IFERROR(_xlfn.XLOOKUP($F18,'FCDB 2017 (full)'!$C:$C,'FCDB 2017 (full)'!$BB:$BB)*$H18/100,0)</f>
        <v>0</v>
      </c>
      <c r="BL18" s="16">
        <f ca="1">IFERROR(_xlfn.XLOOKUP($F18,'FCDB 2017 (full)'!$C:$C,'FCDB 2017 (full)'!$BC:$BC)*$H18/100,0)</f>
        <v>0</v>
      </c>
      <c r="BM18" s="16">
        <f ca="1">IFERROR(_xlfn.XLOOKUP($F18,'FCDB 2017 (full)'!$C:$C,'FCDB 2017 (full)'!$BD:$BD)*$H18/100,0)</f>
        <v>0</v>
      </c>
      <c r="BN18" s="16">
        <f ca="1">IFERROR(_xlfn.XLOOKUP($F18,'FCDB 2017 (full)'!$C:$C,'FCDB 2017 (full)'!$BE:$BE)*$H18/100,0)</f>
        <v>0</v>
      </c>
      <c r="BO18" s="16">
        <f ca="1">IFERROR(_xlfn.XLOOKUP($F18,'FCDB 2017 (full)'!$C:$C,'FCDB 2017 (full)'!$BF:$BF)*$H18/100,0)</f>
        <v>0</v>
      </c>
      <c r="BP18" s="16">
        <f ca="1">IFERROR(_xlfn.XLOOKUP($F18,'FCDB 2017 (full)'!$C:$C,'FCDB 2017 (full)'!$BG:$BG)*$H18/100,0)</f>
        <v>0</v>
      </c>
      <c r="BQ18" s="16">
        <f ca="1">IFERROR(_xlfn.XLOOKUP($F18,'FCDB 2017 (full)'!$C:$C,'FCDB 2017 (full)'!$BH:$BH)*$H18/100,0)</f>
        <v>0</v>
      </c>
      <c r="BR18" s="16">
        <f ca="1">IFERROR(_xlfn.XLOOKUP($F18,'FCDB 2017 (full)'!$C:$C,'FCDB 2017 (full)'!$BI:$BI)*$H18/100,0)</f>
        <v>0</v>
      </c>
      <c r="BS18" s="16">
        <f ca="1">IFERROR(_xlfn.XLOOKUP($F18,'FCDB 2017 (full)'!$C:$C,'FCDB 2017 (full)'!$BJ:$BJ)*$H18/100,0)</f>
        <v>0</v>
      </c>
      <c r="BT18" s="16">
        <f ca="1">IFERROR(_xlfn.XLOOKUP($F18,'FCDB 2017 (full)'!$C:$C,'FCDB 2017 (full)'!$BK:$BK)*$H18/100,0)</f>
        <v>0</v>
      </c>
      <c r="BU18" s="16">
        <f ca="1">IFERROR(_xlfn.XLOOKUP($F18,'FCDB 2017 (full)'!$C:$C,'FCDB 2017 (full)'!$BL:$BL)*$H18/100,0)</f>
        <v>0</v>
      </c>
      <c r="BV18" s="16">
        <f ca="1">IFERROR(_xlfn.XLOOKUP($F18,'FCDB 2017 (full)'!$C:$C,'FCDB 2017 (full)'!$BM:$BM)*$H18/100,0)</f>
        <v>0</v>
      </c>
      <c r="BW18" s="16">
        <f ca="1">IFERROR(_xlfn.XLOOKUP($F18,'FCDB 2017 (full)'!$C:$C,'FCDB 2017 (full)'!$BN:$BN)*$H18/100,0)</f>
        <v>0</v>
      </c>
      <c r="BX18" s="16">
        <f ca="1">IFERROR(_xlfn.XLOOKUP($F18,'FCDB 2017 (full)'!$C:$C,'FCDB 2017 (full)'!$BO:$BO)*$H18/100,0)</f>
        <v>0</v>
      </c>
      <c r="BY18" s="16">
        <f ca="1">IFERROR(_xlfn.XLOOKUP($F18,'FCDB 2017 (full)'!$C:$C,'FCDB 2017 (full)'!$BP:$BP)*$H18/100,0)</f>
        <v>0</v>
      </c>
      <c r="BZ18" s="16">
        <f ca="1">IFERROR(_xlfn.XLOOKUP($F18,'FCDB 2017 (full)'!$C:$C,'FCDB 2017 (full)'!$BQ:$BQ)*$H18/100,0)</f>
        <v>0</v>
      </c>
      <c r="CA18" s="16">
        <f ca="1">IFERROR(_xlfn.XLOOKUP($F18,'FCDB 2017 (full)'!$C:$C,'FCDB 2017 (full)'!$BR:$BR)*$H18/100,0)</f>
        <v>0</v>
      </c>
      <c r="CB18" s="16">
        <f ca="1">IFERROR(_xlfn.XLOOKUP($F18,'FCDB 2017 (full)'!$C:$C,'FCDB 2017 (full)'!$BS:$BS)*$H18/100,0)</f>
        <v>0</v>
      </c>
      <c r="CC18" s="16">
        <f ca="1">IFERROR(_xlfn.XLOOKUP($F18,'FCDB 2017 (full)'!$C:$C,'FCDB 2017 (full)'!$BT:$BT)*$H18/100,0)</f>
        <v>0</v>
      </c>
      <c r="CD18" s="16">
        <f ca="1">IFERROR(_xlfn.XLOOKUP($F18,'FCDB 2017 (full)'!$C:$C,'FCDB 2017 (full)'!$BU:$BU)*$H18/100,0)</f>
        <v>0</v>
      </c>
      <c r="CE18" s="16">
        <f ca="1">IFERROR(_xlfn.XLOOKUP($F18,'FCDB 2017 (full)'!$C:$C,'FCDB 2017 (full)'!$BV:$BV)*$H18/100,0)</f>
        <v>0</v>
      </c>
      <c r="CF18" s="16">
        <f ca="1">IFERROR(_xlfn.XLOOKUP($F18,'FCDB 2017 (full)'!$C:$C,'FCDB 2017 (full)'!$BW:$BW)*$H18/100,0)</f>
        <v>0</v>
      </c>
      <c r="CG18" s="16">
        <f ca="1">IFERROR(_xlfn.XLOOKUP($F18,'FCDB 2017 (full)'!$C:$C,'FCDB 2017 (full)'!$BX:$BX)*$H18/100,0)</f>
        <v>0</v>
      </c>
      <c r="CH18" s="16">
        <f ca="1">IFERROR(_xlfn.XLOOKUP($F18,'FCDB 2017 (full)'!$C:$C,'FCDB 2017 (full)'!$BY:$BY)*$H18/100,0)</f>
        <v>0</v>
      </c>
      <c r="CI18" s="16">
        <f ca="1">IFERROR(_xlfn.XLOOKUP($F18,'FCDB 2017 (full)'!$C:$C,'FCDB 2017 (full)'!$BZ:$BZ)*$H18/100,0)</f>
        <v>0</v>
      </c>
      <c r="CJ18" s="16">
        <f ca="1">IFERROR(_xlfn.XLOOKUP($F18,'FCDB 2017 (full)'!$C:$C,'FCDB 2017 (full)'!$CA:$CA)*$H18/100,0)</f>
        <v>0</v>
      </c>
      <c r="CK18" s="16">
        <f ca="1">IFERROR(_xlfn.XLOOKUP($F18,'FCDB 2017 (full)'!$C:$C,'FCDB 2017 (full)'!$CB:$CB)*$H18/100,0)</f>
        <v>0</v>
      </c>
      <c r="CL18" s="16">
        <f ca="1">IFERROR(_xlfn.XLOOKUP($F18,'FCDB 2017 (full)'!$C:$C,'FCDB 2017 (full)'!$CC:$CC)*$H18/100,0)</f>
        <v>0</v>
      </c>
      <c r="CM18" s="16">
        <f ca="1">IFERROR(_xlfn.XLOOKUP($F18,'FCDB 2017 (full)'!$C:$C,'FCDB 2017 (full)'!$CD:$CD)*$H18/100,0)</f>
        <v>0</v>
      </c>
      <c r="CN18" s="16">
        <f ca="1">IFERROR(_xlfn.XLOOKUP($F18,'FCDB 2017 (full)'!$C:$C,'FCDB 2017 (full)'!$CE:$CE)*$H18/100,0)</f>
        <v>0</v>
      </c>
      <c r="CO18" s="16">
        <f ca="1">IFERROR(_xlfn.XLOOKUP($F18,'FCDB 2017 (full)'!$C:$C,'FCDB 2017 (full)'!$CF:$CF)*$H18/100,0)</f>
        <v>0</v>
      </c>
      <c r="CP18" s="16">
        <f ca="1">IFERROR(_xlfn.XLOOKUP($F18,'FCDB 2017 (full)'!$C:$C,'FCDB 2017 (full)'!$CG:$CG)*$H18/100,0)</f>
        <v>0</v>
      </c>
      <c r="CQ18" s="16">
        <f ca="1">IFERROR(_xlfn.XLOOKUP($F18,'FCDB 2017 (full)'!$C:$C,'FCDB 2017 (full)'!$CH:$CH)*$H18/100,0)</f>
        <v>0</v>
      </c>
      <c r="DA18" s="73" t="s">
        <v>948</v>
      </c>
    </row>
    <row r="19" spans="5:105">
      <c r="E19" s="41"/>
      <c r="F19" s="11">
        <f>IFERROR(VLOOKUP($D$9,$D:$AE,5,0),0)</f>
        <v>0</v>
      </c>
      <c r="G19" s="7" cm="1">
        <f t="array" ref="G19">IF(F19=0,0,IF(_xlfn.XLOOKUP(F19,$E$9:$AE$9,$E$10:$AE$10)=0,"Nhập ĐV/TV",_xlfn.XLOOKUP(F19,$E$9:$AE$9,$E$10:$AE$10)))</f>
        <v>0</v>
      </c>
      <c r="H19" s="8" cm="1">
        <f t="array" ref="H19">IFERROR(INDEX($E$11:$AE$11,MATCH(F19,$E$9:$AE$9,0)),0)</f>
        <v>0</v>
      </c>
      <c r="I19" s="9">
        <f ca="1">IFERROR(_xlfn.XLOOKUP($F19,'FCDB 2017 (full)'!$C:$C,'FCDB 2017 (full)'!$E:$E),0)</f>
        <v>0</v>
      </c>
      <c r="J19" s="10">
        <f t="shared" ca="1" si="1"/>
        <v>0</v>
      </c>
      <c r="K19" s="9">
        <f ca="1">IFERROR(_xlfn.XLOOKUP($F19,'FCDB 2017 (full)'!$C:$C,'FCDB 2017 (full)'!$G:$G),0)</f>
        <v>0</v>
      </c>
      <c r="L19" s="13">
        <f t="shared" si="2"/>
        <v>0</v>
      </c>
      <c r="M19" s="13">
        <f t="shared" si="3"/>
        <v>0</v>
      </c>
      <c r="N19" s="9">
        <f ca="1">IFERROR(_xlfn.XLOOKUP($F19,'FCDB 2017 (full)'!$C:$C,'FCDB 2017 (full)'!$H:$H),0)</f>
        <v>0</v>
      </c>
      <c r="O19" s="14">
        <f t="shared" si="4"/>
        <v>0</v>
      </c>
      <c r="P19" s="14">
        <f t="shared" si="5"/>
        <v>0</v>
      </c>
      <c r="Q19" s="9">
        <f ca="1">IFERROR(_xlfn.XLOOKUP($F19,'FCDB 2017 (full)'!$C:$C,'FCDB 2017 (full)'!$I:$I),0)</f>
        <v>0</v>
      </c>
      <c r="R19" s="15">
        <f t="shared" ca="1" si="6"/>
        <v>0</v>
      </c>
      <c r="S19" s="16">
        <f ca="1">IFERROR(_xlfn.XLOOKUP($F19,'FCDB 2017 (full)'!$C:$C,'FCDB 2017 (full)'!$J:$J)*$H19/100,0)</f>
        <v>0</v>
      </c>
      <c r="T19" s="16">
        <f ca="1">IFERROR(_xlfn.XLOOKUP($F19,'FCDB 2017 (full)'!$C:$C,'FCDB 2017 (full)'!$K:$K)*$H19/100,0)</f>
        <v>0</v>
      </c>
      <c r="U19" s="16">
        <f ca="1">IFERROR(_xlfn.XLOOKUP($F19,'FCDB 2017 (full)'!$C:$C,'FCDB 2017 (full)'!$L:$L)*$H19/100,0)</f>
        <v>0</v>
      </c>
      <c r="V19" s="16">
        <f ca="1">IFERROR(_xlfn.XLOOKUP($F19,'FCDB 2017 (full)'!$C:$C,'FCDB 2017 (full)'!$M:$M)*$H19/100,0)</f>
        <v>0</v>
      </c>
      <c r="W19" s="16">
        <f ca="1">IFERROR(_xlfn.XLOOKUP($F19,'FCDB 2017 (full)'!$C:$C,'FCDB 2017 (full)'!$N:$N)*$H19/100,0)</f>
        <v>0</v>
      </c>
      <c r="X19" s="16">
        <f ca="1">IFERROR(_xlfn.XLOOKUP($F19,'FCDB 2017 (full)'!$C:$C,'FCDB 2017 (full)'!$O:$O)*$H19/100,0)</f>
        <v>0</v>
      </c>
      <c r="Y19" s="16">
        <f ca="1">IFERROR(_xlfn.XLOOKUP($F19,'FCDB 2017 (full)'!$C:$C,'FCDB 2017 (full)'!$P:$P)*$H19/100,0)</f>
        <v>0</v>
      </c>
      <c r="Z19" s="16">
        <f ca="1">IFERROR(_xlfn.XLOOKUP($F19,'FCDB 2017 (full)'!$C:$C,'FCDB 2017 (full)'!$Q:$Q)*$H19/100,0)</f>
        <v>0</v>
      </c>
      <c r="AA19" s="16">
        <f ca="1">IFERROR(_xlfn.XLOOKUP($F19,'FCDB 2017 (full)'!$C:$C,'FCDB 2017 (full)'!$R:$R)*$H19/100,0)</f>
        <v>0</v>
      </c>
      <c r="AB19" s="16">
        <f ca="1">IFERROR(_xlfn.XLOOKUP($F19,'FCDB 2017 (full)'!$C:$C,'FCDB 2017 (full)'!$S:$S)*$H19/100,0)</f>
        <v>0</v>
      </c>
      <c r="AC19" s="16">
        <f ca="1">IFERROR(_xlfn.XLOOKUP($F19,'FCDB 2017 (full)'!$C:$C,'FCDB 2017 (full)'!$T:$T)*$H19/100,0)</f>
        <v>0</v>
      </c>
      <c r="AD19" s="16">
        <f ca="1">IFERROR(_xlfn.XLOOKUP($F19,'FCDB 2017 (full)'!$C:$C,'FCDB 2017 (full)'!$U:$U)*$H19/100,0)</f>
        <v>0</v>
      </c>
      <c r="AE19" s="16">
        <f ca="1">IFERROR(_xlfn.XLOOKUP($F19,'FCDB 2017 (full)'!$C:$C,'FCDB 2017 (full)'!$V:$V)*$H19/100,0)</f>
        <v>0</v>
      </c>
      <c r="AF19" s="16">
        <f ca="1">IFERROR(_xlfn.XLOOKUP($F19,'FCDB 2017 (full)'!$C:$C,'FCDB 2017 (full)'!$W:$W)*$H19/100,0)</f>
        <v>0</v>
      </c>
      <c r="AG19" s="16">
        <f ca="1">IFERROR(_xlfn.XLOOKUP($F19,'FCDB 2017 (full)'!$C:$C,'FCDB 2017 (full)'!$X:$X)*$H19/100,0)</f>
        <v>0</v>
      </c>
      <c r="AH19" s="16">
        <f ca="1">IFERROR(_xlfn.XLOOKUP($F19,'FCDB 2017 (full)'!$C:$C,'FCDB 2017 (full)'!$Y:$Y)*$H19/100,0)</f>
        <v>0</v>
      </c>
      <c r="AI19" s="16">
        <f ca="1">IFERROR(_xlfn.XLOOKUP($F19,'FCDB 2017 (full)'!$C:$C,'FCDB 2017 (full)'!$Z:$Z)*$H19/100,0)</f>
        <v>0</v>
      </c>
      <c r="AJ19" s="16">
        <f ca="1">IFERROR(_xlfn.XLOOKUP($F19,'FCDB 2017 (full)'!$C:$C,'FCDB 2017 (full)'!$AA:$AA)*$H19/100,0)</f>
        <v>0</v>
      </c>
      <c r="AK19" s="16">
        <f ca="1">IFERROR(_xlfn.XLOOKUP($F19,'FCDB 2017 (full)'!$C:$C,'FCDB 2017 (full)'!$AB:$AB)*$H19/100,0)</f>
        <v>0</v>
      </c>
      <c r="AL19" s="16">
        <f ca="1">IFERROR(_xlfn.XLOOKUP($F19,'FCDB 2017 (full)'!$C:$C,'FCDB 2017 (full)'!$AC:$AC)*$H19/100,0)</f>
        <v>0</v>
      </c>
      <c r="AM19" s="16">
        <f ca="1">IFERROR(_xlfn.XLOOKUP($F19,'FCDB 2017 (full)'!$C:$C,'FCDB 2017 (full)'!$AD:$AD)*$H19/100,0)</f>
        <v>0</v>
      </c>
      <c r="AN19" s="16">
        <f ca="1">IFERROR(_xlfn.XLOOKUP($F19,'FCDB 2017 (full)'!$C:$C,'FCDB 2017 (full)'!$AE:$AE)*$H19/100,0)</f>
        <v>0</v>
      </c>
      <c r="AO19" s="16">
        <f ca="1">IFERROR(_xlfn.XLOOKUP($F19,'FCDB 2017 (full)'!$C:$C,'FCDB 2017 (full)'!$AF:$AF)*$H19/100,0)</f>
        <v>0</v>
      </c>
      <c r="AP19" s="16">
        <f ca="1">IFERROR(_xlfn.XLOOKUP($F19,'FCDB 2017 (full)'!$C:$C,'FCDB 2017 (full)'!$AG:$AG)*$H19/100,0)</f>
        <v>0</v>
      </c>
      <c r="AQ19" s="16">
        <f ca="1">IFERROR(_xlfn.XLOOKUP($F19,'FCDB 2017 (full)'!$C:$C,'FCDB 2017 (full)'!$AH:$AH)*$H19/100,0)</f>
        <v>0</v>
      </c>
      <c r="AR19" s="16">
        <f ca="1">IFERROR(_xlfn.XLOOKUP($F19,'FCDB 2017 (full)'!$C:$C,'FCDB 2017 (full)'!$AI:$AI)*$H19/100,0)</f>
        <v>0</v>
      </c>
      <c r="AS19" s="16">
        <f ca="1">IFERROR(_xlfn.XLOOKUP($F19,'FCDB 2017 (full)'!$C:$C,'FCDB 2017 (full)'!$AJ:$AJ)*$H19/100,0)</f>
        <v>0</v>
      </c>
      <c r="AT19" s="16">
        <f ca="1">IFERROR(_xlfn.XLOOKUP($F19,'FCDB 2017 (full)'!$C:$C,'FCDB 2017 (full)'!$AK:$AK)*$H19/100,0)</f>
        <v>0</v>
      </c>
      <c r="AU19" s="16">
        <f ca="1">IFERROR(_xlfn.XLOOKUP($F19,'FCDB 2017 (full)'!$C:$C,'FCDB 2017 (full)'!$AK:$AK)*$H19/100,0)</f>
        <v>0</v>
      </c>
      <c r="AV19" s="16">
        <f ca="1">IFERROR(_xlfn.XLOOKUP($F19,'FCDB 2017 (full)'!$C:$C,'FCDB 2017 (full)'!$AM:$AM)*$H19/100,0)</f>
        <v>0</v>
      </c>
      <c r="AW19" s="16">
        <f ca="1">IFERROR(_xlfn.XLOOKUP($F19,'FCDB 2017 (full)'!$C:$C,'FCDB 2017 (full)'!$AN:$AN)*$H19/100,0)</f>
        <v>0</v>
      </c>
      <c r="AX19" s="16">
        <f ca="1">IFERROR(_xlfn.XLOOKUP($F19,'FCDB 2017 (full)'!$C:$C,'FCDB 2017 (full)'!$AO:$AO)*$H19/100,0)</f>
        <v>0</v>
      </c>
      <c r="AY19" s="16">
        <f ca="1">IFERROR(_xlfn.XLOOKUP($F19,'FCDB 2017 (full)'!$C:$C,'FCDB 2017 (full)'!$AP:$AP)*$H19/100,0)</f>
        <v>0</v>
      </c>
      <c r="AZ19" s="16">
        <f ca="1">IFERROR(_xlfn.XLOOKUP($F19,'FCDB 2017 (full)'!$C:$C,'FCDB 2017 (full)'!$AQ:$AQ)*$H19/100,0)</f>
        <v>0</v>
      </c>
      <c r="BA19" s="16">
        <f ca="1">IFERROR(_xlfn.XLOOKUP($F19,'FCDB 2017 (full)'!$C:$C,'FCDB 2017 (full)'!$AR:$AR)*$H19/100,0)</f>
        <v>0</v>
      </c>
      <c r="BB19" s="16">
        <f ca="1">IFERROR(_xlfn.XLOOKUP($F19,'FCDB 2017 (full)'!$C:$C,'FCDB 2017 (full)'!$AS:$AS)*$H19/100,0)</f>
        <v>0</v>
      </c>
      <c r="BC19" s="16">
        <f ca="1">IFERROR(_xlfn.XLOOKUP($F19,'FCDB 2017 (full)'!$C:$C,'FCDB 2017 (full)'!$AT:$AT)*$H19/100,0)</f>
        <v>0</v>
      </c>
      <c r="BD19" s="16">
        <f ca="1">IFERROR(_xlfn.XLOOKUP($F19,'FCDB 2017 (full)'!$C:$C,'FCDB 2017 (full)'!$AU:$AU)*$H19/100,0)</f>
        <v>0</v>
      </c>
      <c r="BE19" s="16">
        <f ca="1">IFERROR(_xlfn.XLOOKUP($F19,'FCDB 2017 (full)'!$C:$C,'FCDB 2017 (full)'!$AV:$AV)*$H19/100,0)</f>
        <v>0</v>
      </c>
      <c r="BF19" s="16">
        <f ca="1">IFERROR(_xlfn.XLOOKUP($F19,'FCDB 2017 (full)'!$C:$C,'FCDB 2017 (full)'!$AW:$AW)*$H19/100,0)</f>
        <v>0</v>
      </c>
      <c r="BG19" s="16">
        <f ca="1">IFERROR(_xlfn.XLOOKUP($F19,'FCDB 2017 (full)'!$C:$C,'FCDB 2017 (full)'!$AX:$AX)*$H19/100,0)</f>
        <v>0</v>
      </c>
      <c r="BH19" s="16">
        <f ca="1">IFERROR(_xlfn.XLOOKUP($F19,'FCDB 2017 (full)'!$C:$C,'FCDB 2017 (full)'!$AY:$AY)*$H19/100,0)</f>
        <v>0</v>
      </c>
      <c r="BI19" s="16">
        <f ca="1">IFERROR(_xlfn.XLOOKUP($F19,'FCDB 2017 (full)'!$C:$C,'FCDB 2017 (full)'!$AZ:$AZ)*$H19/100,0)</f>
        <v>0</v>
      </c>
      <c r="BJ19" s="16">
        <f ca="1">IFERROR(_xlfn.XLOOKUP($F19,'FCDB 2017 (full)'!$C:$C,'FCDB 2017 (full)'!$BA:$BA)*$H19/100,0)</f>
        <v>0</v>
      </c>
      <c r="BK19" s="16">
        <f ca="1">IFERROR(_xlfn.XLOOKUP($F19,'FCDB 2017 (full)'!$C:$C,'FCDB 2017 (full)'!$BB:$BB)*$H19/100,0)</f>
        <v>0</v>
      </c>
      <c r="BL19" s="16">
        <f ca="1">IFERROR(_xlfn.XLOOKUP($F19,'FCDB 2017 (full)'!$C:$C,'FCDB 2017 (full)'!$BC:$BC)*$H19/100,0)</f>
        <v>0</v>
      </c>
      <c r="BM19" s="16">
        <f ca="1">IFERROR(_xlfn.XLOOKUP($F19,'FCDB 2017 (full)'!$C:$C,'FCDB 2017 (full)'!$BD:$BD)*$H19/100,0)</f>
        <v>0</v>
      </c>
      <c r="BN19" s="16">
        <f ca="1">IFERROR(_xlfn.XLOOKUP($F19,'FCDB 2017 (full)'!$C:$C,'FCDB 2017 (full)'!$BE:$BE)*$H19/100,0)</f>
        <v>0</v>
      </c>
      <c r="BO19" s="16">
        <f ca="1">IFERROR(_xlfn.XLOOKUP($F19,'FCDB 2017 (full)'!$C:$C,'FCDB 2017 (full)'!$BF:$BF)*$H19/100,0)</f>
        <v>0</v>
      </c>
      <c r="BP19" s="16">
        <f ca="1">IFERROR(_xlfn.XLOOKUP($F19,'FCDB 2017 (full)'!$C:$C,'FCDB 2017 (full)'!$BG:$BG)*$H19/100,0)</f>
        <v>0</v>
      </c>
      <c r="BQ19" s="16">
        <f ca="1">IFERROR(_xlfn.XLOOKUP($F19,'FCDB 2017 (full)'!$C:$C,'FCDB 2017 (full)'!$BH:$BH)*$H19/100,0)</f>
        <v>0</v>
      </c>
      <c r="BR19" s="16">
        <f ca="1">IFERROR(_xlfn.XLOOKUP($F19,'FCDB 2017 (full)'!$C:$C,'FCDB 2017 (full)'!$BI:$BI)*$H19/100,0)</f>
        <v>0</v>
      </c>
      <c r="BS19" s="16">
        <f ca="1">IFERROR(_xlfn.XLOOKUP($F19,'FCDB 2017 (full)'!$C:$C,'FCDB 2017 (full)'!$BJ:$BJ)*$H19/100,0)</f>
        <v>0</v>
      </c>
      <c r="BT19" s="16">
        <f ca="1">IFERROR(_xlfn.XLOOKUP($F19,'FCDB 2017 (full)'!$C:$C,'FCDB 2017 (full)'!$BK:$BK)*$H19/100,0)</f>
        <v>0</v>
      </c>
      <c r="BU19" s="16">
        <f ca="1">IFERROR(_xlfn.XLOOKUP($F19,'FCDB 2017 (full)'!$C:$C,'FCDB 2017 (full)'!$BL:$BL)*$H19/100,0)</f>
        <v>0</v>
      </c>
      <c r="BV19" s="16">
        <f ca="1">IFERROR(_xlfn.XLOOKUP($F19,'FCDB 2017 (full)'!$C:$C,'FCDB 2017 (full)'!$BM:$BM)*$H19/100,0)</f>
        <v>0</v>
      </c>
      <c r="BW19" s="16">
        <f ca="1">IFERROR(_xlfn.XLOOKUP($F19,'FCDB 2017 (full)'!$C:$C,'FCDB 2017 (full)'!$BN:$BN)*$H19/100,0)</f>
        <v>0</v>
      </c>
      <c r="BX19" s="16">
        <f ca="1">IFERROR(_xlfn.XLOOKUP($F19,'FCDB 2017 (full)'!$C:$C,'FCDB 2017 (full)'!$BO:$BO)*$H19/100,0)</f>
        <v>0</v>
      </c>
      <c r="BY19" s="16">
        <f ca="1">IFERROR(_xlfn.XLOOKUP($F19,'FCDB 2017 (full)'!$C:$C,'FCDB 2017 (full)'!$BP:$BP)*$H19/100,0)</f>
        <v>0</v>
      </c>
      <c r="BZ19" s="16">
        <f ca="1">IFERROR(_xlfn.XLOOKUP($F19,'FCDB 2017 (full)'!$C:$C,'FCDB 2017 (full)'!$BQ:$BQ)*$H19/100,0)</f>
        <v>0</v>
      </c>
      <c r="CA19" s="16">
        <f ca="1">IFERROR(_xlfn.XLOOKUP($F19,'FCDB 2017 (full)'!$C:$C,'FCDB 2017 (full)'!$BR:$BR)*$H19/100,0)</f>
        <v>0</v>
      </c>
      <c r="CB19" s="16">
        <f ca="1">IFERROR(_xlfn.XLOOKUP($F19,'FCDB 2017 (full)'!$C:$C,'FCDB 2017 (full)'!$BS:$BS)*$H19/100,0)</f>
        <v>0</v>
      </c>
      <c r="CC19" s="16">
        <f ca="1">IFERROR(_xlfn.XLOOKUP($F19,'FCDB 2017 (full)'!$C:$C,'FCDB 2017 (full)'!$BT:$BT)*$H19/100,0)</f>
        <v>0</v>
      </c>
      <c r="CD19" s="16">
        <f ca="1">IFERROR(_xlfn.XLOOKUP($F19,'FCDB 2017 (full)'!$C:$C,'FCDB 2017 (full)'!$BU:$BU)*$H19/100,0)</f>
        <v>0</v>
      </c>
      <c r="CE19" s="16">
        <f ca="1">IFERROR(_xlfn.XLOOKUP($F19,'FCDB 2017 (full)'!$C:$C,'FCDB 2017 (full)'!$BV:$BV)*$H19/100,0)</f>
        <v>0</v>
      </c>
      <c r="CF19" s="16">
        <f ca="1">IFERROR(_xlfn.XLOOKUP($F19,'FCDB 2017 (full)'!$C:$C,'FCDB 2017 (full)'!$BW:$BW)*$H19/100,0)</f>
        <v>0</v>
      </c>
      <c r="CG19" s="16">
        <f ca="1">IFERROR(_xlfn.XLOOKUP($F19,'FCDB 2017 (full)'!$C:$C,'FCDB 2017 (full)'!$BX:$BX)*$H19/100,0)</f>
        <v>0</v>
      </c>
      <c r="CH19" s="16">
        <f ca="1">IFERROR(_xlfn.XLOOKUP($F19,'FCDB 2017 (full)'!$C:$C,'FCDB 2017 (full)'!$BY:$BY)*$H19/100,0)</f>
        <v>0</v>
      </c>
      <c r="CI19" s="16">
        <f ca="1">IFERROR(_xlfn.XLOOKUP($F19,'FCDB 2017 (full)'!$C:$C,'FCDB 2017 (full)'!$BZ:$BZ)*$H19/100,0)</f>
        <v>0</v>
      </c>
      <c r="CJ19" s="16">
        <f ca="1">IFERROR(_xlfn.XLOOKUP($F19,'FCDB 2017 (full)'!$C:$C,'FCDB 2017 (full)'!$CA:$CA)*$H19/100,0)</f>
        <v>0</v>
      </c>
      <c r="CK19" s="16">
        <f ca="1">IFERROR(_xlfn.XLOOKUP($F19,'FCDB 2017 (full)'!$C:$C,'FCDB 2017 (full)'!$CB:$CB)*$H19/100,0)</f>
        <v>0</v>
      </c>
      <c r="CL19" s="16">
        <f ca="1">IFERROR(_xlfn.XLOOKUP($F19,'FCDB 2017 (full)'!$C:$C,'FCDB 2017 (full)'!$CC:$CC)*$H19/100,0)</f>
        <v>0</v>
      </c>
      <c r="CM19" s="16">
        <f ca="1">IFERROR(_xlfn.XLOOKUP($F19,'FCDB 2017 (full)'!$C:$C,'FCDB 2017 (full)'!$CD:$CD)*$H19/100,0)</f>
        <v>0</v>
      </c>
      <c r="CN19" s="16">
        <f ca="1">IFERROR(_xlfn.XLOOKUP($F19,'FCDB 2017 (full)'!$C:$C,'FCDB 2017 (full)'!$CE:$CE)*$H19/100,0)</f>
        <v>0</v>
      </c>
      <c r="CO19" s="16">
        <f ca="1">IFERROR(_xlfn.XLOOKUP($F19,'FCDB 2017 (full)'!$C:$C,'FCDB 2017 (full)'!$CF:$CF)*$H19/100,0)</f>
        <v>0</v>
      </c>
      <c r="CP19" s="16">
        <f ca="1">IFERROR(_xlfn.XLOOKUP($F19,'FCDB 2017 (full)'!$C:$C,'FCDB 2017 (full)'!$CG:$CG)*$H19/100,0)</f>
        <v>0</v>
      </c>
      <c r="CQ19" s="16">
        <f ca="1">IFERROR(_xlfn.XLOOKUP($F19,'FCDB 2017 (full)'!$C:$C,'FCDB 2017 (full)'!$CH:$CH)*$H19/100,0)</f>
        <v>0</v>
      </c>
      <c r="DA19" s="72" t="s">
        <v>948</v>
      </c>
    </row>
    <row r="20" spans="5:105">
      <c r="E20" s="41"/>
      <c r="F20" s="11" t="str">
        <f>IFERROR(VLOOKUP($D$9,$D:$AE,7,0),0)</f>
        <v>Cải xanh</v>
      </c>
      <c r="G20" s="7" t="e" cm="1">
        <f t="array" aca="1" ref="G20" ca="1">IF(F20=0,0,IF(_xlfn.XLOOKUP(F20,$E$9:$AE$9,$E$10:$AE$10)=0,"Nhập ĐV/TV",_xlfn.XLOOKUP(F20,$E$9:$AE$9,$E$10:$AE$10)))</f>
        <v>#NAME?</v>
      </c>
      <c r="H20" s="8" cm="1">
        <f t="array" ref="H20">IFERROR(INDEX($E$11:$AE$11,MATCH(F20,$E$9:$AE$9,0)),0)</f>
        <v>40</v>
      </c>
      <c r="I20" s="9">
        <f ca="1">IFERROR(_xlfn.XLOOKUP($F20,'FCDB 2017 (full)'!$C:$C,'FCDB 2017 (full)'!$E:$E),0)</f>
        <v>0</v>
      </c>
      <c r="J20" s="10">
        <f t="shared" ca="1" si="1"/>
        <v>0</v>
      </c>
      <c r="K20" s="9">
        <f ca="1">IFERROR(_xlfn.XLOOKUP($F20,'FCDB 2017 (full)'!$C:$C,'FCDB 2017 (full)'!$G:$G),0)</f>
        <v>0</v>
      </c>
      <c r="L20" s="13" t="e">
        <f t="shared" ca="1" si="2"/>
        <v>#NAME?</v>
      </c>
      <c r="M20" s="13" t="e">
        <f t="shared" ca="1" si="3"/>
        <v>#NAME?</v>
      </c>
      <c r="N20" s="9">
        <f ca="1">IFERROR(_xlfn.XLOOKUP($F20,'FCDB 2017 (full)'!$C:$C,'FCDB 2017 (full)'!$H:$H),0)</f>
        <v>0</v>
      </c>
      <c r="O20" s="14" t="e">
        <f t="shared" ca="1" si="4"/>
        <v>#NAME?</v>
      </c>
      <c r="P20" s="14" t="e">
        <f t="shared" ca="1" si="5"/>
        <v>#NAME?</v>
      </c>
      <c r="Q20" s="9">
        <f ca="1">IFERROR(_xlfn.XLOOKUP($F20,'FCDB 2017 (full)'!$C:$C,'FCDB 2017 (full)'!$I:$I),0)</f>
        <v>0</v>
      </c>
      <c r="R20" s="15">
        <f t="shared" ca="1" si="6"/>
        <v>0</v>
      </c>
      <c r="S20" s="16">
        <f ca="1">IFERROR(_xlfn.XLOOKUP($F20,'FCDB 2017 (full)'!$C:$C,'FCDB 2017 (full)'!$J:$J)*$H20/100,0)</f>
        <v>0</v>
      </c>
      <c r="T20" s="16">
        <f ca="1">IFERROR(_xlfn.XLOOKUP($F20,'FCDB 2017 (full)'!$C:$C,'FCDB 2017 (full)'!$K:$K)*$H20/100,0)</f>
        <v>0</v>
      </c>
      <c r="U20" s="16">
        <f ca="1">IFERROR(_xlfn.XLOOKUP($F20,'FCDB 2017 (full)'!$C:$C,'FCDB 2017 (full)'!$L:$L)*$H20/100,0)</f>
        <v>0</v>
      </c>
      <c r="V20" s="16">
        <f ca="1">IFERROR(_xlfn.XLOOKUP($F20,'FCDB 2017 (full)'!$C:$C,'FCDB 2017 (full)'!$M:$M)*$H20/100,0)</f>
        <v>0</v>
      </c>
      <c r="W20" s="16">
        <f ca="1">IFERROR(_xlfn.XLOOKUP($F20,'FCDB 2017 (full)'!$C:$C,'FCDB 2017 (full)'!$N:$N)*$H20/100,0)</f>
        <v>0</v>
      </c>
      <c r="X20" s="16">
        <f ca="1">IFERROR(_xlfn.XLOOKUP($F20,'FCDB 2017 (full)'!$C:$C,'FCDB 2017 (full)'!$O:$O)*$H20/100,0)</f>
        <v>0</v>
      </c>
      <c r="Y20" s="16">
        <f ca="1">IFERROR(_xlfn.XLOOKUP($F20,'FCDB 2017 (full)'!$C:$C,'FCDB 2017 (full)'!$P:$P)*$H20/100,0)</f>
        <v>0</v>
      </c>
      <c r="Z20" s="16">
        <f ca="1">IFERROR(_xlfn.XLOOKUP($F20,'FCDB 2017 (full)'!$C:$C,'FCDB 2017 (full)'!$Q:$Q)*$H20/100,0)</f>
        <v>0</v>
      </c>
      <c r="AA20" s="16">
        <f ca="1">IFERROR(_xlfn.XLOOKUP($F20,'FCDB 2017 (full)'!$C:$C,'FCDB 2017 (full)'!$R:$R)*$H20/100,0)</f>
        <v>0</v>
      </c>
      <c r="AB20" s="16">
        <f ca="1">IFERROR(_xlfn.XLOOKUP($F20,'FCDB 2017 (full)'!$C:$C,'FCDB 2017 (full)'!$S:$S)*$H20/100,0)</f>
        <v>0</v>
      </c>
      <c r="AC20" s="16">
        <f ca="1">IFERROR(_xlfn.XLOOKUP($F20,'FCDB 2017 (full)'!$C:$C,'FCDB 2017 (full)'!$T:$T)*$H20/100,0)</f>
        <v>0</v>
      </c>
      <c r="AD20" s="16">
        <f ca="1">IFERROR(_xlfn.XLOOKUP($F20,'FCDB 2017 (full)'!$C:$C,'FCDB 2017 (full)'!$U:$U)*$H20/100,0)</f>
        <v>0</v>
      </c>
      <c r="AE20" s="16">
        <f ca="1">IFERROR(_xlfn.XLOOKUP($F20,'FCDB 2017 (full)'!$C:$C,'FCDB 2017 (full)'!$V:$V)*$H20/100,0)</f>
        <v>0</v>
      </c>
      <c r="AF20" s="16">
        <f ca="1">IFERROR(_xlfn.XLOOKUP($F20,'FCDB 2017 (full)'!$C:$C,'FCDB 2017 (full)'!$W:$W)*$H20/100,0)</f>
        <v>0</v>
      </c>
      <c r="AG20" s="16">
        <f ca="1">IFERROR(_xlfn.XLOOKUP($F20,'FCDB 2017 (full)'!$C:$C,'FCDB 2017 (full)'!$X:$X)*$H20/100,0)</f>
        <v>0</v>
      </c>
      <c r="AH20" s="16">
        <f ca="1">IFERROR(_xlfn.XLOOKUP($F20,'FCDB 2017 (full)'!$C:$C,'FCDB 2017 (full)'!$Y:$Y)*$H20/100,0)</f>
        <v>0</v>
      </c>
      <c r="AI20" s="16">
        <f ca="1">IFERROR(_xlfn.XLOOKUP($F20,'FCDB 2017 (full)'!$C:$C,'FCDB 2017 (full)'!$Z:$Z)*$H20/100,0)</f>
        <v>0</v>
      </c>
      <c r="AJ20" s="16">
        <f ca="1">IFERROR(_xlfn.XLOOKUP($F20,'FCDB 2017 (full)'!$C:$C,'FCDB 2017 (full)'!$AA:$AA)*$H20/100,0)</f>
        <v>0</v>
      </c>
      <c r="AK20" s="16">
        <f ca="1">IFERROR(_xlfn.XLOOKUP($F20,'FCDB 2017 (full)'!$C:$C,'FCDB 2017 (full)'!$AB:$AB)*$H20/100,0)</f>
        <v>0</v>
      </c>
      <c r="AL20" s="16">
        <f ca="1">IFERROR(_xlfn.XLOOKUP($F20,'FCDB 2017 (full)'!$C:$C,'FCDB 2017 (full)'!$AC:$AC)*$H20/100,0)</f>
        <v>0</v>
      </c>
      <c r="AM20" s="16">
        <f ca="1">IFERROR(_xlfn.XLOOKUP($F20,'FCDB 2017 (full)'!$C:$C,'FCDB 2017 (full)'!$AD:$AD)*$H20/100,0)</f>
        <v>0</v>
      </c>
      <c r="AN20" s="16">
        <f ca="1">IFERROR(_xlfn.XLOOKUP($F20,'FCDB 2017 (full)'!$C:$C,'FCDB 2017 (full)'!$AE:$AE)*$H20/100,0)</f>
        <v>0</v>
      </c>
      <c r="AO20" s="16">
        <f ca="1">IFERROR(_xlfn.XLOOKUP($F20,'FCDB 2017 (full)'!$C:$C,'FCDB 2017 (full)'!$AF:$AF)*$H20/100,0)</f>
        <v>0</v>
      </c>
      <c r="AP20" s="16">
        <f ca="1">IFERROR(_xlfn.XLOOKUP($F20,'FCDB 2017 (full)'!$C:$C,'FCDB 2017 (full)'!$AG:$AG)*$H20/100,0)</f>
        <v>0</v>
      </c>
      <c r="AQ20" s="16">
        <f ca="1">IFERROR(_xlfn.XLOOKUP($F20,'FCDB 2017 (full)'!$C:$C,'FCDB 2017 (full)'!$AH:$AH)*$H20/100,0)</f>
        <v>0</v>
      </c>
      <c r="AR20" s="16">
        <f ca="1">IFERROR(_xlfn.XLOOKUP($F20,'FCDB 2017 (full)'!$C:$C,'FCDB 2017 (full)'!$AI:$AI)*$H20/100,0)</f>
        <v>0</v>
      </c>
      <c r="AS20" s="16">
        <f ca="1">IFERROR(_xlfn.XLOOKUP($F20,'FCDB 2017 (full)'!$C:$C,'FCDB 2017 (full)'!$AJ:$AJ)*$H20/100,0)</f>
        <v>0</v>
      </c>
      <c r="AT20" s="16">
        <f ca="1">IFERROR(_xlfn.XLOOKUP($F20,'FCDB 2017 (full)'!$C:$C,'FCDB 2017 (full)'!$AK:$AK)*$H20/100,0)</f>
        <v>0</v>
      </c>
      <c r="AU20" s="16">
        <f ca="1">IFERROR(_xlfn.XLOOKUP($F20,'FCDB 2017 (full)'!$C:$C,'FCDB 2017 (full)'!$AK:$AK)*$H20/100,0)</f>
        <v>0</v>
      </c>
      <c r="AV20" s="16">
        <f ca="1">IFERROR(_xlfn.XLOOKUP($F20,'FCDB 2017 (full)'!$C:$C,'FCDB 2017 (full)'!$AM:$AM)*$H20/100,0)</f>
        <v>0</v>
      </c>
      <c r="AW20" s="16">
        <f ca="1">IFERROR(_xlfn.XLOOKUP($F20,'FCDB 2017 (full)'!$C:$C,'FCDB 2017 (full)'!$AN:$AN)*$H20/100,0)</f>
        <v>0</v>
      </c>
      <c r="AX20" s="16">
        <f ca="1">IFERROR(_xlfn.XLOOKUP($F20,'FCDB 2017 (full)'!$C:$C,'FCDB 2017 (full)'!$AO:$AO)*$H20/100,0)</f>
        <v>0</v>
      </c>
      <c r="AY20" s="16">
        <f ca="1">IFERROR(_xlfn.XLOOKUP($F20,'FCDB 2017 (full)'!$C:$C,'FCDB 2017 (full)'!$AP:$AP)*$H20/100,0)</f>
        <v>0</v>
      </c>
      <c r="AZ20" s="16">
        <f ca="1">IFERROR(_xlfn.XLOOKUP($F20,'FCDB 2017 (full)'!$C:$C,'FCDB 2017 (full)'!$AQ:$AQ)*$H20/100,0)</f>
        <v>0</v>
      </c>
      <c r="BA20" s="16">
        <f ca="1">IFERROR(_xlfn.XLOOKUP($F20,'FCDB 2017 (full)'!$C:$C,'FCDB 2017 (full)'!$AR:$AR)*$H20/100,0)</f>
        <v>0</v>
      </c>
      <c r="BB20" s="16">
        <f ca="1">IFERROR(_xlfn.XLOOKUP($F20,'FCDB 2017 (full)'!$C:$C,'FCDB 2017 (full)'!$AS:$AS)*$H20/100,0)</f>
        <v>0</v>
      </c>
      <c r="BC20" s="16">
        <f ca="1">IFERROR(_xlfn.XLOOKUP($F20,'FCDB 2017 (full)'!$C:$C,'FCDB 2017 (full)'!$AT:$AT)*$H20/100,0)</f>
        <v>0</v>
      </c>
      <c r="BD20" s="16">
        <f ca="1">IFERROR(_xlfn.XLOOKUP($F20,'FCDB 2017 (full)'!$C:$C,'FCDB 2017 (full)'!$AU:$AU)*$H20/100,0)</f>
        <v>0</v>
      </c>
      <c r="BE20" s="16">
        <f ca="1">IFERROR(_xlfn.XLOOKUP($F20,'FCDB 2017 (full)'!$C:$C,'FCDB 2017 (full)'!$AV:$AV)*$H20/100,0)</f>
        <v>0</v>
      </c>
      <c r="BF20" s="16">
        <f ca="1">IFERROR(_xlfn.XLOOKUP($F20,'FCDB 2017 (full)'!$C:$C,'FCDB 2017 (full)'!$AW:$AW)*$H20/100,0)</f>
        <v>0</v>
      </c>
      <c r="BG20" s="16">
        <f ca="1">IFERROR(_xlfn.XLOOKUP($F20,'FCDB 2017 (full)'!$C:$C,'FCDB 2017 (full)'!$AX:$AX)*$H20/100,0)</f>
        <v>0</v>
      </c>
      <c r="BH20" s="16">
        <f ca="1">IFERROR(_xlfn.XLOOKUP($F20,'FCDB 2017 (full)'!$C:$C,'FCDB 2017 (full)'!$AY:$AY)*$H20/100,0)</f>
        <v>0</v>
      </c>
      <c r="BI20" s="16">
        <f ca="1">IFERROR(_xlfn.XLOOKUP($F20,'FCDB 2017 (full)'!$C:$C,'FCDB 2017 (full)'!$AZ:$AZ)*$H20/100,0)</f>
        <v>0</v>
      </c>
      <c r="BJ20" s="16">
        <f ca="1">IFERROR(_xlfn.XLOOKUP($F20,'FCDB 2017 (full)'!$C:$C,'FCDB 2017 (full)'!$BA:$BA)*$H20/100,0)</f>
        <v>0</v>
      </c>
      <c r="BK20" s="16">
        <f ca="1">IFERROR(_xlfn.XLOOKUP($F20,'FCDB 2017 (full)'!$C:$C,'FCDB 2017 (full)'!$BB:$BB)*$H20/100,0)</f>
        <v>0</v>
      </c>
      <c r="BL20" s="16">
        <f ca="1">IFERROR(_xlfn.XLOOKUP($F20,'FCDB 2017 (full)'!$C:$C,'FCDB 2017 (full)'!$BC:$BC)*$H20/100,0)</f>
        <v>0</v>
      </c>
      <c r="BM20" s="16">
        <f ca="1">IFERROR(_xlfn.XLOOKUP($F20,'FCDB 2017 (full)'!$C:$C,'FCDB 2017 (full)'!$BD:$BD)*$H20/100,0)</f>
        <v>0</v>
      </c>
      <c r="BN20" s="16">
        <f ca="1">IFERROR(_xlfn.XLOOKUP($F20,'FCDB 2017 (full)'!$C:$C,'FCDB 2017 (full)'!$BE:$BE)*$H20/100,0)</f>
        <v>0</v>
      </c>
      <c r="BO20" s="16">
        <f ca="1">IFERROR(_xlfn.XLOOKUP($F20,'FCDB 2017 (full)'!$C:$C,'FCDB 2017 (full)'!$BF:$BF)*$H20/100,0)</f>
        <v>0</v>
      </c>
      <c r="BP20" s="16">
        <f ca="1">IFERROR(_xlfn.XLOOKUP($F20,'FCDB 2017 (full)'!$C:$C,'FCDB 2017 (full)'!$BG:$BG)*$H20/100,0)</f>
        <v>0</v>
      </c>
      <c r="BQ20" s="16">
        <f ca="1">IFERROR(_xlfn.XLOOKUP($F20,'FCDB 2017 (full)'!$C:$C,'FCDB 2017 (full)'!$BH:$BH)*$H20/100,0)</f>
        <v>0</v>
      </c>
      <c r="BR20" s="16">
        <f ca="1">IFERROR(_xlfn.XLOOKUP($F20,'FCDB 2017 (full)'!$C:$C,'FCDB 2017 (full)'!$BI:$BI)*$H20/100,0)</f>
        <v>0</v>
      </c>
      <c r="BS20" s="16">
        <f ca="1">IFERROR(_xlfn.XLOOKUP($F20,'FCDB 2017 (full)'!$C:$C,'FCDB 2017 (full)'!$BJ:$BJ)*$H20/100,0)</f>
        <v>0</v>
      </c>
      <c r="BT20" s="16">
        <f ca="1">IFERROR(_xlfn.XLOOKUP($F20,'FCDB 2017 (full)'!$C:$C,'FCDB 2017 (full)'!$BK:$BK)*$H20/100,0)</f>
        <v>0</v>
      </c>
      <c r="BU20" s="16">
        <f ca="1">IFERROR(_xlfn.XLOOKUP($F20,'FCDB 2017 (full)'!$C:$C,'FCDB 2017 (full)'!$BL:$BL)*$H20/100,0)</f>
        <v>0</v>
      </c>
      <c r="BV20" s="16">
        <f ca="1">IFERROR(_xlfn.XLOOKUP($F20,'FCDB 2017 (full)'!$C:$C,'FCDB 2017 (full)'!$BM:$BM)*$H20/100,0)</f>
        <v>0</v>
      </c>
      <c r="BW20" s="16">
        <f ca="1">IFERROR(_xlfn.XLOOKUP($F20,'FCDB 2017 (full)'!$C:$C,'FCDB 2017 (full)'!$BN:$BN)*$H20/100,0)</f>
        <v>0</v>
      </c>
      <c r="BX20" s="16">
        <f ca="1">IFERROR(_xlfn.XLOOKUP($F20,'FCDB 2017 (full)'!$C:$C,'FCDB 2017 (full)'!$BO:$BO)*$H20/100,0)</f>
        <v>0</v>
      </c>
      <c r="BY20" s="16">
        <f ca="1">IFERROR(_xlfn.XLOOKUP($F20,'FCDB 2017 (full)'!$C:$C,'FCDB 2017 (full)'!$BP:$BP)*$H20/100,0)</f>
        <v>0</v>
      </c>
      <c r="BZ20" s="16">
        <f ca="1">IFERROR(_xlfn.XLOOKUP($F20,'FCDB 2017 (full)'!$C:$C,'FCDB 2017 (full)'!$BQ:$BQ)*$H20/100,0)</f>
        <v>0</v>
      </c>
      <c r="CA20" s="16">
        <f ca="1">IFERROR(_xlfn.XLOOKUP($F20,'FCDB 2017 (full)'!$C:$C,'FCDB 2017 (full)'!$BR:$BR)*$H20/100,0)</f>
        <v>0</v>
      </c>
      <c r="CB20" s="16">
        <f ca="1">IFERROR(_xlfn.XLOOKUP($F20,'FCDB 2017 (full)'!$C:$C,'FCDB 2017 (full)'!$BS:$BS)*$H20/100,0)</f>
        <v>0</v>
      </c>
      <c r="CC20" s="16">
        <f ca="1">IFERROR(_xlfn.XLOOKUP($F20,'FCDB 2017 (full)'!$C:$C,'FCDB 2017 (full)'!$BT:$BT)*$H20/100,0)</f>
        <v>0</v>
      </c>
      <c r="CD20" s="16">
        <f ca="1">IFERROR(_xlfn.XLOOKUP($F20,'FCDB 2017 (full)'!$C:$C,'FCDB 2017 (full)'!$BU:$BU)*$H20/100,0)</f>
        <v>0</v>
      </c>
      <c r="CE20" s="16">
        <f ca="1">IFERROR(_xlfn.XLOOKUP($F20,'FCDB 2017 (full)'!$C:$C,'FCDB 2017 (full)'!$BV:$BV)*$H20/100,0)</f>
        <v>0</v>
      </c>
      <c r="CF20" s="16">
        <f ca="1">IFERROR(_xlfn.XLOOKUP($F20,'FCDB 2017 (full)'!$C:$C,'FCDB 2017 (full)'!$BW:$BW)*$H20/100,0)</f>
        <v>0</v>
      </c>
      <c r="CG20" s="16">
        <f ca="1">IFERROR(_xlfn.XLOOKUP($F20,'FCDB 2017 (full)'!$C:$C,'FCDB 2017 (full)'!$BX:$BX)*$H20/100,0)</f>
        <v>0</v>
      </c>
      <c r="CH20" s="16">
        <f ca="1">IFERROR(_xlfn.XLOOKUP($F20,'FCDB 2017 (full)'!$C:$C,'FCDB 2017 (full)'!$BY:$BY)*$H20/100,0)</f>
        <v>0</v>
      </c>
      <c r="CI20" s="16">
        <f ca="1">IFERROR(_xlfn.XLOOKUP($F20,'FCDB 2017 (full)'!$C:$C,'FCDB 2017 (full)'!$BZ:$BZ)*$H20/100,0)</f>
        <v>0</v>
      </c>
      <c r="CJ20" s="16">
        <f ca="1">IFERROR(_xlfn.XLOOKUP($F20,'FCDB 2017 (full)'!$C:$C,'FCDB 2017 (full)'!$CA:$CA)*$H20/100,0)</f>
        <v>0</v>
      </c>
      <c r="CK20" s="16">
        <f ca="1">IFERROR(_xlfn.XLOOKUP($F20,'FCDB 2017 (full)'!$C:$C,'FCDB 2017 (full)'!$CB:$CB)*$H20/100,0)</f>
        <v>0</v>
      </c>
      <c r="CL20" s="16">
        <f ca="1">IFERROR(_xlfn.XLOOKUP($F20,'FCDB 2017 (full)'!$C:$C,'FCDB 2017 (full)'!$CC:$CC)*$H20/100,0)</f>
        <v>0</v>
      </c>
      <c r="CM20" s="16">
        <f ca="1">IFERROR(_xlfn.XLOOKUP($F20,'FCDB 2017 (full)'!$C:$C,'FCDB 2017 (full)'!$CD:$CD)*$H20/100,0)</f>
        <v>0</v>
      </c>
      <c r="CN20" s="16">
        <f ca="1">IFERROR(_xlfn.XLOOKUP($F20,'FCDB 2017 (full)'!$C:$C,'FCDB 2017 (full)'!$CE:$CE)*$H20/100,0)</f>
        <v>0</v>
      </c>
      <c r="CO20" s="16">
        <f ca="1">IFERROR(_xlfn.XLOOKUP($F20,'FCDB 2017 (full)'!$C:$C,'FCDB 2017 (full)'!$CF:$CF)*$H20/100,0)</f>
        <v>0</v>
      </c>
      <c r="CP20" s="16">
        <f ca="1">IFERROR(_xlfn.XLOOKUP($F20,'FCDB 2017 (full)'!$C:$C,'FCDB 2017 (full)'!$CG:$CG)*$H20/100,0)</f>
        <v>0</v>
      </c>
      <c r="CQ20" s="16">
        <f ca="1">IFERROR(_xlfn.XLOOKUP($F20,'FCDB 2017 (full)'!$C:$C,'FCDB 2017 (full)'!$CH:$CH)*$H20/100,0)</f>
        <v>0</v>
      </c>
      <c r="DA20" s="73" t="s">
        <v>948</v>
      </c>
    </row>
    <row r="21" spans="5:105" customFormat="1" ht="16.8">
      <c r="F21" s="11" t="str">
        <f>IFERROR(VLOOKUP($D$9,$D:$AE,9,0),0)</f>
        <v>Thìa là</v>
      </c>
      <c r="G21" s="7" t="e" cm="1">
        <f t="array" aca="1" ref="G21" ca="1">IF(F21=0,0,IF(_xlfn.XLOOKUP(F21,$E$9:$AE$9,$E$10:$AE$10)=0,"Nhập ĐV/TV",_xlfn.XLOOKUP(F21,$E$9:$AE$9,$E$10:$AE$10)))</f>
        <v>#NAME?</v>
      </c>
      <c r="H21" s="8" cm="1">
        <f t="array" ref="H21">IFERROR(INDEX($E$11:$AE$11,MATCH(F21,$E$9:$AE$9,0)),0)</f>
        <v>10</v>
      </c>
      <c r="I21" s="9">
        <f ca="1">IFERROR(_xlfn.XLOOKUP($F21,'FCDB 2017 (full)'!$C:$C,'FCDB 2017 (full)'!$E:$E),0)</f>
        <v>0</v>
      </c>
      <c r="J21" s="10">
        <f t="shared" ca="1" si="1"/>
        <v>0</v>
      </c>
      <c r="K21" s="9">
        <f ca="1">IFERROR(_xlfn.XLOOKUP($F21,'FCDB 2017 (full)'!$C:$C,'FCDB 2017 (full)'!$G:$G),0)</f>
        <v>0</v>
      </c>
      <c r="L21" s="13" t="e">
        <f t="shared" ca="1" si="2"/>
        <v>#NAME?</v>
      </c>
      <c r="M21" s="13" t="e">
        <f t="shared" ca="1" si="3"/>
        <v>#NAME?</v>
      </c>
      <c r="N21" s="9">
        <f ca="1">IFERROR(_xlfn.XLOOKUP($F21,'FCDB 2017 (full)'!$C:$C,'FCDB 2017 (full)'!$H:$H),0)</f>
        <v>0</v>
      </c>
      <c r="O21" s="14" t="e">
        <f t="shared" ca="1" si="4"/>
        <v>#NAME?</v>
      </c>
      <c r="P21" s="14" t="e">
        <f t="shared" ca="1" si="5"/>
        <v>#NAME?</v>
      </c>
      <c r="Q21" s="9">
        <f ca="1">IFERROR(_xlfn.XLOOKUP($F21,'FCDB 2017 (full)'!$C:$C,'FCDB 2017 (full)'!$I:$I),0)</f>
        <v>0</v>
      </c>
      <c r="R21" s="15">
        <f t="shared" ca="1" si="6"/>
        <v>0</v>
      </c>
      <c r="S21" s="16">
        <f ca="1">IFERROR(_xlfn.XLOOKUP($F21,'FCDB 2017 (full)'!$C:$C,'FCDB 2017 (full)'!$J:$J)*$H21/100,0)</f>
        <v>0</v>
      </c>
      <c r="T21" s="16">
        <f ca="1">IFERROR(_xlfn.XLOOKUP($F21,'FCDB 2017 (full)'!$C:$C,'FCDB 2017 (full)'!$K:$K)*$H21/100,0)</f>
        <v>0</v>
      </c>
      <c r="U21" s="16">
        <f ca="1">IFERROR(_xlfn.XLOOKUP($F21,'FCDB 2017 (full)'!$C:$C,'FCDB 2017 (full)'!$L:$L)*$H21/100,0)</f>
        <v>0</v>
      </c>
      <c r="V21" s="16">
        <f ca="1">IFERROR(_xlfn.XLOOKUP($F21,'FCDB 2017 (full)'!$C:$C,'FCDB 2017 (full)'!$M:$M)*$H21/100,0)</f>
        <v>0</v>
      </c>
      <c r="W21" s="16">
        <f ca="1">IFERROR(_xlfn.XLOOKUP($F21,'FCDB 2017 (full)'!$C:$C,'FCDB 2017 (full)'!$N:$N)*$H21/100,0)</f>
        <v>0</v>
      </c>
      <c r="X21" s="16">
        <f ca="1">IFERROR(_xlfn.XLOOKUP($F21,'FCDB 2017 (full)'!$C:$C,'FCDB 2017 (full)'!$O:$O)*$H21/100,0)</f>
        <v>0</v>
      </c>
      <c r="Y21" s="16">
        <f ca="1">IFERROR(_xlfn.XLOOKUP($F21,'FCDB 2017 (full)'!$C:$C,'FCDB 2017 (full)'!$P:$P)*$H21/100,0)</f>
        <v>0</v>
      </c>
      <c r="Z21" s="16">
        <f ca="1">IFERROR(_xlfn.XLOOKUP($F21,'FCDB 2017 (full)'!$C:$C,'FCDB 2017 (full)'!$Q:$Q)*$H21/100,0)</f>
        <v>0</v>
      </c>
      <c r="AA21" s="16">
        <f ca="1">IFERROR(_xlfn.XLOOKUP($F21,'FCDB 2017 (full)'!$C:$C,'FCDB 2017 (full)'!$R:$R)*$H21/100,0)</f>
        <v>0</v>
      </c>
      <c r="AB21" s="16">
        <f ca="1">IFERROR(_xlfn.XLOOKUP($F21,'FCDB 2017 (full)'!$C:$C,'FCDB 2017 (full)'!$S:$S)*$H21/100,0)</f>
        <v>0</v>
      </c>
      <c r="AC21" s="16">
        <f ca="1">IFERROR(_xlfn.XLOOKUP($F21,'FCDB 2017 (full)'!$C:$C,'FCDB 2017 (full)'!$T:$T)*$H21/100,0)</f>
        <v>0</v>
      </c>
      <c r="AD21" s="16">
        <f ca="1">IFERROR(_xlfn.XLOOKUP($F21,'FCDB 2017 (full)'!$C:$C,'FCDB 2017 (full)'!$U:$U)*$H21/100,0)</f>
        <v>0</v>
      </c>
      <c r="AE21" s="16">
        <f ca="1">IFERROR(_xlfn.XLOOKUP($F21,'FCDB 2017 (full)'!$C:$C,'FCDB 2017 (full)'!$V:$V)*$H21/100,0)</f>
        <v>0</v>
      </c>
      <c r="AF21" s="16">
        <f ca="1">IFERROR(_xlfn.XLOOKUP($F21,'FCDB 2017 (full)'!$C:$C,'FCDB 2017 (full)'!$W:$W)*$H21/100,0)</f>
        <v>0</v>
      </c>
      <c r="AG21" s="16">
        <f ca="1">IFERROR(_xlfn.XLOOKUP($F21,'FCDB 2017 (full)'!$C:$C,'FCDB 2017 (full)'!$X:$X)*$H21/100,0)</f>
        <v>0</v>
      </c>
      <c r="AH21" s="16">
        <f ca="1">IFERROR(_xlfn.XLOOKUP($F21,'FCDB 2017 (full)'!$C:$C,'FCDB 2017 (full)'!$Y:$Y)*$H21/100,0)</f>
        <v>0</v>
      </c>
      <c r="AI21" s="16">
        <f ca="1">IFERROR(_xlfn.XLOOKUP($F21,'FCDB 2017 (full)'!$C:$C,'FCDB 2017 (full)'!$Z:$Z)*$H21/100,0)</f>
        <v>0</v>
      </c>
      <c r="AJ21" s="16">
        <f ca="1">IFERROR(_xlfn.XLOOKUP($F21,'FCDB 2017 (full)'!$C:$C,'FCDB 2017 (full)'!$AA:$AA)*$H21/100,0)</f>
        <v>0</v>
      </c>
      <c r="AK21" s="16">
        <f ca="1">IFERROR(_xlfn.XLOOKUP($F21,'FCDB 2017 (full)'!$C:$C,'FCDB 2017 (full)'!$AB:$AB)*$H21/100,0)</f>
        <v>0</v>
      </c>
      <c r="AL21" s="16">
        <f ca="1">IFERROR(_xlfn.XLOOKUP($F21,'FCDB 2017 (full)'!$C:$C,'FCDB 2017 (full)'!$AC:$AC)*$H21/100,0)</f>
        <v>0</v>
      </c>
      <c r="AM21" s="16">
        <f ca="1">IFERROR(_xlfn.XLOOKUP($F21,'FCDB 2017 (full)'!$C:$C,'FCDB 2017 (full)'!$AD:$AD)*$H21/100,0)</f>
        <v>0</v>
      </c>
      <c r="AN21" s="16">
        <f ca="1">IFERROR(_xlfn.XLOOKUP($F21,'FCDB 2017 (full)'!$C:$C,'FCDB 2017 (full)'!$AE:$AE)*$H21/100,0)</f>
        <v>0</v>
      </c>
      <c r="AO21" s="16">
        <f ca="1">IFERROR(_xlfn.XLOOKUP($F21,'FCDB 2017 (full)'!$C:$C,'FCDB 2017 (full)'!$AF:$AF)*$H21/100,0)</f>
        <v>0</v>
      </c>
      <c r="AP21" s="16">
        <f ca="1">IFERROR(_xlfn.XLOOKUP($F21,'FCDB 2017 (full)'!$C:$C,'FCDB 2017 (full)'!$AG:$AG)*$H21/100,0)</f>
        <v>0</v>
      </c>
      <c r="AQ21" s="16">
        <f ca="1">IFERROR(_xlfn.XLOOKUP($F21,'FCDB 2017 (full)'!$C:$C,'FCDB 2017 (full)'!$AH:$AH)*$H21/100,0)</f>
        <v>0</v>
      </c>
      <c r="AR21" s="16">
        <f ca="1">IFERROR(_xlfn.XLOOKUP($F21,'FCDB 2017 (full)'!$C:$C,'FCDB 2017 (full)'!$AI:$AI)*$H21/100,0)</f>
        <v>0</v>
      </c>
      <c r="AS21" s="16">
        <f ca="1">IFERROR(_xlfn.XLOOKUP($F21,'FCDB 2017 (full)'!$C:$C,'FCDB 2017 (full)'!$AJ:$AJ)*$H21/100,0)</f>
        <v>0</v>
      </c>
      <c r="AT21" s="16">
        <f ca="1">IFERROR(_xlfn.XLOOKUP($F21,'FCDB 2017 (full)'!$C:$C,'FCDB 2017 (full)'!$AK:$AK)*$H21/100,0)</f>
        <v>0</v>
      </c>
      <c r="AU21" s="16">
        <f ca="1">IFERROR(_xlfn.XLOOKUP($F21,'FCDB 2017 (full)'!$C:$C,'FCDB 2017 (full)'!$AK:$AK)*$H21/100,0)</f>
        <v>0</v>
      </c>
      <c r="AV21" s="16">
        <f ca="1">IFERROR(_xlfn.XLOOKUP($F21,'FCDB 2017 (full)'!$C:$C,'FCDB 2017 (full)'!$AM:$AM)*$H21/100,0)</f>
        <v>0</v>
      </c>
      <c r="AW21" s="16">
        <f ca="1">IFERROR(_xlfn.XLOOKUP($F21,'FCDB 2017 (full)'!$C:$C,'FCDB 2017 (full)'!$AN:$AN)*$H21/100,0)</f>
        <v>0</v>
      </c>
      <c r="AX21" s="16">
        <f ca="1">IFERROR(_xlfn.XLOOKUP($F21,'FCDB 2017 (full)'!$C:$C,'FCDB 2017 (full)'!$AO:$AO)*$H21/100,0)</f>
        <v>0</v>
      </c>
      <c r="AY21" s="16">
        <f ca="1">IFERROR(_xlfn.XLOOKUP($F21,'FCDB 2017 (full)'!$C:$C,'FCDB 2017 (full)'!$AP:$AP)*$H21/100,0)</f>
        <v>0</v>
      </c>
      <c r="AZ21" s="16">
        <f ca="1">IFERROR(_xlfn.XLOOKUP($F21,'FCDB 2017 (full)'!$C:$C,'FCDB 2017 (full)'!$AQ:$AQ)*$H21/100,0)</f>
        <v>0</v>
      </c>
      <c r="BA21" s="16">
        <f ca="1">IFERROR(_xlfn.XLOOKUP($F21,'FCDB 2017 (full)'!$C:$C,'FCDB 2017 (full)'!$AR:$AR)*$H21/100,0)</f>
        <v>0</v>
      </c>
      <c r="BB21" s="16">
        <f ca="1">IFERROR(_xlfn.XLOOKUP($F21,'FCDB 2017 (full)'!$C:$C,'FCDB 2017 (full)'!$AS:$AS)*$H21/100,0)</f>
        <v>0</v>
      </c>
      <c r="BC21" s="16">
        <f ca="1">IFERROR(_xlfn.XLOOKUP($F21,'FCDB 2017 (full)'!$C:$C,'FCDB 2017 (full)'!$AT:$AT)*$H21/100,0)</f>
        <v>0</v>
      </c>
      <c r="BD21" s="16">
        <f ca="1">IFERROR(_xlfn.XLOOKUP($F21,'FCDB 2017 (full)'!$C:$C,'FCDB 2017 (full)'!$AU:$AU)*$H21/100,0)</f>
        <v>0</v>
      </c>
      <c r="BE21" s="16">
        <f ca="1">IFERROR(_xlfn.XLOOKUP($F21,'FCDB 2017 (full)'!$C:$C,'FCDB 2017 (full)'!$AV:$AV)*$H21/100,0)</f>
        <v>0</v>
      </c>
      <c r="BF21" s="16">
        <f ca="1">IFERROR(_xlfn.XLOOKUP($F21,'FCDB 2017 (full)'!$C:$C,'FCDB 2017 (full)'!$AW:$AW)*$H21/100,0)</f>
        <v>0</v>
      </c>
      <c r="BG21" s="16">
        <f ca="1">IFERROR(_xlfn.XLOOKUP($F21,'FCDB 2017 (full)'!$C:$C,'FCDB 2017 (full)'!$AX:$AX)*$H21/100,0)</f>
        <v>0</v>
      </c>
      <c r="BH21" s="16">
        <f ca="1">IFERROR(_xlfn.XLOOKUP($F21,'FCDB 2017 (full)'!$C:$C,'FCDB 2017 (full)'!$AY:$AY)*$H21/100,0)</f>
        <v>0</v>
      </c>
      <c r="BI21" s="16">
        <f ca="1">IFERROR(_xlfn.XLOOKUP($F21,'FCDB 2017 (full)'!$C:$C,'FCDB 2017 (full)'!$AZ:$AZ)*$H21/100,0)</f>
        <v>0</v>
      </c>
      <c r="BJ21" s="16">
        <f ca="1">IFERROR(_xlfn.XLOOKUP($F21,'FCDB 2017 (full)'!$C:$C,'FCDB 2017 (full)'!$BA:$BA)*$H21/100,0)</f>
        <v>0</v>
      </c>
      <c r="BK21" s="16">
        <f ca="1">IFERROR(_xlfn.XLOOKUP($F21,'FCDB 2017 (full)'!$C:$C,'FCDB 2017 (full)'!$BB:$BB)*$H21/100,0)</f>
        <v>0</v>
      </c>
      <c r="BL21" s="16">
        <f ca="1">IFERROR(_xlfn.XLOOKUP($F21,'FCDB 2017 (full)'!$C:$C,'FCDB 2017 (full)'!$BC:$BC)*$H21/100,0)</f>
        <v>0</v>
      </c>
      <c r="BM21" s="16">
        <f ca="1">IFERROR(_xlfn.XLOOKUP($F21,'FCDB 2017 (full)'!$C:$C,'FCDB 2017 (full)'!$BD:$BD)*$H21/100,0)</f>
        <v>0</v>
      </c>
      <c r="BN21" s="16">
        <f ca="1">IFERROR(_xlfn.XLOOKUP($F21,'FCDB 2017 (full)'!$C:$C,'FCDB 2017 (full)'!$BE:$BE)*$H21/100,0)</f>
        <v>0</v>
      </c>
      <c r="BO21" s="16">
        <f ca="1">IFERROR(_xlfn.XLOOKUP($F21,'FCDB 2017 (full)'!$C:$C,'FCDB 2017 (full)'!$BF:$BF)*$H21/100,0)</f>
        <v>0</v>
      </c>
      <c r="BP21" s="16">
        <f ca="1">IFERROR(_xlfn.XLOOKUP($F21,'FCDB 2017 (full)'!$C:$C,'FCDB 2017 (full)'!$BG:$BG)*$H21/100,0)</f>
        <v>0</v>
      </c>
      <c r="BQ21" s="16">
        <f ca="1">IFERROR(_xlfn.XLOOKUP($F21,'FCDB 2017 (full)'!$C:$C,'FCDB 2017 (full)'!$BH:$BH)*$H21/100,0)</f>
        <v>0</v>
      </c>
      <c r="BR21" s="16">
        <f ca="1">IFERROR(_xlfn.XLOOKUP($F21,'FCDB 2017 (full)'!$C:$C,'FCDB 2017 (full)'!$BI:$BI)*$H21/100,0)</f>
        <v>0</v>
      </c>
      <c r="BS21" s="16">
        <f ca="1">IFERROR(_xlfn.XLOOKUP($F21,'FCDB 2017 (full)'!$C:$C,'FCDB 2017 (full)'!$BJ:$BJ)*$H21/100,0)</f>
        <v>0</v>
      </c>
      <c r="BT21" s="16">
        <f ca="1">IFERROR(_xlfn.XLOOKUP($F21,'FCDB 2017 (full)'!$C:$C,'FCDB 2017 (full)'!$BK:$BK)*$H21/100,0)</f>
        <v>0</v>
      </c>
      <c r="BU21" s="16">
        <f ca="1">IFERROR(_xlfn.XLOOKUP($F21,'FCDB 2017 (full)'!$C:$C,'FCDB 2017 (full)'!$BL:$BL)*$H21/100,0)</f>
        <v>0</v>
      </c>
      <c r="BV21" s="16">
        <f ca="1">IFERROR(_xlfn.XLOOKUP($F21,'FCDB 2017 (full)'!$C:$C,'FCDB 2017 (full)'!$BM:$BM)*$H21/100,0)</f>
        <v>0</v>
      </c>
      <c r="BW21" s="16">
        <f ca="1">IFERROR(_xlfn.XLOOKUP($F21,'FCDB 2017 (full)'!$C:$C,'FCDB 2017 (full)'!$BN:$BN)*$H21/100,0)</f>
        <v>0</v>
      </c>
      <c r="BX21" s="16">
        <f ca="1">IFERROR(_xlfn.XLOOKUP($F21,'FCDB 2017 (full)'!$C:$C,'FCDB 2017 (full)'!$BO:$BO)*$H21/100,0)</f>
        <v>0</v>
      </c>
      <c r="BY21" s="16">
        <f ca="1">IFERROR(_xlfn.XLOOKUP($F21,'FCDB 2017 (full)'!$C:$C,'FCDB 2017 (full)'!$BP:$BP)*$H21/100,0)</f>
        <v>0</v>
      </c>
      <c r="BZ21" s="16">
        <f ca="1">IFERROR(_xlfn.XLOOKUP($F21,'FCDB 2017 (full)'!$C:$C,'FCDB 2017 (full)'!$BQ:$BQ)*$H21/100,0)</f>
        <v>0</v>
      </c>
      <c r="CA21" s="16">
        <f ca="1">IFERROR(_xlfn.XLOOKUP($F21,'FCDB 2017 (full)'!$C:$C,'FCDB 2017 (full)'!$BR:$BR)*$H21/100,0)</f>
        <v>0</v>
      </c>
      <c r="CB21" s="16">
        <f ca="1">IFERROR(_xlfn.XLOOKUP($F21,'FCDB 2017 (full)'!$C:$C,'FCDB 2017 (full)'!$BS:$BS)*$H21/100,0)</f>
        <v>0</v>
      </c>
      <c r="CC21" s="16">
        <f ca="1">IFERROR(_xlfn.XLOOKUP($F21,'FCDB 2017 (full)'!$C:$C,'FCDB 2017 (full)'!$BT:$BT)*$H21/100,0)</f>
        <v>0</v>
      </c>
      <c r="CD21" s="16">
        <f ca="1">IFERROR(_xlfn.XLOOKUP($F21,'FCDB 2017 (full)'!$C:$C,'FCDB 2017 (full)'!$BU:$BU)*$H21/100,0)</f>
        <v>0</v>
      </c>
      <c r="CE21" s="16">
        <f ca="1">IFERROR(_xlfn.XLOOKUP($F21,'FCDB 2017 (full)'!$C:$C,'FCDB 2017 (full)'!$BV:$BV)*$H21/100,0)</f>
        <v>0</v>
      </c>
      <c r="CF21" s="16">
        <f ca="1">IFERROR(_xlfn.XLOOKUP($F21,'FCDB 2017 (full)'!$C:$C,'FCDB 2017 (full)'!$BW:$BW)*$H21/100,0)</f>
        <v>0</v>
      </c>
      <c r="CG21" s="16">
        <f ca="1">IFERROR(_xlfn.XLOOKUP($F21,'FCDB 2017 (full)'!$C:$C,'FCDB 2017 (full)'!$BX:$BX)*$H21/100,0)</f>
        <v>0</v>
      </c>
      <c r="CH21" s="16">
        <f ca="1">IFERROR(_xlfn.XLOOKUP($F21,'FCDB 2017 (full)'!$C:$C,'FCDB 2017 (full)'!$BY:$BY)*$H21/100,0)</f>
        <v>0</v>
      </c>
      <c r="CI21" s="16">
        <f ca="1">IFERROR(_xlfn.XLOOKUP($F21,'FCDB 2017 (full)'!$C:$C,'FCDB 2017 (full)'!$BZ:$BZ)*$H21/100,0)</f>
        <v>0</v>
      </c>
      <c r="CJ21" s="16">
        <f ca="1">IFERROR(_xlfn.XLOOKUP($F21,'FCDB 2017 (full)'!$C:$C,'FCDB 2017 (full)'!$CA:$CA)*$H21/100,0)</f>
        <v>0</v>
      </c>
      <c r="CK21" s="16">
        <f ca="1">IFERROR(_xlfn.XLOOKUP($F21,'FCDB 2017 (full)'!$C:$C,'FCDB 2017 (full)'!$CB:$CB)*$H21/100,0)</f>
        <v>0</v>
      </c>
      <c r="CL21" s="16">
        <f ca="1">IFERROR(_xlfn.XLOOKUP($F21,'FCDB 2017 (full)'!$C:$C,'FCDB 2017 (full)'!$CC:$CC)*$H21/100,0)</f>
        <v>0</v>
      </c>
      <c r="CM21" s="16">
        <f ca="1">IFERROR(_xlfn.XLOOKUP($F21,'FCDB 2017 (full)'!$C:$C,'FCDB 2017 (full)'!$CD:$CD)*$H21/100,0)</f>
        <v>0</v>
      </c>
      <c r="CN21" s="16">
        <f ca="1">IFERROR(_xlfn.XLOOKUP($F21,'FCDB 2017 (full)'!$C:$C,'FCDB 2017 (full)'!$CE:$CE)*$H21/100,0)</f>
        <v>0</v>
      </c>
      <c r="CO21" s="16">
        <f ca="1">IFERROR(_xlfn.XLOOKUP($F21,'FCDB 2017 (full)'!$C:$C,'FCDB 2017 (full)'!$CF:$CF)*$H21/100,0)</f>
        <v>0</v>
      </c>
      <c r="CP21" s="16">
        <f ca="1">IFERROR(_xlfn.XLOOKUP($F21,'FCDB 2017 (full)'!$C:$C,'FCDB 2017 (full)'!$CG:$CG)*$H21/100,0)</f>
        <v>0</v>
      </c>
      <c r="CQ21" s="16">
        <f ca="1">IFERROR(_xlfn.XLOOKUP($F21,'FCDB 2017 (full)'!$C:$C,'FCDB 2017 (full)'!$CH:$CH)*$H21/100,0)</f>
        <v>0</v>
      </c>
      <c r="DA21" s="72" t="s">
        <v>948</v>
      </c>
    </row>
    <row r="22" spans="5:105" customFormat="1" ht="16.8">
      <c r="F22" s="11" t="str">
        <f>IFERROR(VLOOKUP($D$9,$D:$AE,10,0),0)</f>
        <v>Giá đậu xanh</v>
      </c>
      <c r="G22" s="7" t="e" cm="1">
        <f t="array" aca="1" ref="G22" ca="1">IF(F22=0,0,IF(_xlfn.XLOOKUP(F22,$E$9:$AE$9,$E$10:$AE$10)=0,"Nhập ĐV/TV",_xlfn.XLOOKUP(F22,$E$9:$AE$9,$E$10:$AE$10)))</f>
        <v>#NAME?</v>
      </c>
      <c r="H22" s="8" cm="1">
        <f t="array" ref="H22">IFERROR(INDEX($E$11:$AE$11,MATCH(F22,$E$9:$AE$9,0)),0)</f>
        <v>25</v>
      </c>
      <c r="I22" s="9">
        <f ca="1">IFERROR(_xlfn.XLOOKUP($F22,'FCDB 2017 (full)'!$C:$C,'FCDB 2017 (full)'!$E:$E),0)</f>
        <v>0</v>
      </c>
      <c r="J22" s="10">
        <f t="shared" ca="1" si="1"/>
        <v>0</v>
      </c>
      <c r="K22" s="9">
        <f ca="1">IFERROR(_xlfn.XLOOKUP($F22,'FCDB 2017 (full)'!$C:$C,'FCDB 2017 (full)'!$G:$G),0)</f>
        <v>0</v>
      </c>
      <c r="L22" s="13" t="e">
        <f t="shared" ca="1" si="2"/>
        <v>#NAME?</v>
      </c>
      <c r="M22" s="13" t="e">
        <f t="shared" ca="1" si="3"/>
        <v>#NAME?</v>
      </c>
      <c r="N22" s="9">
        <f ca="1">IFERROR(_xlfn.XLOOKUP($F22,'FCDB 2017 (full)'!$C:$C,'FCDB 2017 (full)'!$H:$H),0)</f>
        <v>0</v>
      </c>
      <c r="O22" s="14" t="e">
        <f t="shared" ca="1" si="4"/>
        <v>#NAME?</v>
      </c>
      <c r="P22" s="14" t="e">
        <f t="shared" ca="1" si="5"/>
        <v>#NAME?</v>
      </c>
      <c r="Q22" s="9">
        <f ca="1">IFERROR(_xlfn.XLOOKUP($F22,'FCDB 2017 (full)'!$C:$C,'FCDB 2017 (full)'!$I:$I),0)</f>
        <v>0</v>
      </c>
      <c r="R22" s="15">
        <f t="shared" ca="1" si="6"/>
        <v>0</v>
      </c>
      <c r="S22" s="16">
        <f ca="1">IFERROR(_xlfn.XLOOKUP($F22,'FCDB 2017 (full)'!$C:$C,'FCDB 2017 (full)'!$J:$J)*$H22/100,0)</f>
        <v>0</v>
      </c>
      <c r="T22" s="16">
        <f ca="1">IFERROR(_xlfn.XLOOKUP($F22,'FCDB 2017 (full)'!$C:$C,'FCDB 2017 (full)'!$K:$K)*$H22/100,0)</f>
        <v>0</v>
      </c>
      <c r="U22" s="16">
        <f ca="1">IFERROR(_xlfn.XLOOKUP($F22,'FCDB 2017 (full)'!$C:$C,'FCDB 2017 (full)'!$L:$L)*$H22/100,0)</f>
        <v>0</v>
      </c>
      <c r="V22" s="16">
        <f ca="1">IFERROR(_xlfn.XLOOKUP($F22,'FCDB 2017 (full)'!$C:$C,'FCDB 2017 (full)'!$M:$M)*$H22/100,0)</f>
        <v>0</v>
      </c>
      <c r="W22" s="16">
        <f ca="1">IFERROR(_xlfn.XLOOKUP($F22,'FCDB 2017 (full)'!$C:$C,'FCDB 2017 (full)'!$N:$N)*$H22/100,0)</f>
        <v>0</v>
      </c>
      <c r="X22" s="16">
        <f ca="1">IFERROR(_xlfn.XLOOKUP($F22,'FCDB 2017 (full)'!$C:$C,'FCDB 2017 (full)'!$O:$O)*$H22/100,0)</f>
        <v>0</v>
      </c>
      <c r="Y22" s="16">
        <f ca="1">IFERROR(_xlfn.XLOOKUP($F22,'FCDB 2017 (full)'!$C:$C,'FCDB 2017 (full)'!$P:$P)*$H22/100,0)</f>
        <v>0</v>
      </c>
      <c r="Z22" s="16">
        <f ca="1">IFERROR(_xlfn.XLOOKUP($F22,'FCDB 2017 (full)'!$C:$C,'FCDB 2017 (full)'!$Q:$Q)*$H22/100,0)</f>
        <v>0</v>
      </c>
      <c r="AA22" s="16">
        <f ca="1">IFERROR(_xlfn.XLOOKUP($F22,'FCDB 2017 (full)'!$C:$C,'FCDB 2017 (full)'!$R:$R)*$H22/100,0)</f>
        <v>0</v>
      </c>
      <c r="AB22" s="16">
        <f ca="1">IFERROR(_xlfn.XLOOKUP($F22,'FCDB 2017 (full)'!$C:$C,'FCDB 2017 (full)'!$S:$S)*$H22/100,0)</f>
        <v>0</v>
      </c>
      <c r="AC22" s="16">
        <f ca="1">IFERROR(_xlfn.XLOOKUP($F22,'FCDB 2017 (full)'!$C:$C,'FCDB 2017 (full)'!$T:$T)*$H22/100,0)</f>
        <v>0</v>
      </c>
      <c r="AD22" s="16">
        <f ca="1">IFERROR(_xlfn.XLOOKUP($F22,'FCDB 2017 (full)'!$C:$C,'FCDB 2017 (full)'!$U:$U)*$H22/100,0)</f>
        <v>0</v>
      </c>
      <c r="AE22" s="16">
        <f ca="1">IFERROR(_xlfn.XLOOKUP($F22,'FCDB 2017 (full)'!$C:$C,'FCDB 2017 (full)'!$V:$V)*$H22/100,0)</f>
        <v>0</v>
      </c>
      <c r="AF22" s="16">
        <f ca="1">IFERROR(_xlfn.XLOOKUP($F22,'FCDB 2017 (full)'!$C:$C,'FCDB 2017 (full)'!$W:$W)*$H22/100,0)</f>
        <v>0</v>
      </c>
      <c r="AG22" s="16">
        <f ca="1">IFERROR(_xlfn.XLOOKUP($F22,'FCDB 2017 (full)'!$C:$C,'FCDB 2017 (full)'!$X:$X)*$H22/100,0)</f>
        <v>0</v>
      </c>
      <c r="AH22" s="16">
        <f ca="1">IFERROR(_xlfn.XLOOKUP($F22,'FCDB 2017 (full)'!$C:$C,'FCDB 2017 (full)'!$Y:$Y)*$H22/100,0)</f>
        <v>0</v>
      </c>
      <c r="AI22" s="16">
        <f ca="1">IFERROR(_xlfn.XLOOKUP($F22,'FCDB 2017 (full)'!$C:$C,'FCDB 2017 (full)'!$Z:$Z)*$H22/100,0)</f>
        <v>0</v>
      </c>
      <c r="AJ22" s="16">
        <f ca="1">IFERROR(_xlfn.XLOOKUP($F22,'FCDB 2017 (full)'!$C:$C,'FCDB 2017 (full)'!$AA:$AA)*$H22/100,0)</f>
        <v>0</v>
      </c>
      <c r="AK22" s="16">
        <f ca="1">IFERROR(_xlfn.XLOOKUP($F22,'FCDB 2017 (full)'!$C:$C,'FCDB 2017 (full)'!$AB:$AB)*$H22/100,0)</f>
        <v>0</v>
      </c>
      <c r="AL22" s="16">
        <f ca="1">IFERROR(_xlfn.XLOOKUP($F22,'FCDB 2017 (full)'!$C:$C,'FCDB 2017 (full)'!$AC:$AC)*$H22/100,0)</f>
        <v>0</v>
      </c>
      <c r="AM22" s="16">
        <f ca="1">IFERROR(_xlfn.XLOOKUP($F22,'FCDB 2017 (full)'!$C:$C,'FCDB 2017 (full)'!$AD:$AD)*$H22/100,0)</f>
        <v>0</v>
      </c>
      <c r="AN22" s="16">
        <f ca="1">IFERROR(_xlfn.XLOOKUP($F22,'FCDB 2017 (full)'!$C:$C,'FCDB 2017 (full)'!$AE:$AE)*$H22/100,0)</f>
        <v>0</v>
      </c>
      <c r="AO22" s="16">
        <f ca="1">IFERROR(_xlfn.XLOOKUP($F22,'FCDB 2017 (full)'!$C:$C,'FCDB 2017 (full)'!$AF:$AF)*$H22/100,0)</f>
        <v>0</v>
      </c>
      <c r="AP22" s="16">
        <f ca="1">IFERROR(_xlfn.XLOOKUP($F22,'FCDB 2017 (full)'!$C:$C,'FCDB 2017 (full)'!$AG:$AG)*$H22/100,0)</f>
        <v>0</v>
      </c>
      <c r="AQ22" s="16">
        <f ca="1">IFERROR(_xlfn.XLOOKUP($F22,'FCDB 2017 (full)'!$C:$C,'FCDB 2017 (full)'!$AH:$AH)*$H22/100,0)</f>
        <v>0</v>
      </c>
      <c r="AR22" s="16">
        <f ca="1">IFERROR(_xlfn.XLOOKUP($F22,'FCDB 2017 (full)'!$C:$C,'FCDB 2017 (full)'!$AI:$AI)*$H22/100,0)</f>
        <v>0</v>
      </c>
      <c r="AS22" s="16">
        <f ca="1">IFERROR(_xlfn.XLOOKUP($F22,'FCDB 2017 (full)'!$C:$C,'FCDB 2017 (full)'!$AJ:$AJ)*$H22/100,0)</f>
        <v>0</v>
      </c>
      <c r="AT22" s="16">
        <f ca="1">IFERROR(_xlfn.XLOOKUP($F22,'FCDB 2017 (full)'!$C:$C,'FCDB 2017 (full)'!$AK:$AK)*$H22/100,0)</f>
        <v>0</v>
      </c>
      <c r="AU22" s="16">
        <f ca="1">IFERROR(_xlfn.XLOOKUP($F22,'FCDB 2017 (full)'!$C:$C,'FCDB 2017 (full)'!$AK:$AK)*$H22/100,0)</f>
        <v>0</v>
      </c>
      <c r="AV22" s="16">
        <f ca="1">IFERROR(_xlfn.XLOOKUP($F22,'FCDB 2017 (full)'!$C:$C,'FCDB 2017 (full)'!$AM:$AM)*$H22/100,0)</f>
        <v>0</v>
      </c>
      <c r="AW22" s="16">
        <f ca="1">IFERROR(_xlfn.XLOOKUP($F22,'FCDB 2017 (full)'!$C:$C,'FCDB 2017 (full)'!$AN:$AN)*$H22/100,0)</f>
        <v>0</v>
      </c>
      <c r="AX22" s="16">
        <f ca="1">IFERROR(_xlfn.XLOOKUP($F22,'FCDB 2017 (full)'!$C:$C,'FCDB 2017 (full)'!$AO:$AO)*$H22/100,0)</f>
        <v>0</v>
      </c>
      <c r="AY22" s="16">
        <f ca="1">IFERROR(_xlfn.XLOOKUP($F22,'FCDB 2017 (full)'!$C:$C,'FCDB 2017 (full)'!$AP:$AP)*$H22/100,0)</f>
        <v>0</v>
      </c>
      <c r="AZ22" s="16">
        <f ca="1">IFERROR(_xlfn.XLOOKUP($F22,'FCDB 2017 (full)'!$C:$C,'FCDB 2017 (full)'!$AQ:$AQ)*$H22/100,0)</f>
        <v>0</v>
      </c>
      <c r="BA22" s="16">
        <f ca="1">IFERROR(_xlfn.XLOOKUP($F22,'FCDB 2017 (full)'!$C:$C,'FCDB 2017 (full)'!$AR:$AR)*$H22/100,0)</f>
        <v>0</v>
      </c>
      <c r="BB22" s="16">
        <f ca="1">IFERROR(_xlfn.XLOOKUP($F22,'FCDB 2017 (full)'!$C:$C,'FCDB 2017 (full)'!$AS:$AS)*$H22/100,0)</f>
        <v>0</v>
      </c>
      <c r="BC22" s="16">
        <f ca="1">IFERROR(_xlfn.XLOOKUP($F22,'FCDB 2017 (full)'!$C:$C,'FCDB 2017 (full)'!$AT:$AT)*$H22/100,0)</f>
        <v>0</v>
      </c>
      <c r="BD22" s="16">
        <f ca="1">IFERROR(_xlfn.XLOOKUP($F22,'FCDB 2017 (full)'!$C:$C,'FCDB 2017 (full)'!$AU:$AU)*$H22/100,0)</f>
        <v>0</v>
      </c>
      <c r="BE22" s="16">
        <f ca="1">IFERROR(_xlfn.XLOOKUP($F22,'FCDB 2017 (full)'!$C:$C,'FCDB 2017 (full)'!$AV:$AV)*$H22/100,0)</f>
        <v>0</v>
      </c>
      <c r="BF22" s="16">
        <f ca="1">IFERROR(_xlfn.XLOOKUP($F22,'FCDB 2017 (full)'!$C:$C,'FCDB 2017 (full)'!$AW:$AW)*$H22/100,0)</f>
        <v>0</v>
      </c>
      <c r="BG22" s="16">
        <f ca="1">IFERROR(_xlfn.XLOOKUP($F22,'FCDB 2017 (full)'!$C:$C,'FCDB 2017 (full)'!$AX:$AX)*$H22/100,0)</f>
        <v>0</v>
      </c>
      <c r="BH22" s="16">
        <f ca="1">IFERROR(_xlfn.XLOOKUP($F22,'FCDB 2017 (full)'!$C:$C,'FCDB 2017 (full)'!$AY:$AY)*$H22/100,0)</f>
        <v>0</v>
      </c>
      <c r="BI22" s="16">
        <f ca="1">IFERROR(_xlfn.XLOOKUP($F22,'FCDB 2017 (full)'!$C:$C,'FCDB 2017 (full)'!$AZ:$AZ)*$H22/100,0)</f>
        <v>0</v>
      </c>
      <c r="BJ22" s="16">
        <f ca="1">IFERROR(_xlfn.XLOOKUP($F22,'FCDB 2017 (full)'!$C:$C,'FCDB 2017 (full)'!$BA:$BA)*$H22/100,0)</f>
        <v>0</v>
      </c>
      <c r="BK22" s="16">
        <f ca="1">IFERROR(_xlfn.XLOOKUP($F22,'FCDB 2017 (full)'!$C:$C,'FCDB 2017 (full)'!$BB:$BB)*$H22/100,0)</f>
        <v>0</v>
      </c>
      <c r="BL22" s="16">
        <f ca="1">IFERROR(_xlfn.XLOOKUP($F22,'FCDB 2017 (full)'!$C:$C,'FCDB 2017 (full)'!$BC:$BC)*$H22/100,0)</f>
        <v>0</v>
      </c>
      <c r="BM22" s="16">
        <f ca="1">IFERROR(_xlfn.XLOOKUP($F22,'FCDB 2017 (full)'!$C:$C,'FCDB 2017 (full)'!$BD:$BD)*$H22/100,0)</f>
        <v>0</v>
      </c>
      <c r="BN22" s="16">
        <f ca="1">IFERROR(_xlfn.XLOOKUP($F22,'FCDB 2017 (full)'!$C:$C,'FCDB 2017 (full)'!$BE:$BE)*$H22/100,0)</f>
        <v>0</v>
      </c>
      <c r="BO22" s="16">
        <f ca="1">IFERROR(_xlfn.XLOOKUP($F22,'FCDB 2017 (full)'!$C:$C,'FCDB 2017 (full)'!$BF:$BF)*$H22/100,0)</f>
        <v>0</v>
      </c>
      <c r="BP22" s="16">
        <f ca="1">IFERROR(_xlfn.XLOOKUP($F22,'FCDB 2017 (full)'!$C:$C,'FCDB 2017 (full)'!$BG:$BG)*$H22/100,0)</f>
        <v>0</v>
      </c>
      <c r="BQ22" s="16">
        <f ca="1">IFERROR(_xlfn.XLOOKUP($F22,'FCDB 2017 (full)'!$C:$C,'FCDB 2017 (full)'!$BH:$BH)*$H22/100,0)</f>
        <v>0</v>
      </c>
      <c r="BR22" s="16">
        <f ca="1">IFERROR(_xlfn.XLOOKUP($F22,'FCDB 2017 (full)'!$C:$C,'FCDB 2017 (full)'!$BI:$BI)*$H22/100,0)</f>
        <v>0</v>
      </c>
      <c r="BS22" s="16">
        <f ca="1">IFERROR(_xlfn.XLOOKUP($F22,'FCDB 2017 (full)'!$C:$C,'FCDB 2017 (full)'!$BJ:$BJ)*$H22/100,0)</f>
        <v>0</v>
      </c>
      <c r="BT22" s="16">
        <f ca="1">IFERROR(_xlfn.XLOOKUP($F22,'FCDB 2017 (full)'!$C:$C,'FCDB 2017 (full)'!$BK:$BK)*$H22/100,0)</f>
        <v>0</v>
      </c>
      <c r="BU22" s="16">
        <f ca="1">IFERROR(_xlfn.XLOOKUP($F22,'FCDB 2017 (full)'!$C:$C,'FCDB 2017 (full)'!$BL:$BL)*$H22/100,0)</f>
        <v>0</v>
      </c>
      <c r="BV22" s="16">
        <f ca="1">IFERROR(_xlfn.XLOOKUP($F22,'FCDB 2017 (full)'!$C:$C,'FCDB 2017 (full)'!$BM:$BM)*$H22/100,0)</f>
        <v>0</v>
      </c>
      <c r="BW22" s="16">
        <f ca="1">IFERROR(_xlfn.XLOOKUP($F22,'FCDB 2017 (full)'!$C:$C,'FCDB 2017 (full)'!$BN:$BN)*$H22/100,0)</f>
        <v>0</v>
      </c>
      <c r="BX22" s="16">
        <f ca="1">IFERROR(_xlfn.XLOOKUP($F22,'FCDB 2017 (full)'!$C:$C,'FCDB 2017 (full)'!$BO:$BO)*$H22/100,0)</f>
        <v>0</v>
      </c>
      <c r="BY22" s="16">
        <f ca="1">IFERROR(_xlfn.XLOOKUP($F22,'FCDB 2017 (full)'!$C:$C,'FCDB 2017 (full)'!$BP:$BP)*$H22/100,0)</f>
        <v>0</v>
      </c>
      <c r="BZ22" s="16">
        <f ca="1">IFERROR(_xlfn.XLOOKUP($F22,'FCDB 2017 (full)'!$C:$C,'FCDB 2017 (full)'!$BQ:$BQ)*$H22/100,0)</f>
        <v>0</v>
      </c>
      <c r="CA22" s="16">
        <f ca="1">IFERROR(_xlfn.XLOOKUP($F22,'FCDB 2017 (full)'!$C:$C,'FCDB 2017 (full)'!$BR:$BR)*$H22/100,0)</f>
        <v>0</v>
      </c>
      <c r="CB22" s="16">
        <f ca="1">IFERROR(_xlfn.XLOOKUP($F22,'FCDB 2017 (full)'!$C:$C,'FCDB 2017 (full)'!$BS:$BS)*$H22/100,0)</f>
        <v>0</v>
      </c>
      <c r="CC22" s="16">
        <f ca="1">IFERROR(_xlfn.XLOOKUP($F22,'FCDB 2017 (full)'!$C:$C,'FCDB 2017 (full)'!$BT:$BT)*$H22/100,0)</f>
        <v>0</v>
      </c>
      <c r="CD22" s="16">
        <f ca="1">IFERROR(_xlfn.XLOOKUP($F22,'FCDB 2017 (full)'!$C:$C,'FCDB 2017 (full)'!$BU:$BU)*$H22/100,0)</f>
        <v>0</v>
      </c>
      <c r="CE22" s="16">
        <f ca="1">IFERROR(_xlfn.XLOOKUP($F22,'FCDB 2017 (full)'!$C:$C,'FCDB 2017 (full)'!$BV:$BV)*$H22/100,0)</f>
        <v>0</v>
      </c>
      <c r="CF22" s="16">
        <f ca="1">IFERROR(_xlfn.XLOOKUP($F22,'FCDB 2017 (full)'!$C:$C,'FCDB 2017 (full)'!$BW:$BW)*$H22/100,0)</f>
        <v>0</v>
      </c>
      <c r="CG22" s="16">
        <f ca="1">IFERROR(_xlfn.XLOOKUP($F22,'FCDB 2017 (full)'!$C:$C,'FCDB 2017 (full)'!$BX:$BX)*$H22/100,0)</f>
        <v>0</v>
      </c>
      <c r="CH22" s="16">
        <f ca="1">IFERROR(_xlfn.XLOOKUP($F22,'FCDB 2017 (full)'!$C:$C,'FCDB 2017 (full)'!$BY:$BY)*$H22/100,0)</f>
        <v>0</v>
      </c>
      <c r="CI22" s="16">
        <f ca="1">IFERROR(_xlfn.XLOOKUP($F22,'FCDB 2017 (full)'!$C:$C,'FCDB 2017 (full)'!$BZ:$BZ)*$H22/100,0)</f>
        <v>0</v>
      </c>
      <c r="CJ22" s="16">
        <f ca="1">IFERROR(_xlfn.XLOOKUP($F22,'FCDB 2017 (full)'!$C:$C,'FCDB 2017 (full)'!$CA:$CA)*$H22/100,0)</f>
        <v>0</v>
      </c>
      <c r="CK22" s="16">
        <f ca="1">IFERROR(_xlfn.XLOOKUP($F22,'FCDB 2017 (full)'!$C:$C,'FCDB 2017 (full)'!$CB:$CB)*$H22/100,0)</f>
        <v>0</v>
      </c>
      <c r="CL22" s="16">
        <f ca="1">IFERROR(_xlfn.XLOOKUP($F22,'FCDB 2017 (full)'!$C:$C,'FCDB 2017 (full)'!$CC:$CC)*$H22/100,0)</f>
        <v>0</v>
      </c>
      <c r="CM22" s="16">
        <f ca="1">IFERROR(_xlfn.XLOOKUP($F22,'FCDB 2017 (full)'!$C:$C,'FCDB 2017 (full)'!$CD:$CD)*$H22/100,0)</f>
        <v>0</v>
      </c>
      <c r="CN22" s="16">
        <f ca="1">IFERROR(_xlfn.XLOOKUP($F22,'FCDB 2017 (full)'!$C:$C,'FCDB 2017 (full)'!$CE:$CE)*$H22/100,0)</f>
        <v>0</v>
      </c>
      <c r="CO22" s="16">
        <f ca="1">IFERROR(_xlfn.XLOOKUP($F22,'FCDB 2017 (full)'!$C:$C,'FCDB 2017 (full)'!$CF:$CF)*$H22/100,0)</f>
        <v>0</v>
      </c>
      <c r="CP22" s="16">
        <f ca="1">IFERROR(_xlfn.XLOOKUP($F22,'FCDB 2017 (full)'!$C:$C,'FCDB 2017 (full)'!$CG:$CG)*$H22/100,0)</f>
        <v>0</v>
      </c>
      <c r="CQ22" s="16">
        <f ca="1">IFERROR(_xlfn.XLOOKUP($F22,'FCDB 2017 (full)'!$C:$C,'FCDB 2017 (full)'!$CH:$CH)*$H22/100,0)</f>
        <v>0</v>
      </c>
      <c r="DA22" s="73" t="s">
        <v>948</v>
      </c>
    </row>
    <row r="23" spans="5:105" customFormat="1" ht="16.8">
      <c r="F23" s="11">
        <f>IFERROR(VLOOKUP($D$9,$D:$AE,12,0),0)</f>
        <v>0</v>
      </c>
      <c r="G23" s="7" cm="1">
        <f t="array" ref="G23">IF(F23=0,0,IF(_xlfn.XLOOKUP(F23,$E$9:$AE$9,$E$10:$AE$10)=0,"Nhập ĐV/TV",_xlfn.XLOOKUP(F23,$E$9:$AE$9,$E$10:$AE$10)))</f>
        <v>0</v>
      </c>
      <c r="H23" s="8" cm="1">
        <f t="array" ref="H23">IFERROR(INDEX($E$11:$AE$11,MATCH(F23,$E$9:$AE$9,0)),0)</f>
        <v>0</v>
      </c>
      <c r="I23" s="9">
        <f ca="1">IFERROR(_xlfn.XLOOKUP($F23,'FCDB 2017 (full)'!$C:$C,'FCDB 2017 (full)'!$E:$E),0)</f>
        <v>0</v>
      </c>
      <c r="J23" s="10">
        <f t="shared" ca="1" si="1"/>
        <v>0</v>
      </c>
      <c r="K23" s="9">
        <f ca="1">IFERROR(_xlfn.XLOOKUP($F23,'FCDB 2017 (full)'!$C:$C,'FCDB 2017 (full)'!$G:$G),0)</f>
        <v>0</v>
      </c>
      <c r="L23" s="13">
        <f t="shared" si="2"/>
        <v>0</v>
      </c>
      <c r="M23" s="13">
        <f t="shared" si="3"/>
        <v>0</v>
      </c>
      <c r="N23" s="9">
        <f ca="1">IFERROR(_xlfn.XLOOKUP($F23,'FCDB 2017 (full)'!$C:$C,'FCDB 2017 (full)'!$H:$H),0)</f>
        <v>0</v>
      </c>
      <c r="O23" s="14">
        <f t="shared" si="4"/>
        <v>0</v>
      </c>
      <c r="P23" s="14">
        <f t="shared" si="5"/>
        <v>0</v>
      </c>
      <c r="Q23" s="9">
        <f ca="1">IFERROR(_xlfn.XLOOKUP($F23,'FCDB 2017 (full)'!$C:$C,'FCDB 2017 (full)'!$I:$I),0)</f>
        <v>0</v>
      </c>
      <c r="R23" s="15">
        <f t="shared" ca="1" si="6"/>
        <v>0</v>
      </c>
      <c r="S23" s="16">
        <f ca="1">IFERROR(_xlfn.XLOOKUP($F23,'FCDB 2017 (full)'!$C:$C,'FCDB 2017 (full)'!$J:$J)*$H23/100,0)</f>
        <v>0</v>
      </c>
      <c r="T23" s="16">
        <f ca="1">IFERROR(_xlfn.XLOOKUP($F23,'FCDB 2017 (full)'!$C:$C,'FCDB 2017 (full)'!$K:$K)*$H23/100,0)</f>
        <v>0</v>
      </c>
      <c r="U23" s="16">
        <f ca="1">IFERROR(_xlfn.XLOOKUP($F23,'FCDB 2017 (full)'!$C:$C,'FCDB 2017 (full)'!$L:$L)*$H23/100,0)</f>
        <v>0</v>
      </c>
      <c r="V23" s="16">
        <f ca="1">IFERROR(_xlfn.XLOOKUP($F23,'FCDB 2017 (full)'!$C:$C,'FCDB 2017 (full)'!$M:$M)*$H23/100,0)</f>
        <v>0</v>
      </c>
      <c r="W23" s="16">
        <f ca="1">IFERROR(_xlfn.XLOOKUP($F23,'FCDB 2017 (full)'!$C:$C,'FCDB 2017 (full)'!$N:$N)*$H23/100,0)</f>
        <v>0</v>
      </c>
      <c r="X23" s="16">
        <f ca="1">IFERROR(_xlfn.XLOOKUP($F23,'FCDB 2017 (full)'!$C:$C,'FCDB 2017 (full)'!$O:$O)*$H23/100,0)</f>
        <v>0</v>
      </c>
      <c r="Y23" s="16">
        <f ca="1">IFERROR(_xlfn.XLOOKUP($F23,'FCDB 2017 (full)'!$C:$C,'FCDB 2017 (full)'!$P:$P)*$H23/100,0)</f>
        <v>0</v>
      </c>
      <c r="Z23" s="16">
        <f ca="1">IFERROR(_xlfn.XLOOKUP($F23,'FCDB 2017 (full)'!$C:$C,'FCDB 2017 (full)'!$Q:$Q)*$H23/100,0)</f>
        <v>0</v>
      </c>
      <c r="AA23" s="16">
        <f ca="1">IFERROR(_xlfn.XLOOKUP($F23,'FCDB 2017 (full)'!$C:$C,'FCDB 2017 (full)'!$R:$R)*$H23/100,0)</f>
        <v>0</v>
      </c>
      <c r="AB23" s="16">
        <f ca="1">IFERROR(_xlfn.XLOOKUP($F23,'FCDB 2017 (full)'!$C:$C,'FCDB 2017 (full)'!$S:$S)*$H23/100,0)</f>
        <v>0</v>
      </c>
      <c r="AC23" s="16">
        <f ca="1">IFERROR(_xlfn.XLOOKUP($F23,'FCDB 2017 (full)'!$C:$C,'FCDB 2017 (full)'!$T:$T)*$H23/100,0)</f>
        <v>0</v>
      </c>
      <c r="AD23" s="16">
        <f ca="1">IFERROR(_xlfn.XLOOKUP($F23,'FCDB 2017 (full)'!$C:$C,'FCDB 2017 (full)'!$U:$U)*$H23/100,0)</f>
        <v>0</v>
      </c>
      <c r="AE23" s="16">
        <f ca="1">IFERROR(_xlfn.XLOOKUP($F23,'FCDB 2017 (full)'!$C:$C,'FCDB 2017 (full)'!$V:$V)*$H23/100,0)</f>
        <v>0</v>
      </c>
      <c r="AF23" s="16">
        <f ca="1">IFERROR(_xlfn.XLOOKUP($F23,'FCDB 2017 (full)'!$C:$C,'FCDB 2017 (full)'!$W:$W)*$H23/100,0)</f>
        <v>0</v>
      </c>
      <c r="AG23" s="16">
        <f ca="1">IFERROR(_xlfn.XLOOKUP($F23,'FCDB 2017 (full)'!$C:$C,'FCDB 2017 (full)'!$X:$X)*$H23/100,0)</f>
        <v>0</v>
      </c>
      <c r="AH23" s="16">
        <f ca="1">IFERROR(_xlfn.XLOOKUP($F23,'FCDB 2017 (full)'!$C:$C,'FCDB 2017 (full)'!$Y:$Y)*$H23/100,0)</f>
        <v>0</v>
      </c>
      <c r="AI23" s="16">
        <f ca="1">IFERROR(_xlfn.XLOOKUP($F23,'FCDB 2017 (full)'!$C:$C,'FCDB 2017 (full)'!$Z:$Z)*$H23/100,0)</f>
        <v>0</v>
      </c>
      <c r="AJ23" s="16">
        <f ca="1">IFERROR(_xlfn.XLOOKUP($F23,'FCDB 2017 (full)'!$C:$C,'FCDB 2017 (full)'!$AA:$AA)*$H23/100,0)</f>
        <v>0</v>
      </c>
      <c r="AK23" s="16">
        <f ca="1">IFERROR(_xlfn.XLOOKUP($F23,'FCDB 2017 (full)'!$C:$C,'FCDB 2017 (full)'!$AB:$AB)*$H23/100,0)</f>
        <v>0</v>
      </c>
      <c r="AL23" s="16">
        <f ca="1">IFERROR(_xlfn.XLOOKUP($F23,'FCDB 2017 (full)'!$C:$C,'FCDB 2017 (full)'!$AC:$AC)*$H23/100,0)</f>
        <v>0</v>
      </c>
      <c r="AM23" s="16">
        <f ca="1">IFERROR(_xlfn.XLOOKUP($F23,'FCDB 2017 (full)'!$C:$C,'FCDB 2017 (full)'!$AD:$AD)*$H23/100,0)</f>
        <v>0</v>
      </c>
      <c r="AN23" s="16">
        <f ca="1">IFERROR(_xlfn.XLOOKUP($F23,'FCDB 2017 (full)'!$C:$C,'FCDB 2017 (full)'!$AE:$AE)*$H23/100,0)</f>
        <v>0</v>
      </c>
      <c r="AO23" s="16">
        <f ca="1">IFERROR(_xlfn.XLOOKUP($F23,'FCDB 2017 (full)'!$C:$C,'FCDB 2017 (full)'!$AF:$AF)*$H23/100,0)</f>
        <v>0</v>
      </c>
      <c r="AP23" s="16">
        <f ca="1">IFERROR(_xlfn.XLOOKUP($F23,'FCDB 2017 (full)'!$C:$C,'FCDB 2017 (full)'!$AG:$AG)*$H23/100,0)</f>
        <v>0</v>
      </c>
      <c r="AQ23" s="16">
        <f ca="1">IFERROR(_xlfn.XLOOKUP($F23,'FCDB 2017 (full)'!$C:$C,'FCDB 2017 (full)'!$AH:$AH)*$H23/100,0)</f>
        <v>0</v>
      </c>
      <c r="AR23" s="16">
        <f ca="1">IFERROR(_xlfn.XLOOKUP($F23,'FCDB 2017 (full)'!$C:$C,'FCDB 2017 (full)'!$AI:$AI)*$H23/100,0)</f>
        <v>0</v>
      </c>
      <c r="AS23" s="16">
        <f ca="1">IFERROR(_xlfn.XLOOKUP($F23,'FCDB 2017 (full)'!$C:$C,'FCDB 2017 (full)'!$AJ:$AJ)*$H23/100,0)</f>
        <v>0</v>
      </c>
      <c r="AT23" s="16">
        <f ca="1">IFERROR(_xlfn.XLOOKUP($F23,'FCDB 2017 (full)'!$C:$C,'FCDB 2017 (full)'!$AK:$AK)*$H23/100,0)</f>
        <v>0</v>
      </c>
      <c r="AU23" s="16">
        <f ca="1">IFERROR(_xlfn.XLOOKUP($F23,'FCDB 2017 (full)'!$C:$C,'FCDB 2017 (full)'!$AK:$AK)*$H23/100,0)</f>
        <v>0</v>
      </c>
      <c r="AV23" s="16">
        <f ca="1">IFERROR(_xlfn.XLOOKUP($F23,'FCDB 2017 (full)'!$C:$C,'FCDB 2017 (full)'!$AM:$AM)*$H23/100,0)</f>
        <v>0</v>
      </c>
      <c r="AW23" s="16">
        <f ca="1">IFERROR(_xlfn.XLOOKUP($F23,'FCDB 2017 (full)'!$C:$C,'FCDB 2017 (full)'!$AN:$AN)*$H23/100,0)</f>
        <v>0</v>
      </c>
      <c r="AX23" s="16">
        <f ca="1">IFERROR(_xlfn.XLOOKUP($F23,'FCDB 2017 (full)'!$C:$C,'FCDB 2017 (full)'!$AO:$AO)*$H23/100,0)</f>
        <v>0</v>
      </c>
      <c r="AY23" s="16">
        <f ca="1">IFERROR(_xlfn.XLOOKUP($F23,'FCDB 2017 (full)'!$C:$C,'FCDB 2017 (full)'!$AP:$AP)*$H23/100,0)</f>
        <v>0</v>
      </c>
      <c r="AZ23" s="16">
        <f ca="1">IFERROR(_xlfn.XLOOKUP($F23,'FCDB 2017 (full)'!$C:$C,'FCDB 2017 (full)'!$AQ:$AQ)*$H23/100,0)</f>
        <v>0</v>
      </c>
      <c r="BA23" s="16">
        <f ca="1">IFERROR(_xlfn.XLOOKUP($F23,'FCDB 2017 (full)'!$C:$C,'FCDB 2017 (full)'!$AR:$AR)*$H23/100,0)</f>
        <v>0</v>
      </c>
      <c r="BB23" s="16">
        <f ca="1">IFERROR(_xlfn.XLOOKUP($F23,'FCDB 2017 (full)'!$C:$C,'FCDB 2017 (full)'!$AS:$AS)*$H23/100,0)</f>
        <v>0</v>
      </c>
      <c r="BC23" s="16">
        <f ca="1">IFERROR(_xlfn.XLOOKUP($F23,'FCDB 2017 (full)'!$C:$C,'FCDB 2017 (full)'!$AT:$AT)*$H23/100,0)</f>
        <v>0</v>
      </c>
      <c r="BD23" s="16">
        <f ca="1">IFERROR(_xlfn.XLOOKUP($F23,'FCDB 2017 (full)'!$C:$C,'FCDB 2017 (full)'!$AU:$AU)*$H23/100,0)</f>
        <v>0</v>
      </c>
      <c r="BE23" s="16">
        <f ca="1">IFERROR(_xlfn.XLOOKUP($F23,'FCDB 2017 (full)'!$C:$C,'FCDB 2017 (full)'!$AV:$AV)*$H23/100,0)</f>
        <v>0</v>
      </c>
      <c r="BF23" s="16">
        <f ca="1">IFERROR(_xlfn.XLOOKUP($F23,'FCDB 2017 (full)'!$C:$C,'FCDB 2017 (full)'!$AW:$AW)*$H23/100,0)</f>
        <v>0</v>
      </c>
      <c r="BG23" s="16">
        <f ca="1">IFERROR(_xlfn.XLOOKUP($F23,'FCDB 2017 (full)'!$C:$C,'FCDB 2017 (full)'!$AX:$AX)*$H23/100,0)</f>
        <v>0</v>
      </c>
      <c r="BH23" s="16">
        <f ca="1">IFERROR(_xlfn.XLOOKUP($F23,'FCDB 2017 (full)'!$C:$C,'FCDB 2017 (full)'!$AY:$AY)*$H23/100,0)</f>
        <v>0</v>
      </c>
      <c r="BI23" s="16">
        <f ca="1">IFERROR(_xlfn.XLOOKUP($F23,'FCDB 2017 (full)'!$C:$C,'FCDB 2017 (full)'!$AZ:$AZ)*$H23/100,0)</f>
        <v>0</v>
      </c>
      <c r="BJ23" s="16">
        <f ca="1">IFERROR(_xlfn.XLOOKUP($F23,'FCDB 2017 (full)'!$C:$C,'FCDB 2017 (full)'!$BA:$BA)*$H23/100,0)</f>
        <v>0</v>
      </c>
      <c r="BK23" s="16">
        <f ca="1">IFERROR(_xlfn.XLOOKUP($F23,'FCDB 2017 (full)'!$C:$C,'FCDB 2017 (full)'!$BB:$BB)*$H23/100,0)</f>
        <v>0</v>
      </c>
      <c r="BL23" s="16">
        <f ca="1">IFERROR(_xlfn.XLOOKUP($F23,'FCDB 2017 (full)'!$C:$C,'FCDB 2017 (full)'!$BC:$BC)*$H23/100,0)</f>
        <v>0</v>
      </c>
      <c r="BM23" s="16">
        <f ca="1">IFERROR(_xlfn.XLOOKUP($F23,'FCDB 2017 (full)'!$C:$C,'FCDB 2017 (full)'!$BD:$BD)*$H23/100,0)</f>
        <v>0</v>
      </c>
      <c r="BN23" s="16">
        <f ca="1">IFERROR(_xlfn.XLOOKUP($F23,'FCDB 2017 (full)'!$C:$C,'FCDB 2017 (full)'!$BE:$BE)*$H23/100,0)</f>
        <v>0</v>
      </c>
      <c r="BO23" s="16">
        <f ca="1">IFERROR(_xlfn.XLOOKUP($F23,'FCDB 2017 (full)'!$C:$C,'FCDB 2017 (full)'!$BF:$BF)*$H23/100,0)</f>
        <v>0</v>
      </c>
      <c r="BP23" s="16">
        <f ca="1">IFERROR(_xlfn.XLOOKUP($F23,'FCDB 2017 (full)'!$C:$C,'FCDB 2017 (full)'!$BG:$BG)*$H23/100,0)</f>
        <v>0</v>
      </c>
      <c r="BQ23" s="16">
        <f ca="1">IFERROR(_xlfn.XLOOKUP($F23,'FCDB 2017 (full)'!$C:$C,'FCDB 2017 (full)'!$BH:$BH)*$H23/100,0)</f>
        <v>0</v>
      </c>
      <c r="BR23" s="16">
        <f ca="1">IFERROR(_xlfn.XLOOKUP($F23,'FCDB 2017 (full)'!$C:$C,'FCDB 2017 (full)'!$BI:$BI)*$H23/100,0)</f>
        <v>0</v>
      </c>
      <c r="BS23" s="16">
        <f ca="1">IFERROR(_xlfn.XLOOKUP($F23,'FCDB 2017 (full)'!$C:$C,'FCDB 2017 (full)'!$BJ:$BJ)*$H23/100,0)</f>
        <v>0</v>
      </c>
      <c r="BT23" s="16">
        <f ca="1">IFERROR(_xlfn.XLOOKUP($F23,'FCDB 2017 (full)'!$C:$C,'FCDB 2017 (full)'!$BK:$BK)*$H23/100,0)</f>
        <v>0</v>
      </c>
      <c r="BU23" s="16">
        <f ca="1">IFERROR(_xlfn.XLOOKUP($F23,'FCDB 2017 (full)'!$C:$C,'FCDB 2017 (full)'!$BL:$BL)*$H23/100,0)</f>
        <v>0</v>
      </c>
      <c r="BV23" s="16">
        <f ca="1">IFERROR(_xlfn.XLOOKUP($F23,'FCDB 2017 (full)'!$C:$C,'FCDB 2017 (full)'!$BM:$BM)*$H23/100,0)</f>
        <v>0</v>
      </c>
      <c r="BW23" s="16">
        <f ca="1">IFERROR(_xlfn.XLOOKUP($F23,'FCDB 2017 (full)'!$C:$C,'FCDB 2017 (full)'!$BN:$BN)*$H23/100,0)</f>
        <v>0</v>
      </c>
      <c r="BX23" s="16">
        <f ca="1">IFERROR(_xlfn.XLOOKUP($F23,'FCDB 2017 (full)'!$C:$C,'FCDB 2017 (full)'!$BO:$BO)*$H23/100,0)</f>
        <v>0</v>
      </c>
      <c r="BY23" s="16">
        <f ca="1">IFERROR(_xlfn.XLOOKUP($F23,'FCDB 2017 (full)'!$C:$C,'FCDB 2017 (full)'!$BP:$BP)*$H23/100,0)</f>
        <v>0</v>
      </c>
      <c r="BZ23" s="16">
        <f ca="1">IFERROR(_xlfn.XLOOKUP($F23,'FCDB 2017 (full)'!$C:$C,'FCDB 2017 (full)'!$BQ:$BQ)*$H23/100,0)</f>
        <v>0</v>
      </c>
      <c r="CA23" s="16">
        <f ca="1">IFERROR(_xlfn.XLOOKUP($F23,'FCDB 2017 (full)'!$C:$C,'FCDB 2017 (full)'!$BR:$BR)*$H23/100,0)</f>
        <v>0</v>
      </c>
      <c r="CB23" s="16">
        <f ca="1">IFERROR(_xlfn.XLOOKUP($F23,'FCDB 2017 (full)'!$C:$C,'FCDB 2017 (full)'!$BS:$BS)*$H23/100,0)</f>
        <v>0</v>
      </c>
      <c r="CC23" s="16">
        <f ca="1">IFERROR(_xlfn.XLOOKUP($F23,'FCDB 2017 (full)'!$C:$C,'FCDB 2017 (full)'!$BT:$BT)*$H23/100,0)</f>
        <v>0</v>
      </c>
      <c r="CD23" s="16">
        <f ca="1">IFERROR(_xlfn.XLOOKUP($F23,'FCDB 2017 (full)'!$C:$C,'FCDB 2017 (full)'!$BU:$BU)*$H23/100,0)</f>
        <v>0</v>
      </c>
      <c r="CE23" s="16">
        <f ca="1">IFERROR(_xlfn.XLOOKUP($F23,'FCDB 2017 (full)'!$C:$C,'FCDB 2017 (full)'!$BV:$BV)*$H23/100,0)</f>
        <v>0</v>
      </c>
      <c r="CF23" s="16">
        <f ca="1">IFERROR(_xlfn.XLOOKUP($F23,'FCDB 2017 (full)'!$C:$C,'FCDB 2017 (full)'!$BW:$BW)*$H23/100,0)</f>
        <v>0</v>
      </c>
      <c r="CG23" s="16">
        <f ca="1">IFERROR(_xlfn.XLOOKUP($F23,'FCDB 2017 (full)'!$C:$C,'FCDB 2017 (full)'!$BX:$BX)*$H23/100,0)</f>
        <v>0</v>
      </c>
      <c r="CH23" s="16">
        <f ca="1">IFERROR(_xlfn.XLOOKUP($F23,'FCDB 2017 (full)'!$C:$C,'FCDB 2017 (full)'!$BY:$BY)*$H23/100,0)</f>
        <v>0</v>
      </c>
      <c r="CI23" s="16">
        <f ca="1">IFERROR(_xlfn.XLOOKUP($F23,'FCDB 2017 (full)'!$C:$C,'FCDB 2017 (full)'!$BZ:$BZ)*$H23/100,0)</f>
        <v>0</v>
      </c>
      <c r="CJ23" s="16">
        <f ca="1">IFERROR(_xlfn.XLOOKUP($F23,'FCDB 2017 (full)'!$C:$C,'FCDB 2017 (full)'!$CA:$CA)*$H23/100,0)</f>
        <v>0</v>
      </c>
      <c r="CK23" s="16">
        <f ca="1">IFERROR(_xlfn.XLOOKUP($F23,'FCDB 2017 (full)'!$C:$C,'FCDB 2017 (full)'!$CB:$CB)*$H23/100,0)</f>
        <v>0</v>
      </c>
      <c r="CL23" s="16">
        <f ca="1">IFERROR(_xlfn.XLOOKUP($F23,'FCDB 2017 (full)'!$C:$C,'FCDB 2017 (full)'!$CC:$CC)*$H23/100,0)</f>
        <v>0</v>
      </c>
      <c r="CM23" s="16">
        <f ca="1">IFERROR(_xlfn.XLOOKUP($F23,'FCDB 2017 (full)'!$C:$C,'FCDB 2017 (full)'!$CD:$CD)*$H23/100,0)</f>
        <v>0</v>
      </c>
      <c r="CN23" s="16">
        <f ca="1">IFERROR(_xlfn.XLOOKUP($F23,'FCDB 2017 (full)'!$C:$C,'FCDB 2017 (full)'!$CE:$CE)*$H23/100,0)</f>
        <v>0</v>
      </c>
      <c r="CO23" s="16">
        <f ca="1">IFERROR(_xlfn.XLOOKUP($F23,'FCDB 2017 (full)'!$C:$C,'FCDB 2017 (full)'!$CF:$CF)*$H23/100,0)</f>
        <v>0</v>
      </c>
      <c r="CP23" s="16">
        <f ca="1">IFERROR(_xlfn.XLOOKUP($F23,'FCDB 2017 (full)'!$C:$C,'FCDB 2017 (full)'!$CG:$CG)*$H23/100,0)</f>
        <v>0</v>
      </c>
      <c r="CQ23" s="16">
        <f ca="1">IFERROR(_xlfn.XLOOKUP($F23,'FCDB 2017 (full)'!$C:$C,'FCDB 2017 (full)'!$CH:$CH)*$H23/100,0)</f>
        <v>0</v>
      </c>
      <c r="DA23" s="72" t="s">
        <v>948</v>
      </c>
    </row>
    <row r="24" spans="5:105" customFormat="1" ht="16.8">
      <c r="F24" s="11">
        <f>IFERROR(VLOOKUP($D$9,$D:$AE,13,0),0)</f>
        <v>0</v>
      </c>
      <c r="G24" s="7" cm="1">
        <f t="array" ref="G24">IF(F24=0,0,IF(_xlfn.XLOOKUP(F24,$E$9:$AE$9,$E$10:$AE$10)=0,"Nhập ĐV/TV",_xlfn.XLOOKUP(F24,$E$9:$AE$9,$E$10:$AE$10)))</f>
        <v>0</v>
      </c>
      <c r="H24" s="8" cm="1">
        <f t="array" ref="H24">IFERROR(INDEX($E$11:$AE$11,MATCH(F24,$E$9:$AE$9,0)),0)</f>
        <v>0</v>
      </c>
      <c r="I24" s="9">
        <f ca="1">IFERROR(_xlfn.XLOOKUP($F24,'FCDB 2017 (full)'!$C:$C,'FCDB 2017 (full)'!$E:$E),0)</f>
        <v>0</v>
      </c>
      <c r="J24" s="10">
        <f t="shared" ca="1" si="1"/>
        <v>0</v>
      </c>
      <c r="K24" s="9">
        <f ca="1">IFERROR(_xlfn.XLOOKUP($F24,'FCDB 2017 (full)'!$C:$C,'FCDB 2017 (full)'!$G:$G),0)</f>
        <v>0</v>
      </c>
      <c r="L24" s="13">
        <f t="shared" si="2"/>
        <v>0</v>
      </c>
      <c r="M24" s="13">
        <f t="shared" si="3"/>
        <v>0</v>
      </c>
      <c r="N24" s="9">
        <f ca="1">IFERROR(_xlfn.XLOOKUP($F24,'FCDB 2017 (full)'!$C:$C,'FCDB 2017 (full)'!$H:$H),0)</f>
        <v>0</v>
      </c>
      <c r="O24" s="14">
        <f t="shared" si="4"/>
        <v>0</v>
      </c>
      <c r="P24" s="14">
        <f t="shared" si="5"/>
        <v>0</v>
      </c>
      <c r="Q24" s="9">
        <f ca="1">IFERROR(_xlfn.XLOOKUP($F24,'FCDB 2017 (full)'!$C:$C,'FCDB 2017 (full)'!$I:$I),0)</f>
        <v>0</v>
      </c>
      <c r="R24" s="15">
        <f t="shared" ca="1" si="6"/>
        <v>0</v>
      </c>
      <c r="S24" s="16">
        <f ca="1">IFERROR(_xlfn.XLOOKUP($F24,'FCDB 2017 (full)'!$C:$C,'FCDB 2017 (full)'!$J:$J)*$H24/100,0)</f>
        <v>0</v>
      </c>
      <c r="T24" s="16">
        <f ca="1">IFERROR(_xlfn.XLOOKUP($F24,'FCDB 2017 (full)'!$C:$C,'FCDB 2017 (full)'!$K:$K)*$H24/100,0)</f>
        <v>0</v>
      </c>
      <c r="U24" s="16">
        <f ca="1">IFERROR(_xlfn.XLOOKUP($F24,'FCDB 2017 (full)'!$C:$C,'FCDB 2017 (full)'!$L:$L)*$H24/100,0)</f>
        <v>0</v>
      </c>
      <c r="V24" s="16">
        <f ca="1">IFERROR(_xlfn.XLOOKUP($F24,'FCDB 2017 (full)'!$C:$C,'FCDB 2017 (full)'!$M:$M)*$H24/100,0)</f>
        <v>0</v>
      </c>
      <c r="W24" s="16">
        <f ca="1">IFERROR(_xlfn.XLOOKUP($F24,'FCDB 2017 (full)'!$C:$C,'FCDB 2017 (full)'!$N:$N)*$H24/100,0)</f>
        <v>0</v>
      </c>
      <c r="X24" s="16">
        <f ca="1">IFERROR(_xlfn.XLOOKUP($F24,'FCDB 2017 (full)'!$C:$C,'FCDB 2017 (full)'!$O:$O)*$H24/100,0)</f>
        <v>0</v>
      </c>
      <c r="Y24" s="16">
        <f ca="1">IFERROR(_xlfn.XLOOKUP($F24,'FCDB 2017 (full)'!$C:$C,'FCDB 2017 (full)'!$P:$P)*$H24/100,0)</f>
        <v>0</v>
      </c>
      <c r="Z24" s="16">
        <f ca="1">IFERROR(_xlfn.XLOOKUP($F24,'FCDB 2017 (full)'!$C:$C,'FCDB 2017 (full)'!$Q:$Q)*$H24/100,0)</f>
        <v>0</v>
      </c>
      <c r="AA24" s="16">
        <f ca="1">IFERROR(_xlfn.XLOOKUP($F24,'FCDB 2017 (full)'!$C:$C,'FCDB 2017 (full)'!$R:$R)*$H24/100,0)</f>
        <v>0</v>
      </c>
      <c r="AB24" s="16">
        <f ca="1">IFERROR(_xlfn.XLOOKUP($F24,'FCDB 2017 (full)'!$C:$C,'FCDB 2017 (full)'!$S:$S)*$H24/100,0)</f>
        <v>0</v>
      </c>
      <c r="AC24" s="16">
        <f ca="1">IFERROR(_xlfn.XLOOKUP($F24,'FCDB 2017 (full)'!$C:$C,'FCDB 2017 (full)'!$T:$T)*$H24/100,0)</f>
        <v>0</v>
      </c>
      <c r="AD24" s="16">
        <f ca="1">IFERROR(_xlfn.XLOOKUP($F24,'FCDB 2017 (full)'!$C:$C,'FCDB 2017 (full)'!$U:$U)*$H24/100,0)</f>
        <v>0</v>
      </c>
      <c r="AE24" s="16">
        <f ca="1">IFERROR(_xlfn.XLOOKUP($F24,'FCDB 2017 (full)'!$C:$C,'FCDB 2017 (full)'!$V:$V)*$H24/100,0)</f>
        <v>0</v>
      </c>
      <c r="AF24" s="16">
        <f ca="1">IFERROR(_xlfn.XLOOKUP($F24,'FCDB 2017 (full)'!$C:$C,'FCDB 2017 (full)'!$W:$W)*$H24/100,0)</f>
        <v>0</v>
      </c>
      <c r="AG24" s="16">
        <f ca="1">IFERROR(_xlfn.XLOOKUP($F24,'FCDB 2017 (full)'!$C:$C,'FCDB 2017 (full)'!$X:$X)*$H24/100,0)</f>
        <v>0</v>
      </c>
      <c r="AH24" s="16">
        <f ca="1">IFERROR(_xlfn.XLOOKUP($F24,'FCDB 2017 (full)'!$C:$C,'FCDB 2017 (full)'!$Y:$Y)*$H24/100,0)</f>
        <v>0</v>
      </c>
      <c r="AI24" s="16">
        <f ca="1">IFERROR(_xlfn.XLOOKUP($F24,'FCDB 2017 (full)'!$C:$C,'FCDB 2017 (full)'!$Z:$Z)*$H24/100,0)</f>
        <v>0</v>
      </c>
      <c r="AJ24" s="16">
        <f ca="1">IFERROR(_xlfn.XLOOKUP($F24,'FCDB 2017 (full)'!$C:$C,'FCDB 2017 (full)'!$AA:$AA)*$H24/100,0)</f>
        <v>0</v>
      </c>
      <c r="AK24" s="16">
        <f ca="1">IFERROR(_xlfn.XLOOKUP($F24,'FCDB 2017 (full)'!$C:$C,'FCDB 2017 (full)'!$AB:$AB)*$H24/100,0)</f>
        <v>0</v>
      </c>
      <c r="AL24" s="16">
        <f ca="1">IFERROR(_xlfn.XLOOKUP($F24,'FCDB 2017 (full)'!$C:$C,'FCDB 2017 (full)'!$AC:$AC)*$H24/100,0)</f>
        <v>0</v>
      </c>
      <c r="AM24" s="16">
        <f ca="1">IFERROR(_xlfn.XLOOKUP($F24,'FCDB 2017 (full)'!$C:$C,'FCDB 2017 (full)'!$AD:$AD)*$H24/100,0)</f>
        <v>0</v>
      </c>
      <c r="AN24" s="16">
        <f ca="1">IFERROR(_xlfn.XLOOKUP($F24,'FCDB 2017 (full)'!$C:$C,'FCDB 2017 (full)'!$AE:$AE)*$H24/100,0)</f>
        <v>0</v>
      </c>
      <c r="AO24" s="16">
        <f ca="1">IFERROR(_xlfn.XLOOKUP($F24,'FCDB 2017 (full)'!$C:$C,'FCDB 2017 (full)'!$AF:$AF)*$H24/100,0)</f>
        <v>0</v>
      </c>
      <c r="AP24" s="16">
        <f ca="1">IFERROR(_xlfn.XLOOKUP($F24,'FCDB 2017 (full)'!$C:$C,'FCDB 2017 (full)'!$AG:$AG)*$H24/100,0)</f>
        <v>0</v>
      </c>
      <c r="AQ24" s="16">
        <f ca="1">IFERROR(_xlfn.XLOOKUP($F24,'FCDB 2017 (full)'!$C:$C,'FCDB 2017 (full)'!$AH:$AH)*$H24/100,0)</f>
        <v>0</v>
      </c>
      <c r="AR24" s="16">
        <f ca="1">IFERROR(_xlfn.XLOOKUP($F24,'FCDB 2017 (full)'!$C:$C,'FCDB 2017 (full)'!$AI:$AI)*$H24/100,0)</f>
        <v>0</v>
      </c>
      <c r="AS24" s="16">
        <f ca="1">IFERROR(_xlfn.XLOOKUP($F24,'FCDB 2017 (full)'!$C:$C,'FCDB 2017 (full)'!$AJ:$AJ)*$H24/100,0)</f>
        <v>0</v>
      </c>
      <c r="AT24" s="16">
        <f ca="1">IFERROR(_xlfn.XLOOKUP($F24,'FCDB 2017 (full)'!$C:$C,'FCDB 2017 (full)'!$AK:$AK)*$H24/100,0)</f>
        <v>0</v>
      </c>
      <c r="AU24" s="16">
        <f ca="1">IFERROR(_xlfn.XLOOKUP($F24,'FCDB 2017 (full)'!$C:$C,'FCDB 2017 (full)'!$AK:$AK)*$H24/100,0)</f>
        <v>0</v>
      </c>
      <c r="AV24" s="16">
        <f ca="1">IFERROR(_xlfn.XLOOKUP($F24,'FCDB 2017 (full)'!$C:$C,'FCDB 2017 (full)'!$AM:$AM)*$H24/100,0)</f>
        <v>0</v>
      </c>
      <c r="AW24" s="16">
        <f ca="1">IFERROR(_xlfn.XLOOKUP($F24,'FCDB 2017 (full)'!$C:$C,'FCDB 2017 (full)'!$AN:$AN)*$H24/100,0)</f>
        <v>0</v>
      </c>
      <c r="AX24" s="16">
        <f ca="1">IFERROR(_xlfn.XLOOKUP($F24,'FCDB 2017 (full)'!$C:$C,'FCDB 2017 (full)'!$AO:$AO)*$H24/100,0)</f>
        <v>0</v>
      </c>
      <c r="AY24" s="16">
        <f ca="1">IFERROR(_xlfn.XLOOKUP($F24,'FCDB 2017 (full)'!$C:$C,'FCDB 2017 (full)'!$AP:$AP)*$H24/100,0)</f>
        <v>0</v>
      </c>
      <c r="AZ24" s="16">
        <f ca="1">IFERROR(_xlfn.XLOOKUP($F24,'FCDB 2017 (full)'!$C:$C,'FCDB 2017 (full)'!$AQ:$AQ)*$H24/100,0)</f>
        <v>0</v>
      </c>
      <c r="BA24" s="16">
        <f ca="1">IFERROR(_xlfn.XLOOKUP($F24,'FCDB 2017 (full)'!$C:$C,'FCDB 2017 (full)'!$AR:$AR)*$H24/100,0)</f>
        <v>0</v>
      </c>
      <c r="BB24" s="16">
        <f ca="1">IFERROR(_xlfn.XLOOKUP($F24,'FCDB 2017 (full)'!$C:$C,'FCDB 2017 (full)'!$AS:$AS)*$H24/100,0)</f>
        <v>0</v>
      </c>
      <c r="BC24" s="16">
        <f ca="1">IFERROR(_xlfn.XLOOKUP($F24,'FCDB 2017 (full)'!$C:$C,'FCDB 2017 (full)'!$AT:$AT)*$H24/100,0)</f>
        <v>0</v>
      </c>
      <c r="BD24" s="16">
        <f ca="1">IFERROR(_xlfn.XLOOKUP($F24,'FCDB 2017 (full)'!$C:$C,'FCDB 2017 (full)'!$AU:$AU)*$H24/100,0)</f>
        <v>0</v>
      </c>
      <c r="BE24" s="16">
        <f ca="1">IFERROR(_xlfn.XLOOKUP($F24,'FCDB 2017 (full)'!$C:$C,'FCDB 2017 (full)'!$AV:$AV)*$H24/100,0)</f>
        <v>0</v>
      </c>
      <c r="BF24" s="16">
        <f ca="1">IFERROR(_xlfn.XLOOKUP($F24,'FCDB 2017 (full)'!$C:$C,'FCDB 2017 (full)'!$AW:$AW)*$H24/100,0)</f>
        <v>0</v>
      </c>
      <c r="BG24" s="16">
        <f ca="1">IFERROR(_xlfn.XLOOKUP($F24,'FCDB 2017 (full)'!$C:$C,'FCDB 2017 (full)'!$AX:$AX)*$H24/100,0)</f>
        <v>0</v>
      </c>
      <c r="BH24" s="16">
        <f ca="1">IFERROR(_xlfn.XLOOKUP($F24,'FCDB 2017 (full)'!$C:$C,'FCDB 2017 (full)'!$AY:$AY)*$H24/100,0)</f>
        <v>0</v>
      </c>
      <c r="BI24" s="16">
        <f ca="1">IFERROR(_xlfn.XLOOKUP($F24,'FCDB 2017 (full)'!$C:$C,'FCDB 2017 (full)'!$AZ:$AZ)*$H24/100,0)</f>
        <v>0</v>
      </c>
      <c r="BJ24" s="16">
        <f ca="1">IFERROR(_xlfn.XLOOKUP($F24,'FCDB 2017 (full)'!$C:$C,'FCDB 2017 (full)'!$BA:$BA)*$H24/100,0)</f>
        <v>0</v>
      </c>
      <c r="BK24" s="16">
        <f ca="1">IFERROR(_xlfn.XLOOKUP($F24,'FCDB 2017 (full)'!$C:$C,'FCDB 2017 (full)'!$BB:$BB)*$H24/100,0)</f>
        <v>0</v>
      </c>
      <c r="BL24" s="16">
        <f ca="1">IFERROR(_xlfn.XLOOKUP($F24,'FCDB 2017 (full)'!$C:$C,'FCDB 2017 (full)'!$BC:$BC)*$H24/100,0)</f>
        <v>0</v>
      </c>
      <c r="BM24" s="16">
        <f ca="1">IFERROR(_xlfn.XLOOKUP($F24,'FCDB 2017 (full)'!$C:$C,'FCDB 2017 (full)'!$BD:$BD)*$H24/100,0)</f>
        <v>0</v>
      </c>
      <c r="BN24" s="16">
        <f ca="1">IFERROR(_xlfn.XLOOKUP($F24,'FCDB 2017 (full)'!$C:$C,'FCDB 2017 (full)'!$BE:$BE)*$H24/100,0)</f>
        <v>0</v>
      </c>
      <c r="BO24" s="16">
        <f ca="1">IFERROR(_xlfn.XLOOKUP($F24,'FCDB 2017 (full)'!$C:$C,'FCDB 2017 (full)'!$BF:$BF)*$H24/100,0)</f>
        <v>0</v>
      </c>
      <c r="BP24" s="16">
        <f ca="1">IFERROR(_xlfn.XLOOKUP($F24,'FCDB 2017 (full)'!$C:$C,'FCDB 2017 (full)'!$BG:$BG)*$H24/100,0)</f>
        <v>0</v>
      </c>
      <c r="BQ24" s="16">
        <f ca="1">IFERROR(_xlfn.XLOOKUP($F24,'FCDB 2017 (full)'!$C:$C,'FCDB 2017 (full)'!$BH:$BH)*$H24/100,0)</f>
        <v>0</v>
      </c>
      <c r="BR24" s="16">
        <f ca="1">IFERROR(_xlfn.XLOOKUP($F24,'FCDB 2017 (full)'!$C:$C,'FCDB 2017 (full)'!$BI:$BI)*$H24/100,0)</f>
        <v>0</v>
      </c>
      <c r="BS24" s="16">
        <f ca="1">IFERROR(_xlfn.XLOOKUP($F24,'FCDB 2017 (full)'!$C:$C,'FCDB 2017 (full)'!$BJ:$BJ)*$H24/100,0)</f>
        <v>0</v>
      </c>
      <c r="BT24" s="16">
        <f ca="1">IFERROR(_xlfn.XLOOKUP($F24,'FCDB 2017 (full)'!$C:$C,'FCDB 2017 (full)'!$BK:$BK)*$H24/100,0)</f>
        <v>0</v>
      </c>
      <c r="BU24" s="16">
        <f ca="1">IFERROR(_xlfn.XLOOKUP($F24,'FCDB 2017 (full)'!$C:$C,'FCDB 2017 (full)'!$BL:$BL)*$H24/100,0)</f>
        <v>0</v>
      </c>
      <c r="BV24" s="16">
        <f ca="1">IFERROR(_xlfn.XLOOKUP($F24,'FCDB 2017 (full)'!$C:$C,'FCDB 2017 (full)'!$BM:$BM)*$H24/100,0)</f>
        <v>0</v>
      </c>
      <c r="BW24" s="16">
        <f ca="1">IFERROR(_xlfn.XLOOKUP($F24,'FCDB 2017 (full)'!$C:$C,'FCDB 2017 (full)'!$BN:$BN)*$H24/100,0)</f>
        <v>0</v>
      </c>
      <c r="BX24" s="16">
        <f ca="1">IFERROR(_xlfn.XLOOKUP($F24,'FCDB 2017 (full)'!$C:$C,'FCDB 2017 (full)'!$BO:$BO)*$H24/100,0)</f>
        <v>0</v>
      </c>
      <c r="BY24" s="16">
        <f ca="1">IFERROR(_xlfn.XLOOKUP($F24,'FCDB 2017 (full)'!$C:$C,'FCDB 2017 (full)'!$BP:$BP)*$H24/100,0)</f>
        <v>0</v>
      </c>
      <c r="BZ24" s="16">
        <f ca="1">IFERROR(_xlfn.XLOOKUP($F24,'FCDB 2017 (full)'!$C:$C,'FCDB 2017 (full)'!$BQ:$BQ)*$H24/100,0)</f>
        <v>0</v>
      </c>
      <c r="CA24" s="16">
        <f ca="1">IFERROR(_xlfn.XLOOKUP($F24,'FCDB 2017 (full)'!$C:$C,'FCDB 2017 (full)'!$BR:$BR)*$H24/100,0)</f>
        <v>0</v>
      </c>
      <c r="CB24" s="16">
        <f ca="1">IFERROR(_xlfn.XLOOKUP($F24,'FCDB 2017 (full)'!$C:$C,'FCDB 2017 (full)'!$BS:$BS)*$H24/100,0)</f>
        <v>0</v>
      </c>
      <c r="CC24" s="16">
        <f ca="1">IFERROR(_xlfn.XLOOKUP($F24,'FCDB 2017 (full)'!$C:$C,'FCDB 2017 (full)'!$BT:$BT)*$H24/100,0)</f>
        <v>0</v>
      </c>
      <c r="CD24" s="16">
        <f ca="1">IFERROR(_xlfn.XLOOKUP($F24,'FCDB 2017 (full)'!$C:$C,'FCDB 2017 (full)'!$BU:$BU)*$H24/100,0)</f>
        <v>0</v>
      </c>
      <c r="CE24" s="16">
        <f ca="1">IFERROR(_xlfn.XLOOKUP($F24,'FCDB 2017 (full)'!$C:$C,'FCDB 2017 (full)'!$BV:$BV)*$H24/100,0)</f>
        <v>0</v>
      </c>
      <c r="CF24" s="16">
        <f ca="1">IFERROR(_xlfn.XLOOKUP($F24,'FCDB 2017 (full)'!$C:$C,'FCDB 2017 (full)'!$BW:$BW)*$H24/100,0)</f>
        <v>0</v>
      </c>
      <c r="CG24" s="16">
        <f ca="1">IFERROR(_xlfn.XLOOKUP($F24,'FCDB 2017 (full)'!$C:$C,'FCDB 2017 (full)'!$BX:$BX)*$H24/100,0)</f>
        <v>0</v>
      </c>
      <c r="CH24" s="16">
        <f ca="1">IFERROR(_xlfn.XLOOKUP($F24,'FCDB 2017 (full)'!$C:$C,'FCDB 2017 (full)'!$BY:$BY)*$H24/100,0)</f>
        <v>0</v>
      </c>
      <c r="CI24" s="16">
        <f ca="1">IFERROR(_xlfn.XLOOKUP($F24,'FCDB 2017 (full)'!$C:$C,'FCDB 2017 (full)'!$BZ:$BZ)*$H24/100,0)</f>
        <v>0</v>
      </c>
      <c r="CJ24" s="16">
        <f ca="1">IFERROR(_xlfn.XLOOKUP($F24,'FCDB 2017 (full)'!$C:$C,'FCDB 2017 (full)'!$CA:$CA)*$H24/100,0)</f>
        <v>0</v>
      </c>
      <c r="CK24" s="16">
        <f ca="1">IFERROR(_xlfn.XLOOKUP($F24,'FCDB 2017 (full)'!$C:$C,'FCDB 2017 (full)'!$CB:$CB)*$H24/100,0)</f>
        <v>0</v>
      </c>
      <c r="CL24" s="16">
        <f ca="1">IFERROR(_xlfn.XLOOKUP($F24,'FCDB 2017 (full)'!$C:$C,'FCDB 2017 (full)'!$CC:$CC)*$H24/100,0)</f>
        <v>0</v>
      </c>
      <c r="CM24" s="16">
        <f ca="1">IFERROR(_xlfn.XLOOKUP($F24,'FCDB 2017 (full)'!$C:$C,'FCDB 2017 (full)'!$CD:$CD)*$H24/100,0)</f>
        <v>0</v>
      </c>
      <c r="CN24" s="16">
        <f ca="1">IFERROR(_xlfn.XLOOKUP($F24,'FCDB 2017 (full)'!$C:$C,'FCDB 2017 (full)'!$CE:$CE)*$H24/100,0)</f>
        <v>0</v>
      </c>
      <c r="CO24" s="16">
        <f ca="1">IFERROR(_xlfn.XLOOKUP($F24,'FCDB 2017 (full)'!$C:$C,'FCDB 2017 (full)'!$CF:$CF)*$H24/100,0)</f>
        <v>0</v>
      </c>
      <c r="CP24" s="16">
        <f ca="1">IFERROR(_xlfn.XLOOKUP($F24,'FCDB 2017 (full)'!$C:$C,'FCDB 2017 (full)'!$CG:$CG)*$H24/100,0)</f>
        <v>0</v>
      </c>
      <c r="CQ24" s="16">
        <f ca="1">IFERROR(_xlfn.XLOOKUP($F24,'FCDB 2017 (full)'!$C:$C,'FCDB 2017 (full)'!$CH:$CH)*$H24/100,0)</f>
        <v>0</v>
      </c>
      <c r="DA24" s="73" t="s">
        <v>948</v>
      </c>
    </row>
    <row r="25" spans="5:105" customFormat="1" ht="16.8">
      <c r="F25" s="11">
        <f>IFERROR(VLOOKUP($D$9,$D:$AE,15,0),0)</f>
        <v>0</v>
      </c>
      <c r="G25" s="7" cm="1">
        <f t="array" ref="G25">IF(F25=0,0,IF(_xlfn.XLOOKUP(F25,$E$9:$AE$9,$E$10:$AE$10)=0,"Nhập ĐV/TV",_xlfn.XLOOKUP(F25,$E$9:$AE$9,$E$10:$AE$10)))</f>
        <v>0</v>
      </c>
      <c r="H25" s="8" cm="1">
        <f t="array" ref="H25">IFERROR(INDEX($E$11:$AE$11,MATCH(F25,$E$9:$AE$9,0)),0)</f>
        <v>0</v>
      </c>
      <c r="I25" s="9">
        <f ca="1">IFERROR(_xlfn.XLOOKUP($F25,'FCDB 2017 (full)'!$C:$C,'FCDB 2017 (full)'!$E:$E),0)</f>
        <v>0</v>
      </c>
      <c r="J25" s="10">
        <f t="shared" ca="1" si="1"/>
        <v>0</v>
      </c>
      <c r="K25" s="9">
        <f ca="1">IFERROR(_xlfn.XLOOKUP($F25,'FCDB 2017 (full)'!$C:$C,'FCDB 2017 (full)'!$G:$G),0)</f>
        <v>0</v>
      </c>
      <c r="L25" s="13">
        <f t="shared" si="2"/>
        <v>0</v>
      </c>
      <c r="M25" s="13">
        <f t="shared" si="3"/>
        <v>0</v>
      </c>
      <c r="N25" s="9">
        <f ca="1">IFERROR(_xlfn.XLOOKUP($F25,'FCDB 2017 (full)'!$C:$C,'FCDB 2017 (full)'!$H:$H),0)</f>
        <v>0</v>
      </c>
      <c r="O25" s="14">
        <f t="shared" si="4"/>
        <v>0</v>
      </c>
      <c r="P25" s="14">
        <f t="shared" si="5"/>
        <v>0</v>
      </c>
      <c r="Q25" s="9">
        <f ca="1">IFERROR(_xlfn.XLOOKUP($F25,'FCDB 2017 (full)'!$C:$C,'FCDB 2017 (full)'!$I:$I),0)</f>
        <v>0</v>
      </c>
      <c r="R25" s="15">
        <f t="shared" ca="1" si="6"/>
        <v>0</v>
      </c>
      <c r="S25" s="16">
        <f ca="1">IFERROR(_xlfn.XLOOKUP($F25,'FCDB 2017 (full)'!$C:$C,'FCDB 2017 (full)'!$J:$J)*$H25/100,0)</f>
        <v>0</v>
      </c>
      <c r="T25" s="16">
        <f ca="1">IFERROR(_xlfn.XLOOKUP($F25,'FCDB 2017 (full)'!$C:$C,'FCDB 2017 (full)'!$K:$K)*$H25/100,0)</f>
        <v>0</v>
      </c>
      <c r="U25" s="16">
        <f ca="1">IFERROR(_xlfn.XLOOKUP($F25,'FCDB 2017 (full)'!$C:$C,'FCDB 2017 (full)'!$L:$L)*$H25/100,0)</f>
        <v>0</v>
      </c>
      <c r="V25" s="16">
        <f ca="1">IFERROR(_xlfn.XLOOKUP($F25,'FCDB 2017 (full)'!$C:$C,'FCDB 2017 (full)'!$M:$M)*$H25/100,0)</f>
        <v>0</v>
      </c>
      <c r="W25" s="16">
        <f ca="1">IFERROR(_xlfn.XLOOKUP($F25,'FCDB 2017 (full)'!$C:$C,'FCDB 2017 (full)'!$N:$N)*$H25/100,0)</f>
        <v>0</v>
      </c>
      <c r="X25" s="16">
        <f ca="1">IFERROR(_xlfn.XLOOKUP($F25,'FCDB 2017 (full)'!$C:$C,'FCDB 2017 (full)'!$O:$O)*$H25/100,0)</f>
        <v>0</v>
      </c>
      <c r="Y25" s="16">
        <f ca="1">IFERROR(_xlfn.XLOOKUP($F25,'FCDB 2017 (full)'!$C:$C,'FCDB 2017 (full)'!$P:$P)*$H25/100,0)</f>
        <v>0</v>
      </c>
      <c r="Z25" s="16">
        <f ca="1">IFERROR(_xlfn.XLOOKUP($F25,'FCDB 2017 (full)'!$C:$C,'FCDB 2017 (full)'!$Q:$Q)*$H25/100,0)</f>
        <v>0</v>
      </c>
      <c r="AA25" s="16">
        <f ca="1">IFERROR(_xlfn.XLOOKUP($F25,'FCDB 2017 (full)'!$C:$C,'FCDB 2017 (full)'!$R:$R)*$H25/100,0)</f>
        <v>0</v>
      </c>
      <c r="AB25" s="16">
        <f ca="1">IFERROR(_xlfn.XLOOKUP($F25,'FCDB 2017 (full)'!$C:$C,'FCDB 2017 (full)'!$S:$S)*$H25/100,0)</f>
        <v>0</v>
      </c>
      <c r="AC25" s="16">
        <f ca="1">IFERROR(_xlfn.XLOOKUP($F25,'FCDB 2017 (full)'!$C:$C,'FCDB 2017 (full)'!$T:$T)*$H25/100,0)</f>
        <v>0</v>
      </c>
      <c r="AD25" s="16">
        <f ca="1">IFERROR(_xlfn.XLOOKUP($F25,'FCDB 2017 (full)'!$C:$C,'FCDB 2017 (full)'!$U:$U)*$H25/100,0)</f>
        <v>0</v>
      </c>
      <c r="AE25" s="16">
        <f ca="1">IFERROR(_xlfn.XLOOKUP($F25,'FCDB 2017 (full)'!$C:$C,'FCDB 2017 (full)'!$V:$V)*$H25/100,0)</f>
        <v>0</v>
      </c>
      <c r="AF25" s="16">
        <f ca="1">IFERROR(_xlfn.XLOOKUP($F25,'FCDB 2017 (full)'!$C:$C,'FCDB 2017 (full)'!$W:$W)*$H25/100,0)</f>
        <v>0</v>
      </c>
      <c r="AG25" s="16">
        <f ca="1">IFERROR(_xlfn.XLOOKUP($F25,'FCDB 2017 (full)'!$C:$C,'FCDB 2017 (full)'!$X:$X)*$H25/100,0)</f>
        <v>0</v>
      </c>
      <c r="AH25" s="16">
        <f ca="1">IFERROR(_xlfn.XLOOKUP($F25,'FCDB 2017 (full)'!$C:$C,'FCDB 2017 (full)'!$Y:$Y)*$H25/100,0)</f>
        <v>0</v>
      </c>
      <c r="AI25" s="16">
        <f ca="1">IFERROR(_xlfn.XLOOKUP($F25,'FCDB 2017 (full)'!$C:$C,'FCDB 2017 (full)'!$Z:$Z)*$H25/100,0)</f>
        <v>0</v>
      </c>
      <c r="AJ25" s="16">
        <f ca="1">IFERROR(_xlfn.XLOOKUP($F25,'FCDB 2017 (full)'!$C:$C,'FCDB 2017 (full)'!$AA:$AA)*$H25/100,0)</f>
        <v>0</v>
      </c>
      <c r="AK25" s="16">
        <f ca="1">IFERROR(_xlfn.XLOOKUP($F25,'FCDB 2017 (full)'!$C:$C,'FCDB 2017 (full)'!$AB:$AB)*$H25/100,0)</f>
        <v>0</v>
      </c>
      <c r="AL25" s="16">
        <f ca="1">IFERROR(_xlfn.XLOOKUP($F25,'FCDB 2017 (full)'!$C:$C,'FCDB 2017 (full)'!$AC:$AC)*$H25/100,0)</f>
        <v>0</v>
      </c>
      <c r="AM25" s="16">
        <f ca="1">IFERROR(_xlfn.XLOOKUP($F25,'FCDB 2017 (full)'!$C:$C,'FCDB 2017 (full)'!$AD:$AD)*$H25/100,0)</f>
        <v>0</v>
      </c>
      <c r="AN25" s="16">
        <f ca="1">IFERROR(_xlfn.XLOOKUP($F25,'FCDB 2017 (full)'!$C:$C,'FCDB 2017 (full)'!$AE:$AE)*$H25/100,0)</f>
        <v>0</v>
      </c>
      <c r="AO25" s="16">
        <f ca="1">IFERROR(_xlfn.XLOOKUP($F25,'FCDB 2017 (full)'!$C:$C,'FCDB 2017 (full)'!$AF:$AF)*$H25/100,0)</f>
        <v>0</v>
      </c>
      <c r="AP25" s="16">
        <f ca="1">IFERROR(_xlfn.XLOOKUP($F25,'FCDB 2017 (full)'!$C:$C,'FCDB 2017 (full)'!$AG:$AG)*$H25/100,0)</f>
        <v>0</v>
      </c>
      <c r="AQ25" s="16">
        <f ca="1">IFERROR(_xlfn.XLOOKUP($F25,'FCDB 2017 (full)'!$C:$C,'FCDB 2017 (full)'!$AH:$AH)*$H25/100,0)</f>
        <v>0</v>
      </c>
      <c r="AR25" s="16">
        <f ca="1">IFERROR(_xlfn.XLOOKUP($F25,'FCDB 2017 (full)'!$C:$C,'FCDB 2017 (full)'!$AI:$AI)*$H25/100,0)</f>
        <v>0</v>
      </c>
      <c r="AS25" s="16">
        <f ca="1">IFERROR(_xlfn.XLOOKUP($F25,'FCDB 2017 (full)'!$C:$C,'FCDB 2017 (full)'!$AJ:$AJ)*$H25/100,0)</f>
        <v>0</v>
      </c>
      <c r="AT25" s="16">
        <f ca="1">IFERROR(_xlfn.XLOOKUP($F25,'FCDB 2017 (full)'!$C:$C,'FCDB 2017 (full)'!$AK:$AK)*$H25/100,0)</f>
        <v>0</v>
      </c>
      <c r="AU25" s="16">
        <f ca="1">IFERROR(_xlfn.XLOOKUP($F25,'FCDB 2017 (full)'!$C:$C,'FCDB 2017 (full)'!$AK:$AK)*$H25/100,0)</f>
        <v>0</v>
      </c>
      <c r="AV25" s="16">
        <f ca="1">IFERROR(_xlfn.XLOOKUP($F25,'FCDB 2017 (full)'!$C:$C,'FCDB 2017 (full)'!$AM:$AM)*$H25/100,0)</f>
        <v>0</v>
      </c>
      <c r="AW25" s="16">
        <f ca="1">IFERROR(_xlfn.XLOOKUP($F25,'FCDB 2017 (full)'!$C:$C,'FCDB 2017 (full)'!$AN:$AN)*$H25/100,0)</f>
        <v>0</v>
      </c>
      <c r="AX25" s="16">
        <f ca="1">IFERROR(_xlfn.XLOOKUP($F25,'FCDB 2017 (full)'!$C:$C,'FCDB 2017 (full)'!$AO:$AO)*$H25/100,0)</f>
        <v>0</v>
      </c>
      <c r="AY25" s="16">
        <f ca="1">IFERROR(_xlfn.XLOOKUP($F25,'FCDB 2017 (full)'!$C:$C,'FCDB 2017 (full)'!$AP:$AP)*$H25/100,0)</f>
        <v>0</v>
      </c>
      <c r="AZ25" s="16">
        <f ca="1">IFERROR(_xlfn.XLOOKUP($F25,'FCDB 2017 (full)'!$C:$C,'FCDB 2017 (full)'!$AQ:$AQ)*$H25/100,0)</f>
        <v>0</v>
      </c>
      <c r="BA25" s="16">
        <f ca="1">IFERROR(_xlfn.XLOOKUP($F25,'FCDB 2017 (full)'!$C:$C,'FCDB 2017 (full)'!$AR:$AR)*$H25/100,0)</f>
        <v>0</v>
      </c>
      <c r="BB25" s="16">
        <f ca="1">IFERROR(_xlfn.XLOOKUP($F25,'FCDB 2017 (full)'!$C:$C,'FCDB 2017 (full)'!$AS:$AS)*$H25/100,0)</f>
        <v>0</v>
      </c>
      <c r="BC25" s="16">
        <f ca="1">IFERROR(_xlfn.XLOOKUP($F25,'FCDB 2017 (full)'!$C:$C,'FCDB 2017 (full)'!$AT:$AT)*$H25/100,0)</f>
        <v>0</v>
      </c>
      <c r="BD25" s="16">
        <f ca="1">IFERROR(_xlfn.XLOOKUP($F25,'FCDB 2017 (full)'!$C:$C,'FCDB 2017 (full)'!$AU:$AU)*$H25/100,0)</f>
        <v>0</v>
      </c>
      <c r="BE25" s="16">
        <f ca="1">IFERROR(_xlfn.XLOOKUP($F25,'FCDB 2017 (full)'!$C:$C,'FCDB 2017 (full)'!$AV:$AV)*$H25/100,0)</f>
        <v>0</v>
      </c>
      <c r="BF25" s="16">
        <f ca="1">IFERROR(_xlfn.XLOOKUP($F25,'FCDB 2017 (full)'!$C:$C,'FCDB 2017 (full)'!$AW:$AW)*$H25/100,0)</f>
        <v>0</v>
      </c>
      <c r="BG25" s="16">
        <f ca="1">IFERROR(_xlfn.XLOOKUP($F25,'FCDB 2017 (full)'!$C:$C,'FCDB 2017 (full)'!$AX:$AX)*$H25/100,0)</f>
        <v>0</v>
      </c>
      <c r="BH25" s="16">
        <f ca="1">IFERROR(_xlfn.XLOOKUP($F25,'FCDB 2017 (full)'!$C:$C,'FCDB 2017 (full)'!$AY:$AY)*$H25/100,0)</f>
        <v>0</v>
      </c>
      <c r="BI25" s="16">
        <f ca="1">IFERROR(_xlfn.XLOOKUP($F25,'FCDB 2017 (full)'!$C:$C,'FCDB 2017 (full)'!$AZ:$AZ)*$H25/100,0)</f>
        <v>0</v>
      </c>
      <c r="BJ25" s="16">
        <f ca="1">IFERROR(_xlfn.XLOOKUP($F25,'FCDB 2017 (full)'!$C:$C,'FCDB 2017 (full)'!$BA:$BA)*$H25/100,0)</f>
        <v>0</v>
      </c>
      <c r="BK25" s="16">
        <f ca="1">IFERROR(_xlfn.XLOOKUP($F25,'FCDB 2017 (full)'!$C:$C,'FCDB 2017 (full)'!$BB:$BB)*$H25/100,0)</f>
        <v>0</v>
      </c>
      <c r="BL25" s="16">
        <f ca="1">IFERROR(_xlfn.XLOOKUP($F25,'FCDB 2017 (full)'!$C:$C,'FCDB 2017 (full)'!$BC:$BC)*$H25/100,0)</f>
        <v>0</v>
      </c>
      <c r="BM25" s="16">
        <f ca="1">IFERROR(_xlfn.XLOOKUP($F25,'FCDB 2017 (full)'!$C:$C,'FCDB 2017 (full)'!$BD:$BD)*$H25/100,0)</f>
        <v>0</v>
      </c>
      <c r="BN25" s="16">
        <f ca="1">IFERROR(_xlfn.XLOOKUP($F25,'FCDB 2017 (full)'!$C:$C,'FCDB 2017 (full)'!$BE:$BE)*$H25/100,0)</f>
        <v>0</v>
      </c>
      <c r="BO25" s="16">
        <f ca="1">IFERROR(_xlfn.XLOOKUP($F25,'FCDB 2017 (full)'!$C:$C,'FCDB 2017 (full)'!$BF:$BF)*$H25/100,0)</f>
        <v>0</v>
      </c>
      <c r="BP25" s="16">
        <f ca="1">IFERROR(_xlfn.XLOOKUP($F25,'FCDB 2017 (full)'!$C:$C,'FCDB 2017 (full)'!$BG:$BG)*$H25/100,0)</f>
        <v>0</v>
      </c>
      <c r="BQ25" s="16">
        <f ca="1">IFERROR(_xlfn.XLOOKUP($F25,'FCDB 2017 (full)'!$C:$C,'FCDB 2017 (full)'!$BH:$BH)*$H25/100,0)</f>
        <v>0</v>
      </c>
      <c r="BR25" s="16">
        <f ca="1">IFERROR(_xlfn.XLOOKUP($F25,'FCDB 2017 (full)'!$C:$C,'FCDB 2017 (full)'!$BI:$BI)*$H25/100,0)</f>
        <v>0</v>
      </c>
      <c r="BS25" s="16">
        <f ca="1">IFERROR(_xlfn.XLOOKUP($F25,'FCDB 2017 (full)'!$C:$C,'FCDB 2017 (full)'!$BJ:$BJ)*$H25/100,0)</f>
        <v>0</v>
      </c>
      <c r="BT25" s="16">
        <f ca="1">IFERROR(_xlfn.XLOOKUP($F25,'FCDB 2017 (full)'!$C:$C,'FCDB 2017 (full)'!$BK:$BK)*$H25/100,0)</f>
        <v>0</v>
      </c>
      <c r="BU25" s="16">
        <f ca="1">IFERROR(_xlfn.XLOOKUP($F25,'FCDB 2017 (full)'!$C:$C,'FCDB 2017 (full)'!$BL:$BL)*$H25/100,0)</f>
        <v>0</v>
      </c>
      <c r="BV25" s="16">
        <f ca="1">IFERROR(_xlfn.XLOOKUP($F25,'FCDB 2017 (full)'!$C:$C,'FCDB 2017 (full)'!$BM:$BM)*$H25/100,0)</f>
        <v>0</v>
      </c>
      <c r="BW25" s="16">
        <f ca="1">IFERROR(_xlfn.XLOOKUP($F25,'FCDB 2017 (full)'!$C:$C,'FCDB 2017 (full)'!$BN:$BN)*$H25/100,0)</f>
        <v>0</v>
      </c>
      <c r="BX25" s="16">
        <f ca="1">IFERROR(_xlfn.XLOOKUP($F25,'FCDB 2017 (full)'!$C:$C,'FCDB 2017 (full)'!$BO:$BO)*$H25/100,0)</f>
        <v>0</v>
      </c>
      <c r="BY25" s="16">
        <f ca="1">IFERROR(_xlfn.XLOOKUP($F25,'FCDB 2017 (full)'!$C:$C,'FCDB 2017 (full)'!$BP:$BP)*$H25/100,0)</f>
        <v>0</v>
      </c>
      <c r="BZ25" s="16">
        <f ca="1">IFERROR(_xlfn.XLOOKUP($F25,'FCDB 2017 (full)'!$C:$C,'FCDB 2017 (full)'!$BQ:$BQ)*$H25/100,0)</f>
        <v>0</v>
      </c>
      <c r="CA25" s="16">
        <f ca="1">IFERROR(_xlfn.XLOOKUP($F25,'FCDB 2017 (full)'!$C:$C,'FCDB 2017 (full)'!$BR:$BR)*$H25/100,0)</f>
        <v>0</v>
      </c>
      <c r="CB25" s="16">
        <f ca="1">IFERROR(_xlfn.XLOOKUP($F25,'FCDB 2017 (full)'!$C:$C,'FCDB 2017 (full)'!$BS:$BS)*$H25/100,0)</f>
        <v>0</v>
      </c>
      <c r="CC25" s="16">
        <f ca="1">IFERROR(_xlfn.XLOOKUP($F25,'FCDB 2017 (full)'!$C:$C,'FCDB 2017 (full)'!$BT:$BT)*$H25/100,0)</f>
        <v>0</v>
      </c>
      <c r="CD25" s="16">
        <f ca="1">IFERROR(_xlfn.XLOOKUP($F25,'FCDB 2017 (full)'!$C:$C,'FCDB 2017 (full)'!$BU:$BU)*$H25/100,0)</f>
        <v>0</v>
      </c>
      <c r="CE25" s="16">
        <f ca="1">IFERROR(_xlfn.XLOOKUP($F25,'FCDB 2017 (full)'!$C:$C,'FCDB 2017 (full)'!$BV:$BV)*$H25/100,0)</f>
        <v>0</v>
      </c>
      <c r="CF25" s="16">
        <f ca="1">IFERROR(_xlfn.XLOOKUP($F25,'FCDB 2017 (full)'!$C:$C,'FCDB 2017 (full)'!$BW:$BW)*$H25/100,0)</f>
        <v>0</v>
      </c>
      <c r="CG25" s="16">
        <f ca="1">IFERROR(_xlfn.XLOOKUP($F25,'FCDB 2017 (full)'!$C:$C,'FCDB 2017 (full)'!$BX:$BX)*$H25/100,0)</f>
        <v>0</v>
      </c>
      <c r="CH25" s="16">
        <f ca="1">IFERROR(_xlfn.XLOOKUP($F25,'FCDB 2017 (full)'!$C:$C,'FCDB 2017 (full)'!$BY:$BY)*$H25/100,0)</f>
        <v>0</v>
      </c>
      <c r="CI25" s="16">
        <f ca="1">IFERROR(_xlfn.XLOOKUP($F25,'FCDB 2017 (full)'!$C:$C,'FCDB 2017 (full)'!$BZ:$BZ)*$H25/100,0)</f>
        <v>0</v>
      </c>
      <c r="CJ25" s="16">
        <f ca="1">IFERROR(_xlfn.XLOOKUP($F25,'FCDB 2017 (full)'!$C:$C,'FCDB 2017 (full)'!$CA:$CA)*$H25/100,0)</f>
        <v>0</v>
      </c>
      <c r="CK25" s="16">
        <f ca="1">IFERROR(_xlfn.XLOOKUP($F25,'FCDB 2017 (full)'!$C:$C,'FCDB 2017 (full)'!$CB:$CB)*$H25/100,0)</f>
        <v>0</v>
      </c>
      <c r="CL25" s="16">
        <f ca="1">IFERROR(_xlfn.XLOOKUP($F25,'FCDB 2017 (full)'!$C:$C,'FCDB 2017 (full)'!$CC:$CC)*$H25/100,0)</f>
        <v>0</v>
      </c>
      <c r="CM25" s="16">
        <f ca="1">IFERROR(_xlfn.XLOOKUP($F25,'FCDB 2017 (full)'!$C:$C,'FCDB 2017 (full)'!$CD:$CD)*$H25/100,0)</f>
        <v>0</v>
      </c>
      <c r="CN25" s="16">
        <f ca="1">IFERROR(_xlfn.XLOOKUP($F25,'FCDB 2017 (full)'!$C:$C,'FCDB 2017 (full)'!$CE:$CE)*$H25/100,0)</f>
        <v>0</v>
      </c>
      <c r="CO25" s="16">
        <f ca="1">IFERROR(_xlfn.XLOOKUP($F25,'FCDB 2017 (full)'!$C:$C,'FCDB 2017 (full)'!$CF:$CF)*$H25/100,0)</f>
        <v>0</v>
      </c>
      <c r="CP25" s="16">
        <f ca="1">IFERROR(_xlfn.XLOOKUP($F25,'FCDB 2017 (full)'!$C:$C,'FCDB 2017 (full)'!$CG:$CG)*$H25/100,0)</f>
        <v>0</v>
      </c>
      <c r="CQ25" s="16">
        <f ca="1">IFERROR(_xlfn.XLOOKUP($F25,'FCDB 2017 (full)'!$C:$C,'FCDB 2017 (full)'!$CH:$CH)*$H25/100,0)</f>
        <v>0</v>
      </c>
      <c r="DA25" s="72" t="s">
        <v>948</v>
      </c>
    </row>
    <row r="26" spans="5:105" customFormat="1" ht="16.8">
      <c r="F26" s="11">
        <f>IFERROR(VLOOKUP($D$9,$D:$AE,16,0),0)</f>
        <v>0</v>
      </c>
      <c r="G26" s="7" cm="1">
        <f t="array" ref="G26">IF(F26=0,0,IF(_xlfn.XLOOKUP(F26,$E$9:$AE$9,$E$10:$AE$10)=0,"Nhập ĐV/TV",_xlfn.XLOOKUP(F26,$E$9:$AE$9,$E$10:$AE$10)))</f>
        <v>0</v>
      </c>
      <c r="H26" s="8" cm="1">
        <f t="array" ref="H26">IFERROR(INDEX($E$11:$AE$11,MATCH(F26,$E$9:$AE$9,0)),0)</f>
        <v>0</v>
      </c>
      <c r="I26" s="9">
        <f ca="1">IFERROR(_xlfn.XLOOKUP($F26,'FCDB 2017 (full)'!$C:$C,'FCDB 2017 (full)'!$E:$E),0)</f>
        <v>0</v>
      </c>
      <c r="J26" s="10">
        <f t="shared" ca="1" si="1"/>
        <v>0</v>
      </c>
      <c r="K26" s="9">
        <f ca="1">IFERROR(_xlfn.XLOOKUP($F26,'FCDB 2017 (full)'!$C:$C,'FCDB 2017 (full)'!$G:$G),0)</f>
        <v>0</v>
      </c>
      <c r="L26" s="13">
        <f t="shared" si="2"/>
        <v>0</v>
      </c>
      <c r="M26" s="13">
        <f t="shared" si="3"/>
        <v>0</v>
      </c>
      <c r="N26" s="9">
        <f ca="1">IFERROR(_xlfn.XLOOKUP($F26,'FCDB 2017 (full)'!$C:$C,'FCDB 2017 (full)'!$H:$H),0)</f>
        <v>0</v>
      </c>
      <c r="O26" s="14">
        <f t="shared" si="4"/>
        <v>0</v>
      </c>
      <c r="P26" s="14">
        <f t="shared" si="5"/>
        <v>0</v>
      </c>
      <c r="Q26" s="9">
        <f ca="1">IFERROR(_xlfn.XLOOKUP($F26,'FCDB 2017 (full)'!$C:$C,'FCDB 2017 (full)'!$I:$I),0)</f>
        <v>0</v>
      </c>
      <c r="R26" s="15">
        <f t="shared" ca="1" si="6"/>
        <v>0</v>
      </c>
      <c r="S26" s="16">
        <f ca="1">IFERROR(_xlfn.XLOOKUP($F26,'FCDB 2017 (full)'!$C:$C,'FCDB 2017 (full)'!$J:$J)*$H26/100,0)</f>
        <v>0</v>
      </c>
      <c r="T26" s="16">
        <f ca="1">IFERROR(_xlfn.XLOOKUP($F26,'FCDB 2017 (full)'!$C:$C,'FCDB 2017 (full)'!$K:$K)*$H26/100,0)</f>
        <v>0</v>
      </c>
      <c r="U26" s="16">
        <f ca="1">IFERROR(_xlfn.XLOOKUP($F26,'FCDB 2017 (full)'!$C:$C,'FCDB 2017 (full)'!$L:$L)*$H26/100,0)</f>
        <v>0</v>
      </c>
      <c r="V26" s="16">
        <f ca="1">IFERROR(_xlfn.XLOOKUP($F26,'FCDB 2017 (full)'!$C:$C,'FCDB 2017 (full)'!$M:$M)*$H26/100,0)</f>
        <v>0</v>
      </c>
      <c r="W26" s="16">
        <f ca="1">IFERROR(_xlfn.XLOOKUP($F26,'FCDB 2017 (full)'!$C:$C,'FCDB 2017 (full)'!$N:$N)*$H26/100,0)</f>
        <v>0</v>
      </c>
      <c r="X26" s="16">
        <f ca="1">IFERROR(_xlfn.XLOOKUP($F26,'FCDB 2017 (full)'!$C:$C,'FCDB 2017 (full)'!$O:$O)*$H26/100,0)</f>
        <v>0</v>
      </c>
      <c r="Y26" s="16">
        <f ca="1">IFERROR(_xlfn.XLOOKUP($F26,'FCDB 2017 (full)'!$C:$C,'FCDB 2017 (full)'!$P:$P)*$H26/100,0)</f>
        <v>0</v>
      </c>
      <c r="Z26" s="16">
        <f ca="1">IFERROR(_xlfn.XLOOKUP($F26,'FCDB 2017 (full)'!$C:$C,'FCDB 2017 (full)'!$Q:$Q)*$H26/100,0)</f>
        <v>0</v>
      </c>
      <c r="AA26" s="16">
        <f ca="1">IFERROR(_xlfn.XLOOKUP($F26,'FCDB 2017 (full)'!$C:$C,'FCDB 2017 (full)'!$R:$R)*$H26/100,0)</f>
        <v>0</v>
      </c>
      <c r="AB26" s="16">
        <f ca="1">IFERROR(_xlfn.XLOOKUP($F26,'FCDB 2017 (full)'!$C:$C,'FCDB 2017 (full)'!$S:$S)*$H26/100,0)</f>
        <v>0</v>
      </c>
      <c r="AC26" s="16">
        <f ca="1">IFERROR(_xlfn.XLOOKUP($F26,'FCDB 2017 (full)'!$C:$C,'FCDB 2017 (full)'!$T:$T)*$H26/100,0)</f>
        <v>0</v>
      </c>
      <c r="AD26" s="16">
        <f ca="1">IFERROR(_xlfn.XLOOKUP($F26,'FCDB 2017 (full)'!$C:$C,'FCDB 2017 (full)'!$U:$U)*$H26/100,0)</f>
        <v>0</v>
      </c>
      <c r="AE26" s="16">
        <f ca="1">IFERROR(_xlfn.XLOOKUP($F26,'FCDB 2017 (full)'!$C:$C,'FCDB 2017 (full)'!$V:$V)*$H26/100,0)</f>
        <v>0</v>
      </c>
      <c r="AF26" s="16">
        <f ca="1">IFERROR(_xlfn.XLOOKUP($F26,'FCDB 2017 (full)'!$C:$C,'FCDB 2017 (full)'!$W:$W)*$H26/100,0)</f>
        <v>0</v>
      </c>
      <c r="AG26" s="16">
        <f ca="1">IFERROR(_xlfn.XLOOKUP($F26,'FCDB 2017 (full)'!$C:$C,'FCDB 2017 (full)'!$X:$X)*$H26/100,0)</f>
        <v>0</v>
      </c>
      <c r="AH26" s="16">
        <f ca="1">IFERROR(_xlfn.XLOOKUP($F26,'FCDB 2017 (full)'!$C:$C,'FCDB 2017 (full)'!$Y:$Y)*$H26/100,0)</f>
        <v>0</v>
      </c>
      <c r="AI26" s="16">
        <f ca="1">IFERROR(_xlfn.XLOOKUP($F26,'FCDB 2017 (full)'!$C:$C,'FCDB 2017 (full)'!$Z:$Z)*$H26/100,0)</f>
        <v>0</v>
      </c>
      <c r="AJ26" s="16">
        <f ca="1">IFERROR(_xlfn.XLOOKUP($F26,'FCDB 2017 (full)'!$C:$C,'FCDB 2017 (full)'!$AA:$AA)*$H26/100,0)</f>
        <v>0</v>
      </c>
      <c r="AK26" s="16">
        <f ca="1">IFERROR(_xlfn.XLOOKUP($F26,'FCDB 2017 (full)'!$C:$C,'FCDB 2017 (full)'!$AB:$AB)*$H26/100,0)</f>
        <v>0</v>
      </c>
      <c r="AL26" s="16">
        <f ca="1">IFERROR(_xlfn.XLOOKUP($F26,'FCDB 2017 (full)'!$C:$C,'FCDB 2017 (full)'!$AC:$AC)*$H26/100,0)</f>
        <v>0</v>
      </c>
      <c r="AM26" s="16">
        <f ca="1">IFERROR(_xlfn.XLOOKUP($F26,'FCDB 2017 (full)'!$C:$C,'FCDB 2017 (full)'!$AD:$AD)*$H26/100,0)</f>
        <v>0</v>
      </c>
      <c r="AN26" s="16">
        <f ca="1">IFERROR(_xlfn.XLOOKUP($F26,'FCDB 2017 (full)'!$C:$C,'FCDB 2017 (full)'!$AE:$AE)*$H26/100,0)</f>
        <v>0</v>
      </c>
      <c r="AO26" s="16">
        <f ca="1">IFERROR(_xlfn.XLOOKUP($F26,'FCDB 2017 (full)'!$C:$C,'FCDB 2017 (full)'!$AF:$AF)*$H26/100,0)</f>
        <v>0</v>
      </c>
      <c r="AP26" s="16">
        <f ca="1">IFERROR(_xlfn.XLOOKUP($F26,'FCDB 2017 (full)'!$C:$C,'FCDB 2017 (full)'!$AG:$AG)*$H26/100,0)</f>
        <v>0</v>
      </c>
      <c r="AQ26" s="16">
        <f ca="1">IFERROR(_xlfn.XLOOKUP($F26,'FCDB 2017 (full)'!$C:$C,'FCDB 2017 (full)'!$AH:$AH)*$H26/100,0)</f>
        <v>0</v>
      </c>
      <c r="AR26" s="16">
        <f ca="1">IFERROR(_xlfn.XLOOKUP($F26,'FCDB 2017 (full)'!$C:$C,'FCDB 2017 (full)'!$AI:$AI)*$H26/100,0)</f>
        <v>0</v>
      </c>
      <c r="AS26" s="16">
        <f ca="1">IFERROR(_xlfn.XLOOKUP($F26,'FCDB 2017 (full)'!$C:$C,'FCDB 2017 (full)'!$AJ:$AJ)*$H26/100,0)</f>
        <v>0</v>
      </c>
      <c r="AT26" s="16">
        <f ca="1">IFERROR(_xlfn.XLOOKUP($F26,'FCDB 2017 (full)'!$C:$C,'FCDB 2017 (full)'!$AK:$AK)*$H26/100,0)</f>
        <v>0</v>
      </c>
      <c r="AU26" s="16">
        <f ca="1">IFERROR(_xlfn.XLOOKUP($F26,'FCDB 2017 (full)'!$C:$C,'FCDB 2017 (full)'!$AK:$AK)*$H26/100,0)</f>
        <v>0</v>
      </c>
      <c r="AV26" s="16">
        <f ca="1">IFERROR(_xlfn.XLOOKUP($F26,'FCDB 2017 (full)'!$C:$C,'FCDB 2017 (full)'!$AM:$AM)*$H26/100,0)</f>
        <v>0</v>
      </c>
      <c r="AW26" s="16">
        <f ca="1">IFERROR(_xlfn.XLOOKUP($F26,'FCDB 2017 (full)'!$C:$C,'FCDB 2017 (full)'!$AN:$AN)*$H26/100,0)</f>
        <v>0</v>
      </c>
      <c r="AX26" s="16">
        <f ca="1">IFERROR(_xlfn.XLOOKUP($F26,'FCDB 2017 (full)'!$C:$C,'FCDB 2017 (full)'!$AO:$AO)*$H26/100,0)</f>
        <v>0</v>
      </c>
      <c r="AY26" s="16">
        <f ca="1">IFERROR(_xlfn.XLOOKUP($F26,'FCDB 2017 (full)'!$C:$C,'FCDB 2017 (full)'!$AP:$AP)*$H26/100,0)</f>
        <v>0</v>
      </c>
      <c r="AZ26" s="16">
        <f ca="1">IFERROR(_xlfn.XLOOKUP($F26,'FCDB 2017 (full)'!$C:$C,'FCDB 2017 (full)'!$AQ:$AQ)*$H26/100,0)</f>
        <v>0</v>
      </c>
      <c r="BA26" s="16">
        <f ca="1">IFERROR(_xlfn.XLOOKUP($F26,'FCDB 2017 (full)'!$C:$C,'FCDB 2017 (full)'!$AR:$AR)*$H26/100,0)</f>
        <v>0</v>
      </c>
      <c r="BB26" s="16">
        <f ca="1">IFERROR(_xlfn.XLOOKUP($F26,'FCDB 2017 (full)'!$C:$C,'FCDB 2017 (full)'!$AS:$AS)*$H26/100,0)</f>
        <v>0</v>
      </c>
      <c r="BC26" s="16">
        <f ca="1">IFERROR(_xlfn.XLOOKUP($F26,'FCDB 2017 (full)'!$C:$C,'FCDB 2017 (full)'!$AT:$AT)*$H26/100,0)</f>
        <v>0</v>
      </c>
      <c r="BD26" s="16">
        <f ca="1">IFERROR(_xlfn.XLOOKUP($F26,'FCDB 2017 (full)'!$C:$C,'FCDB 2017 (full)'!$AU:$AU)*$H26/100,0)</f>
        <v>0</v>
      </c>
      <c r="BE26" s="16">
        <f ca="1">IFERROR(_xlfn.XLOOKUP($F26,'FCDB 2017 (full)'!$C:$C,'FCDB 2017 (full)'!$AV:$AV)*$H26/100,0)</f>
        <v>0</v>
      </c>
      <c r="BF26" s="16">
        <f ca="1">IFERROR(_xlfn.XLOOKUP($F26,'FCDB 2017 (full)'!$C:$C,'FCDB 2017 (full)'!$AW:$AW)*$H26/100,0)</f>
        <v>0</v>
      </c>
      <c r="BG26" s="16">
        <f ca="1">IFERROR(_xlfn.XLOOKUP($F26,'FCDB 2017 (full)'!$C:$C,'FCDB 2017 (full)'!$AX:$AX)*$H26/100,0)</f>
        <v>0</v>
      </c>
      <c r="BH26" s="16">
        <f ca="1">IFERROR(_xlfn.XLOOKUP($F26,'FCDB 2017 (full)'!$C:$C,'FCDB 2017 (full)'!$AY:$AY)*$H26/100,0)</f>
        <v>0</v>
      </c>
      <c r="BI26" s="16">
        <f ca="1">IFERROR(_xlfn.XLOOKUP($F26,'FCDB 2017 (full)'!$C:$C,'FCDB 2017 (full)'!$AZ:$AZ)*$H26/100,0)</f>
        <v>0</v>
      </c>
      <c r="BJ26" s="16">
        <f ca="1">IFERROR(_xlfn.XLOOKUP($F26,'FCDB 2017 (full)'!$C:$C,'FCDB 2017 (full)'!$BA:$BA)*$H26/100,0)</f>
        <v>0</v>
      </c>
      <c r="BK26" s="16">
        <f ca="1">IFERROR(_xlfn.XLOOKUP($F26,'FCDB 2017 (full)'!$C:$C,'FCDB 2017 (full)'!$BB:$BB)*$H26/100,0)</f>
        <v>0</v>
      </c>
      <c r="BL26" s="16">
        <f ca="1">IFERROR(_xlfn.XLOOKUP($F26,'FCDB 2017 (full)'!$C:$C,'FCDB 2017 (full)'!$BC:$BC)*$H26/100,0)</f>
        <v>0</v>
      </c>
      <c r="BM26" s="16">
        <f ca="1">IFERROR(_xlfn.XLOOKUP($F26,'FCDB 2017 (full)'!$C:$C,'FCDB 2017 (full)'!$BD:$BD)*$H26/100,0)</f>
        <v>0</v>
      </c>
      <c r="BN26" s="16">
        <f ca="1">IFERROR(_xlfn.XLOOKUP($F26,'FCDB 2017 (full)'!$C:$C,'FCDB 2017 (full)'!$BE:$BE)*$H26/100,0)</f>
        <v>0</v>
      </c>
      <c r="BO26" s="16">
        <f ca="1">IFERROR(_xlfn.XLOOKUP($F26,'FCDB 2017 (full)'!$C:$C,'FCDB 2017 (full)'!$BF:$BF)*$H26/100,0)</f>
        <v>0</v>
      </c>
      <c r="BP26" s="16">
        <f ca="1">IFERROR(_xlfn.XLOOKUP($F26,'FCDB 2017 (full)'!$C:$C,'FCDB 2017 (full)'!$BG:$BG)*$H26/100,0)</f>
        <v>0</v>
      </c>
      <c r="BQ26" s="16">
        <f ca="1">IFERROR(_xlfn.XLOOKUP($F26,'FCDB 2017 (full)'!$C:$C,'FCDB 2017 (full)'!$BH:$BH)*$H26/100,0)</f>
        <v>0</v>
      </c>
      <c r="BR26" s="16">
        <f ca="1">IFERROR(_xlfn.XLOOKUP($F26,'FCDB 2017 (full)'!$C:$C,'FCDB 2017 (full)'!$BI:$BI)*$H26/100,0)</f>
        <v>0</v>
      </c>
      <c r="BS26" s="16">
        <f ca="1">IFERROR(_xlfn.XLOOKUP($F26,'FCDB 2017 (full)'!$C:$C,'FCDB 2017 (full)'!$BJ:$BJ)*$H26/100,0)</f>
        <v>0</v>
      </c>
      <c r="BT26" s="16">
        <f ca="1">IFERROR(_xlfn.XLOOKUP($F26,'FCDB 2017 (full)'!$C:$C,'FCDB 2017 (full)'!$BK:$BK)*$H26/100,0)</f>
        <v>0</v>
      </c>
      <c r="BU26" s="16">
        <f ca="1">IFERROR(_xlfn.XLOOKUP($F26,'FCDB 2017 (full)'!$C:$C,'FCDB 2017 (full)'!$BL:$BL)*$H26/100,0)</f>
        <v>0</v>
      </c>
      <c r="BV26" s="16">
        <f ca="1">IFERROR(_xlfn.XLOOKUP($F26,'FCDB 2017 (full)'!$C:$C,'FCDB 2017 (full)'!$BM:$BM)*$H26/100,0)</f>
        <v>0</v>
      </c>
      <c r="BW26" s="16">
        <f ca="1">IFERROR(_xlfn.XLOOKUP($F26,'FCDB 2017 (full)'!$C:$C,'FCDB 2017 (full)'!$BN:$BN)*$H26/100,0)</f>
        <v>0</v>
      </c>
      <c r="BX26" s="16">
        <f ca="1">IFERROR(_xlfn.XLOOKUP($F26,'FCDB 2017 (full)'!$C:$C,'FCDB 2017 (full)'!$BO:$BO)*$H26/100,0)</f>
        <v>0</v>
      </c>
      <c r="BY26" s="16">
        <f ca="1">IFERROR(_xlfn.XLOOKUP($F26,'FCDB 2017 (full)'!$C:$C,'FCDB 2017 (full)'!$BP:$BP)*$H26/100,0)</f>
        <v>0</v>
      </c>
      <c r="BZ26" s="16">
        <f ca="1">IFERROR(_xlfn.XLOOKUP($F26,'FCDB 2017 (full)'!$C:$C,'FCDB 2017 (full)'!$BQ:$BQ)*$H26/100,0)</f>
        <v>0</v>
      </c>
      <c r="CA26" s="16">
        <f ca="1">IFERROR(_xlfn.XLOOKUP($F26,'FCDB 2017 (full)'!$C:$C,'FCDB 2017 (full)'!$BR:$BR)*$H26/100,0)</f>
        <v>0</v>
      </c>
      <c r="CB26" s="16">
        <f ca="1">IFERROR(_xlfn.XLOOKUP($F26,'FCDB 2017 (full)'!$C:$C,'FCDB 2017 (full)'!$BS:$BS)*$H26/100,0)</f>
        <v>0</v>
      </c>
      <c r="CC26" s="16">
        <f ca="1">IFERROR(_xlfn.XLOOKUP($F26,'FCDB 2017 (full)'!$C:$C,'FCDB 2017 (full)'!$BT:$BT)*$H26/100,0)</f>
        <v>0</v>
      </c>
      <c r="CD26" s="16">
        <f ca="1">IFERROR(_xlfn.XLOOKUP($F26,'FCDB 2017 (full)'!$C:$C,'FCDB 2017 (full)'!$BU:$BU)*$H26/100,0)</f>
        <v>0</v>
      </c>
      <c r="CE26" s="16">
        <f ca="1">IFERROR(_xlfn.XLOOKUP($F26,'FCDB 2017 (full)'!$C:$C,'FCDB 2017 (full)'!$BV:$BV)*$H26/100,0)</f>
        <v>0</v>
      </c>
      <c r="CF26" s="16">
        <f ca="1">IFERROR(_xlfn.XLOOKUP($F26,'FCDB 2017 (full)'!$C:$C,'FCDB 2017 (full)'!$BW:$BW)*$H26/100,0)</f>
        <v>0</v>
      </c>
      <c r="CG26" s="16">
        <f ca="1">IFERROR(_xlfn.XLOOKUP($F26,'FCDB 2017 (full)'!$C:$C,'FCDB 2017 (full)'!$BX:$BX)*$H26/100,0)</f>
        <v>0</v>
      </c>
      <c r="CH26" s="16">
        <f ca="1">IFERROR(_xlfn.XLOOKUP($F26,'FCDB 2017 (full)'!$C:$C,'FCDB 2017 (full)'!$BY:$BY)*$H26/100,0)</f>
        <v>0</v>
      </c>
      <c r="CI26" s="16">
        <f ca="1">IFERROR(_xlfn.XLOOKUP($F26,'FCDB 2017 (full)'!$C:$C,'FCDB 2017 (full)'!$BZ:$BZ)*$H26/100,0)</f>
        <v>0</v>
      </c>
      <c r="CJ26" s="16">
        <f ca="1">IFERROR(_xlfn.XLOOKUP($F26,'FCDB 2017 (full)'!$C:$C,'FCDB 2017 (full)'!$CA:$CA)*$H26/100,0)</f>
        <v>0</v>
      </c>
      <c r="CK26" s="16">
        <f ca="1">IFERROR(_xlfn.XLOOKUP($F26,'FCDB 2017 (full)'!$C:$C,'FCDB 2017 (full)'!$CB:$CB)*$H26/100,0)</f>
        <v>0</v>
      </c>
      <c r="CL26" s="16">
        <f ca="1">IFERROR(_xlfn.XLOOKUP($F26,'FCDB 2017 (full)'!$C:$C,'FCDB 2017 (full)'!$CC:$CC)*$H26/100,0)</f>
        <v>0</v>
      </c>
      <c r="CM26" s="16">
        <f ca="1">IFERROR(_xlfn.XLOOKUP($F26,'FCDB 2017 (full)'!$C:$C,'FCDB 2017 (full)'!$CD:$CD)*$H26/100,0)</f>
        <v>0</v>
      </c>
      <c r="CN26" s="16">
        <f ca="1">IFERROR(_xlfn.XLOOKUP($F26,'FCDB 2017 (full)'!$C:$C,'FCDB 2017 (full)'!$CE:$CE)*$H26/100,0)</f>
        <v>0</v>
      </c>
      <c r="CO26" s="16">
        <f ca="1">IFERROR(_xlfn.XLOOKUP($F26,'FCDB 2017 (full)'!$C:$C,'FCDB 2017 (full)'!$CF:$CF)*$H26/100,0)</f>
        <v>0</v>
      </c>
      <c r="CP26" s="16">
        <f ca="1">IFERROR(_xlfn.XLOOKUP($F26,'FCDB 2017 (full)'!$C:$C,'FCDB 2017 (full)'!$CG:$CG)*$H26/100,0)</f>
        <v>0</v>
      </c>
      <c r="CQ26" s="16">
        <f ca="1">IFERROR(_xlfn.XLOOKUP($F26,'FCDB 2017 (full)'!$C:$C,'FCDB 2017 (full)'!$CH:$CH)*$H26/100,0)</f>
        <v>0</v>
      </c>
      <c r="DA26" s="73" t="s">
        <v>948</v>
      </c>
    </row>
    <row r="27" spans="5:105" customFormat="1" ht="16.8">
      <c r="F27" s="11">
        <f>IFERROR(VLOOKUP($D$9,$D:$AE,17,0),0)</f>
        <v>0</v>
      </c>
      <c r="G27" s="7" cm="1">
        <f t="array" ref="G27">IF(F27=0,0,IF(_xlfn.XLOOKUP(F27,$E$9:$AE$9,$E$10:$AE$10)=0,"Nhập ĐV/TV",_xlfn.XLOOKUP(F27,$E$9:$AE$9,$E$10:$AE$10)))</f>
        <v>0</v>
      </c>
      <c r="H27" s="8" cm="1">
        <f t="array" ref="H27">IFERROR(INDEX($E$11:$AE$11,MATCH(F27,$E$9:$AE$9,0)),0)</f>
        <v>0</v>
      </c>
      <c r="I27" s="9">
        <f ca="1">IFERROR(_xlfn.XLOOKUP($F27,'FCDB 2017 (full)'!$C:$C,'FCDB 2017 (full)'!$E:$E),0)</f>
        <v>0</v>
      </c>
      <c r="J27" s="10">
        <f t="shared" ca="1" si="1"/>
        <v>0</v>
      </c>
      <c r="K27" s="9">
        <f ca="1">IFERROR(_xlfn.XLOOKUP($F27,'FCDB 2017 (full)'!$C:$C,'FCDB 2017 (full)'!$G:$G),0)</f>
        <v>0</v>
      </c>
      <c r="L27" s="13">
        <f t="shared" si="2"/>
        <v>0</v>
      </c>
      <c r="M27" s="13">
        <f t="shared" si="3"/>
        <v>0</v>
      </c>
      <c r="N27" s="9">
        <f ca="1">IFERROR(_xlfn.XLOOKUP($F27,'FCDB 2017 (full)'!$C:$C,'FCDB 2017 (full)'!$H:$H),0)</f>
        <v>0</v>
      </c>
      <c r="O27" s="14">
        <f t="shared" si="4"/>
        <v>0</v>
      </c>
      <c r="P27" s="14">
        <f t="shared" si="5"/>
        <v>0</v>
      </c>
      <c r="Q27" s="9">
        <f ca="1">IFERROR(_xlfn.XLOOKUP($F27,'FCDB 2017 (full)'!$C:$C,'FCDB 2017 (full)'!$I:$I),0)</f>
        <v>0</v>
      </c>
      <c r="R27" s="15">
        <f t="shared" ca="1" si="6"/>
        <v>0</v>
      </c>
      <c r="S27" s="16">
        <f ca="1">IFERROR(_xlfn.XLOOKUP($F27,'FCDB 2017 (full)'!$C:$C,'FCDB 2017 (full)'!$J:$J)*$H27/100,0)</f>
        <v>0</v>
      </c>
      <c r="T27" s="16">
        <f ca="1">IFERROR(_xlfn.XLOOKUP($F27,'FCDB 2017 (full)'!$C:$C,'FCDB 2017 (full)'!$K:$K)*$H27/100,0)</f>
        <v>0</v>
      </c>
      <c r="U27" s="16">
        <f ca="1">IFERROR(_xlfn.XLOOKUP($F27,'FCDB 2017 (full)'!$C:$C,'FCDB 2017 (full)'!$L:$L)*$H27/100,0)</f>
        <v>0</v>
      </c>
      <c r="V27" s="16">
        <f ca="1">IFERROR(_xlfn.XLOOKUP($F27,'FCDB 2017 (full)'!$C:$C,'FCDB 2017 (full)'!$M:$M)*$H27/100,0)</f>
        <v>0</v>
      </c>
      <c r="W27" s="16">
        <f ca="1">IFERROR(_xlfn.XLOOKUP($F27,'FCDB 2017 (full)'!$C:$C,'FCDB 2017 (full)'!$N:$N)*$H27/100,0)</f>
        <v>0</v>
      </c>
      <c r="X27" s="16">
        <f ca="1">IFERROR(_xlfn.XLOOKUP($F27,'FCDB 2017 (full)'!$C:$C,'FCDB 2017 (full)'!$O:$O)*$H27/100,0)</f>
        <v>0</v>
      </c>
      <c r="Y27" s="16">
        <f ca="1">IFERROR(_xlfn.XLOOKUP($F27,'FCDB 2017 (full)'!$C:$C,'FCDB 2017 (full)'!$P:$P)*$H27/100,0)</f>
        <v>0</v>
      </c>
      <c r="Z27" s="16">
        <f ca="1">IFERROR(_xlfn.XLOOKUP($F27,'FCDB 2017 (full)'!$C:$C,'FCDB 2017 (full)'!$Q:$Q)*$H27/100,0)</f>
        <v>0</v>
      </c>
      <c r="AA27" s="16">
        <f ca="1">IFERROR(_xlfn.XLOOKUP($F27,'FCDB 2017 (full)'!$C:$C,'FCDB 2017 (full)'!$R:$R)*$H27/100,0)</f>
        <v>0</v>
      </c>
      <c r="AB27" s="16">
        <f ca="1">IFERROR(_xlfn.XLOOKUP($F27,'FCDB 2017 (full)'!$C:$C,'FCDB 2017 (full)'!$S:$S)*$H27/100,0)</f>
        <v>0</v>
      </c>
      <c r="AC27" s="16">
        <f ca="1">IFERROR(_xlfn.XLOOKUP($F27,'FCDB 2017 (full)'!$C:$C,'FCDB 2017 (full)'!$T:$T)*$H27/100,0)</f>
        <v>0</v>
      </c>
      <c r="AD27" s="16">
        <f ca="1">IFERROR(_xlfn.XLOOKUP($F27,'FCDB 2017 (full)'!$C:$C,'FCDB 2017 (full)'!$U:$U)*$H27/100,0)</f>
        <v>0</v>
      </c>
      <c r="AE27" s="16">
        <f ca="1">IFERROR(_xlfn.XLOOKUP($F27,'FCDB 2017 (full)'!$C:$C,'FCDB 2017 (full)'!$V:$V)*$H27/100,0)</f>
        <v>0</v>
      </c>
      <c r="AF27" s="16">
        <f ca="1">IFERROR(_xlfn.XLOOKUP($F27,'FCDB 2017 (full)'!$C:$C,'FCDB 2017 (full)'!$W:$W)*$H27/100,0)</f>
        <v>0</v>
      </c>
      <c r="AG27" s="16">
        <f ca="1">IFERROR(_xlfn.XLOOKUP($F27,'FCDB 2017 (full)'!$C:$C,'FCDB 2017 (full)'!$X:$X)*$H27/100,0)</f>
        <v>0</v>
      </c>
      <c r="AH27" s="16">
        <f ca="1">IFERROR(_xlfn.XLOOKUP($F27,'FCDB 2017 (full)'!$C:$C,'FCDB 2017 (full)'!$Y:$Y)*$H27/100,0)</f>
        <v>0</v>
      </c>
      <c r="AI27" s="16">
        <f ca="1">IFERROR(_xlfn.XLOOKUP($F27,'FCDB 2017 (full)'!$C:$C,'FCDB 2017 (full)'!$Z:$Z)*$H27/100,0)</f>
        <v>0</v>
      </c>
      <c r="AJ27" s="16">
        <f ca="1">IFERROR(_xlfn.XLOOKUP($F27,'FCDB 2017 (full)'!$C:$C,'FCDB 2017 (full)'!$AA:$AA)*$H27/100,0)</f>
        <v>0</v>
      </c>
      <c r="AK27" s="16">
        <f ca="1">IFERROR(_xlfn.XLOOKUP($F27,'FCDB 2017 (full)'!$C:$C,'FCDB 2017 (full)'!$AB:$AB)*$H27/100,0)</f>
        <v>0</v>
      </c>
      <c r="AL27" s="16">
        <f ca="1">IFERROR(_xlfn.XLOOKUP($F27,'FCDB 2017 (full)'!$C:$C,'FCDB 2017 (full)'!$AC:$AC)*$H27/100,0)</f>
        <v>0</v>
      </c>
      <c r="AM27" s="16">
        <f ca="1">IFERROR(_xlfn.XLOOKUP($F27,'FCDB 2017 (full)'!$C:$C,'FCDB 2017 (full)'!$AD:$AD)*$H27/100,0)</f>
        <v>0</v>
      </c>
      <c r="AN27" s="16">
        <f ca="1">IFERROR(_xlfn.XLOOKUP($F27,'FCDB 2017 (full)'!$C:$C,'FCDB 2017 (full)'!$AE:$AE)*$H27/100,0)</f>
        <v>0</v>
      </c>
      <c r="AO27" s="16">
        <f ca="1">IFERROR(_xlfn.XLOOKUP($F27,'FCDB 2017 (full)'!$C:$C,'FCDB 2017 (full)'!$AF:$AF)*$H27/100,0)</f>
        <v>0</v>
      </c>
      <c r="AP27" s="16">
        <f ca="1">IFERROR(_xlfn.XLOOKUP($F27,'FCDB 2017 (full)'!$C:$C,'FCDB 2017 (full)'!$AG:$AG)*$H27/100,0)</f>
        <v>0</v>
      </c>
      <c r="AQ27" s="16">
        <f ca="1">IFERROR(_xlfn.XLOOKUP($F27,'FCDB 2017 (full)'!$C:$C,'FCDB 2017 (full)'!$AH:$AH)*$H27/100,0)</f>
        <v>0</v>
      </c>
      <c r="AR27" s="16">
        <f ca="1">IFERROR(_xlfn.XLOOKUP($F27,'FCDB 2017 (full)'!$C:$C,'FCDB 2017 (full)'!$AI:$AI)*$H27/100,0)</f>
        <v>0</v>
      </c>
      <c r="AS27" s="16">
        <f ca="1">IFERROR(_xlfn.XLOOKUP($F27,'FCDB 2017 (full)'!$C:$C,'FCDB 2017 (full)'!$AJ:$AJ)*$H27/100,0)</f>
        <v>0</v>
      </c>
      <c r="AT27" s="16">
        <f ca="1">IFERROR(_xlfn.XLOOKUP($F27,'FCDB 2017 (full)'!$C:$C,'FCDB 2017 (full)'!$AK:$AK)*$H27/100,0)</f>
        <v>0</v>
      </c>
      <c r="AU27" s="16">
        <f ca="1">IFERROR(_xlfn.XLOOKUP($F27,'FCDB 2017 (full)'!$C:$C,'FCDB 2017 (full)'!$AK:$AK)*$H27/100,0)</f>
        <v>0</v>
      </c>
      <c r="AV27" s="16">
        <f ca="1">IFERROR(_xlfn.XLOOKUP($F27,'FCDB 2017 (full)'!$C:$C,'FCDB 2017 (full)'!$AM:$AM)*$H27/100,0)</f>
        <v>0</v>
      </c>
      <c r="AW27" s="16">
        <f ca="1">IFERROR(_xlfn.XLOOKUP($F27,'FCDB 2017 (full)'!$C:$C,'FCDB 2017 (full)'!$AN:$AN)*$H27/100,0)</f>
        <v>0</v>
      </c>
      <c r="AX27" s="16">
        <f ca="1">IFERROR(_xlfn.XLOOKUP($F27,'FCDB 2017 (full)'!$C:$C,'FCDB 2017 (full)'!$AO:$AO)*$H27/100,0)</f>
        <v>0</v>
      </c>
      <c r="AY27" s="16">
        <f ca="1">IFERROR(_xlfn.XLOOKUP($F27,'FCDB 2017 (full)'!$C:$C,'FCDB 2017 (full)'!$AP:$AP)*$H27/100,0)</f>
        <v>0</v>
      </c>
      <c r="AZ27" s="16">
        <f ca="1">IFERROR(_xlfn.XLOOKUP($F27,'FCDB 2017 (full)'!$C:$C,'FCDB 2017 (full)'!$AQ:$AQ)*$H27/100,0)</f>
        <v>0</v>
      </c>
      <c r="BA27" s="16">
        <f ca="1">IFERROR(_xlfn.XLOOKUP($F27,'FCDB 2017 (full)'!$C:$C,'FCDB 2017 (full)'!$AR:$AR)*$H27/100,0)</f>
        <v>0</v>
      </c>
      <c r="BB27" s="16">
        <f ca="1">IFERROR(_xlfn.XLOOKUP($F27,'FCDB 2017 (full)'!$C:$C,'FCDB 2017 (full)'!$AS:$AS)*$H27/100,0)</f>
        <v>0</v>
      </c>
      <c r="BC27" s="16">
        <f ca="1">IFERROR(_xlfn.XLOOKUP($F27,'FCDB 2017 (full)'!$C:$C,'FCDB 2017 (full)'!$AT:$AT)*$H27/100,0)</f>
        <v>0</v>
      </c>
      <c r="BD27" s="16">
        <f ca="1">IFERROR(_xlfn.XLOOKUP($F27,'FCDB 2017 (full)'!$C:$C,'FCDB 2017 (full)'!$AU:$AU)*$H27/100,0)</f>
        <v>0</v>
      </c>
      <c r="BE27" s="16">
        <f ca="1">IFERROR(_xlfn.XLOOKUP($F27,'FCDB 2017 (full)'!$C:$C,'FCDB 2017 (full)'!$AV:$AV)*$H27/100,0)</f>
        <v>0</v>
      </c>
      <c r="BF27" s="16">
        <f ca="1">IFERROR(_xlfn.XLOOKUP($F27,'FCDB 2017 (full)'!$C:$C,'FCDB 2017 (full)'!$AW:$AW)*$H27/100,0)</f>
        <v>0</v>
      </c>
      <c r="BG27" s="16">
        <f ca="1">IFERROR(_xlfn.XLOOKUP($F27,'FCDB 2017 (full)'!$C:$C,'FCDB 2017 (full)'!$AX:$AX)*$H27/100,0)</f>
        <v>0</v>
      </c>
      <c r="BH27" s="16">
        <f ca="1">IFERROR(_xlfn.XLOOKUP($F27,'FCDB 2017 (full)'!$C:$C,'FCDB 2017 (full)'!$AY:$AY)*$H27/100,0)</f>
        <v>0</v>
      </c>
      <c r="BI27" s="16">
        <f ca="1">IFERROR(_xlfn.XLOOKUP($F27,'FCDB 2017 (full)'!$C:$C,'FCDB 2017 (full)'!$AZ:$AZ)*$H27/100,0)</f>
        <v>0</v>
      </c>
      <c r="BJ27" s="16">
        <f ca="1">IFERROR(_xlfn.XLOOKUP($F27,'FCDB 2017 (full)'!$C:$C,'FCDB 2017 (full)'!$BA:$BA)*$H27/100,0)</f>
        <v>0</v>
      </c>
      <c r="BK27" s="16">
        <f ca="1">IFERROR(_xlfn.XLOOKUP($F27,'FCDB 2017 (full)'!$C:$C,'FCDB 2017 (full)'!$BB:$BB)*$H27/100,0)</f>
        <v>0</v>
      </c>
      <c r="BL27" s="16">
        <f ca="1">IFERROR(_xlfn.XLOOKUP($F27,'FCDB 2017 (full)'!$C:$C,'FCDB 2017 (full)'!$BC:$BC)*$H27/100,0)</f>
        <v>0</v>
      </c>
      <c r="BM27" s="16">
        <f ca="1">IFERROR(_xlfn.XLOOKUP($F27,'FCDB 2017 (full)'!$C:$C,'FCDB 2017 (full)'!$BD:$BD)*$H27/100,0)</f>
        <v>0</v>
      </c>
      <c r="BN27" s="16">
        <f ca="1">IFERROR(_xlfn.XLOOKUP($F27,'FCDB 2017 (full)'!$C:$C,'FCDB 2017 (full)'!$BE:$BE)*$H27/100,0)</f>
        <v>0</v>
      </c>
      <c r="BO27" s="16">
        <f ca="1">IFERROR(_xlfn.XLOOKUP($F27,'FCDB 2017 (full)'!$C:$C,'FCDB 2017 (full)'!$BF:$BF)*$H27/100,0)</f>
        <v>0</v>
      </c>
      <c r="BP27" s="16">
        <f ca="1">IFERROR(_xlfn.XLOOKUP($F27,'FCDB 2017 (full)'!$C:$C,'FCDB 2017 (full)'!$BG:$BG)*$H27/100,0)</f>
        <v>0</v>
      </c>
      <c r="BQ27" s="16">
        <f ca="1">IFERROR(_xlfn.XLOOKUP($F27,'FCDB 2017 (full)'!$C:$C,'FCDB 2017 (full)'!$BH:$BH)*$H27/100,0)</f>
        <v>0</v>
      </c>
      <c r="BR27" s="16">
        <f ca="1">IFERROR(_xlfn.XLOOKUP($F27,'FCDB 2017 (full)'!$C:$C,'FCDB 2017 (full)'!$BI:$BI)*$H27/100,0)</f>
        <v>0</v>
      </c>
      <c r="BS27" s="16">
        <f ca="1">IFERROR(_xlfn.XLOOKUP($F27,'FCDB 2017 (full)'!$C:$C,'FCDB 2017 (full)'!$BJ:$BJ)*$H27/100,0)</f>
        <v>0</v>
      </c>
      <c r="BT27" s="16">
        <f ca="1">IFERROR(_xlfn.XLOOKUP($F27,'FCDB 2017 (full)'!$C:$C,'FCDB 2017 (full)'!$BK:$BK)*$H27/100,0)</f>
        <v>0</v>
      </c>
      <c r="BU27" s="16">
        <f ca="1">IFERROR(_xlfn.XLOOKUP($F27,'FCDB 2017 (full)'!$C:$C,'FCDB 2017 (full)'!$BL:$BL)*$H27/100,0)</f>
        <v>0</v>
      </c>
      <c r="BV27" s="16">
        <f ca="1">IFERROR(_xlfn.XLOOKUP($F27,'FCDB 2017 (full)'!$C:$C,'FCDB 2017 (full)'!$BM:$BM)*$H27/100,0)</f>
        <v>0</v>
      </c>
      <c r="BW27" s="16">
        <f ca="1">IFERROR(_xlfn.XLOOKUP($F27,'FCDB 2017 (full)'!$C:$C,'FCDB 2017 (full)'!$BN:$BN)*$H27/100,0)</f>
        <v>0</v>
      </c>
      <c r="BX27" s="16">
        <f ca="1">IFERROR(_xlfn.XLOOKUP($F27,'FCDB 2017 (full)'!$C:$C,'FCDB 2017 (full)'!$BO:$BO)*$H27/100,0)</f>
        <v>0</v>
      </c>
      <c r="BY27" s="16">
        <f ca="1">IFERROR(_xlfn.XLOOKUP($F27,'FCDB 2017 (full)'!$C:$C,'FCDB 2017 (full)'!$BP:$BP)*$H27/100,0)</f>
        <v>0</v>
      </c>
      <c r="BZ27" s="16">
        <f ca="1">IFERROR(_xlfn.XLOOKUP($F27,'FCDB 2017 (full)'!$C:$C,'FCDB 2017 (full)'!$BQ:$BQ)*$H27/100,0)</f>
        <v>0</v>
      </c>
      <c r="CA27" s="16">
        <f ca="1">IFERROR(_xlfn.XLOOKUP($F27,'FCDB 2017 (full)'!$C:$C,'FCDB 2017 (full)'!$BR:$BR)*$H27/100,0)</f>
        <v>0</v>
      </c>
      <c r="CB27" s="16">
        <f ca="1">IFERROR(_xlfn.XLOOKUP($F27,'FCDB 2017 (full)'!$C:$C,'FCDB 2017 (full)'!$BS:$BS)*$H27/100,0)</f>
        <v>0</v>
      </c>
      <c r="CC27" s="16">
        <f ca="1">IFERROR(_xlfn.XLOOKUP($F27,'FCDB 2017 (full)'!$C:$C,'FCDB 2017 (full)'!$BT:$BT)*$H27/100,0)</f>
        <v>0</v>
      </c>
      <c r="CD27" s="16">
        <f ca="1">IFERROR(_xlfn.XLOOKUP($F27,'FCDB 2017 (full)'!$C:$C,'FCDB 2017 (full)'!$BU:$BU)*$H27/100,0)</f>
        <v>0</v>
      </c>
      <c r="CE27" s="16">
        <f ca="1">IFERROR(_xlfn.XLOOKUP($F27,'FCDB 2017 (full)'!$C:$C,'FCDB 2017 (full)'!$BV:$BV)*$H27/100,0)</f>
        <v>0</v>
      </c>
      <c r="CF27" s="16">
        <f ca="1">IFERROR(_xlfn.XLOOKUP($F27,'FCDB 2017 (full)'!$C:$C,'FCDB 2017 (full)'!$BW:$BW)*$H27/100,0)</f>
        <v>0</v>
      </c>
      <c r="CG27" s="16">
        <f ca="1">IFERROR(_xlfn.XLOOKUP($F27,'FCDB 2017 (full)'!$C:$C,'FCDB 2017 (full)'!$BX:$BX)*$H27/100,0)</f>
        <v>0</v>
      </c>
      <c r="CH27" s="16">
        <f ca="1">IFERROR(_xlfn.XLOOKUP($F27,'FCDB 2017 (full)'!$C:$C,'FCDB 2017 (full)'!$BY:$BY)*$H27/100,0)</f>
        <v>0</v>
      </c>
      <c r="CI27" s="16">
        <f ca="1">IFERROR(_xlfn.XLOOKUP($F27,'FCDB 2017 (full)'!$C:$C,'FCDB 2017 (full)'!$BZ:$BZ)*$H27/100,0)</f>
        <v>0</v>
      </c>
      <c r="CJ27" s="16">
        <f ca="1">IFERROR(_xlfn.XLOOKUP($F27,'FCDB 2017 (full)'!$C:$C,'FCDB 2017 (full)'!$CA:$CA)*$H27/100,0)</f>
        <v>0</v>
      </c>
      <c r="CK27" s="16">
        <f ca="1">IFERROR(_xlfn.XLOOKUP($F27,'FCDB 2017 (full)'!$C:$C,'FCDB 2017 (full)'!$CB:$CB)*$H27/100,0)</f>
        <v>0</v>
      </c>
      <c r="CL27" s="16">
        <f ca="1">IFERROR(_xlfn.XLOOKUP($F27,'FCDB 2017 (full)'!$C:$C,'FCDB 2017 (full)'!$CC:$CC)*$H27/100,0)</f>
        <v>0</v>
      </c>
      <c r="CM27" s="16">
        <f ca="1">IFERROR(_xlfn.XLOOKUP($F27,'FCDB 2017 (full)'!$C:$C,'FCDB 2017 (full)'!$CD:$CD)*$H27/100,0)</f>
        <v>0</v>
      </c>
      <c r="CN27" s="16">
        <f ca="1">IFERROR(_xlfn.XLOOKUP($F27,'FCDB 2017 (full)'!$C:$C,'FCDB 2017 (full)'!$CE:$CE)*$H27/100,0)</f>
        <v>0</v>
      </c>
      <c r="CO27" s="16">
        <f ca="1">IFERROR(_xlfn.XLOOKUP($F27,'FCDB 2017 (full)'!$C:$C,'FCDB 2017 (full)'!$CF:$CF)*$H27/100,0)</f>
        <v>0</v>
      </c>
      <c r="CP27" s="16">
        <f ca="1">IFERROR(_xlfn.XLOOKUP($F27,'FCDB 2017 (full)'!$C:$C,'FCDB 2017 (full)'!$CG:$CG)*$H27/100,0)</f>
        <v>0</v>
      </c>
      <c r="CQ27" s="16">
        <f ca="1">IFERROR(_xlfn.XLOOKUP($F27,'FCDB 2017 (full)'!$C:$C,'FCDB 2017 (full)'!$CH:$CH)*$H27/100,0)</f>
        <v>0</v>
      </c>
      <c r="DA27" s="72" t="s">
        <v>948</v>
      </c>
    </row>
    <row r="28" spans="5:105" customFormat="1" ht="16.8">
      <c r="F28" s="11" t="str">
        <f>IFERROR(VLOOKUP($D$9,$D:$AE,18,0),0)</f>
        <v>Cá chép</v>
      </c>
      <c r="G28" s="7" t="e" cm="1">
        <f t="array" aca="1" ref="G28" ca="1">IF(F28=0,0,IF(_xlfn.XLOOKUP(F28,$E$9:$AE$9,$E$10:$AE$10)=0,"Nhập ĐV/TV",_xlfn.XLOOKUP(F28,$E$9:$AE$9,$E$10:$AE$10)))</f>
        <v>#NAME?</v>
      </c>
      <c r="H28" s="8" cm="1">
        <f t="array" ref="H28">IFERROR(INDEX($E$11:$AE$11,MATCH(F28,$E$9:$AE$9,0)),0)</f>
        <v>55</v>
      </c>
      <c r="I28" s="9">
        <f ca="1">IFERROR(_xlfn.XLOOKUP($F28,'FCDB 2017 (full)'!$C:$C,'FCDB 2017 (full)'!$E:$E),0)</f>
        <v>0</v>
      </c>
      <c r="J28" s="10">
        <f t="shared" ca="1" si="1"/>
        <v>0</v>
      </c>
      <c r="K28" s="9">
        <f ca="1">IFERROR(_xlfn.XLOOKUP($F28,'FCDB 2017 (full)'!$C:$C,'FCDB 2017 (full)'!$G:$G),0)</f>
        <v>0</v>
      </c>
      <c r="L28" s="13" t="e">
        <f t="shared" ca="1" si="2"/>
        <v>#NAME?</v>
      </c>
      <c r="M28" s="13" t="e">
        <f t="shared" ca="1" si="3"/>
        <v>#NAME?</v>
      </c>
      <c r="N28" s="9">
        <f ca="1">IFERROR(_xlfn.XLOOKUP($F28,'FCDB 2017 (full)'!$C:$C,'FCDB 2017 (full)'!$H:$H),0)</f>
        <v>0</v>
      </c>
      <c r="O28" s="14" t="e">
        <f t="shared" ca="1" si="4"/>
        <v>#NAME?</v>
      </c>
      <c r="P28" s="14" t="e">
        <f t="shared" ca="1" si="5"/>
        <v>#NAME?</v>
      </c>
      <c r="Q28" s="9">
        <f ca="1">IFERROR(_xlfn.XLOOKUP($F28,'FCDB 2017 (full)'!$C:$C,'FCDB 2017 (full)'!$I:$I),0)</f>
        <v>0</v>
      </c>
      <c r="R28" s="15">
        <f t="shared" ca="1" si="6"/>
        <v>0</v>
      </c>
      <c r="S28" s="16">
        <f ca="1">IFERROR(_xlfn.XLOOKUP($F28,'FCDB 2017 (full)'!$C:$C,'FCDB 2017 (full)'!$J:$J)*$H28/100,0)</f>
        <v>0</v>
      </c>
      <c r="T28" s="16">
        <f ca="1">IFERROR(_xlfn.XLOOKUP($F28,'FCDB 2017 (full)'!$C:$C,'FCDB 2017 (full)'!$K:$K)*$H28/100,0)</f>
        <v>0</v>
      </c>
      <c r="U28" s="16">
        <f ca="1">IFERROR(_xlfn.XLOOKUP($F28,'FCDB 2017 (full)'!$C:$C,'FCDB 2017 (full)'!$L:$L)*$H28/100,0)</f>
        <v>0</v>
      </c>
      <c r="V28" s="16">
        <f ca="1">IFERROR(_xlfn.XLOOKUP($F28,'FCDB 2017 (full)'!$C:$C,'FCDB 2017 (full)'!$M:$M)*$H28/100,0)</f>
        <v>0</v>
      </c>
      <c r="W28" s="16">
        <f ca="1">IFERROR(_xlfn.XLOOKUP($F28,'FCDB 2017 (full)'!$C:$C,'FCDB 2017 (full)'!$N:$N)*$H28/100,0)</f>
        <v>0</v>
      </c>
      <c r="X28" s="16">
        <f ca="1">IFERROR(_xlfn.XLOOKUP($F28,'FCDB 2017 (full)'!$C:$C,'FCDB 2017 (full)'!$O:$O)*$H28/100,0)</f>
        <v>0</v>
      </c>
      <c r="Y28" s="16">
        <f ca="1">IFERROR(_xlfn.XLOOKUP($F28,'FCDB 2017 (full)'!$C:$C,'FCDB 2017 (full)'!$P:$P)*$H28/100,0)</f>
        <v>0</v>
      </c>
      <c r="Z28" s="16">
        <f ca="1">IFERROR(_xlfn.XLOOKUP($F28,'FCDB 2017 (full)'!$C:$C,'FCDB 2017 (full)'!$Q:$Q)*$H28/100,0)</f>
        <v>0</v>
      </c>
      <c r="AA28" s="16">
        <f ca="1">IFERROR(_xlfn.XLOOKUP($F28,'FCDB 2017 (full)'!$C:$C,'FCDB 2017 (full)'!$R:$R)*$H28/100,0)</f>
        <v>0</v>
      </c>
      <c r="AB28" s="16">
        <f ca="1">IFERROR(_xlfn.XLOOKUP($F28,'FCDB 2017 (full)'!$C:$C,'FCDB 2017 (full)'!$S:$S)*$H28/100,0)</f>
        <v>0</v>
      </c>
      <c r="AC28" s="16">
        <f ca="1">IFERROR(_xlfn.XLOOKUP($F28,'FCDB 2017 (full)'!$C:$C,'FCDB 2017 (full)'!$T:$T)*$H28/100,0)</f>
        <v>0</v>
      </c>
      <c r="AD28" s="16">
        <f ca="1">IFERROR(_xlfn.XLOOKUP($F28,'FCDB 2017 (full)'!$C:$C,'FCDB 2017 (full)'!$U:$U)*$H28/100,0)</f>
        <v>0</v>
      </c>
      <c r="AE28" s="16">
        <f ca="1">IFERROR(_xlfn.XLOOKUP($F28,'FCDB 2017 (full)'!$C:$C,'FCDB 2017 (full)'!$V:$V)*$H28/100,0)</f>
        <v>0</v>
      </c>
      <c r="AF28" s="16">
        <f ca="1">IFERROR(_xlfn.XLOOKUP($F28,'FCDB 2017 (full)'!$C:$C,'FCDB 2017 (full)'!$W:$W)*$H28/100,0)</f>
        <v>0</v>
      </c>
      <c r="AG28" s="16">
        <f ca="1">IFERROR(_xlfn.XLOOKUP($F28,'FCDB 2017 (full)'!$C:$C,'FCDB 2017 (full)'!$X:$X)*$H28/100,0)</f>
        <v>0</v>
      </c>
      <c r="AH28" s="16">
        <f ca="1">IFERROR(_xlfn.XLOOKUP($F28,'FCDB 2017 (full)'!$C:$C,'FCDB 2017 (full)'!$Y:$Y)*$H28/100,0)</f>
        <v>0</v>
      </c>
      <c r="AI28" s="16">
        <f ca="1">IFERROR(_xlfn.XLOOKUP($F28,'FCDB 2017 (full)'!$C:$C,'FCDB 2017 (full)'!$Z:$Z)*$H28/100,0)</f>
        <v>0</v>
      </c>
      <c r="AJ28" s="16">
        <f ca="1">IFERROR(_xlfn.XLOOKUP($F28,'FCDB 2017 (full)'!$C:$C,'FCDB 2017 (full)'!$AA:$AA)*$H28/100,0)</f>
        <v>0</v>
      </c>
      <c r="AK28" s="16">
        <f ca="1">IFERROR(_xlfn.XLOOKUP($F28,'FCDB 2017 (full)'!$C:$C,'FCDB 2017 (full)'!$AB:$AB)*$H28/100,0)</f>
        <v>0</v>
      </c>
      <c r="AL28" s="16">
        <f ca="1">IFERROR(_xlfn.XLOOKUP($F28,'FCDB 2017 (full)'!$C:$C,'FCDB 2017 (full)'!$AC:$AC)*$H28/100,0)</f>
        <v>0</v>
      </c>
      <c r="AM28" s="16">
        <f ca="1">IFERROR(_xlfn.XLOOKUP($F28,'FCDB 2017 (full)'!$C:$C,'FCDB 2017 (full)'!$AD:$AD)*$H28/100,0)</f>
        <v>0</v>
      </c>
      <c r="AN28" s="16">
        <f ca="1">IFERROR(_xlfn.XLOOKUP($F28,'FCDB 2017 (full)'!$C:$C,'FCDB 2017 (full)'!$AE:$AE)*$H28/100,0)</f>
        <v>0</v>
      </c>
      <c r="AO28" s="16">
        <f ca="1">IFERROR(_xlfn.XLOOKUP($F28,'FCDB 2017 (full)'!$C:$C,'FCDB 2017 (full)'!$AF:$AF)*$H28/100,0)</f>
        <v>0</v>
      </c>
      <c r="AP28" s="16">
        <f ca="1">IFERROR(_xlfn.XLOOKUP($F28,'FCDB 2017 (full)'!$C:$C,'FCDB 2017 (full)'!$AG:$AG)*$H28/100,0)</f>
        <v>0</v>
      </c>
      <c r="AQ28" s="16">
        <f ca="1">IFERROR(_xlfn.XLOOKUP($F28,'FCDB 2017 (full)'!$C:$C,'FCDB 2017 (full)'!$AH:$AH)*$H28/100,0)</f>
        <v>0</v>
      </c>
      <c r="AR28" s="16">
        <f ca="1">IFERROR(_xlfn.XLOOKUP($F28,'FCDB 2017 (full)'!$C:$C,'FCDB 2017 (full)'!$AI:$AI)*$H28/100,0)</f>
        <v>0</v>
      </c>
      <c r="AS28" s="16">
        <f ca="1">IFERROR(_xlfn.XLOOKUP($F28,'FCDB 2017 (full)'!$C:$C,'FCDB 2017 (full)'!$AJ:$AJ)*$H28/100,0)</f>
        <v>0</v>
      </c>
      <c r="AT28" s="16">
        <f ca="1">IFERROR(_xlfn.XLOOKUP($F28,'FCDB 2017 (full)'!$C:$C,'FCDB 2017 (full)'!$AK:$AK)*$H28/100,0)</f>
        <v>0</v>
      </c>
      <c r="AU28" s="16">
        <f ca="1">IFERROR(_xlfn.XLOOKUP($F28,'FCDB 2017 (full)'!$C:$C,'FCDB 2017 (full)'!$AK:$AK)*$H28/100,0)</f>
        <v>0</v>
      </c>
      <c r="AV28" s="16">
        <f ca="1">IFERROR(_xlfn.XLOOKUP($F28,'FCDB 2017 (full)'!$C:$C,'FCDB 2017 (full)'!$AM:$AM)*$H28/100,0)</f>
        <v>0</v>
      </c>
      <c r="AW28" s="16">
        <f ca="1">IFERROR(_xlfn.XLOOKUP($F28,'FCDB 2017 (full)'!$C:$C,'FCDB 2017 (full)'!$AN:$AN)*$H28/100,0)</f>
        <v>0</v>
      </c>
      <c r="AX28" s="16">
        <f ca="1">IFERROR(_xlfn.XLOOKUP($F28,'FCDB 2017 (full)'!$C:$C,'FCDB 2017 (full)'!$AO:$AO)*$H28/100,0)</f>
        <v>0</v>
      </c>
      <c r="AY28" s="16">
        <f ca="1">IFERROR(_xlfn.XLOOKUP($F28,'FCDB 2017 (full)'!$C:$C,'FCDB 2017 (full)'!$AP:$AP)*$H28/100,0)</f>
        <v>0</v>
      </c>
      <c r="AZ28" s="16">
        <f ca="1">IFERROR(_xlfn.XLOOKUP($F28,'FCDB 2017 (full)'!$C:$C,'FCDB 2017 (full)'!$AQ:$AQ)*$H28/100,0)</f>
        <v>0</v>
      </c>
      <c r="BA28" s="16">
        <f ca="1">IFERROR(_xlfn.XLOOKUP($F28,'FCDB 2017 (full)'!$C:$C,'FCDB 2017 (full)'!$AR:$AR)*$H28/100,0)</f>
        <v>0</v>
      </c>
      <c r="BB28" s="16">
        <f ca="1">IFERROR(_xlfn.XLOOKUP($F28,'FCDB 2017 (full)'!$C:$C,'FCDB 2017 (full)'!$AS:$AS)*$H28/100,0)</f>
        <v>0</v>
      </c>
      <c r="BC28" s="16">
        <f ca="1">IFERROR(_xlfn.XLOOKUP($F28,'FCDB 2017 (full)'!$C:$C,'FCDB 2017 (full)'!$AT:$AT)*$H28/100,0)</f>
        <v>0</v>
      </c>
      <c r="BD28" s="16">
        <f ca="1">IFERROR(_xlfn.XLOOKUP($F28,'FCDB 2017 (full)'!$C:$C,'FCDB 2017 (full)'!$AU:$AU)*$H28/100,0)</f>
        <v>0</v>
      </c>
      <c r="BE28" s="16">
        <f ca="1">IFERROR(_xlfn.XLOOKUP($F28,'FCDB 2017 (full)'!$C:$C,'FCDB 2017 (full)'!$AV:$AV)*$H28/100,0)</f>
        <v>0</v>
      </c>
      <c r="BF28" s="16">
        <f ca="1">IFERROR(_xlfn.XLOOKUP($F28,'FCDB 2017 (full)'!$C:$C,'FCDB 2017 (full)'!$AW:$AW)*$H28/100,0)</f>
        <v>0</v>
      </c>
      <c r="BG28" s="16">
        <f ca="1">IFERROR(_xlfn.XLOOKUP($F28,'FCDB 2017 (full)'!$C:$C,'FCDB 2017 (full)'!$AX:$AX)*$H28/100,0)</f>
        <v>0</v>
      </c>
      <c r="BH28" s="16">
        <f ca="1">IFERROR(_xlfn.XLOOKUP($F28,'FCDB 2017 (full)'!$C:$C,'FCDB 2017 (full)'!$AY:$AY)*$H28/100,0)</f>
        <v>0</v>
      </c>
      <c r="BI28" s="16">
        <f ca="1">IFERROR(_xlfn.XLOOKUP($F28,'FCDB 2017 (full)'!$C:$C,'FCDB 2017 (full)'!$AZ:$AZ)*$H28/100,0)</f>
        <v>0</v>
      </c>
      <c r="BJ28" s="16">
        <f ca="1">IFERROR(_xlfn.XLOOKUP($F28,'FCDB 2017 (full)'!$C:$C,'FCDB 2017 (full)'!$BA:$BA)*$H28/100,0)</f>
        <v>0</v>
      </c>
      <c r="BK28" s="16">
        <f ca="1">IFERROR(_xlfn.XLOOKUP($F28,'FCDB 2017 (full)'!$C:$C,'FCDB 2017 (full)'!$BB:$BB)*$H28/100,0)</f>
        <v>0</v>
      </c>
      <c r="BL28" s="16">
        <f ca="1">IFERROR(_xlfn.XLOOKUP($F28,'FCDB 2017 (full)'!$C:$C,'FCDB 2017 (full)'!$BC:$BC)*$H28/100,0)</f>
        <v>0</v>
      </c>
      <c r="BM28" s="16">
        <f ca="1">IFERROR(_xlfn.XLOOKUP($F28,'FCDB 2017 (full)'!$C:$C,'FCDB 2017 (full)'!$BD:$BD)*$H28/100,0)</f>
        <v>0</v>
      </c>
      <c r="BN28" s="16">
        <f ca="1">IFERROR(_xlfn.XLOOKUP($F28,'FCDB 2017 (full)'!$C:$C,'FCDB 2017 (full)'!$BE:$BE)*$H28/100,0)</f>
        <v>0</v>
      </c>
      <c r="BO28" s="16">
        <f ca="1">IFERROR(_xlfn.XLOOKUP($F28,'FCDB 2017 (full)'!$C:$C,'FCDB 2017 (full)'!$BF:$BF)*$H28/100,0)</f>
        <v>0</v>
      </c>
      <c r="BP28" s="16">
        <f ca="1">IFERROR(_xlfn.XLOOKUP($F28,'FCDB 2017 (full)'!$C:$C,'FCDB 2017 (full)'!$BG:$BG)*$H28/100,0)</f>
        <v>0</v>
      </c>
      <c r="BQ28" s="16">
        <f ca="1">IFERROR(_xlfn.XLOOKUP($F28,'FCDB 2017 (full)'!$C:$C,'FCDB 2017 (full)'!$BH:$BH)*$H28/100,0)</f>
        <v>0</v>
      </c>
      <c r="BR28" s="16">
        <f ca="1">IFERROR(_xlfn.XLOOKUP($F28,'FCDB 2017 (full)'!$C:$C,'FCDB 2017 (full)'!$BI:$BI)*$H28/100,0)</f>
        <v>0</v>
      </c>
      <c r="BS28" s="16">
        <f ca="1">IFERROR(_xlfn.XLOOKUP($F28,'FCDB 2017 (full)'!$C:$C,'FCDB 2017 (full)'!$BJ:$BJ)*$H28/100,0)</f>
        <v>0</v>
      </c>
      <c r="BT28" s="16">
        <f ca="1">IFERROR(_xlfn.XLOOKUP($F28,'FCDB 2017 (full)'!$C:$C,'FCDB 2017 (full)'!$BK:$BK)*$H28/100,0)</f>
        <v>0</v>
      </c>
      <c r="BU28" s="16">
        <f ca="1">IFERROR(_xlfn.XLOOKUP($F28,'FCDB 2017 (full)'!$C:$C,'FCDB 2017 (full)'!$BL:$BL)*$H28/100,0)</f>
        <v>0</v>
      </c>
      <c r="BV28" s="16">
        <f ca="1">IFERROR(_xlfn.XLOOKUP($F28,'FCDB 2017 (full)'!$C:$C,'FCDB 2017 (full)'!$BM:$BM)*$H28/100,0)</f>
        <v>0</v>
      </c>
      <c r="BW28" s="16">
        <f ca="1">IFERROR(_xlfn.XLOOKUP($F28,'FCDB 2017 (full)'!$C:$C,'FCDB 2017 (full)'!$BN:$BN)*$H28/100,0)</f>
        <v>0</v>
      </c>
      <c r="BX28" s="16">
        <f ca="1">IFERROR(_xlfn.XLOOKUP($F28,'FCDB 2017 (full)'!$C:$C,'FCDB 2017 (full)'!$BO:$BO)*$H28/100,0)</f>
        <v>0</v>
      </c>
      <c r="BY28" s="16">
        <f ca="1">IFERROR(_xlfn.XLOOKUP($F28,'FCDB 2017 (full)'!$C:$C,'FCDB 2017 (full)'!$BP:$BP)*$H28/100,0)</f>
        <v>0</v>
      </c>
      <c r="BZ28" s="16">
        <f ca="1">IFERROR(_xlfn.XLOOKUP($F28,'FCDB 2017 (full)'!$C:$C,'FCDB 2017 (full)'!$BQ:$BQ)*$H28/100,0)</f>
        <v>0</v>
      </c>
      <c r="CA28" s="16">
        <f ca="1">IFERROR(_xlfn.XLOOKUP($F28,'FCDB 2017 (full)'!$C:$C,'FCDB 2017 (full)'!$BR:$BR)*$H28/100,0)</f>
        <v>0</v>
      </c>
      <c r="CB28" s="16">
        <f ca="1">IFERROR(_xlfn.XLOOKUP($F28,'FCDB 2017 (full)'!$C:$C,'FCDB 2017 (full)'!$BS:$BS)*$H28/100,0)</f>
        <v>0</v>
      </c>
      <c r="CC28" s="16">
        <f ca="1">IFERROR(_xlfn.XLOOKUP($F28,'FCDB 2017 (full)'!$C:$C,'FCDB 2017 (full)'!$BT:$BT)*$H28/100,0)</f>
        <v>0</v>
      </c>
      <c r="CD28" s="16">
        <f ca="1">IFERROR(_xlfn.XLOOKUP($F28,'FCDB 2017 (full)'!$C:$C,'FCDB 2017 (full)'!$BU:$BU)*$H28/100,0)</f>
        <v>0</v>
      </c>
      <c r="CE28" s="16">
        <f ca="1">IFERROR(_xlfn.XLOOKUP($F28,'FCDB 2017 (full)'!$C:$C,'FCDB 2017 (full)'!$BV:$BV)*$H28/100,0)</f>
        <v>0</v>
      </c>
      <c r="CF28" s="16">
        <f ca="1">IFERROR(_xlfn.XLOOKUP($F28,'FCDB 2017 (full)'!$C:$C,'FCDB 2017 (full)'!$BW:$BW)*$H28/100,0)</f>
        <v>0</v>
      </c>
      <c r="CG28" s="16">
        <f ca="1">IFERROR(_xlfn.XLOOKUP($F28,'FCDB 2017 (full)'!$C:$C,'FCDB 2017 (full)'!$BX:$BX)*$H28/100,0)</f>
        <v>0</v>
      </c>
      <c r="CH28" s="16">
        <f ca="1">IFERROR(_xlfn.XLOOKUP($F28,'FCDB 2017 (full)'!$C:$C,'FCDB 2017 (full)'!$BY:$BY)*$H28/100,0)</f>
        <v>0</v>
      </c>
      <c r="CI28" s="16">
        <f ca="1">IFERROR(_xlfn.XLOOKUP($F28,'FCDB 2017 (full)'!$C:$C,'FCDB 2017 (full)'!$BZ:$BZ)*$H28/100,0)</f>
        <v>0</v>
      </c>
      <c r="CJ28" s="16">
        <f ca="1">IFERROR(_xlfn.XLOOKUP($F28,'FCDB 2017 (full)'!$C:$C,'FCDB 2017 (full)'!$CA:$CA)*$H28/100,0)</f>
        <v>0</v>
      </c>
      <c r="CK28" s="16">
        <f ca="1">IFERROR(_xlfn.XLOOKUP($F28,'FCDB 2017 (full)'!$C:$C,'FCDB 2017 (full)'!$CB:$CB)*$H28/100,0)</f>
        <v>0</v>
      </c>
      <c r="CL28" s="16">
        <f ca="1">IFERROR(_xlfn.XLOOKUP($F28,'FCDB 2017 (full)'!$C:$C,'FCDB 2017 (full)'!$CC:$CC)*$H28/100,0)</f>
        <v>0</v>
      </c>
      <c r="CM28" s="16">
        <f ca="1">IFERROR(_xlfn.XLOOKUP($F28,'FCDB 2017 (full)'!$C:$C,'FCDB 2017 (full)'!$CD:$CD)*$H28/100,0)</f>
        <v>0</v>
      </c>
      <c r="CN28" s="16">
        <f ca="1">IFERROR(_xlfn.XLOOKUP($F28,'FCDB 2017 (full)'!$C:$C,'FCDB 2017 (full)'!$CE:$CE)*$H28/100,0)</f>
        <v>0</v>
      </c>
      <c r="CO28" s="16">
        <f ca="1">IFERROR(_xlfn.XLOOKUP($F28,'FCDB 2017 (full)'!$C:$C,'FCDB 2017 (full)'!$CF:$CF)*$H28/100,0)</f>
        <v>0</v>
      </c>
      <c r="CP28" s="16">
        <f ca="1">IFERROR(_xlfn.XLOOKUP($F28,'FCDB 2017 (full)'!$C:$C,'FCDB 2017 (full)'!$CG:$CG)*$H28/100,0)</f>
        <v>0</v>
      </c>
      <c r="CQ28" s="16">
        <f ca="1">IFERROR(_xlfn.XLOOKUP($F28,'FCDB 2017 (full)'!$C:$C,'FCDB 2017 (full)'!$CH:$CH)*$H28/100,0)</f>
        <v>0</v>
      </c>
      <c r="DA28" s="73" t="s">
        <v>948</v>
      </c>
    </row>
    <row r="29" spans="5:105" s="29" customFormat="1" ht="18" customHeight="1">
      <c r="F29" s="11">
        <f>IFERROR(VLOOKUP($D$9,$D:$AE,19,0),0)</f>
        <v>0</v>
      </c>
      <c r="G29" s="7" cm="1">
        <f t="array" ref="G29">IF(F29=0,0,IF(_xlfn.XLOOKUP(F29,$E$9:$AE$9,$E$10:$AE$10)=0,"Nhập ĐV/TV",_xlfn.XLOOKUP(F29,$E$9:$AE$9,$E$10:$AE$10)))</f>
        <v>0</v>
      </c>
      <c r="H29" s="8" cm="1">
        <f t="array" ref="H29">IFERROR(INDEX($E$11:$AE$11,MATCH(F29,$E$9:$AE$9,0)),0)</f>
        <v>0</v>
      </c>
      <c r="I29" s="9">
        <f ca="1">IFERROR(_xlfn.XLOOKUP($F29,'FCDB 2017 (full)'!$C:$C,'FCDB 2017 (full)'!$E:$E),0)</f>
        <v>0</v>
      </c>
      <c r="J29" s="10">
        <f t="shared" ca="1" si="1"/>
        <v>0</v>
      </c>
      <c r="K29" s="9">
        <f ca="1">IFERROR(_xlfn.XLOOKUP($F29,'FCDB 2017 (full)'!$C:$C,'FCDB 2017 (full)'!$G:$G),0)</f>
        <v>0</v>
      </c>
      <c r="L29" s="13">
        <f t="shared" si="2"/>
        <v>0</v>
      </c>
      <c r="M29" s="13">
        <f t="shared" si="3"/>
        <v>0</v>
      </c>
      <c r="N29" s="9">
        <f ca="1">IFERROR(_xlfn.XLOOKUP($F29,'FCDB 2017 (full)'!$C:$C,'FCDB 2017 (full)'!$H:$H),0)</f>
        <v>0</v>
      </c>
      <c r="O29" s="14">
        <f t="shared" si="4"/>
        <v>0</v>
      </c>
      <c r="P29" s="14">
        <f t="shared" si="5"/>
        <v>0</v>
      </c>
      <c r="Q29" s="9">
        <f ca="1">IFERROR(_xlfn.XLOOKUP($F29,'FCDB 2017 (full)'!$C:$C,'FCDB 2017 (full)'!$I:$I),0)</f>
        <v>0</v>
      </c>
      <c r="R29" s="15">
        <f t="shared" ca="1" si="6"/>
        <v>0</v>
      </c>
      <c r="S29" s="16">
        <f ca="1">IFERROR(_xlfn.XLOOKUP($F29,'FCDB 2017 (full)'!$C:$C,'FCDB 2017 (full)'!$J:$J)*$H29/100,0)</f>
        <v>0</v>
      </c>
      <c r="T29" s="16">
        <f ca="1">IFERROR(_xlfn.XLOOKUP($F29,'FCDB 2017 (full)'!$C:$C,'FCDB 2017 (full)'!$K:$K)*$H29/100,0)</f>
        <v>0</v>
      </c>
      <c r="U29" s="16">
        <f ca="1">IFERROR(_xlfn.XLOOKUP($F29,'FCDB 2017 (full)'!$C:$C,'FCDB 2017 (full)'!$L:$L)*$H29/100,0)</f>
        <v>0</v>
      </c>
      <c r="V29" s="16">
        <f ca="1">IFERROR(_xlfn.XLOOKUP($F29,'FCDB 2017 (full)'!$C:$C,'FCDB 2017 (full)'!$M:$M)*$H29/100,0)</f>
        <v>0</v>
      </c>
      <c r="W29" s="16">
        <f ca="1">IFERROR(_xlfn.XLOOKUP($F29,'FCDB 2017 (full)'!$C:$C,'FCDB 2017 (full)'!$N:$N)*$H29/100,0)</f>
        <v>0</v>
      </c>
      <c r="X29" s="16">
        <f ca="1">IFERROR(_xlfn.XLOOKUP($F29,'FCDB 2017 (full)'!$C:$C,'FCDB 2017 (full)'!$O:$O)*$H29/100,0)</f>
        <v>0</v>
      </c>
      <c r="Y29" s="16">
        <f ca="1">IFERROR(_xlfn.XLOOKUP($F29,'FCDB 2017 (full)'!$C:$C,'FCDB 2017 (full)'!$P:$P)*$H29/100,0)</f>
        <v>0</v>
      </c>
      <c r="Z29" s="16">
        <f ca="1">IFERROR(_xlfn.XLOOKUP($F29,'FCDB 2017 (full)'!$C:$C,'FCDB 2017 (full)'!$Q:$Q)*$H29/100,0)</f>
        <v>0</v>
      </c>
      <c r="AA29" s="16">
        <f ca="1">IFERROR(_xlfn.XLOOKUP($F29,'FCDB 2017 (full)'!$C:$C,'FCDB 2017 (full)'!$R:$R)*$H29/100,0)</f>
        <v>0</v>
      </c>
      <c r="AB29" s="16">
        <f ca="1">IFERROR(_xlfn.XLOOKUP($F29,'FCDB 2017 (full)'!$C:$C,'FCDB 2017 (full)'!$S:$S)*$H29/100,0)</f>
        <v>0</v>
      </c>
      <c r="AC29" s="16">
        <f ca="1">IFERROR(_xlfn.XLOOKUP($F29,'FCDB 2017 (full)'!$C:$C,'FCDB 2017 (full)'!$T:$T)*$H29/100,0)</f>
        <v>0</v>
      </c>
      <c r="AD29" s="16">
        <f ca="1">IFERROR(_xlfn.XLOOKUP($F29,'FCDB 2017 (full)'!$C:$C,'FCDB 2017 (full)'!$U:$U)*$H29/100,0)</f>
        <v>0</v>
      </c>
      <c r="AE29" s="16">
        <f ca="1">IFERROR(_xlfn.XLOOKUP($F29,'FCDB 2017 (full)'!$C:$C,'FCDB 2017 (full)'!$V:$V)*$H29/100,0)</f>
        <v>0</v>
      </c>
      <c r="AF29" s="16">
        <f ca="1">IFERROR(_xlfn.XLOOKUP($F29,'FCDB 2017 (full)'!$C:$C,'FCDB 2017 (full)'!$W:$W)*$H29/100,0)</f>
        <v>0</v>
      </c>
      <c r="AG29" s="16">
        <f ca="1">IFERROR(_xlfn.XLOOKUP($F29,'FCDB 2017 (full)'!$C:$C,'FCDB 2017 (full)'!$X:$X)*$H29/100,0)</f>
        <v>0</v>
      </c>
      <c r="AH29" s="16">
        <f ca="1">IFERROR(_xlfn.XLOOKUP($F29,'FCDB 2017 (full)'!$C:$C,'FCDB 2017 (full)'!$Y:$Y)*$H29/100,0)</f>
        <v>0</v>
      </c>
      <c r="AI29" s="16">
        <f ca="1">IFERROR(_xlfn.XLOOKUP($F29,'FCDB 2017 (full)'!$C:$C,'FCDB 2017 (full)'!$Z:$Z)*$H29/100,0)</f>
        <v>0</v>
      </c>
      <c r="AJ29" s="16">
        <f ca="1">IFERROR(_xlfn.XLOOKUP($F29,'FCDB 2017 (full)'!$C:$C,'FCDB 2017 (full)'!$AA:$AA)*$H29/100,0)</f>
        <v>0</v>
      </c>
      <c r="AK29" s="16">
        <f ca="1">IFERROR(_xlfn.XLOOKUP($F29,'FCDB 2017 (full)'!$C:$C,'FCDB 2017 (full)'!$AB:$AB)*$H29/100,0)</f>
        <v>0</v>
      </c>
      <c r="AL29" s="16">
        <f ca="1">IFERROR(_xlfn.XLOOKUP($F29,'FCDB 2017 (full)'!$C:$C,'FCDB 2017 (full)'!$AC:$AC)*$H29/100,0)</f>
        <v>0</v>
      </c>
      <c r="AM29" s="16">
        <f ca="1">IFERROR(_xlfn.XLOOKUP($F29,'FCDB 2017 (full)'!$C:$C,'FCDB 2017 (full)'!$AD:$AD)*$H29/100,0)</f>
        <v>0</v>
      </c>
      <c r="AN29" s="16">
        <f ca="1">IFERROR(_xlfn.XLOOKUP($F29,'FCDB 2017 (full)'!$C:$C,'FCDB 2017 (full)'!$AE:$AE)*$H29/100,0)</f>
        <v>0</v>
      </c>
      <c r="AO29" s="16">
        <f ca="1">IFERROR(_xlfn.XLOOKUP($F29,'FCDB 2017 (full)'!$C:$C,'FCDB 2017 (full)'!$AF:$AF)*$H29/100,0)</f>
        <v>0</v>
      </c>
      <c r="AP29" s="16">
        <f ca="1">IFERROR(_xlfn.XLOOKUP($F29,'FCDB 2017 (full)'!$C:$C,'FCDB 2017 (full)'!$AG:$AG)*$H29/100,0)</f>
        <v>0</v>
      </c>
      <c r="AQ29" s="16">
        <f ca="1">IFERROR(_xlfn.XLOOKUP($F29,'FCDB 2017 (full)'!$C:$C,'FCDB 2017 (full)'!$AH:$AH)*$H29/100,0)</f>
        <v>0</v>
      </c>
      <c r="AR29" s="16">
        <f ca="1">IFERROR(_xlfn.XLOOKUP($F29,'FCDB 2017 (full)'!$C:$C,'FCDB 2017 (full)'!$AI:$AI)*$H29/100,0)</f>
        <v>0</v>
      </c>
      <c r="AS29" s="16">
        <f ca="1">IFERROR(_xlfn.XLOOKUP($F29,'FCDB 2017 (full)'!$C:$C,'FCDB 2017 (full)'!$AJ:$AJ)*$H29/100,0)</f>
        <v>0</v>
      </c>
      <c r="AT29" s="16">
        <f ca="1">IFERROR(_xlfn.XLOOKUP($F29,'FCDB 2017 (full)'!$C:$C,'FCDB 2017 (full)'!$AK:$AK)*$H29/100,0)</f>
        <v>0</v>
      </c>
      <c r="AU29" s="16">
        <f ca="1">IFERROR(_xlfn.XLOOKUP($F29,'FCDB 2017 (full)'!$C:$C,'FCDB 2017 (full)'!$AK:$AK)*$H29/100,0)</f>
        <v>0</v>
      </c>
      <c r="AV29" s="16">
        <f ca="1">IFERROR(_xlfn.XLOOKUP($F29,'FCDB 2017 (full)'!$C:$C,'FCDB 2017 (full)'!$AM:$AM)*$H29/100,0)</f>
        <v>0</v>
      </c>
      <c r="AW29" s="16">
        <f ca="1">IFERROR(_xlfn.XLOOKUP($F29,'FCDB 2017 (full)'!$C:$C,'FCDB 2017 (full)'!$AN:$AN)*$H29/100,0)</f>
        <v>0</v>
      </c>
      <c r="AX29" s="16">
        <f ca="1">IFERROR(_xlfn.XLOOKUP($F29,'FCDB 2017 (full)'!$C:$C,'FCDB 2017 (full)'!$AO:$AO)*$H29/100,0)</f>
        <v>0</v>
      </c>
      <c r="AY29" s="16">
        <f ca="1">IFERROR(_xlfn.XLOOKUP($F29,'FCDB 2017 (full)'!$C:$C,'FCDB 2017 (full)'!$AP:$AP)*$H29/100,0)</f>
        <v>0</v>
      </c>
      <c r="AZ29" s="16">
        <f ca="1">IFERROR(_xlfn.XLOOKUP($F29,'FCDB 2017 (full)'!$C:$C,'FCDB 2017 (full)'!$AQ:$AQ)*$H29/100,0)</f>
        <v>0</v>
      </c>
      <c r="BA29" s="16">
        <f ca="1">IFERROR(_xlfn.XLOOKUP($F29,'FCDB 2017 (full)'!$C:$C,'FCDB 2017 (full)'!$AR:$AR)*$H29/100,0)</f>
        <v>0</v>
      </c>
      <c r="BB29" s="16">
        <f ca="1">IFERROR(_xlfn.XLOOKUP($F29,'FCDB 2017 (full)'!$C:$C,'FCDB 2017 (full)'!$AS:$AS)*$H29/100,0)</f>
        <v>0</v>
      </c>
      <c r="BC29" s="16">
        <f ca="1">IFERROR(_xlfn.XLOOKUP($F29,'FCDB 2017 (full)'!$C:$C,'FCDB 2017 (full)'!$AT:$AT)*$H29/100,0)</f>
        <v>0</v>
      </c>
      <c r="BD29" s="16">
        <f ca="1">IFERROR(_xlfn.XLOOKUP($F29,'FCDB 2017 (full)'!$C:$C,'FCDB 2017 (full)'!$AU:$AU)*$H29/100,0)</f>
        <v>0</v>
      </c>
      <c r="BE29" s="16">
        <f ca="1">IFERROR(_xlfn.XLOOKUP($F29,'FCDB 2017 (full)'!$C:$C,'FCDB 2017 (full)'!$AV:$AV)*$H29/100,0)</f>
        <v>0</v>
      </c>
      <c r="BF29" s="16">
        <f ca="1">IFERROR(_xlfn.XLOOKUP($F29,'FCDB 2017 (full)'!$C:$C,'FCDB 2017 (full)'!$AW:$AW)*$H29/100,0)</f>
        <v>0</v>
      </c>
      <c r="BG29" s="16">
        <f ca="1">IFERROR(_xlfn.XLOOKUP($F29,'FCDB 2017 (full)'!$C:$C,'FCDB 2017 (full)'!$AX:$AX)*$H29/100,0)</f>
        <v>0</v>
      </c>
      <c r="BH29" s="16">
        <f ca="1">IFERROR(_xlfn.XLOOKUP($F29,'FCDB 2017 (full)'!$C:$C,'FCDB 2017 (full)'!$AY:$AY)*$H29/100,0)</f>
        <v>0</v>
      </c>
      <c r="BI29" s="16">
        <f ca="1">IFERROR(_xlfn.XLOOKUP($F29,'FCDB 2017 (full)'!$C:$C,'FCDB 2017 (full)'!$AZ:$AZ)*$H29/100,0)</f>
        <v>0</v>
      </c>
      <c r="BJ29" s="16">
        <f ca="1">IFERROR(_xlfn.XLOOKUP($F29,'FCDB 2017 (full)'!$C:$C,'FCDB 2017 (full)'!$BA:$BA)*$H29/100,0)</f>
        <v>0</v>
      </c>
      <c r="BK29" s="16">
        <f ca="1">IFERROR(_xlfn.XLOOKUP($F29,'FCDB 2017 (full)'!$C:$C,'FCDB 2017 (full)'!$BB:$BB)*$H29/100,0)</f>
        <v>0</v>
      </c>
      <c r="BL29" s="16">
        <f ca="1">IFERROR(_xlfn.XLOOKUP($F29,'FCDB 2017 (full)'!$C:$C,'FCDB 2017 (full)'!$BC:$BC)*$H29/100,0)</f>
        <v>0</v>
      </c>
      <c r="BM29" s="16">
        <f ca="1">IFERROR(_xlfn.XLOOKUP($F29,'FCDB 2017 (full)'!$C:$C,'FCDB 2017 (full)'!$BD:$BD)*$H29/100,0)</f>
        <v>0</v>
      </c>
      <c r="BN29" s="16">
        <f ca="1">IFERROR(_xlfn.XLOOKUP($F29,'FCDB 2017 (full)'!$C:$C,'FCDB 2017 (full)'!$BE:$BE)*$H29/100,0)</f>
        <v>0</v>
      </c>
      <c r="BO29" s="16">
        <f ca="1">IFERROR(_xlfn.XLOOKUP($F29,'FCDB 2017 (full)'!$C:$C,'FCDB 2017 (full)'!$BF:$BF)*$H29/100,0)</f>
        <v>0</v>
      </c>
      <c r="BP29" s="16">
        <f ca="1">IFERROR(_xlfn.XLOOKUP($F29,'FCDB 2017 (full)'!$C:$C,'FCDB 2017 (full)'!$BG:$BG)*$H29/100,0)</f>
        <v>0</v>
      </c>
      <c r="BQ29" s="16">
        <f ca="1">IFERROR(_xlfn.XLOOKUP($F29,'FCDB 2017 (full)'!$C:$C,'FCDB 2017 (full)'!$BH:$BH)*$H29/100,0)</f>
        <v>0</v>
      </c>
      <c r="BR29" s="16">
        <f ca="1">IFERROR(_xlfn.XLOOKUP($F29,'FCDB 2017 (full)'!$C:$C,'FCDB 2017 (full)'!$BI:$BI)*$H29/100,0)</f>
        <v>0</v>
      </c>
      <c r="BS29" s="16">
        <f ca="1">IFERROR(_xlfn.XLOOKUP($F29,'FCDB 2017 (full)'!$C:$C,'FCDB 2017 (full)'!$BJ:$BJ)*$H29/100,0)</f>
        <v>0</v>
      </c>
      <c r="BT29" s="16">
        <f ca="1">IFERROR(_xlfn.XLOOKUP($F29,'FCDB 2017 (full)'!$C:$C,'FCDB 2017 (full)'!$BK:$BK)*$H29/100,0)</f>
        <v>0</v>
      </c>
      <c r="BU29" s="16">
        <f ca="1">IFERROR(_xlfn.XLOOKUP($F29,'FCDB 2017 (full)'!$C:$C,'FCDB 2017 (full)'!$BL:$BL)*$H29/100,0)</f>
        <v>0</v>
      </c>
      <c r="BV29" s="16">
        <f ca="1">IFERROR(_xlfn.XLOOKUP($F29,'FCDB 2017 (full)'!$C:$C,'FCDB 2017 (full)'!$BM:$BM)*$H29/100,0)</f>
        <v>0</v>
      </c>
      <c r="BW29" s="16">
        <f ca="1">IFERROR(_xlfn.XLOOKUP($F29,'FCDB 2017 (full)'!$C:$C,'FCDB 2017 (full)'!$BN:$BN)*$H29/100,0)</f>
        <v>0</v>
      </c>
      <c r="BX29" s="16">
        <f ca="1">IFERROR(_xlfn.XLOOKUP($F29,'FCDB 2017 (full)'!$C:$C,'FCDB 2017 (full)'!$BO:$BO)*$H29/100,0)</f>
        <v>0</v>
      </c>
      <c r="BY29" s="16">
        <f ca="1">IFERROR(_xlfn.XLOOKUP($F29,'FCDB 2017 (full)'!$C:$C,'FCDB 2017 (full)'!$BP:$BP)*$H29/100,0)</f>
        <v>0</v>
      </c>
      <c r="BZ29" s="16">
        <f ca="1">IFERROR(_xlfn.XLOOKUP($F29,'FCDB 2017 (full)'!$C:$C,'FCDB 2017 (full)'!$BQ:$BQ)*$H29/100,0)</f>
        <v>0</v>
      </c>
      <c r="CA29" s="16">
        <f ca="1">IFERROR(_xlfn.XLOOKUP($F29,'FCDB 2017 (full)'!$C:$C,'FCDB 2017 (full)'!$BR:$BR)*$H29/100,0)</f>
        <v>0</v>
      </c>
      <c r="CB29" s="16">
        <f ca="1">IFERROR(_xlfn.XLOOKUP($F29,'FCDB 2017 (full)'!$C:$C,'FCDB 2017 (full)'!$BS:$BS)*$H29/100,0)</f>
        <v>0</v>
      </c>
      <c r="CC29" s="16">
        <f ca="1">IFERROR(_xlfn.XLOOKUP($F29,'FCDB 2017 (full)'!$C:$C,'FCDB 2017 (full)'!$BT:$BT)*$H29/100,0)</f>
        <v>0</v>
      </c>
      <c r="CD29" s="16">
        <f ca="1">IFERROR(_xlfn.XLOOKUP($F29,'FCDB 2017 (full)'!$C:$C,'FCDB 2017 (full)'!$BU:$BU)*$H29/100,0)</f>
        <v>0</v>
      </c>
      <c r="CE29" s="16">
        <f ca="1">IFERROR(_xlfn.XLOOKUP($F29,'FCDB 2017 (full)'!$C:$C,'FCDB 2017 (full)'!$BV:$BV)*$H29/100,0)</f>
        <v>0</v>
      </c>
      <c r="CF29" s="16">
        <f ca="1">IFERROR(_xlfn.XLOOKUP($F29,'FCDB 2017 (full)'!$C:$C,'FCDB 2017 (full)'!$BW:$BW)*$H29/100,0)</f>
        <v>0</v>
      </c>
      <c r="CG29" s="16">
        <f ca="1">IFERROR(_xlfn.XLOOKUP($F29,'FCDB 2017 (full)'!$C:$C,'FCDB 2017 (full)'!$BX:$BX)*$H29/100,0)</f>
        <v>0</v>
      </c>
      <c r="CH29" s="16">
        <f ca="1">IFERROR(_xlfn.XLOOKUP($F29,'FCDB 2017 (full)'!$C:$C,'FCDB 2017 (full)'!$BY:$BY)*$H29/100,0)</f>
        <v>0</v>
      </c>
      <c r="CI29" s="16">
        <f ca="1">IFERROR(_xlfn.XLOOKUP($F29,'FCDB 2017 (full)'!$C:$C,'FCDB 2017 (full)'!$BZ:$BZ)*$H29/100,0)</f>
        <v>0</v>
      </c>
      <c r="CJ29" s="16">
        <f ca="1">IFERROR(_xlfn.XLOOKUP($F29,'FCDB 2017 (full)'!$C:$C,'FCDB 2017 (full)'!$CA:$CA)*$H29/100,0)</f>
        <v>0</v>
      </c>
      <c r="CK29" s="16">
        <f ca="1">IFERROR(_xlfn.XLOOKUP($F29,'FCDB 2017 (full)'!$C:$C,'FCDB 2017 (full)'!$CB:$CB)*$H29/100,0)</f>
        <v>0</v>
      </c>
      <c r="CL29" s="16">
        <f ca="1">IFERROR(_xlfn.XLOOKUP($F29,'FCDB 2017 (full)'!$C:$C,'FCDB 2017 (full)'!$CC:$CC)*$H29/100,0)</f>
        <v>0</v>
      </c>
      <c r="CM29" s="16">
        <f ca="1">IFERROR(_xlfn.XLOOKUP($F29,'FCDB 2017 (full)'!$C:$C,'FCDB 2017 (full)'!$CD:$CD)*$H29/100,0)</f>
        <v>0</v>
      </c>
      <c r="CN29" s="16">
        <f ca="1">IFERROR(_xlfn.XLOOKUP($F29,'FCDB 2017 (full)'!$C:$C,'FCDB 2017 (full)'!$CE:$CE)*$H29/100,0)</f>
        <v>0</v>
      </c>
      <c r="CO29" s="16">
        <f ca="1">IFERROR(_xlfn.XLOOKUP($F29,'FCDB 2017 (full)'!$C:$C,'FCDB 2017 (full)'!$CF:$CF)*$H29/100,0)</f>
        <v>0</v>
      </c>
      <c r="CP29" s="16">
        <f ca="1">IFERROR(_xlfn.XLOOKUP($F29,'FCDB 2017 (full)'!$C:$C,'FCDB 2017 (full)'!$CG:$CG)*$H29/100,0)</f>
        <v>0</v>
      </c>
      <c r="CQ29" s="16">
        <f ca="1">IFERROR(_xlfn.XLOOKUP($F29,'FCDB 2017 (full)'!$C:$C,'FCDB 2017 (full)'!$CH:$CH)*$H29/100,0)</f>
        <v>0</v>
      </c>
      <c r="DA29" s="72" t="s">
        <v>948</v>
      </c>
    </row>
    <row r="30" spans="5:105" s="29" customFormat="1" ht="19.05" customHeight="1">
      <c r="F30" s="11">
        <f>IFERROR(VLOOKUP($D$9,$D:$AE,20,0),0)</f>
        <v>0</v>
      </c>
      <c r="G30" s="7" cm="1">
        <f t="array" ref="G30">IF(F30=0,0,IF(_xlfn.XLOOKUP(F30,$E$9:$AE$9,$E$10:$AE$10)=0,"Nhập ĐV/TV",_xlfn.XLOOKUP(F30,$E$9:$AE$9,$E$10:$AE$10)))</f>
        <v>0</v>
      </c>
      <c r="H30" s="8" cm="1">
        <f t="array" ref="H30">IFERROR(INDEX($E$11:$AE$11,MATCH(F30,$E$9:$AE$9,0)),0)</f>
        <v>0</v>
      </c>
      <c r="I30" s="9">
        <f ca="1">IFERROR(_xlfn.XLOOKUP($F30,'FCDB 2017 (full)'!$C:$C,'FCDB 2017 (full)'!$E:$E),0)</f>
        <v>0</v>
      </c>
      <c r="J30" s="10">
        <f t="shared" ca="1" si="1"/>
        <v>0</v>
      </c>
      <c r="K30" s="9">
        <f ca="1">IFERROR(_xlfn.XLOOKUP($F30,'FCDB 2017 (full)'!$C:$C,'FCDB 2017 (full)'!$G:$G),0)</f>
        <v>0</v>
      </c>
      <c r="L30" s="13">
        <f t="shared" si="2"/>
        <v>0</v>
      </c>
      <c r="M30" s="13">
        <f t="shared" si="3"/>
        <v>0</v>
      </c>
      <c r="N30" s="9">
        <f ca="1">IFERROR(_xlfn.XLOOKUP($F30,'FCDB 2017 (full)'!$C:$C,'FCDB 2017 (full)'!$H:$H),0)</f>
        <v>0</v>
      </c>
      <c r="O30" s="14">
        <f t="shared" si="4"/>
        <v>0</v>
      </c>
      <c r="P30" s="14">
        <f t="shared" si="5"/>
        <v>0</v>
      </c>
      <c r="Q30" s="9">
        <f ca="1">IFERROR(_xlfn.XLOOKUP($F30,'FCDB 2017 (full)'!$C:$C,'FCDB 2017 (full)'!$I:$I),0)</f>
        <v>0</v>
      </c>
      <c r="R30" s="15">
        <f t="shared" ca="1" si="6"/>
        <v>0</v>
      </c>
      <c r="S30" s="16">
        <f ca="1">IFERROR(_xlfn.XLOOKUP($F30,'FCDB 2017 (full)'!$C:$C,'FCDB 2017 (full)'!$J:$J)*$H30/100,0)</f>
        <v>0</v>
      </c>
      <c r="T30" s="16">
        <f ca="1">IFERROR(_xlfn.XLOOKUP($F30,'FCDB 2017 (full)'!$C:$C,'FCDB 2017 (full)'!$K:$K)*$H30/100,0)</f>
        <v>0</v>
      </c>
      <c r="U30" s="16">
        <f ca="1">IFERROR(_xlfn.XLOOKUP($F30,'FCDB 2017 (full)'!$C:$C,'FCDB 2017 (full)'!$L:$L)*$H30/100,0)</f>
        <v>0</v>
      </c>
      <c r="V30" s="16">
        <f ca="1">IFERROR(_xlfn.XLOOKUP($F30,'FCDB 2017 (full)'!$C:$C,'FCDB 2017 (full)'!$M:$M)*$H30/100,0)</f>
        <v>0</v>
      </c>
      <c r="W30" s="16">
        <f ca="1">IFERROR(_xlfn.XLOOKUP($F30,'FCDB 2017 (full)'!$C:$C,'FCDB 2017 (full)'!$N:$N)*$H30/100,0)</f>
        <v>0</v>
      </c>
      <c r="X30" s="16">
        <f ca="1">IFERROR(_xlfn.XLOOKUP($F30,'FCDB 2017 (full)'!$C:$C,'FCDB 2017 (full)'!$O:$O)*$H30/100,0)</f>
        <v>0</v>
      </c>
      <c r="Y30" s="16">
        <f ca="1">IFERROR(_xlfn.XLOOKUP($F30,'FCDB 2017 (full)'!$C:$C,'FCDB 2017 (full)'!$P:$P)*$H30/100,0)</f>
        <v>0</v>
      </c>
      <c r="Z30" s="16">
        <f ca="1">IFERROR(_xlfn.XLOOKUP($F30,'FCDB 2017 (full)'!$C:$C,'FCDB 2017 (full)'!$Q:$Q)*$H30/100,0)</f>
        <v>0</v>
      </c>
      <c r="AA30" s="16">
        <f ca="1">IFERROR(_xlfn.XLOOKUP($F30,'FCDB 2017 (full)'!$C:$C,'FCDB 2017 (full)'!$R:$R)*$H30/100,0)</f>
        <v>0</v>
      </c>
      <c r="AB30" s="16">
        <f ca="1">IFERROR(_xlfn.XLOOKUP($F30,'FCDB 2017 (full)'!$C:$C,'FCDB 2017 (full)'!$S:$S)*$H30/100,0)</f>
        <v>0</v>
      </c>
      <c r="AC30" s="16">
        <f ca="1">IFERROR(_xlfn.XLOOKUP($F30,'FCDB 2017 (full)'!$C:$C,'FCDB 2017 (full)'!$T:$T)*$H30/100,0)</f>
        <v>0</v>
      </c>
      <c r="AD30" s="16">
        <f ca="1">IFERROR(_xlfn.XLOOKUP($F30,'FCDB 2017 (full)'!$C:$C,'FCDB 2017 (full)'!$U:$U)*$H30/100,0)</f>
        <v>0</v>
      </c>
      <c r="AE30" s="16">
        <f ca="1">IFERROR(_xlfn.XLOOKUP($F30,'FCDB 2017 (full)'!$C:$C,'FCDB 2017 (full)'!$V:$V)*$H30/100,0)</f>
        <v>0</v>
      </c>
      <c r="AF30" s="16">
        <f ca="1">IFERROR(_xlfn.XLOOKUP($F30,'FCDB 2017 (full)'!$C:$C,'FCDB 2017 (full)'!$W:$W)*$H30/100,0)</f>
        <v>0</v>
      </c>
      <c r="AG30" s="16">
        <f ca="1">IFERROR(_xlfn.XLOOKUP($F30,'FCDB 2017 (full)'!$C:$C,'FCDB 2017 (full)'!$X:$X)*$H30/100,0)</f>
        <v>0</v>
      </c>
      <c r="AH30" s="16">
        <f ca="1">IFERROR(_xlfn.XLOOKUP($F30,'FCDB 2017 (full)'!$C:$C,'FCDB 2017 (full)'!$Y:$Y)*$H30/100,0)</f>
        <v>0</v>
      </c>
      <c r="AI30" s="16">
        <f ca="1">IFERROR(_xlfn.XLOOKUP($F30,'FCDB 2017 (full)'!$C:$C,'FCDB 2017 (full)'!$Z:$Z)*$H30/100,0)</f>
        <v>0</v>
      </c>
      <c r="AJ30" s="16">
        <f ca="1">IFERROR(_xlfn.XLOOKUP($F30,'FCDB 2017 (full)'!$C:$C,'FCDB 2017 (full)'!$AA:$AA)*$H30/100,0)</f>
        <v>0</v>
      </c>
      <c r="AK30" s="16">
        <f ca="1">IFERROR(_xlfn.XLOOKUP($F30,'FCDB 2017 (full)'!$C:$C,'FCDB 2017 (full)'!$AB:$AB)*$H30/100,0)</f>
        <v>0</v>
      </c>
      <c r="AL30" s="16">
        <f ca="1">IFERROR(_xlfn.XLOOKUP($F30,'FCDB 2017 (full)'!$C:$C,'FCDB 2017 (full)'!$AC:$AC)*$H30/100,0)</f>
        <v>0</v>
      </c>
      <c r="AM30" s="16">
        <f ca="1">IFERROR(_xlfn.XLOOKUP($F30,'FCDB 2017 (full)'!$C:$C,'FCDB 2017 (full)'!$AD:$AD)*$H30/100,0)</f>
        <v>0</v>
      </c>
      <c r="AN30" s="16">
        <f ca="1">IFERROR(_xlfn.XLOOKUP($F30,'FCDB 2017 (full)'!$C:$C,'FCDB 2017 (full)'!$AE:$AE)*$H30/100,0)</f>
        <v>0</v>
      </c>
      <c r="AO30" s="16">
        <f ca="1">IFERROR(_xlfn.XLOOKUP($F30,'FCDB 2017 (full)'!$C:$C,'FCDB 2017 (full)'!$AF:$AF)*$H30/100,0)</f>
        <v>0</v>
      </c>
      <c r="AP30" s="16">
        <f ca="1">IFERROR(_xlfn.XLOOKUP($F30,'FCDB 2017 (full)'!$C:$C,'FCDB 2017 (full)'!$AG:$AG)*$H30/100,0)</f>
        <v>0</v>
      </c>
      <c r="AQ30" s="16">
        <f ca="1">IFERROR(_xlfn.XLOOKUP($F30,'FCDB 2017 (full)'!$C:$C,'FCDB 2017 (full)'!$AH:$AH)*$H30/100,0)</f>
        <v>0</v>
      </c>
      <c r="AR30" s="16">
        <f ca="1">IFERROR(_xlfn.XLOOKUP($F30,'FCDB 2017 (full)'!$C:$C,'FCDB 2017 (full)'!$AI:$AI)*$H30/100,0)</f>
        <v>0</v>
      </c>
      <c r="AS30" s="16">
        <f ca="1">IFERROR(_xlfn.XLOOKUP($F30,'FCDB 2017 (full)'!$C:$C,'FCDB 2017 (full)'!$AJ:$AJ)*$H30/100,0)</f>
        <v>0</v>
      </c>
      <c r="AT30" s="16">
        <f ca="1">IFERROR(_xlfn.XLOOKUP($F30,'FCDB 2017 (full)'!$C:$C,'FCDB 2017 (full)'!$AK:$AK)*$H30/100,0)</f>
        <v>0</v>
      </c>
      <c r="AU30" s="16">
        <f ca="1">IFERROR(_xlfn.XLOOKUP($F30,'FCDB 2017 (full)'!$C:$C,'FCDB 2017 (full)'!$AK:$AK)*$H30/100,0)</f>
        <v>0</v>
      </c>
      <c r="AV30" s="16">
        <f ca="1">IFERROR(_xlfn.XLOOKUP($F30,'FCDB 2017 (full)'!$C:$C,'FCDB 2017 (full)'!$AM:$AM)*$H30/100,0)</f>
        <v>0</v>
      </c>
      <c r="AW30" s="16">
        <f ca="1">IFERROR(_xlfn.XLOOKUP($F30,'FCDB 2017 (full)'!$C:$C,'FCDB 2017 (full)'!$AN:$AN)*$H30/100,0)</f>
        <v>0</v>
      </c>
      <c r="AX30" s="16">
        <f ca="1">IFERROR(_xlfn.XLOOKUP($F30,'FCDB 2017 (full)'!$C:$C,'FCDB 2017 (full)'!$AO:$AO)*$H30/100,0)</f>
        <v>0</v>
      </c>
      <c r="AY30" s="16">
        <f ca="1">IFERROR(_xlfn.XLOOKUP($F30,'FCDB 2017 (full)'!$C:$C,'FCDB 2017 (full)'!$AP:$AP)*$H30/100,0)</f>
        <v>0</v>
      </c>
      <c r="AZ30" s="16">
        <f ca="1">IFERROR(_xlfn.XLOOKUP($F30,'FCDB 2017 (full)'!$C:$C,'FCDB 2017 (full)'!$AQ:$AQ)*$H30/100,0)</f>
        <v>0</v>
      </c>
      <c r="BA30" s="16">
        <f ca="1">IFERROR(_xlfn.XLOOKUP($F30,'FCDB 2017 (full)'!$C:$C,'FCDB 2017 (full)'!$AR:$AR)*$H30/100,0)</f>
        <v>0</v>
      </c>
      <c r="BB30" s="16">
        <f ca="1">IFERROR(_xlfn.XLOOKUP($F30,'FCDB 2017 (full)'!$C:$C,'FCDB 2017 (full)'!$AS:$AS)*$H30/100,0)</f>
        <v>0</v>
      </c>
      <c r="BC30" s="16">
        <f ca="1">IFERROR(_xlfn.XLOOKUP($F30,'FCDB 2017 (full)'!$C:$C,'FCDB 2017 (full)'!$AT:$AT)*$H30/100,0)</f>
        <v>0</v>
      </c>
      <c r="BD30" s="16">
        <f ca="1">IFERROR(_xlfn.XLOOKUP($F30,'FCDB 2017 (full)'!$C:$C,'FCDB 2017 (full)'!$AU:$AU)*$H30/100,0)</f>
        <v>0</v>
      </c>
      <c r="BE30" s="16">
        <f ca="1">IFERROR(_xlfn.XLOOKUP($F30,'FCDB 2017 (full)'!$C:$C,'FCDB 2017 (full)'!$AV:$AV)*$H30/100,0)</f>
        <v>0</v>
      </c>
      <c r="BF30" s="16">
        <f ca="1">IFERROR(_xlfn.XLOOKUP($F30,'FCDB 2017 (full)'!$C:$C,'FCDB 2017 (full)'!$AW:$AW)*$H30/100,0)</f>
        <v>0</v>
      </c>
      <c r="BG30" s="16">
        <f ca="1">IFERROR(_xlfn.XLOOKUP($F30,'FCDB 2017 (full)'!$C:$C,'FCDB 2017 (full)'!$AX:$AX)*$H30/100,0)</f>
        <v>0</v>
      </c>
      <c r="BH30" s="16">
        <f ca="1">IFERROR(_xlfn.XLOOKUP($F30,'FCDB 2017 (full)'!$C:$C,'FCDB 2017 (full)'!$AY:$AY)*$H30/100,0)</f>
        <v>0</v>
      </c>
      <c r="BI30" s="16">
        <f ca="1">IFERROR(_xlfn.XLOOKUP($F30,'FCDB 2017 (full)'!$C:$C,'FCDB 2017 (full)'!$AZ:$AZ)*$H30/100,0)</f>
        <v>0</v>
      </c>
      <c r="BJ30" s="16">
        <f ca="1">IFERROR(_xlfn.XLOOKUP($F30,'FCDB 2017 (full)'!$C:$C,'FCDB 2017 (full)'!$BA:$BA)*$H30/100,0)</f>
        <v>0</v>
      </c>
      <c r="BK30" s="16">
        <f ca="1">IFERROR(_xlfn.XLOOKUP($F30,'FCDB 2017 (full)'!$C:$C,'FCDB 2017 (full)'!$BB:$BB)*$H30/100,0)</f>
        <v>0</v>
      </c>
      <c r="BL30" s="16">
        <f ca="1">IFERROR(_xlfn.XLOOKUP($F30,'FCDB 2017 (full)'!$C:$C,'FCDB 2017 (full)'!$BC:$BC)*$H30/100,0)</f>
        <v>0</v>
      </c>
      <c r="BM30" s="16">
        <f ca="1">IFERROR(_xlfn.XLOOKUP($F30,'FCDB 2017 (full)'!$C:$C,'FCDB 2017 (full)'!$BD:$BD)*$H30/100,0)</f>
        <v>0</v>
      </c>
      <c r="BN30" s="16">
        <f ca="1">IFERROR(_xlfn.XLOOKUP($F30,'FCDB 2017 (full)'!$C:$C,'FCDB 2017 (full)'!$BE:$BE)*$H30/100,0)</f>
        <v>0</v>
      </c>
      <c r="BO30" s="16">
        <f ca="1">IFERROR(_xlfn.XLOOKUP($F30,'FCDB 2017 (full)'!$C:$C,'FCDB 2017 (full)'!$BF:$BF)*$H30/100,0)</f>
        <v>0</v>
      </c>
      <c r="BP30" s="16">
        <f ca="1">IFERROR(_xlfn.XLOOKUP($F30,'FCDB 2017 (full)'!$C:$C,'FCDB 2017 (full)'!$BG:$BG)*$H30/100,0)</f>
        <v>0</v>
      </c>
      <c r="BQ30" s="16">
        <f ca="1">IFERROR(_xlfn.XLOOKUP($F30,'FCDB 2017 (full)'!$C:$C,'FCDB 2017 (full)'!$BH:$BH)*$H30/100,0)</f>
        <v>0</v>
      </c>
      <c r="BR30" s="16">
        <f ca="1">IFERROR(_xlfn.XLOOKUP($F30,'FCDB 2017 (full)'!$C:$C,'FCDB 2017 (full)'!$BI:$BI)*$H30/100,0)</f>
        <v>0</v>
      </c>
      <c r="BS30" s="16">
        <f ca="1">IFERROR(_xlfn.XLOOKUP($F30,'FCDB 2017 (full)'!$C:$C,'FCDB 2017 (full)'!$BJ:$BJ)*$H30/100,0)</f>
        <v>0</v>
      </c>
      <c r="BT30" s="16">
        <f ca="1">IFERROR(_xlfn.XLOOKUP($F30,'FCDB 2017 (full)'!$C:$C,'FCDB 2017 (full)'!$BK:$BK)*$H30/100,0)</f>
        <v>0</v>
      </c>
      <c r="BU30" s="16">
        <f ca="1">IFERROR(_xlfn.XLOOKUP($F30,'FCDB 2017 (full)'!$C:$C,'FCDB 2017 (full)'!$BL:$BL)*$H30/100,0)</f>
        <v>0</v>
      </c>
      <c r="BV30" s="16">
        <f ca="1">IFERROR(_xlfn.XLOOKUP($F30,'FCDB 2017 (full)'!$C:$C,'FCDB 2017 (full)'!$BM:$BM)*$H30/100,0)</f>
        <v>0</v>
      </c>
      <c r="BW30" s="16">
        <f ca="1">IFERROR(_xlfn.XLOOKUP($F30,'FCDB 2017 (full)'!$C:$C,'FCDB 2017 (full)'!$BN:$BN)*$H30/100,0)</f>
        <v>0</v>
      </c>
      <c r="BX30" s="16">
        <f ca="1">IFERROR(_xlfn.XLOOKUP($F30,'FCDB 2017 (full)'!$C:$C,'FCDB 2017 (full)'!$BO:$BO)*$H30/100,0)</f>
        <v>0</v>
      </c>
      <c r="BY30" s="16">
        <f ca="1">IFERROR(_xlfn.XLOOKUP($F30,'FCDB 2017 (full)'!$C:$C,'FCDB 2017 (full)'!$BP:$BP)*$H30/100,0)</f>
        <v>0</v>
      </c>
      <c r="BZ30" s="16">
        <f ca="1">IFERROR(_xlfn.XLOOKUP($F30,'FCDB 2017 (full)'!$C:$C,'FCDB 2017 (full)'!$BQ:$BQ)*$H30/100,0)</f>
        <v>0</v>
      </c>
      <c r="CA30" s="16">
        <f ca="1">IFERROR(_xlfn.XLOOKUP($F30,'FCDB 2017 (full)'!$C:$C,'FCDB 2017 (full)'!$BR:$BR)*$H30/100,0)</f>
        <v>0</v>
      </c>
      <c r="CB30" s="16">
        <f ca="1">IFERROR(_xlfn.XLOOKUP($F30,'FCDB 2017 (full)'!$C:$C,'FCDB 2017 (full)'!$BS:$BS)*$H30/100,0)</f>
        <v>0</v>
      </c>
      <c r="CC30" s="16">
        <f ca="1">IFERROR(_xlfn.XLOOKUP($F30,'FCDB 2017 (full)'!$C:$C,'FCDB 2017 (full)'!$BT:$BT)*$H30/100,0)</f>
        <v>0</v>
      </c>
      <c r="CD30" s="16">
        <f ca="1">IFERROR(_xlfn.XLOOKUP($F30,'FCDB 2017 (full)'!$C:$C,'FCDB 2017 (full)'!$BU:$BU)*$H30/100,0)</f>
        <v>0</v>
      </c>
      <c r="CE30" s="16">
        <f ca="1">IFERROR(_xlfn.XLOOKUP($F30,'FCDB 2017 (full)'!$C:$C,'FCDB 2017 (full)'!$BV:$BV)*$H30/100,0)</f>
        <v>0</v>
      </c>
      <c r="CF30" s="16">
        <f ca="1">IFERROR(_xlfn.XLOOKUP($F30,'FCDB 2017 (full)'!$C:$C,'FCDB 2017 (full)'!$BW:$BW)*$H30/100,0)</f>
        <v>0</v>
      </c>
      <c r="CG30" s="16">
        <f ca="1">IFERROR(_xlfn.XLOOKUP($F30,'FCDB 2017 (full)'!$C:$C,'FCDB 2017 (full)'!$BX:$BX)*$H30/100,0)</f>
        <v>0</v>
      </c>
      <c r="CH30" s="16">
        <f ca="1">IFERROR(_xlfn.XLOOKUP($F30,'FCDB 2017 (full)'!$C:$C,'FCDB 2017 (full)'!$BY:$BY)*$H30/100,0)</f>
        <v>0</v>
      </c>
      <c r="CI30" s="16">
        <f ca="1">IFERROR(_xlfn.XLOOKUP($F30,'FCDB 2017 (full)'!$C:$C,'FCDB 2017 (full)'!$BZ:$BZ)*$H30/100,0)</f>
        <v>0</v>
      </c>
      <c r="CJ30" s="16">
        <f ca="1">IFERROR(_xlfn.XLOOKUP($F30,'FCDB 2017 (full)'!$C:$C,'FCDB 2017 (full)'!$CA:$CA)*$H30/100,0)</f>
        <v>0</v>
      </c>
      <c r="CK30" s="16">
        <f ca="1">IFERROR(_xlfn.XLOOKUP($F30,'FCDB 2017 (full)'!$C:$C,'FCDB 2017 (full)'!$CB:$CB)*$H30/100,0)</f>
        <v>0</v>
      </c>
      <c r="CL30" s="16">
        <f ca="1">IFERROR(_xlfn.XLOOKUP($F30,'FCDB 2017 (full)'!$C:$C,'FCDB 2017 (full)'!$CC:$CC)*$H30/100,0)</f>
        <v>0</v>
      </c>
      <c r="CM30" s="16">
        <f ca="1">IFERROR(_xlfn.XLOOKUP($F30,'FCDB 2017 (full)'!$C:$C,'FCDB 2017 (full)'!$CD:$CD)*$H30/100,0)</f>
        <v>0</v>
      </c>
      <c r="CN30" s="16">
        <f ca="1">IFERROR(_xlfn.XLOOKUP($F30,'FCDB 2017 (full)'!$C:$C,'FCDB 2017 (full)'!$CE:$CE)*$H30/100,0)</f>
        <v>0</v>
      </c>
      <c r="CO30" s="16">
        <f ca="1">IFERROR(_xlfn.XLOOKUP($F30,'FCDB 2017 (full)'!$C:$C,'FCDB 2017 (full)'!$CF:$CF)*$H30/100,0)</f>
        <v>0</v>
      </c>
      <c r="CP30" s="16">
        <f ca="1">IFERROR(_xlfn.XLOOKUP($F30,'FCDB 2017 (full)'!$C:$C,'FCDB 2017 (full)'!$CG:$CG)*$H30/100,0)</f>
        <v>0</v>
      </c>
      <c r="CQ30" s="16">
        <f ca="1">IFERROR(_xlfn.XLOOKUP($F30,'FCDB 2017 (full)'!$C:$C,'FCDB 2017 (full)'!$CH:$CH)*$H30/100,0)</f>
        <v>0</v>
      </c>
      <c r="DA30" s="73" t="s">
        <v>948</v>
      </c>
    </row>
    <row r="31" spans="5:105" s="29" customFormat="1" ht="19.05" customHeight="1">
      <c r="F31" s="11">
        <f>IFERROR(VLOOKUP($D$9,$D:$AE,21,0),0)</f>
        <v>0</v>
      </c>
      <c r="G31" s="7" cm="1">
        <f t="array" ref="G31">IF(F31=0,0,IF(_xlfn.XLOOKUP(F31,$E$9:$AE$9,$E$10:$AE$10)=0,"Nhập ĐV/TV",_xlfn.XLOOKUP(F31,$E$9:$AE$9,$E$10:$AE$10)))</f>
        <v>0</v>
      </c>
      <c r="H31" s="8" cm="1">
        <f t="array" ref="H31">IFERROR(INDEX($E$11:$AE$11,MATCH(F31,$E$9:$AE$9,0)),0)</f>
        <v>0</v>
      </c>
      <c r="I31" s="9">
        <f ca="1">IFERROR(_xlfn.XLOOKUP($F31,'FCDB 2017 (full)'!$C:$C,'FCDB 2017 (full)'!$E:$E),0)</f>
        <v>0</v>
      </c>
      <c r="J31" s="10">
        <f t="shared" ca="1" si="1"/>
        <v>0</v>
      </c>
      <c r="K31" s="9">
        <f ca="1">IFERROR(_xlfn.XLOOKUP($F31,'FCDB 2017 (full)'!$C:$C,'FCDB 2017 (full)'!$G:$G),0)</f>
        <v>0</v>
      </c>
      <c r="L31" s="13">
        <f t="shared" si="2"/>
        <v>0</v>
      </c>
      <c r="M31" s="13">
        <f t="shared" si="3"/>
        <v>0</v>
      </c>
      <c r="N31" s="9">
        <f ca="1">IFERROR(_xlfn.XLOOKUP($F31,'FCDB 2017 (full)'!$C:$C,'FCDB 2017 (full)'!$H:$H),0)</f>
        <v>0</v>
      </c>
      <c r="O31" s="14">
        <f t="shared" si="4"/>
        <v>0</v>
      </c>
      <c r="P31" s="14">
        <f t="shared" si="5"/>
        <v>0</v>
      </c>
      <c r="Q31" s="9">
        <f ca="1">IFERROR(_xlfn.XLOOKUP($F31,'FCDB 2017 (full)'!$C:$C,'FCDB 2017 (full)'!$I:$I),0)</f>
        <v>0</v>
      </c>
      <c r="R31" s="15">
        <f t="shared" ca="1" si="6"/>
        <v>0</v>
      </c>
      <c r="S31" s="16">
        <f ca="1">IFERROR(_xlfn.XLOOKUP($F31,'FCDB 2017 (full)'!$C:$C,'FCDB 2017 (full)'!$J:$J)*$H31/100,0)</f>
        <v>0</v>
      </c>
      <c r="T31" s="16">
        <f ca="1">IFERROR(_xlfn.XLOOKUP($F31,'FCDB 2017 (full)'!$C:$C,'FCDB 2017 (full)'!$K:$K)*$H31/100,0)</f>
        <v>0</v>
      </c>
      <c r="U31" s="16">
        <f ca="1">IFERROR(_xlfn.XLOOKUP($F31,'FCDB 2017 (full)'!$C:$C,'FCDB 2017 (full)'!$L:$L)*$H31/100,0)</f>
        <v>0</v>
      </c>
      <c r="V31" s="16">
        <f ca="1">IFERROR(_xlfn.XLOOKUP($F31,'FCDB 2017 (full)'!$C:$C,'FCDB 2017 (full)'!$M:$M)*$H31/100,0)</f>
        <v>0</v>
      </c>
      <c r="W31" s="16">
        <f ca="1">IFERROR(_xlfn.XLOOKUP($F31,'FCDB 2017 (full)'!$C:$C,'FCDB 2017 (full)'!$N:$N)*$H31/100,0)</f>
        <v>0</v>
      </c>
      <c r="X31" s="16">
        <f ca="1">IFERROR(_xlfn.XLOOKUP($F31,'FCDB 2017 (full)'!$C:$C,'FCDB 2017 (full)'!$O:$O)*$H31/100,0)</f>
        <v>0</v>
      </c>
      <c r="Y31" s="16">
        <f ca="1">IFERROR(_xlfn.XLOOKUP($F31,'FCDB 2017 (full)'!$C:$C,'FCDB 2017 (full)'!$P:$P)*$H31/100,0)</f>
        <v>0</v>
      </c>
      <c r="Z31" s="16">
        <f ca="1">IFERROR(_xlfn.XLOOKUP($F31,'FCDB 2017 (full)'!$C:$C,'FCDB 2017 (full)'!$Q:$Q)*$H31/100,0)</f>
        <v>0</v>
      </c>
      <c r="AA31" s="16">
        <f ca="1">IFERROR(_xlfn.XLOOKUP($F31,'FCDB 2017 (full)'!$C:$C,'FCDB 2017 (full)'!$R:$R)*$H31/100,0)</f>
        <v>0</v>
      </c>
      <c r="AB31" s="16">
        <f ca="1">IFERROR(_xlfn.XLOOKUP($F31,'FCDB 2017 (full)'!$C:$C,'FCDB 2017 (full)'!$S:$S)*$H31/100,0)</f>
        <v>0</v>
      </c>
      <c r="AC31" s="16">
        <f ca="1">IFERROR(_xlfn.XLOOKUP($F31,'FCDB 2017 (full)'!$C:$C,'FCDB 2017 (full)'!$T:$T)*$H31/100,0)</f>
        <v>0</v>
      </c>
      <c r="AD31" s="16">
        <f ca="1">IFERROR(_xlfn.XLOOKUP($F31,'FCDB 2017 (full)'!$C:$C,'FCDB 2017 (full)'!$U:$U)*$H31/100,0)</f>
        <v>0</v>
      </c>
      <c r="AE31" s="16">
        <f ca="1">IFERROR(_xlfn.XLOOKUP($F31,'FCDB 2017 (full)'!$C:$C,'FCDB 2017 (full)'!$V:$V)*$H31/100,0)</f>
        <v>0</v>
      </c>
      <c r="AF31" s="16">
        <f ca="1">IFERROR(_xlfn.XLOOKUP($F31,'FCDB 2017 (full)'!$C:$C,'FCDB 2017 (full)'!$W:$W)*$H31/100,0)</f>
        <v>0</v>
      </c>
      <c r="AG31" s="16">
        <f ca="1">IFERROR(_xlfn.XLOOKUP($F31,'FCDB 2017 (full)'!$C:$C,'FCDB 2017 (full)'!$X:$X)*$H31/100,0)</f>
        <v>0</v>
      </c>
      <c r="AH31" s="16">
        <f ca="1">IFERROR(_xlfn.XLOOKUP($F31,'FCDB 2017 (full)'!$C:$C,'FCDB 2017 (full)'!$Y:$Y)*$H31/100,0)</f>
        <v>0</v>
      </c>
      <c r="AI31" s="16">
        <f ca="1">IFERROR(_xlfn.XLOOKUP($F31,'FCDB 2017 (full)'!$C:$C,'FCDB 2017 (full)'!$Z:$Z)*$H31/100,0)</f>
        <v>0</v>
      </c>
      <c r="AJ31" s="16">
        <f ca="1">IFERROR(_xlfn.XLOOKUP($F31,'FCDB 2017 (full)'!$C:$C,'FCDB 2017 (full)'!$AA:$AA)*$H31/100,0)</f>
        <v>0</v>
      </c>
      <c r="AK31" s="16">
        <f ca="1">IFERROR(_xlfn.XLOOKUP($F31,'FCDB 2017 (full)'!$C:$C,'FCDB 2017 (full)'!$AB:$AB)*$H31/100,0)</f>
        <v>0</v>
      </c>
      <c r="AL31" s="16">
        <f ca="1">IFERROR(_xlfn.XLOOKUP($F31,'FCDB 2017 (full)'!$C:$C,'FCDB 2017 (full)'!$AC:$AC)*$H31/100,0)</f>
        <v>0</v>
      </c>
      <c r="AM31" s="16">
        <f ca="1">IFERROR(_xlfn.XLOOKUP($F31,'FCDB 2017 (full)'!$C:$C,'FCDB 2017 (full)'!$AD:$AD)*$H31/100,0)</f>
        <v>0</v>
      </c>
      <c r="AN31" s="16">
        <f ca="1">IFERROR(_xlfn.XLOOKUP($F31,'FCDB 2017 (full)'!$C:$C,'FCDB 2017 (full)'!$AE:$AE)*$H31/100,0)</f>
        <v>0</v>
      </c>
      <c r="AO31" s="16">
        <f ca="1">IFERROR(_xlfn.XLOOKUP($F31,'FCDB 2017 (full)'!$C:$C,'FCDB 2017 (full)'!$AF:$AF)*$H31/100,0)</f>
        <v>0</v>
      </c>
      <c r="AP31" s="16">
        <f ca="1">IFERROR(_xlfn.XLOOKUP($F31,'FCDB 2017 (full)'!$C:$C,'FCDB 2017 (full)'!$AG:$AG)*$H31/100,0)</f>
        <v>0</v>
      </c>
      <c r="AQ31" s="16">
        <f ca="1">IFERROR(_xlfn.XLOOKUP($F31,'FCDB 2017 (full)'!$C:$C,'FCDB 2017 (full)'!$AH:$AH)*$H31/100,0)</f>
        <v>0</v>
      </c>
      <c r="AR31" s="16">
        <f ca="1">IFERROR(_xlfn.XLOOKUP($F31,'FCDB 2017 (full)'!$C:$C,'FCDB 2017 (full)'!$AI:$AI)*$H31/100,0)</f>
        <v>0</v>
      </c>
      <c r="AS31" s="16">
        <f ca="1">IFERROR(_xlfn.XLOOKUP($F31,'FCDB 2017 (full)'!$C:$C,'FCDB 2017 (full)'!$AJ:$AJ)*$H31/100,0)</f>
        <v>0</v>
      </c>
      <c r="AT31" s="16">
        <f ca="1">IFERROR(_xlfn.XLOOKUP($F31,'FCDB 2017 (full)'!$C:$C,'FCDB 2017 (full)'!$AK:$AK)*$H31/100,0)</f>
        <v>0</v>
      </c>
      <c r="AU31" s="16">
        <f ca="1">IFERROR(_xlfn.XLOOKUP($F31,'FCDB 2017 (full)'!$C:$C,'FCDB 2017 (full)'!$AK:$AK)*$H31/100,0)</f>
        <v>0</v>
      </c>
      <c r="AV31" s="16">
        <f ca="1">IFERROR(_xlfn.XLOOKUP($F31,'FCDB 2017 (full)'!$C:$C,'FCDB 2017 (full)'!$AM:$AM)*$H31/100,0)</f>
        <v>0</v>
      </c>
      <c r="AW31" s="16">
        <f ca="1">IFERROR(_xlfn.XLOOKUP($F31,'FCDB 2017 (full)'!$C:$C,'FCDB 2017 (full)'!$AN:$AN)*$H31/100,0)</f>
        <v>0</v>
      </c>
      <c r="AX31" s="16">
        <f ca="1">IFERROR(_xlfn.XLOOKUP($F31,'FCDB 2017 (full)'!$C:$C,'FCDB 2017 (full)'!$AO:$AO)*$H31/100,0)</f>
        <v>0</v>
      </c>
      <c r="AY31" s="16">
        <f ca="1">IFERROR(_xlfn.XLOOKUP($F31,'FCDB 2017 (full)'!$C:$C,'FCDB 2017 (full)'!$AP:$AP)*$H31/100,0)</f>
        <v>0</v>
      </c>
      <c r="AZ31" s="16">
        <f ca="1">IFERROR(_xlfn.XLOOKUP($F31,'FCDB 2017 (full)'!$C:$C,'FCDB 2017 (full)'!$AQ:$AQ)*$H31/100,0)</f>
        <v>0</v>
      </c>
      <c r="BA31" s="16">
        <f ca="1">IFERROR(_xlfn.XLOOKUP($F31,'FCDB 2017 (full)'!$C:$C,'FCDB 2017 (full)'!$AR:$AR)*$H31/100,0)</f>
        <v>0</v>
      </c>
      <c r="BB31" s="16">
        <f ca="1">IFERROR(_xlfn.XLOOKUP($F31,'FCDB 2017 (full)'!$C:$C,'FCDB 2017 (full)'!$AS:$AS)*$H31/100,0)</f>
        <v>0</v>
      </c>
      <c r="BC31" s="16">
        <f ca="1">IFERROR(_xlfn.XLOOKUP($F31,'FCDB 2017 (full)'!$C:$C,'FCDB 2017 (full)'!$AT:$AT)*$H31/100,0)</f>
        <v>0</v>
      </c>
      <c r="BD31" s="16">
        <f ca="1">IFERROR(_xlfn.XLOOKUP($F31,'FCDB 2017 (full)'!$C:$C,'FCDB 2017 (full)'!$AU:$AU)*$H31/100,0)</f>
        <v>0</v>
      </c>
      <c r="BE31" s="16">
        <f ca="1">IFERROR(_xlfn.XLOOKUP($F31,'FCDB 2017 (full)'!$C:$C,'FCDB 2017 (full)'!$AV:$AV)*$H31/100,0)</f>
        <v>0</v>
      </c>
      <c r="BF31" s="16">
        <f ca="1">IFERROR(_xlfn.XLOOKUP($F31,'FCDB 2017 (full)'!$C:$C,'FCDB 2017 (full)'!$AW:$AW)*$H31/100,0)</f>
        <v>0</v>
      </c>
      <c r="BG31" s="16">
        <f ca="1">IFERROR(_xlfn.XLOOKUP($F31,'FCDB 2017 (full)'!$C:$C,'FCDB 2017 (full)'!$AX:$AX)*$H31/100,0)</f>
        <v>0</v>
      </c>
      <c r="BH31" s="16">
        <f ca="1">IFERROR(_xlfn.XLOOKUP($F31,'FCDB 2017 (full)'!$C:$C,'FCDB 2017 (full)'!$AY:$AY)*$H31/100,0)</f>
        <v>0</v>
      </c>
      <c r="BI31" s="16">
        <f ca="1">IFERROR(_xlfn.XLOOKUP($F31,'FCDB 2017 (full)'!$C:$C,'FCDB 2017 (full)'!$AZ:$AZ)*$H31/100,0)</f>
        <v>0</v>
      </c>
      <c r="BJ31" s="16">
        <f ca="1">IFERROR(_xlfn.XLOOKUP($F31,'FCDB 2017 (full)'!$C:$C,'FCDB 2017 (full)'!$BA:$BA)*$H31/100,0)</f>
        <v>0</v>
      </c>
      <c r="BK31" s="16">
        <f ca="1">IFERROR(_xlfn.XLOOKUP($F31,'FCDB 2017 (full)'!$C:$C,'FCDB 2017 (full)'!$BB:$BB)*$H31/100,0)</f>
        <v>0</v>
      </c>
      <c r="BL31" s="16">
        <f ca="1">IFERROR(_xlfn.XLOOKUP($F31,'FCDB 2017 (full)'!$C:$C,'FCDB 2017 (full)'!$BC:$BC)*$H31/100,0)</f>
        <v>0</v>
      </c>
      <c r="BM31" s="16">
        <f ca="1">IFERROR(_xlfn.XLOOKUP($F31,'FCDB 2017 (full)'!$C:$C,'FCDB 2017 (full)'!$BD:$BD)*$H31/100,0)</f>
        <v>0</v>
      </c>
      <c r="BN31" s="16">
        <f ca="1">IFERROR(_xlfn.XLOOKUP($F31,'FCDB 2017 (full)'!$C:$C,'FCDB 2017 (full)'!$BE:$BE)*$H31/100,0)</f>
        <v>0</v>
      </c>
      <c r="BO31" s="16">
        <f ca="1">IFERROR(_xlfn.XLOOKUP($F31,'FCDB 2017 (full)'!$C:$C,'FCDB 2017 (full)'!$BF:$BF)*$H31/100,0)</f>
        <v>0</v>
      </c>
      <c r="BP31" s="16">
        <f ca="1">IFERROR(_xlfn.XLOOKUP($F31,'FCDB 2017 (full)'!$C:$C,'FCDB 2017 (full)'!$BG:$BG)*$H31/100,0)</f>
        <v>0</v>
      </c>
      <c r="BQ31" s="16">
        <f ca="1">IFERROR(_xlfn.XLOOKUP($F31,'FCDB 2017 (full)'!$C:$C,'FCDB 2017 (full)'!$BH:$BH)*$H31/100,0)</f>
        <v>0</v>
      </c>
      <c r="BR31" s="16">
        <f ca="1">IFERROR(_xlfn.XLOOKUP($F31,'FCDB 2017 (full)'!$C:$C,'FCDB 2017 (full)'!$BI:$BI)*$H31/100,0)</f>
        <v>0</v>
      </c>
      <c r="BS31" s="16">
        <f ca="1">IFERROR(_xlfn.XLOOKUP($F31,'FCDB 2017 (full)'!$C:$C,'FCDB 2017 (full)'!$BJ:$BJ)*$H31/100,0)</f>
        <v>0</v>
      </c>
      <c r="BT31" s="16">
        <f ca="1">IFERROR(_xlfn.XLOOKUP($F31,'FCDB 2017 (full)'!$C:$C,'FCDB 2017 (full)'!$BK:$BK)*$H31/100,0)</f>
        <v>0</v>
      </c>
      <c r="BU31" s="16">
        <f ca="1">IFERROR(_xlfn.XLOOKUP($F31,'FCDB 2017 (full)'!$C:$C,'FCDB 2017 (full)'!$BL:$BL)*$H31/100,0)</f>
        <v>0</v>
      </c>
      <c r="BV31" s="16">
        <f ca="1">IFERROR(_xlfn.XLOOKUP($F31,'FCDB 2017 (full)'!$C:$C,'FCDB 2017 (full)'!$BM:$BM)*$H31/100,0)</f>
        <v>0</v>
      </c>
      <c r="BW31" s="16">
        <f ca="1">IFERROR(_xlfn.XLOOKUP($F31,'FCDB 2017 (full)'!$C:$C,'FCDB 2017 (full)'!$BN:$BN)*$H31/100,0)</f>
        <v>0</v>
      </c>
      <c r="BX31" s="16">
        <f ca="1">IFERROR(_xlfn.XLOOKUP($F31,'FCDB 2017 (full)'!$C:$C,'FCDB 2017 (full)'!$BO:$BO)*$H31/100,0)</f>
        <v>0</v>
      </c>
      <c r="BY31" s="16">
        <f ca="1">IFERROR(_xlfn.XLOOKUP($F31,'FCDB 2017 (full)'!$C:$C,'FCDB 2017 (full)'!$BP:$BP)*$H31/100,0)</f>
        <v>0</v>
      </c>
      <c r="BZ31" s="16">
        <f ca="1">IFERROR(_xlfn.XLOOKUP($F31,'FCDB 2017 (full)'!$C:$C,'FCDB 2017 (full)'!$BQ:$BQ)*$H31/100,0)</f>
        <v>0</v>
      </c>
      <c r="CA31" s="16">
        <f ca="1">IFERROR(_xlfn.XLOOKUP($F31,'FCDB 2017 (full)'!$C:$C,'FCDB 2017 (full)'!$BR:$BR)*$H31/100,0)</f>
        <v>0</v>
      </c>
      <c r="CB31" s="16">
        <f ca="1">IFERROR(_xlfn.XLOOKUP($F31,'FCDB 2017 (full)'!$C:$C,'FCDB 2017 (full)'!$BS:$BS)*$H31/100,0)</f>
        <v>0</v>
      </c>
      <c r="CC31" s="16">
        <f ca="1">IFERROR(_xlfn.XLOOKUP($F31,'FCDB 2017 (full)'!$C:$C,'FCDB 2017 (full)'!$BT:$BT)*$H31/100,0)</f>
        <v>0</v>
      </c>
      <c r="CD31" s="16">
        <f ca="1">IFERROR(_xlfn.XLOOKUP($F31,'FCDB 2017 (full)'!$C:$C,'FCDB 2017 (full)'!$BU:$BU)*$H31/100,0)</f>
        <v>0</v>
      </c>
      <c r="CE31" s="16">
        <f ca="1">IFERROR(_xlfn.XLOOKUP($F31,'FCDB 2017 (full)'!$C:$C,'FCDB 2017 (full)'!$BV:$BV)*$H31/100,0)</f>
        <v>0</v>
      </c>
      <c r="CF31" s="16">
        <f ca="1">IFERROR(_xlfn.XLOOKUP($F31,'FCDB 2017 (full)'!$C:$C,'FCDB 2017 (full)'!$BW:$BW)*$H31/100,0)</f>
        <v>0</v>
      </c>
      <c r="CG31" s="16">
        <f ca="1">IFERROR(_xlfn.XLOOKUP($F31,'FCDB 2017 (full)'!$C:$C,'FCDB 2017 (full)'!$BX:$BX)*$H31/100,0)</f>
        <v>0</v>
      </c>
      <c r="CH31" s="16">
        <f ca="1">IFERROR(_xlfn.XLOOKUP($F31,'FCDB 2017 (full)'!$C:$C,'FCDB 2017 (full)'!$BY:$BY)*$H31/100,0)</f>
        <v>0</v>
      </c>
      <c r="CI31" s="16">
        <f ca="1">IFERROR(_xlfn.XLOOKUP($F31,'FCDB 2017 (full)'!$C:$C,'FCDB 2017 (full)'!$BZ:$BZ)*$H31/100,0)</f>
        <v>0</v>
      </c>
      <c r="CJ31" s="16">
        <f ca="1">IFERROR(_xlfn.XLOOKUP($F31,'FCDB 2017 (full)'!$C:$C,'FCDB 2017 (full)'!$CA:$CA)*$H31/100,0)</f>
        <v>0</v>
      </c>
      <c r="CK31" s="16">
        <f ca="1">IFERROR(_xlfn.XLOOKUP($F31,'FCDB 2017 (full)'!$C:$C,'FCDB 2017 (full)'!$CB:$CB)*$H31/100,0)</f>
        <v>0</v>
      </c>
      <c r="CL31" s="16">
        <f ca="1">IFERROR(_xlfn.XLOOKUP($F31,'FCDB 2017 (full)'!$C:$C,'FCDB 2017 (full)'!$CC:$CC)*$H31/100,0)</f>
        <v>0</v>
      </c>
      <c r="CM31" s="16">
        <f ca="1">IFERROR(_xlfn.XLOOKUP($F31,'FCDB 2017 (full)'!$C:$C,'FCDB 2017 (full)'!$CD:$CD)*$H31/100,0)</f>
        <v>0</v>
      </c>
      <c r="CN31" s="16">
        <f ca="1">IFERROR(_xlfn.XLOOKUP($F31,'FCDB 2017 (full)'!$C:$C,'FCDB 2017 (full)'!$CE:$CE)*$H31/100,0)</f>
        <v>0</v>
      </c>
      <c r="CO31" s="16">
        <f ca="1">IFERROR(_xlfn.XLOOKUP($F31,'FCDB 2017 (full)'!$C:$C,'FCDB 2017 (full)'!$CF:$CF)*$H31/100,0)</f>
        <v>0</v>
      </c>
      <c r="CP31" s="16">
        <f ca="1">IFERROR(_xlfn.XLOOKUP($F31,'FCDB 2017 (full)'!$C:$C,'FCDB 2017 (full)'!$CG:$CG)*$H31/100,0)</f>
        <v>0</v>
      </c>
      <c r="CQ31" s="16">
        <f ca="1">IFERROR(_xlfn.XLOOKUP($F31,'FCDB 2017 (full)'!$C:$C,'FCDB 2017 (full)'!$CH:$CH)*$H31/100,0)</f>
        <v>0</v>
      </c>
      <c r="DA31" s="72" t="s">
        <v>948</v>
      </c>
    </row>
    <row r="32" spans="5:105" s="29" customFormat="1" ht="19.05" customHeight="1">
      <c r="F32" s="11" t="str">
        <f>IFERROR(VLOOKUP($D$9,$D:$AE,22,0),0)</f>
        <v>Mỡ lợn nước</v>
      </c>
      <c r="G32" s="7" t="e" cm="1">
        <f t="array" aca="1" ref="G32" ca="1">IF(F32=0,0,IF(_xlfn.XLOOKUP(F32,$E$9:$AE$9,$E$10:$AE$10)=0,"Nhập ĐV/TV",_xlfn.XLOOKUP(F32,$E$9:$AE$9,$E$10:$AE$10)))</f>
        <v>#NAME?</v>
      </c>
      <c r="H32" s="8" cm="1">
        <f t="array" ref="H32">IFERROR(INDEX($E$11:$AE$11,MATCH(F32,$E$9:$AE$9,0)),0)</f>
        <v>5.5</v>
      </c>
      <c r="I32" s="9">
        <f ca="1">IFERROR(_xlfn.XLOOKUP($F32,'FCDB 2017 (full)'!$C:$C,'FCDB 2017 (full)'!$E:$E),0)</f>
        <v>0</v>
      </c>
      <c r="J32" s="10">
        <f t="shared" ca="1" si="1"/>
        <v>0</v>
      </c>
      <c r="K32" s="9">
        <f ca="1">IFERROR(_xlfn.XLOOKUP($F32,'FCDB 2017 (full)'!$C:$C,'FCDB 2017 (full)'!$G:$G),0)</f>
        <v>0</v>
      </c>
      <c r="L32" s="13" t="e">
        <f t="shared" ca="1" si="2"/>
        <v>#NAME?</v>
      </c>
      <c r="M32" s="13" t="e">
        <f t="shared" ca="1" si="3"/>
        <v>#NAME?</v>
      </c>
      <c r="N32" s="9">
        <f ca="1">IFERROR(_xlfn.XLOOKUP($F32,'FCDB 2017 (full)'!$C:$C,'FCDB 2017 (full)'!$H:$H),0)</f>
        <v>0</v>
      </c>
      <c r="O32" s="14" t="e">
        <f t="shared" ca="1" si="4"/>
        <v>#NAME?</v>
      </c>
      <c r="P32" s="14" t="e">
        <f t="shared" ca="1" si="5"/>
        <v>#NAME?</v>
      </c>
      <c r="Q32" s="9">
        <f ca="1">IFERROR(_xlfn.XLOOKUP($F32,'FCDB 2017 (full)'!$C:$C,'FCDB 2017 (full)'!$I:$I),0)</f>
        <v>0</v>
      </c>
      <c r="R32" s="15">
        <f t="shared" ca="1" si="6"/>
        <v>0</v>
      </c>
      <c r="S32" s="16">
        <f ca="1">IFERROR(_xlfn.XLOOKUP($F32,'FCDB 2017 (full)'!$C:$C,'FCDB 2017 (full)'!$J:$J)*$H32/100,0)</f>
        <v>0</v>
      </c>
      <c r="T32" s="16">
        <f ca="1">IFERROR(_xlfn.XLOOKUP($F32,'FCDB 2017 (full)'!$C:$C,'FCDB 2017 (full)'!$K:$K)*$H32/100,0)</f>
        <v>0</v>
      </c>
      <c r="U32" s="16">
        <f ca="1">IFERROR(_xlfn.XLOOKUP($F32,'FCDB 2017 (full)'!$C:$C,'FCDB 2017 (full)'!$L:$L)*$H32/100,0)</f>
        <v>0</v>
      </c>
      <c r="V32" s="16">
        <f ca="1">IFERROR(_xlfn.XLOOKUP($F32,'FCDB 2017 (full)'!$C:$C,'FCDB 2017 (full)'!$M:$M)*$H32/100,0)</f>
        <v>0</v>
      </c>
      <c r="W32" s="16">
        <f ca="1">IFERROR(_xlfn.XLOOKUP($F32,'FCDB 2017 (full)'!$C:$C,'FCDB 2017 (full)'!$N:$N)*$H32/100,0)</f>
        <v>0</v>
      </c>
      <c r="X32" s="16">
        <f ca="1">IFERROR(_xlfn.XLOOKUP($F32,'FCDB 2017 (full)'!$C:$C,'FCDB 2017 (full)'!$O:$O)*$H32/100,0)</f>
        <v>0</v>
      </c>
      <c r="Y32" s="16">
        <f ca="1">IFERROR(_xlfn.XLOOKUP($F32,'FCDB 2017 (full)'!$C:$C,'FCDB 2017 (full)'!$P:$P)*$H32/100,0)</f>
        <v>0</v>
      </c>
      <c r="Z32" s="16">
        <f ca="1">IFERROR(_xlfn.XLOOKUP($F32,'FCDB 2017 (full)'!$C:$C,'FCDB 2017 (full)'!$Q:$Q)*$H32/100,0)</f>
        <v>0</v>
      </c>
      <c r="AA32" s="16">
        <f ca="1">IFERROR(_xlfn.XLOOKUP($F32,'FCDB 2017 (full)'!$C:$C,'FCDB 2017 (full)'!$R:$R)*$H32/100,0)</f>
        <v>0</v>
      </c>
      <c r="AB32" s="16">
        <f ca="1">IFERROR(_xlfn.XLOOKUP($F32,'FCDB 2017 (full)'!$C:$C,'FCDB 2017 (full)'!$S:$S)*$H32/100,0)</f>
        <v>0</v>
      </c>
      <c r="AC32" s="16">
        <f ca="1">IFERROR(_xlfn.XLOOKUP($F32,'FCDB 2017 (full)'!$C:$C,'FCDB 2017 (full)'!$T:$T)*$H32/100,0)</f>
        <v>0</v>
      </c>
      <c r="AD32" s="16">
        <f ca="1">IFERROR(_xlfn.XLOOKUP($F32,'FCDB 2017 (full)'!$C:$C,'FCDB 2017 (full)'!$U:$U)*$H32/100,0)</f>
        <v>0</v>
      </c>
      <c r="AE32" s="16">
        <f ca="1">IFERROR(_xlfn.XLOOKUP($F32,'FCDB 2017 (full)'!$C:$C,'FCDB 2017 (full)'!$V:$V)*$H32/100,0)</f>
        <v>0</v>
      </c>
      <c r="AF32" s="16">
        <f ca="1">IFERROR(_xlfn.XLOOKUP($F32,'FCDB 2017 (full)'!$C:$C,'FCDB 2017 (full)'!$W:$W)*$H32/100,0)</f>
        <v>0</v>
      </c>
      <c r="AG32" s="16">
        <f ca="1">IFERROR(_xlfn.XLOOKUP($F32,'FCDB 2017 (full)'!$C:$C,'FCDB 2017 (full)'!$X:$X)*$H32/100,0)</f>
        <v>0</v>
      </c>
      <c r="AH32" s="16">
        <f ca="1">IFERROR(_xlfn.XLOOKUP($F32,'FCDB 2017 (full)'!$C:$C,'FCDB 2017 (full)'!$Y:$Y)*$H32/100,0)</f>
        <v>0</v>
      </c>
      <c r="AI32" s="16">
        <f ca="1">IFERROR(_xlfn.XLOOKUP($F32,'FCDB 2017 (full)'!$C:$C,'FCDB 2017 (full)'!$Z:$Z)*$H32/100,0)</f>
        <v>0</v>
      </c>
      <c r="AJ32" s="16">
        <f ca="1">IFERROR(_xlfn.XLOOKUP($F32,'FCDB 2017 (full)'!$C:$C,'FCDB 2017 (full)'!$AA:$AA)*$H32/100,0)</f>
        <v>0</v>
      </c>
      <c r="AK32" s="16">
        <f ca="1">IFERROR(_xlfn.XLOOKUP($F32,'FCDB 2017 (full)'!$C:$C,'FCDB 2017 (full)'!$AB:$AB)*$H32/100,0)</f>
        <v>0</v>
      </c>
      <c r="AL32" s="16">
        <f ca="1">IFERROR(_xlfn.XLOOKUP($F32,'FCDB 2017 (full)'!$C:$C,'FCDB 2017 (full)'!$AC:$AC)*$H32/100,0)</f>
        <v>0</v>
      </c>
      <c r="AM32" s="16">
        <f ca="1">IFERROR(_xlfn.XLOOKUP($F32,'FCDB 2017 (full)'!$C:$C,'FCDB 2017 (full)'!$AD:$AD)*$H32/100,0)</f>
        <v>0</v>
      </c>
      <c r="AN32" s="16">
        <f ca="1">IFERROR(_xlfn.XLOOKUP($F32,'FCDB 2017 (full)'!$C:$C,'FCDB 2017 (full)'!$AE:$AE)*$H32/100,0)</f>
        <v>0</v>
      </c>
      <c r="AO32" s="16">
        <f ca="1">IFERROR(_xlfn.XLOOKUP($F32,'FCDB 2017 (full)'!$C:$C,'FCDB 2017 (full)'!$AF:$AF)*$H32/100,0)</f>
        <v>0</v>
      </c>
      <c r="AP32" s="16">
        <f ca="1">IFERROR(_xlfn.XLOOKUP($F32,'FCDB 2017 (full)'!$C:$C,'FCDB 2017 (full)'!$AG:$AG)*$H32/100,0)</f>
        <v>0</v>
      </c>
      <c r="AQ32" s="16">
        <f ca="1">IFERROR(_xlfn.XLOOKUP($F32,'FCDB 2017 (full)'!$C:$C,'FCDB 2017 (full)'!$AH:$AH)*$H32/100,0)</f>
        <v>0</v>
      </c>
      <c r="AR32" s="16">
        <f ca="1">IFERROR(_xlfn.XLOOKUP($F32,'FCDB 2017 (full)'!$C:$C,'FCDB 2017 (full)'!$AI:$AI)*$H32/100,0)</f>
        <v>0</v>
      </c>
      <c r="AS32" s="16">
        <f ca="1">IFERROR(_xlfn.XLOOKUP($F32,'FCDB 2017 (full)'!$C:$C,'FCDB 2017 (full)'!$AJ:$AJ)*$H32/100,0)</f>
        <v>0</v>
      </c>
      <c r="AT32" s="16">
        <f ca="1">IFERROR(_xlfn.XLOOKUP($F32,'FCDB 2017 (full)'!$C:$C,'FCDB 2017 (full)'!$AK:$AK)*$H32/100,0)</f>
        <v>0</v>
      </c>
      <c r="AU32" s="16">
        <f ca="1">IFERROR(_xlfn.XLOOKUP($F32,'FCDB 2017 (full)'!$C:$C,'FCDB 2017 (full)'!$AK:$AK)*$H32/100,0)</f>
        <v>0</v>
      </c>
      <c r="AV32" s="16">
        <f ca="1">IFERROR(_xlfn.XLOOKUP($F32,'FCDB 2017 (full)'!$C:$C,'FCDB 2017 (full)'!$AM:$AM)*$H32/100,0)</f>
        <v>0</v>
      </c>
      <c r="AW32" s="16">
        <f ca="1">IFERROR(_xlfn.XLOOKUP($F32,'FCDB 2017 (full)'!$C:$C,'FCDB 2017 (full)'!$AN:$AN)*$H32/100,0)</f>
        <v>0</v>
      </c>
      <c r="AX32" s="16">
        <f ca="1">IFERROR(_xlfn.XLOOKUP($F32,'FCDB 2017 (full)'!$C:$C,'FCDB 2017 (full)'!$AO:$AO)*$H32/100,0)</f>
        <v>0</v>
      </c>
      <c r="AY32" s="16">
        <f ca="1">IFERROR(_xlfn.XLOOKUP($F32,'FCDB 2017 (full)'!$C:$C,'FCDB 2017 (full)'!$AP:$AP)*$H32/100,0)</f>
        <v>0</v>
      </c>
      <c r="AZ32" s="16">
        <f ca="1">IFERROR(_xlfn.XLOOKUP($F32,'FCDB 2017 (full)'!$C:$C,'FCDB 2017 (full)'!$AQ:$AQ)*$H32/100,0)</f>
        <v>0</v>
      </c>
      <c r="BA32" s="16">
        <f ca="1">IFERROR(_xlfn.XLOOKUP($F32,'FCDB 2017 (full)'!$C:$C,'FCDB 2017 (full)'!$AR:$AR)*$H32/100,0)</f>
        <v>0</v>
      </c>
      <c r="BB32" s="16">
        <f ca="1">IFERROR(_xlfn.XLOOKUP($F32,'FCDB 2017 (full)'!$C:$C,'FCDB 2017 (full)'!$AS:$AS)*$H32/100,0)</f>
        <v>0</v>
      </c>
      <c r="BC32" s="16">
        <f ca="1">IFERROR(_xlfn.XLOOKUP($F32,'FCDB 2017 (full)'!$C:$C,'FCDB 2017 (full)'!$AT:$AT)*$H32/100,0)</f>
        <v>0</v>
      </c>
      <c r="BD32" s="16">
        <f ca="1">IFERROR(_xlfn.XLOOKUP($F32,'FCDB 2017 (full)'!$C:$C,'FCDB 2017 (full)'!$AU:$AU)*$H32/100,0)</f>
        <v>0</v>
      </c>
      <c r="BE32" s="16">
        <f ca="1">IFERROR(_xlfn.XLOOKUP($F32,'FCDB 2017 (full)'!$C:$C,'FCDB 2017 (full)'!$AV:$AV)*$H32/100,0)</f>
        <v>0</v>
      </c>
      <c r="BF32" s="16">
        <f ca="1">IFERROR(_xlfn.XLOOKUP($F32,'FCDB 2017 (full)'!$C:$C,'FCDB 2017 (full)'!$AW:$AW)*$H32/100,0)</f>
        <v>0</v>
      </c>
      <c r="BG32" s="16">
        <f ca="1">IFERROR(_xlfn.XLOOKUP($F32,'FCDB 2017 (full)'!$C:$C,'FCDB 2017 (full)'!$AX:$AX)*$H32/100,0)</f>
        <v>0</v>
      </c>
      <c r="BH32" s="16">
        <f ca="1">IFERROR(_xlfn.XLOOKUP($F32,'FCDB 2017 (full)'!$C:$C,'FCDB 2017 (full)'!$AY:$AY)*$H32/100,0)</f>
        <v>0</v>
      </c>
      <c r="BI32" s="16">
        <f ca="1">IFERROR(_xlfn.XLOOKUP($F32,'FCDB 2017 (full)'!$C:$C,'FCDB 2017 (full)'!$AZ:$AZ)*$H32/100,0)</f>
        <v>0</v>
      </c>
      <c r="BJ32" s="16">
        <f ca="1">IFERROR(_xlfn.XLOOKUP($F32,'FCDB 2017 (full)'!$C:$C,'FCDB 2017 (full)'!$BA:$BA)*$H32/100,0)</f>
        <v>0</v>
      </c>
      <c r="BK32" s="16">
        <f ca="1">IFERROR(_xlfn.XLOOKUP($F32,'FCDB 2017 (full)'!$C:$C,'FCDB 2017 (full)'!$BB:$BB)*$H32/100,0)</f>
        <v>0</v>
      </c>
      <c r="BL32" s="16">
        <f ca="1">IFERROR(_xlfn.XLOOKUP($F32,'FCDB 2017 (full)'!$C:$C,'FCDB 2017 (full)'!$BC:$BC)*$H32/100,0)</f>
        <v>0</v>
      </c>
      <c r="BM32" s="16">
        <f ca="1">IFERROR(_xlfn.XLOOKUP($F32,'FCDB 2017 (full)'!$C:$C,'FCDB 2017 (full)'!$BD:$BD)*$H32/100,0)</f>
        <v>0</v>
      </c>
      <c r="BN32" s="16">
        <f ca="1">IFERROR(_xlfn.XLOOKUP($F32,'FCDB 2017 (full)'!$C:$C,'FCDB 2017 (full)'!$BE:$BE)*$H32/100,0)</f>
        <v>0</v>
      </c>
      <c r="BO32" s="16">
        <f ca="1">IFERROR(_xlfn.XLOOKUP($F32,'FCDB 2017 (full)'!$C:$C,'FCDB 2017 (full)'!$BF:$BF)*$H32/100,0)</f>
        <v>0</v>
      </c>
      <c r="BP32" s="16">
        <f ca="1">IFERROR(_xlfn.XLOOKUP($F32,'FCDB 2017 (full)'!$C:$C,'FCDB 2017 (full)'!$BG:$BG)*$H32/100,0)</f>
        <v>0</v>
      </c>
      <c r="BQ32" s="16">
        <f ca="1">IFERROR(_xlfn.XLOOKUP($F32,'FCDB 2017 (full)'!$C:$C,'FCDB 2017 (full)'!$BH:$BH)*$H32/100,0)</f>
        <v>0</v>
      </c>
      <c r="BR32" s="16">
        <f ca="1">IFERROR(_xlfn.XLOOKUP($F32,'FCDB 2017 (full)'!$C:$C,'FCDB 2017 (full)'!$BI:$BI)*$H32/100,0)</f>
        <v>0</v>
      </c>
      <c r="BS32" s="16">
        <f ca="1">IFERROR(_xlfn.XLOOKUP($F32,'FCDB 2017 (full)'!$C:$C,'FCDB 2017 (full)'!$BJ:$BJ)*$H32/100,0)</f>
        <v>0</v>
      </c>
      <c r="BT32" s="16">
        <f ca="1">IFERROR(_xlfn.XLOOKUP($F32,'FCDB 2017 (full)'!$C:$C,'FCDB 2017 (full)'!$BK:$BK)*$H32/100,0)</f>
        <v>0</v>
      </c>
      <c r="BU32" s="16">
        <f ca="1">IFERROR(_xlfn.XLOOKUP($F32,'FCDB 2017 (full)'!$C:$C,'FCDB 2017 (full)'!$BL:$BL)*$H32/100,0)</f>
        <v>0</v>
      </c>
      <c r="BV32" s="16">
        <f ca="1">IFERROR(_xlfn.XLOOKUP($F32,'FCDB 2017 (full)'!$C:$C,'FCDB 2017 (full)'!$BM:$BM)*$H32/100,0)</f>
        <v>0</v>
      </c>
      <c r="BW32" s="16">
        <f ca="1">IFERROR(_xlfn.XLOOKUP($F32,'FCDB 2017 (full)'!$C:$C,'FCDB 2017 (full)'!$BN:$BN)*$H32/100,0)</f>
        <v>0</v>
      </c>
      <c r="BX32" s="16">
        <f ca="1">IFERROR(_xlfn.XLOOKUP($F32,'FCDB 2017 (full)'!$C:$C,'FCDB 2017 (full)'!$BO:$BO)*$H32/100,0)</f>
        <v>0</v>
      </c>
      <c r="BY32" s="16">
        <f ca="1">IFERROR(_xlfn.XLOOKUP($F32,'FCDB 2017 (full)'!$C:$C,'FCDB 2017 (full)'!$BP:$BP)*$H32/100,0)</f>
        <v>0</v>
      </c>
      <c r="BZ32" s="16">
        <f ca="1">IFERROR(_xlfn.XLOOKUP($F32,'FCDB 2017 (full)'!$C:$C,'FCDB 2017 (full)'!$BQ:$BQ)*$H32/100,0)</f>
        <v>0</v>
      </c>
      <c r="CA32" s="16">
        <f ca="1">IFERROR(_xlfn.XLOOKUP($F32,'FCDB 2017 (full)'!$C:$C,'FCDB 2017 (full)'!$BR:$BR)*$H32/100,0)</f>
        <v>0</v>
      </c>
      <c r="CB32" s="16">
        <f ca="1">IFERROR(_xlfn.XLOOKUP($F32,'FCDB 2017 (full)'!$C:$C,'FCDB 2017 (full)'!$BS:$BS)*$H32/100,0)</f>
        <v>0</v>
      </c>
      <c r="CC32" s="16">
        <f ca="1">IFERROR(_xlfn.XLOOKUP($F32,'FCDB 2017 (full)'!$C:$C,'FCDB 2017 (full)'!$BT:$BT)*$H32/100,0)</f>
        <v>0</v>
      </c>
      <c r="CD32" s="16">
        <f ca="1">IFERROR(_xlfn.XLOOKUP($F32,'FCDB 2017 (full)'!$C:$C,'FCDB 2017 (full)'!$BU:$BU)*$H32/100,0)</f>
        <v>0</v>
      </c>
      <c r="CE32" s="16">
        <f ca="1">IFERROR(_xlfn.XLOOKUP($F32,'FCDB 2017 (full)'!$C:$C,'FCDB 2017 (full)'!$BV:$BV)*$H32/100,0)</f>
        <v>0</v>
      </c>
      <c r="CF32" s="16">
        <f ca="1">IFERROR(_xlfn.XLOOKUP($F32,'FCDB 2017 (full)'!$C:$C,'FCDB 2017 (full)'!$BW:$BW)*$H32/100,0)</f>
        <v>0</v>
      </c>
      <c r="CG32" s="16">
        <f ca="1">IFERROR(_xlfn.XLOOKUP($F32,'FCDB 2017 (full)'!$C:$C,'FCDB 2017 (full)'!$BX:$BX)*$H32/100,0)</f>
        <v>0</v>
      </c>
      <c r="CH32" s="16">
        <f ca="1">IFERROR(_xlfn.XLOOKUP($F32,'FCDB 2017 (full)'!$C:$C,'FCDB 2017 (full)'!$BY:$BY)*$H32/100,0)</f>
        <v>0</v>
      </c>
      <c r="CI32" s="16">
        <f ca="1">IFERROR(_xlfn.XLOOKUP($F32,'FCDB 2017 (full)'!$C:$C,'FCDB 2017 (full)'!$BZ:$BZ)*$H32/100,0)</f>
        <v>0</v>
      </c>
      <c r="CJ32" s="16">
        <f ca="1">IFERROR(_xlfn.XLOOKUP($F32,'FCDB 2017 (full)'!$C:$C,'FCDB 2017 (full)'!$CA:$CA)*$H32/100,0)</f>
        <v>0</v>
      </c>
      <c r="CK32" s="16">
        <f ca="1">IFERROR(_xlfn.XLOOKUP($F32,'FCDB 2017 (full)'!$C:$C,'FCDB 2017 (full)'!$CB:$CB)*$H32/100,0)</f>
        <v>0</v>
      </c>
      <c r="CL32" s="16">
        <f ca="1">IFERROR(_xlfn.XLOOKUP($F32,'FCDB 2017 (full)'!$C:$C,'FCDB 2017 (full)'!$CC:$CC)*$H32/100,0)</f>
        <v>0</v>
      </c>
      <c r="CM32" s="16">
        <f ca="1">IFERROR(_xlfn.XLOOKUP($F32,'FCDB 2017 (full)'!$C:$C,'FCDB 2017 (full)'!$CD:$CD)*$H32/100,0)</f>
        <v>0</v>
      </c>
      <c r="CN32" s="16">
        <f ca="1">IFERROR(_xlfn.XLOOKUP($F32,'FCDB 2017 (full)'!$C:$C,'FCDB 2017 (full)'!$CE:$CE)*$H32/100,0)</f>
        <v>0</v>
      </c>
      <c r="CO32" s="16">
        <f ca="1">IFERROR(_xlfn.XLOOKUP($F32,'FCDB 2017 (full)'!$C:$C,'FCDB 2017 (full)'!$CF:$CF)*$H32/100,0)</f>
        <v>0</v>
      </c>
      <c r="CP32" s="16">
        <f ca="1">IFERROR(_xlfn.XLOOKUP($F32,'FCDB 2017 (full)'!$C:$C,'FCDB 2017 (full)'!$CG:$CG)*$H32/100,0)</f>
        <v>0</v>
      </c>
      <c r="CQ32" s="16">
        <f ca="1">IFERROR(_xlfn.XLOOKUP($F32,'FCDB 2017 (full)'!$C:$C,'FCDB 2017 (full)'!$CH:$CH)*$H32/100,0)</f>
        <v>0</v>
      </c>
      <c r="DA32" s="73" t="s">
        <v>948</v>
      </c>
    </row>
    <row r="33" spans="5:105" s="29" customFormat="1" ht="19.05" customHeight="1">
      <c r="F33" s="11">
        <f>IFERROR(VLOOKUP($D$9,$D:$AE,23,0),0)</f>
        <v>0</v>
      </c>
      <c r="G33" s="7" cm="1">
        <f t="array" ref="G33">IF(F33=0,0,IF(_xlfn.XLOOKUP(F33,$E$9:$AE$9,$E$10:$AE$10)=0,"Nhập ĐV/TV",_xlfn.XLOOKUP(F33,$E$9:$AE$9,$E$10:$AE$10)))</f>
        <v>0</v>
      </c>
      <c r="H33" s="8" cm="1">
        <f t="array" ref="H33">IFERROR(INDEX($E$11:$AE$11,MATCH(F33,$E$9:$AE$9,0)),0)</f>
        <v>0</v>
      </c>
      <c r="I33" s="9">
        <f ca="1">IFERROR(_xlfn.XLOOKUP($F33,'FCDB 2017 (full)'!$C:$C,'FCDB 2017 (full)'!$E:$E),0)</f>
        <v>0</v>
      </c>
      <c r="J33" s="10">
        <f t="shared" ca="1" si="1"/>
        <v>0</v>
      </c>
      <c r="K33" s="9">
        <f ca="1">IFERROR(_xlfn.XLOOKUP($F33,'FCDB 2017 (full)'!$C:$C,'FCDB 2017 (full)'!$G:$G),0)</f>
        <v>0</v>
      </c>
      <c r="L33" s="13">
        <f t="shared" si="2"/>
        <v>0</v>
      </c>
      <c r="M33" s="13">
        <f t="shared" si="3"/>
        <v>0</v>
      </c>
      <c r="N33" s="9">
        <f ca="1">IFERROR(_xlfn.XLOOKUP($F33,'FCDB 2017 (full)'!$C:$C,'FCDB 2017 (full)'!$H:$H),0)</f>
        <v>0</v>
      </c>
      <c r="O33" s="14">
        <f t="shared" si="4"/>
        <v>0</v>
      </c>
      <c r="P33" s="14">
        <f t="shared" si="5"/>
        <v>0</v>
      </c>
      <c r="Q33" s="9">
        <f ca="1">IFERROR(_xlfn.XLOOKUP($F33,'FCDB 2017 (full)'!$C:$C,'FCDB 2017 (full)'!$I:$I),0)</f>
        <v>0</v>
      </c>
      <c r="R33" s="15">
        <f t="shared" ca="1" si="6"/>
        <v>0</v>
      </c>
      <c r="S33" s="16">
        <f ca="1">IFERROR(_xlfn.XLOOKUP($F33,'FCDB 2017 (full)'!$C:$C,'FCDB 2017 (full)'!$J:$J)*$H33/100,0)</f>
        <v>0</v>
      </c>
      <c r="T33" s="16">
        <f ca="1">IFERROR(_xlfn.XLOOKUP($F33,'FCDB 2017 (full)'!$C:$C,'FCDB 2017 (full)'!$K:$K)*$H33/100,0)</f>
        <v>0</v>
      </c>
      <c r="U33" s="16">
        <f ca="1">IFERROR(_xlfn.XLOOKUP($F33,'FCDB 2017 (full)'!$C:$C,'FCDB 2017 (full)'!$L:$L)*$H33/100,0)</f>
        <v>0</v>
      </c>
      <c r="V33" s="16">
        <f ca="1">IFERROR(_xlfn.XLOOKUP($F33,'FCDB 2017 (full)'!$C:$C,'FCDB 2017 (full)'!$M:$M)*$H33/100,0)</f>
        <v>0</v>
      </c>
      <c r="W33" s="16">
        <f ca="1">IFERROR(_xlfn.XLOOKUP($F33,'FCDB 2017 (full)'!$C:$C,'FCDB 2017 (full)'!$N:$N)*$H33/100,0)</f>
        <v>0</v>
      </c>
      <c r="X33" s="16">
        <f ca="1">IFERROR(_xlfn.XLOOKUP($F33,'FCDB 2017 (full)'!$C:$C,'FCDB 2017 (full)'!$O:$O)*$H33/100,0)</f>
        <v>0</v>
      </c>
      <c r="Y33" s="16">
        <f ca="1">IFERROR(_xlfn.XLOOKUP($F33,'FCDB 2017 (full)'!$C:$C,'FCDB 2017 (full)'!$P:$P)*$H33/100,0)</f>
        <v>0</v>
      </c>
      <c r="Z33" s="16">
        <f ca="1">IFERROR(_xlfn.XLOOKUP($F33,'FCDB 2017 (full)'!$C:$C,'FCDB 2017 (full)'!$Q:$Q)*$H33/100,0)</f>
        <v>0</v>
      </c>
      <c r="AA33" s="16">
        <f ca="1">IFERROR(_xlfn.XLOOKUP($F33,'FCDB 2017 (full)'!$C:$C,'FCDB 2017 (full)'!$R:$R)*$H33/100,0)</f>
        <v>0</v>
      </c>
      <c r="AB33" s="16">
        <f ca="1">IFERROR(_xlfn.XLOOKUP($F33,'FCDB 2017 (full)'!$C:$C,'FCDB 2017 (full)'!$S:$S)*$H33/100,0)</f>
        <v>0</v>
      </c>
      <c r="AC33" s="16">
        <f ca="1">IFERROR(_xlfn.XLOOKUP($F33,'FCDB 2017 (full)'!$C:$C,'FCDB 2017 (full)'!$T:$T)*$H33/100,0)</f>
        <v>0</v>
      </c>
      <c r="AD33" s="16">
        <f ca="1">IFERROR(_xlfn.XLOOKUP($F33,'FCDB 2017 (full)'!$C:$C,'FCDB 2017 (full)'!$U:$U)*$H33/100,0)</f>
        <v>0</v>
      </c>
      <c r="AE33" s="16">
        <f ca="1">IFERROR(_xlfn.XLOOKUP($F33,'FCDB 2017 (full)'!$C:$C,'FCDB 2017 (full)'!$V:$V)*$H33/100,0)</f>
        <v>0</v>
      </c>
      <c r="AF33" s="16">
        <f ca="1">IFERROR(_xlfn.XLOOKUP($F33,'FCDB 2017 (full)'!$C:$C,'FCDB 2017 (full)'!$W:$W)*$H33/100,0)</f>
        <v>0</v>
      </c>
      <c r="AG33" s="16">
        <f ca="1">IFERROR(_xlfn.XLOOKUP($F33,'FCDB 2017 (full)'!$C:$C,'FCDB 2017 (full)'!$X:$X)*$H33/100,0)</f>
        <v>0</v>
      </c>
      <c r="AH33" s="16">
        <f ca="1">IFERROR(_xlfn.XLOOKUP($F33,'FCDB 2017 (full)'!$C:$C,'FCDB 2017 (full)'!$Y:$Y)*$H33/100,0)</f>
        <v>0</v>
      </c>
      <c r="AI33" s="16">
        <f ca="1">IFERROR(_xlfn.XLOOKUP($F33,'FCDB 2017 (full)'!$C:$C,'FCDB 2017 (full)'!$Z:$Z)*$H33/100,0)</f>
        <v>0</v>
      </c>
      <c r="AJ33" s="16">
        <f ca="1">IFERROR(_xlfn.XLOOKUP($F33,'FCDB 2017 (full)'!$C:$C,'FCDB 2017 (full)'!$AA:$AA)*$H33/100,0)</f>
        <v>0</v>
      </c>
      <c r="AK33" s="16">
        <f ca="1">IFERROR(_xlfn.XLOOKUP($F33,'FCDB 2017 (full)'!$C:$C,'FCDB 2017 (full)'!$AB:$AB)*$H33/100,0)</f>
        <v>0</v>
      </c>
      <c r="AL33" s="16">
        <f ca="1">IFERROR(_xlfn.XLOOKUP($F33,'FCDB 2017 (full)'!$C:$C,'FCDB 2017 (full)'!$AC:$AC)*$H33/100,0)</f>
        <v>0</v>
      </c>
      <c r="AM33" s="16">
        <f ca="1">IFERROR(_xlfn.XLOOKUP($F33,'FCDB 2017 (full)'!$C:$C,'FCDB 2017 (full)'!$AD:$AD)*$H33/100,0)</f>
        <v>0</v>
      </c>
      <c r="AN33" s="16">
        <f ca="1">IFERROR(_xlfn.XLOOKUP($F33,'FCDB 2017 (full)'!$C:$C,'FCDB 2017 (full)'!$AE:$AE)*$H33/100,0)</f>
        <v>0</v>
      </c>
      <c r="AO33" s="16">
        <f ca="1">IFERROR(_xlfn.XLOOKUP($F33,'FCDB 2017 (full)'!$C:$C,'FCDB 2017 (full)'!$AF:$AF)*$H33/100,0)</f>
        <v>0</v>
      </c>
      <c r="AP33" s="16">
        <f ca="1">IFERROR(_xlfn.XLOOKUP($F33,'FCDB 2017 (full)'!$C:$C,'FCDB 2017 (full)'!$AG:$AG)*$H33/100,0)</f>
        <v>0</v>
      </c>
      <c r="AQ33" s="16">
        <f ca="1">IFERROR(_xlfn.XLOOKUP($F33,'FCDB 2017 (full)'!$C:$C,'FCDB 2017 (full)'!$AH:$AH)*$H33/100,0)</f>
        <v>0</v>
      </c>
      <c r="AR33" s="16">
        <f ca="1">IFERROR(_xlfn.XLOOKUP($F33,'FCDB 2017 (full)'!$C:$C,'FCDB 2017 (full)'!$AI:$AI)*$H33/100,0)</f>
        <v>0</v>
      </c>
      <c r="AS33" s="16">
        <f ca="1">IFERROR(_xlfn.XLOOKUP($F33,'FCDB 2017 (full)'!$C:$C,'FCDB 2017 (full)'!$AJ:$AJ)*$H33/100,0)</f>
        <v>0</v>
      </c>
      <c r="AT33" s="16">
        <f ca="1">IFERROR(_xlfn.XLOOKUP($F33,'FCDB 2017 (full)'!$C:$C,'FCDB 2017 (full)'!$AK:$AK)*$H33/100,0)</f>
        <v>0</v>
      </c>
      <c r="AU33" s="16">
        <f ca="1">IFERROR(_xlfn.XLOOKUP($F33,'FCDB 2017 (full)'!$C:$C,'FCDB 2017 (full)'!$AK:$AK)*$H33/100,0)</f>
        <v>0</v>
      </c>
      <c r="AV33" s="16">
        <f ca="1">IFERROR(_xlfn.XLOOKUP($F33,'FCDB 2017 (full)'!$C:$C,'FCDB 2017 (full)'!$AM:$AM)*$H33/100,0)</f>
        <v>0</v>
      </c>
      <c r="AW33" s="16">
        <f ca="1">IFERROR(_xlfn.XLOOKUP($F33,'FCDB 2017 (full)'!$C:$C,'FCDB 2017 (full)'!$AN:$AN)*$H33/100,0)</f>
        <v>0</v>
      </c>
      <c r="AX33" s="16">
        <f ca="1">IFERROR(_xlfn.XLOOKUP($F33,'FCDB 2017 (full)'!$C:$C,'FCDB 2017 (full)'!$AO:$AO)*$H33/100,0)</f>
        <v>0</v>
      </c>
      <c r="AY33" s="16">
        <f ca="1">IFERROR(_xlfn.XLOOKUP($F33,'FCDB 2017 (full)'!$C:$C,'FCDB 2017 (full)'!$AP:$AP)*$H33/100,0)</f>
        <v>0</v>
      </c>
      <c r="AZ33" s="16">
        <f ca="1">IFERROR(_xlfn.XLOOKUP($F33,'FCDB 2017 (full)'!$C:$C,'FCDB 2017 (full)'!$AQ:$AQ)*$H33/100,0)</f>
        <v>0</v>
      </c>
      <c r="BA33" s="16">
        <f ca="1">IFERROR(_xlfn.XLOOKUP($F33,'FCDB 2017 (full)'!$C:$C,'FCDB 2017 (full)'!$AR:$AR)*$H33/100,0)</f>
        <v>0</v>
      </c>
      <c r="BB33" s="16">
        <f ca="1">IFERROR(_xlfn.XLOOKUP($F33,'FCDB 2017 (full)'!$C:$C,'FCDB 2017 (full)'!$AS:$AS)*$H33/100,0)</f>
        <v>0</v>
      </c>
      <c r="BC33" s="16">
        <f ca="1">IFERROR(_xlfn.XLOOKUP($F33,'FCDB 2017 (full)'!$C:$C,'FCDB 2017 (full)'!$AT:$AT)*$H33/100,0)</f>
        <v>0</v>
      </c>
      <c r="BD33" s="16">
        <f ca="1">IFERROR(_xlfn.XLOOKUP($F33,'FCDB 2017 (full)'!$C:$C,'FCDB 2017 (full)'!$AU:$AU)*$H33/100,0)</f>
        <v>0</v>
      </c>
      <c r="BE33" s="16">
        <f ca="1">IFERROR(_xlfn.XLOOKUP($F33,'FCDB 2017 (full)'!$C:$C,'FCDB 2017 (full)'!$AV:$AV)*$H33/100,0)</f>
        <v>0</v>
      </c>
      <c r="BF33" s="16">
        <f ca="1">IFERROR(_xlfn.XLOOKUP($F33,'FCDB 2017 (full)'!$C:$C,'FCDB 2017 (full)'!$AW:$AW)*$H33/100,0)</f>
        <v>0</v>
      </c>
      <c r="BG33" s="16">
        <f ca="1">IFERROR(_xlfn.XLOOKUP($F33,'FCDB 2017 (full)'!$C:$C,'FCDB 2017 (full)'!$AX:$AX)*$H33/100,0)</f>
        <v>0</v>
      </c>
      <c r="BH33" s="16">
        <f ca="1">IFERROR(_xlfn.XLOOKUP($F33,'FCDB 2017 (full)'!$C:$C,'FCDB 2017 (full)'!$AY:$AY)*$H33/100,0)</f>
        <v>0</v>
      </c>
      <c r="BI33" s="16">
        <f ca="1">IFERROR(_xlfn.XLOOKUP($F33,'FCDB 2017 (full)'!$C:$C,'FCDB 2017 (full)'!$AZ:$AZ)*$H33/100,0)</f>
        <v>0</v>
      </c>
      <c r="BJ33" s="16">
        <f ca="1">IFERROR(_xlfn.XLOOKUP($F33,'FCDB 2017 (full)'!$C:$C,'FCDB 2017 (full)'!$BA:$BA)*$H33/100,0)</f>
        <v>0</v>
      </c>
      <c r="BK33" s="16">
        <f ca="1">IFERROR(_xlfn.XLOOKUP($F33,'FCDB 2017 (full)'!$C:$C,'FCDB 2017 (full)'!$BB:$BB)*$H33/100,0)</f>
        <v>0</v>
      </c>
      <c r="BL33" s="16">
        <f ca="1">IFERROR(_xlfn.XLOOKUP($F33,'FCDB 2017 (full)'!$C:$C,'FCDB 2017 (full)'!$BC:$BC)*$H33/100,0)</f>
        <v>0</v>
      </c>
      <c r="BM33" s="16">
        <f ca="1">IFERROR(_xlfn.XLOOKUP($F33,'FCDB 2017 (full)'!$C:$C,'FCDB 2017 (full)'!$BD:$BD)*$H33/100,0)</f>
        <v>0</v>
      </c>
      <c r="BN33" s="16">
        <f ca="1">IFERROR(_xlfn.XLOOKUP($F33,'FCDB 2017 (full)'!$C:$C,'FCDB 2017 (full)'!$BE:$BE)*$H33/100,0)</f>
        <v>0</v>
      </c>
      <c r="BO33" s="16">
        <f ca="1">IFERROR(_xlfn.XLOOKUP($F33,'FCDB 2017 (full)'!$C:$C,'FCDB 2017 (full)'!$BF:$BF)*$H33/100,0)</f>
        <v>0</v>
      </c>
      <c r="BP33" s="16">
        <f ca="1">IFERROR(_xlfn.XLOOKUP($F33,'FCDB 2017 (full)'!$C:$C,'FCDB 2017 (full)'!$BG:$BG)*$H33/100,0)</f>
        <v>0</v>
      </c>
      <c r="BQ33" s="16">
        <f ca="1">IFERROR(_xlfn.XLOOKUP($F33,'FCDB 2017 (full)'!$C:$C,'FCDB 2017 (full)'!$BH:$BH)*$H33/100,0)</f>
        <v>0</v>
      </c>
      <c r="BR33" s="16">
        <f ca="1">IFERROR(_xlfn.XLOOKUP($F33,'FCDB 2017 (full)'!$C:$C,'FCDB 2017 (full)'!$BI:$BI)*$H33/100,0)</f>
        <v>0</v>
      </c>
      <c r="BS33" s="16">
        <f ca="1">IFERROR(_xlfn.XLOOKUP($F33,'FCDB 2017 (full)'!$C:$C,'FCDB 2017 (full)'!$BJ:$BJ)*$H33/100,0)</f>
        <v>0</v>
      </c>
      <c r="BT33" s="16">
        <f ca="1">IFERROR(_xlfn.XLOOKUP($F33,'FCDB 2017 (full)'!$C:$C,'FCDB 2017 (full)'!$BK:$BK)*$H33/100,0)</f>
        <v>0</v>
      </c>
      <c r="BU33" s="16">
        <f ca="1">IFERROR(_xlfn.XLOOKUP($F33,'FCDB 2017 (full)'!$C:$C,'FCDB 2017 (full)'!$BL:$BL)*$H33/100,0)</f>
        <v>0</v>
      </c>
      <c r="BV33" s="16">
        <f ca="1">IFERROR(_xlfn.XLOOKUP($F33,'FCDB 2017 (full)'!$C:$C,'FCDB 2017 (full)'!$BM:$BM)*$H33/100,0)</f>
        <v>0</v>
      </c>
      <c r="BW33" s="16">
        <f ca="1">IFERROR(_xlfn.XLOOKUP($F33,'FCDB 2017 (full)'!$C:$C,'FCDB 2017 (full)'!$BN:$BN)*$H33/100,0)</f>
        <v>0</v>
      </c>
      <c r="BX33" s="16">
        <f ca="1">IFERROR(_xlfn.XLOOKUP($F33,'FCDB 2017 (full)'!$C:$C,'FCDB 2017 (full)'!$BO:$BO)*$H33/100,0)</f>
        <v>0</v>
      </c>
      <c r="BY33" s="16">
        <f ca="1">IFERROR(_xlfn.XLOOKUP($F33,'FCDB 2017 (full)'!$C:$C,'FCDB 2017 (full)'!$BP:$BP)*$H33/100,0)</f>
        <v>0</v>
      </c>
      <c r="BZ33" s="16">
        <f ca="1">IFERROR(_xlfn.XLOOKUP($F33,'FCDB 2017 (full)'!$C:$C,'FCDB 2017 (full)'!$BQ:$BQ)*$H33/100,0)</f>
        <v>0</v>
      </c>
      <c r="CA33" s="16">
        <f ca="1">IFERROR(_xlfn.XLOOKUP($F33,'FCDB 2017 (full)'!$C:$C,'FCDB 2017 (full)'!$BR:$BR)*$H33/100,0)</f>
        <v>0</v>
      </c>
      <c r="CB33" s="16">
        <f ca="1">IFERROR(_xlfn.XLOOKUP($F33,'FCDB 2017 (full)'!$C:$C,'FCDB 2017 (full)'!$BS:$BS)*$H33/100,0)</f>
        <v>0</v>
      </c>
      <c r="CC33" s="16">
        <f ca="1">IFERROR(_xlfn.XLOOKUP($F33,'FCDB 2017 (full)'!$C:$C,'FCDB 2017 (full)'!$BT:$BT)*$H33/100,0)</f>
        <v>0</v>
      </c>
      <c r="CD33" s="16">
        <f ca="1">IFERROR(_xlfn.XLOOKUP($F33,'FCDB 2017 (full)'!$C:$C,'FCDB 2017 (full)'!$BU:$BU)*$H33/100,0)</f>
        <v>0</v>
      </c>
      <c r="CE33" s="16">
        <f ca="1">IFERROR(_xlfn.XLOOKUP($F33,'FCDB 2017 (full)'!$C:$C,'FCDB 2017 (full)'!$BV:$BV)*$H33/100,0)</f>
        <v>0</v>
      </c>
      <c r="CF33" s="16">
        <f ca="1">IFERROR(_xlfn.XLOOKUP($F33,'FCDB 2017 (full)'!$C:$C,'FCDB 2017 (full)'!$BW:$BW)*$H33/100,0)</f>
        <v>0</v>
      </c>
      <c r="CG33" s="16">
        <f ca="1">IFERROR(_xlfn.XLOOKUP($F33,'FCDB 2017 (full)'!$C:$C,'FCDB 2017 (full)'!$BX:$BX)*$H33/100,0)</f>
        <v>0</v>
      </c>
      <c r="CH33" s="16">
        <f ca="1">IFERROR(_xlfn.XLOOKUP($F33,'FCDB 2017 (full)'!$C:$C,'FCDB 2017 (full)'!$BY:$BY)*$H33/100,0)</f>
        <v>0</v>
      </c>
      <c r="CI33" s="16">
        <f ca="1">IFERROR(_xlfn.XLOOKUP($F33,'FCDB 2017 (full)'!$C:$C,'FCDB 2017 (full)'!$BZ:$BZ)*$H33/100,0)</f>
        <v>0</v>
      </c>
      <c r="CJ33" s="16">
        <f ca="1">IFERROR(_xlfn.XLOOKUP($F33,'FCDB 2017 (full)'!$C:$C,'FCDB 2017 (full)'!$CA:$CA)*$H33/100,0)</f>
        <v>0</v>
      </c>
      <c r="CK33" s="16">
        <f ca="1">IFERROR(_xlfn.XLOOKUP($F33,'FCDB 2017 (full)'!$C:$C,'FCDB 2017 (full)'!$CB:$CB)*$H33/100,0)</f>
        <v>0</v>
      </c>
      <c r="CL33" s="16">
        <f ca="1">IFERROR(_xlfn.XLOOKUP($F33,'FCDB 2017 (full)'!$C:$C,'FCDB 2017 (full)'!$CC:$CC)*$H33/100,0)</f>
        <v>0</v>
      </c>
      <c r="CM33" s="16">
        <f ca="1">IFERROR(_xlfn.XLOOKUP($F33,'FCDB 2017 (full)'!$C:$C,'FCDB 2017 (full)'!$CD:$CD)*$H33/100,0)</f>
        <v>0</v>
      </c>
      <c r="CN33" s="16">
        <f ca="1">IFERROR(_xlfn.XLOOKUP($F33,'FCDB 2017 (full)'!$C:$C,'FCDB 2017 (full)'!$CE:$CE)*$H33/100,0)</f>
        <v>0</v>
      </c>
      <c r="CO33" s="16">
        <f ca="1">IFERROR(_xlfn.XLOOKUP($F33,'FCDB 2017 (full)'!$C:$C,'FCDB 2017 (full)'!$CF:$CF)*$H33/100,0)</f>
        <v>0</v>
      </c>
      <c r="CP33" s="16">
        <f ca="1">IFERROR(_xlfn.XLOOKUP($F33,'FCDB 2017 (full)'!$C:$C,'FCDB 2017 (full)'!$CG:$CG)*$H33/100,0)</f>
        <v>0</v>
      </c>
      <c r="CQ33" s="16">
        <f ca="1">IFERROR(_xlfn.XLOOKUP($F33,'FCDB 2017 (full)'!$C:$C,'FCDB 2017 (full)'!$CH:$CH)*$H33/100,0)</f>
        <v>0</v>
      </c>
      <c r="DA33" s="72" t="s">
        <v>948</v>
      </c>
    </row>
    <row r="34" spans="5:105" s="29" customFormat="1" ht="19.05" customHeight="1">
      <c r="F34" s="11" t="str">
        <f>IFERROR(VLOOKUP($D$9,$D:$AE,24,0),0)</f>
        <v>Sữa đậu nành (100g đậu/lít)</v>
      </c>
      <c r="G34" s="7" t="e" cm="1">
        <f t="array" aca="1" ref="G34" ca="1">IF(F34=0,0,IF(_xlfn.XLOOKUP(F34,$E$9:$AE$9,$E$10:$AE$10)=0,"Nhập ĐV/TV",_xlfn.XLOOKUP(F34,$E$9:$AE$9,$E$10:$AE$10)))</f>
        <v>#NAME?</v>
      </c>
      <c r="H34" s="8" cm="1">
        <f t="array" ref="H34">IFERROR(INDEX($E$11:$AE$11,MATCH(F34,$E$9:$AE$9,0)),0)</f>
        <v>200</v>
      </c>
      <c r="I34" s="9">
        <f ca="1">IFERROR(_xlfn.XLOOKUP($F34,'FCDB 2017 (full)'!$C:$C,'FCDB 2017 (full)'!$E:$E),0)</f>
        <v>0</v>
      </c>
      <c r="J34" s="10">
        <f t="shared" ca="1" si="1"/>
        <v>0</v>
      </c>
      <c r="K34" s="9">
        <f ca="1">IFERROR(_xlfn.XLOOKUP($F34,'FCDB 2017 (full)'!$C:$C,'FCDB 2017 (full)'!$G:$G),0)</f>
        <v>0</v>
      </c>
      <c r="L34" s="13" t="e">
        <f t="shared" ca="1" si="2"/>
        <v>#NAME?</v>
      </c>
      <c r="M34" s="13" t="e">
        <f t="shared" ca="1" si="3"/>
        <v>#NAME?</v>
      </c>
      <c r="N34" s="9">
        <f ca="1">IFERROR(_xlfn.XLOOKUP($F34,'FCDB 2017 (full)'!$C:$C,'FCDB 2017 (full)'!$H:$H),0)</f>
        <v>0</v>
      </c>
      <c r="O34" s="14" t="e">
        <f t="shared" ca="1" si="4"/>
        <v>#NAME?</v>
      </c>
      <c r="P34" s="14" t="e">
        <f t="shared" ca="1" si="5"/>
        <v>#NAME?</v>
      </c>
      <c r="Q34" s="9">
        <f ca="1">IFERROR(_xlfn.XLOOKUP($F34,'FCDB 2017 (full)'!$C:$C,'FCDB 2017 (full)'!$I:$I),0)</f>
        <v>0</v>
      </c>
      <c r="R34" s="15">
        <f t="shared" ca="1" si="6"/>
        <v>0</v>
      </c>
      <c r="S34" s="16">
        <f ca="1">IFERROR(_xlfn.XLOOKUP($F34,'FCDB 2017 (full)'!$C:$C,'FCDB 2017 (full)'!$J:$J)*$H34/100,0)</f>
        <v>0</v>
      </c>
      <c r="T34" s="16">
        <f ca="1">IFERROR(_xlfn.XLOOKUP($F34,'FCDB 2017 (full)'!$C:$C,'FCDB 2017 (full)'!$K:$K)*$H34/100,0)</f>
        <v>0</v>
      </c>
      <c r="U34" s="16">
        <f ca="1">IFERROR(_xlfn.XLOOKUP($F34,'FCDB 2017 (full)'!$C:$C,'FCDB 2017 (full)'!$L:$L)*$H34/100,0)</f>
        <v>0</v>
      </c>
      <c r="V34" s="16">
        <f ca="1">IFERROR(_xlfn.XLOOKUP($F34,'FCDB 2017 (full)'!$C:$C,'FCDB 2017 (full)'!$M:$M)*$H34/100,0)</f>
        <v>0</v>
      </c>
      <c r="W34" s="16">
        <f ca="1">IFERROR(_xlfn.XLOOKUP($F34,'FCDB 2017 (full)'!$C:$C,'FCDB 2017 (full)'!$N:$N)*$H34/100,0)</f>
        <v>0</v>
      </c>
      <c r="X34" s="16">
        <f ca="1">IFERROR(_xlfn.XLOOKUP($F34,'FCDB 2017 (full)'!$C:$C,'FCDB 2017 (full)'!$O:$O)*$H34/100,0)</f>
        <v>0</v>
      </c>
      <c r="Y34" s="16">
        <f ca="1">IFERROR(_xlfn.XLOOKUP($F34,'FCDB 2017 (full)'!$C:$C,'FCDB 2017 (full)'!$P:$P)*$H34/100,0)</f>
        <v>0</v>
      </c>
      <c r="Z34" s="16">
        <f ca="1">IFERROR(_xlfn.XLOOKUP($F34,'FCDB 2017 (full)'!$C:$C,'FCDB 2017 (full)'!$Q:$Q)*$H34/100,0)</f>
        <v>0</v>
      </c>
      <c r="AA34" s="16">
        <f ca="1">IFERROR(_xlfn.XLOOKUP($F34,'FCDB 2017 (full)'!$C:$C,'FCDB 2017 (full)'!$R:$R)*$H34/100,0)</f>
        <v>0</v>
      </c>
      <c r="AB34" s="16">
        <f ca="1">IFERROR(_xlfn.XLOOKUP($F34,'FCDB 2017 (full)'!$C:$C,'FCDB 2017 (full)'!$S:$S)*$H34/100,0)</f>
        <v>0</v>
      </c>
      <c r="AC34" s="16">
        <f ca="1">IFERROR(_xlfn.XLOOKUP($F34,'FCDB 2017 (full)'!$C:$C,'FCDB 2017 (full)'!$T:$T)*$H34/100,0)</f>
        <v>0</v>
      </c>
      <c r="AD34" s="16">
        <f ca="1">IFERROR(_xlfn.XLOOKUP($F34,'FCDB 2017 (full)'!$C:$C,'FCDB 2017 (full)'!$U:$U)*$H34/100,0)</f>
        <v>0</v>
      </c>
      <c r="AE34" s="16">
        <f ca="1">IFERROR(_xlfn.XLOOKUP($F34,'FCDB 2017 (full)'!$C:$C,'FCDB 2017 (full)'!$V:$V)*$H34/100,0)</f>
        <v>0</v>
      </c>
      <c r="AF34" s="16">
        <f ca="1">IFERROR(_xlfn.XLOOKUP($F34,'FCDB 2017 (full)'!$C:$C,'FCDB 2017 (full)'!$W:$W)*$H34/100,0)</f>
        <v>0</v>
      </c>
      <c r="AG34" s="16">
        <f ca="1">IFERROR(_xlfn.XLOOKUP($F34,'FCDB 2017 (full)'!$C:$C,'FCDB 2017 (full)'!$X:$X)*$H34/100,0)</f>
        <v>0</v>
      </c>
      <c r="AH34" s="16">
        <f ca="1">IFERROR(_xlfn.XLOOKUP($F34,'FCDB 2017 (full)'!$C:$C,'FCDB 2017 (full)'!$Y:$Y)*$H34/100,0)</f>
        <v>0</v>
      </c>
      <c r="AI34" s="16">
        <f ca="1">IFERROR(_xlfn.XLOOKUP($F34,'FCDB 2017 (full)'!$C:$C,'FCDB 2017 (full)'!$Z:$Z)*$H34/100,0)</f>
        <v>0</v>
      </c>
      <c r="AJ34" s="16">
        <f ca="1">IFERROR(_xlfn.XLOOKUP($F34,'FCDB 2017 (full)'!$C:$C,'FCDB 2017 (full)'!$AA:$AA)*$H34/100,0)</f>
        <v>0</v>
      </c>
      <c r="AK34" s="16">
        <f ca="1">IFERROR(_xlfn.XLOOKUP($F34,'FCDB 2017 (full)'!$C:$C,'FCDB 2017 (full)'!$AB:$AB)*$H34/100,0)</f>
        <v>0</v>
      </c>
      <c r="AL34" s="16">
        <f ca="1">IFERROR(_xlfn.XLOOKUP($F34,'FCDB 2017 (full)'!$C:$C,'FCDB 2017 (full)'!$AC:$AC)*$H34/100,0)</f>
        <v>0</v>
      </c>
      <c r="AM34" s="16">
        <f ca="1">IFERROR(_xlfn.XLOOKUP($F34,'FCDB 2017 (full)'!$C:$C,'FCDB 2017 (full)'!$AD:$AD)*$H34/100,0)</f>
        <v>0</v>
      </c>
      <c r="AN34" s="16">
        <f ca="1">IFERROR(_xlfn.XLOOKUP($F34,'FCDB 2017 (full)'!$C:$C,'FCDB 2017 (full)'!$AE:$AE)*$H34/100,0)</f>
        <v>0</v>
      </c>
      <c r="AO34" s="16">
        <f ca="1">IFERROR(_xlfn.XLOOKUP($F34,'FCDB 2017 (full)'!$C:$C,'FCDB 2017 (full)'!$AF:$AF)*$H34/100,0)</f>
        <v>0</v>
      </c>
      <c r="AP34" s="16">
        <f ca="1">IFERROR(_xlfn.XLOOKUP($F34,'FCDB 2017 (full)'!$C:$C,'FCDB 2017 (full)'!$AG:$AG)*$H34/100,0)</f>
        <v>0</v>
      </c>
      <c r="AQ34" s="16">
        <f ca="1">IFERROR(_xlfn.XLOOKUP($F34,'FCDB 2017 (full)'!$C:$C,'FCDB 2017 (full)'!$AH:$AH)*$H34/100,0)</f>
        <v>0</v>
      </c>
      <c r="AR34" s="16">
        <f ca="1">IFERROR(_xlfn.XLOOKUP($F34,'FCDB 2017 (full)'!$C:$C,'FCDB 2017 (full)'!$AI:$AI)*$H34/100,0)</f>
        <v>0</v>
      </c>
      <c r="AS34" s="16">
        <f ca="1">IFERROR(_xlfn.XLOOKUP($F34,'FCDB 2017 (full)'!$C:$C,'FCDB 2017 (full)'!$AJ:$AJ)*$H34/100,0)</f>
        <v>0</v>
      </c>
      <c r="AT34" s="16">
        <f ca="1">IFERROR(_xlfn.XLOOKUP($F34,'FCDB 2017 (full)'!$C:$C,'FCDB 2017 (full)'!$AK:$AK)*$H34/100,0)</f>
        <v>0</v>
      </c>
      <c r="AU34" s="16">
        <f ca="1">IFERROR(_xlfn.XLOOKUP($F34,'FCDB 2017 (full)'!$C:$C,'FCDB 2017 (full)'!$AK:$AK)*$H34/100,0)</f>
        <v>0</v>
      </c>
      <c r="AV34" s="16">
        <f ca="1">IFERROR(_xlfn.XLOOKUP($F34,'FCDB 2017 (full)'!$C:$C,'FCDB 2017 (full)'!$AM:$AM)*$H34/100,0)</f>
        <v>0</v>
      </c>
      <c r="AW34" s="16">
        <f ca="1">IFERROR(_xlfn.XLOOKUP($F34,'FCDB 2017 (full)'!$C:$C,'FCDB 2017 (full)'!$AN:$AN)*$H34/100,0)</f>
        <v>0</v>
      </c>
      <c r="AX34" s="16">
        <f ca="1">IFERROR(_xlfn.XLOOKUP($F34,'FCDB 2017 (full)'!$C:$C,'FCDB 2017 (full)'!$AO:$AO)*$H34/100,0)</f>
        <v>0</v>
      </c>
      <c r="AY34" s="16">
        <f ca="1">IFERROR(_xlfn.XLOOKUP($F34,'FCDB 2017 (full)'!$C:$C,'FCDB 2017 (full)'!$AP:$AP)*$H34/100,0)</f>
        <v>0</v>
      </c>
      <c r="AZ34" s="16">
        <f ca="1">IFERROR(_xlfn.XLOOKUP($F34,'FCDB 2017 (full)'!$C:$C,'FCDB 2017 (full)'!$AQ:$AQ)*$H34/100,0)</f>
        <v>0</v>
      </c>
      <c r="BA34" s="16">
        <f ca="1">IFERROR(_xlfn.XLOOKUP($F34,'FCDB 2017 (full)'!$C:$C,'FCDB 2017 (full)'!$AR:$AR)*$H34/100,0)</f>
        <v>0</v>
      </c>
      <c r="BB34" s="16">
        <f ca="1">IFERROR(_xlfn.XLOOKUP($F34,'FCDB 2017 (full)'!$C:$C,'FCDB 2017 (full)'!$AS:$AS)*$H34/100,0)</f>
        <v>0</v>
      </c>
      <c r="BC34" s="16">
        <f ca="1">IFERROR(_xlfn.XLOOKUP($F34,'FCDB 2017 (full)'!$C:$C,'FCDB 2017 (full)'!$AT:$AT)*$H34/100,0)</f>
        <v>0</v>
      </c>
      <c r="BD34" s="16">
        <f ca="1">IFERROR(_xlfn.XLOOKUP($F34,'FCDB 2017 (full)'!$C:$C,'FCDB 2017 (full)'!$AU:$AU)*$H34/100,0)</f>
        <v>0</v>
      </c>
      <c r="BE34" s="16">
        <f ca="1">IFERROR(_xlfn.XLOOKUP($F34,'FCDB 2017 (full)'!$C:$C,'FCDB 2017 (full)'!$AV:$AV)*$H34/100,0)</f>
        <v>0</v>
      </c>
      <c r="BF34" s="16">
        <f ca="1">IFERROR(_xlfn.XLOOKUP($F34,'FCDB 2017 (full)'!$C:$C,'FCDB 2017 (full)'!$AW:$AW)*$H34/100,0)</f>
        <v>0</v>
      </c>
      <c r="BG34" s="16">
        <f ca="1">IFERROR(_xlfn.XLOOKUP($F34,'FCDB 2017 (full)'!$C:$C,'FCDB 2017 (full)'!$AX:$AX)*$H34/100,0)</f>
        <v>0</v>
      </c>
      <c r="BH34" s="16">
        <f ca="1">IFERROR(_xlfn.XLOOKUP($F34,'FCDB 2017 (full)'!$C:$C,'FCDB 2017 (full)'!$AY:$AY)*$H34/100,0)</f>
        <v>0</v>
      </c>
      <c r="BI34" s="16">
        <f ca="1">IFERROR(_xlfn.XLOOKUP($F34,'FCDB 2017 (full)'!$C:$C,'FCDB 2017 (full)'!$AZ:$AZ)*$H34/100,0)</f>
        <v>0</v>
      </c>
      <c r="BJ34" s="16">
        <f ca="1">IFERROR(_xlfn.XLOOKUP($F34,'FCDB 2017 (full)'!$C:$C,'FCDB 2017 (full)'!$BA:$BA)*$H34/100,0)</f>
        <v>0</v>
      </c>
      <c r="BK34" s="16">
        <f ca="1">IFERROR(_xlfn.XLOOKUP($F34,'FCDB 2017 (full)'!$C:$C,'FCDB 2017 (full)'!$BB:$BB)*$H34/100,0)</f>
        <v>0</v>
      </c>
      <c r="BL34" s="16">
        <f ca="1">IFERROR(_xlfn.XLOOKUP($F34,'FCDB 2017 (full)'!$C:$C,'FCDB 2017 (full)'!$BC:$BC)*$H34/100,0)</f>
        <v>0</v>
      </c>
      <c r="BM34" s="16">
        <f ca="1">IFERROR(_xlfn.XLOOKUP($F34,'FCDB 2017 (full)'!$C:$C,'FCDB 2017 (full)'!$BD:$BD)*$H34/100,0)</f>
        <v>0</v>
      </c>
      <c r="BN34" s="16">
        <f ca="1">IFERROR(_xlfn.XLOOKUP($F34,'FCDB 2017 (full)'!$C:$C,'FCDB 2017 (full)'!$BE:$BE)*$H34/100,0)</f>
        <v>0</v>
      </c>
      <c r="BO34" s="16">
        <f ca="1">IFERROR(_xlfn.XLOOKUP($F34,'FCDB 2017 (full)'!$C:$C,'FCDB 2017 (full)'!$BF:$BF)*$H34/100,0)</f>
        <v>0</v>
      </c>
      <c r="BP34" s="16">
        <f ca="1">IFERROR(_xlfn.XLOOKUP($F34,'FCDB 2017 (full)'!$C:$C,'FCDB 2017 (full)'!$BG:$BG)*$H34/100,0)</f>
        <v>0</v>
      </c>
      <c r="BQ34" s="16">
        <f ca="1">IFERROR(_xlfn.XLOOKUP($F34,'FCDB 2017 (full)'!$C:$C,'FCDB 2017 (full)'!$BH:$BH)*$H34/100,0)</f>
        <v>0</v>
      </c>
      <c r="BR34" s="16">
        <f ca="1">IFERROR(_xlfn.XLOOKUP($F34,'FCDB 2017 (full)'!$C:$C,'FCDB 2017 (full)'!$BI:$BI)*$H34/100,0)</f>
        <v>0</v>
      </c>
      <c r="BS34" s="16">
        <f ca="1">IFERROR(_xlfn.XLOOKUP($F34,'FCDB 2017 (full)'!$C:$C,'FCDB 2017 (full)'!$BJ:$BJ)*$H34/100,0)</f>
        <v>0</v>
      </c>
      <c r="BT34" s="16">
        <f ca="1">IFERROR(_xlfn.XLOOKUP($F34,'FCDB 2017 (full)'!$C:$C,'FCDB 2017 (full)'!$BK:$BK)*$H34/100,0)</f>
        <v>0</v>
      </c>
      <c r="BU34" s="16">
        <f ca="1">IFERROR(_xlfn.XLOOKUP($F34,'FCDB 2017 (full)'!$C:$C,'FCDB 2017 (full)'!$BL:$BL)*$H34/100,0)</f>
        <v>0</v>
      </c>
      <c r="BV34" s="16">
        <f ca="1">IFERROR(_xlfn.XLOOKUP($F34,'FCDB 2017 (full)'!$C:$C,'FCDB 2017 (full)'!$BM:$BM)*$H34/100,0)</f>
        <v>0</v>
      </c>
      <c r="BW34" s="16">
        <f ca="1">IFERROR(_xlfn.XLOOKUP($F34,'FCDB 2017 (full)'!$C:$C,'FCDB 2017 (full)'!$BN:$BN)*$H34/100,0)</f>
        <v>0</v>
      </c>
      <c r="BX34" s="16">
        <f ca="1">IFERROR(_xlfn.XLOOKUP($F34,'FCDB 2017 (full)'!$C:$C,'FCDB 2017 (full)'!$BO:$BO)*$H34/100,0)</f>
        <v>0</v>
      </c>
      <c r="BY34" s="16">
        <f ca="1">IFERROR(_xlfn.XLOOKUP($F34,'FCDB 2017 (full)'!$C:$C,'FCDB 2017 (full)'!$BP:$BP)*$H34/100,0)</f>
        <v>0</v>
      </c>
      <c r="BZ34" s="16">
        <f ca="1">IFERROR(_xlfn.XLOOKUP($F34,'FCDB 2017 (full)'!$C:$C,'FCDB 2017 (full)'!$BQ:$BQ)*$H34/100,0)</f>
        <v>0</v>
      </c>
      <c r="CA34" s="16">
        <f ca="1">IFERROR(_xlfn.XLOOKUP($F34,'FCDB 2017 (full)'!$C:$C,'FCDB 2017 (full)'!$BR:$BR)*$H34/100,0)</f>
        <v>0</v>
      </c>
      <c r="CB34" s="16">
        <f ca="1">IFERROR(_xlfn.XLOOKUP($F34,'FCDB 2017 (full)'!$C:$C,'FCDB 2017 (full)'!$BS:$BS)*$H34/100,0)</f>
        <v>0</v>
      </c>
      <c r="CC34" s="16">
        <f ca="1">IFERROR(_xlfn.XLOOKUP($F34,'FCDB 2017 (full)'!$C:$C,'FCDB 2017 (full)'!$BT:$BT)*$H34/100,0)</f>
        <v>0</v>
      </c>
      <c r="CD34" s="16">
        <f ca="1">IFERROR(_xlfn.XLOOKUP($F34,'FCDB 2017 (full)'!$C:$C,'FCDB 2017 (full)'!$BU:$BU)*$H34/100,0)</f>
        <v>0</v>
      </c>
      <c r="CE34" s="16">
        <f ca="1">IFERROR(_xlfn.XLOOKUP($F34,'FCDB 2017 (full)'!$C:$C,'FCDB 2017 (full)'!$BV:$BV)*$H34/100,0)</f>
        <v>0</v>
      </c>
      <c r="CF34" s="16">
        <f ca="1">IFERROR(_xlfn.XLOOKUP($F34,'FCDB 2017 (full)'!$C:$C,'FCDB 2017 (full)'!$BW:$BW)*$H34/100,0)</f>
        <v>0</v>
      </c>
      <c r="CG34" s="16">
        <f ca="1">IFERROR(_xlfn.XLOOKUP($F34,'FCDB 2017 (full)'!$C:$C,'FCDB 2017 (full)'!$BX:$BX)*$H34/100,0)</f>
        <v>0</v>
      </c>
      <c r="CH34" s="16">
        <f ca="1">IFERROR(_xlfn.XLOOKUP($F34,'FCDB 2017 (full)'!$C:$C,'FCDB 2017 (full)'!$BY:$BY)*$H34/100,0)</f>
        <v>0</v>
      </c>
      <c r="CI34" s="16">
        <f ca="1">IFERROR(_xlfn.XLOOKUP($F34,'FCDB 2017 (full)'!$C:$C,'FCDB 2017 (full)'!$BZ:$BZ)*$H34/100,0)</f>
        <v>0</v>
      </c>
      <c r="CJ34" s="16">
        <f ca="1">IFERROR(_xlfn.XLOOKUP($F34,'FCDB 2017 (full)'!$C:$C,'FCDB 2017 (full)'!$CA:$CA)*$H34/100,0)</f>
        <v>0</v>
      </c>
      <c r="CK34" s="16">
        <f ca="1">IFERROR(_xlfn.XLOOKUP($F34,'FCDB 2017 (full)'!$C:$C,'FCDB 2017 (full)'!$CB:$CB)*$H34/100,0)</f>
        <v>0</v>
      </c>
      <c r="CL34" s="16">
        <f ca="1">IFERROR(_xlfn.XLOOKUP($F34,'FCDB 2017 (full)'!$C:$C,'FCDB 2017 (full)'!$CC:$CC)*$H34/100,0)</f>
        <v>0</v>
      </c>
      <c r="CM34" s="16">
        <f ca="1">IFERROR(_xlfn.XLOOKUP($F34,'FCDB 2017 (full)'!$C:$C,'FCDB 2017 (full)'!$CD:$CD)*$H34/100,0)</f>
        <v>0</v>
      </c>
      <c r="CN34" s="16">
        <f ca="1">IFERROR(_xlfn.XLOOKUP($F34,'FCDB 2017 (full)'!$C:$C,'FCDB 2017 (full)'!$CE:$CE)*$H34/100,0)</f>
        <v>0</v>
      </c>
      <c r="CO34" s="16">
        <f ca="1">IFERROR(_xlfn.XLOOKUP($F34,'FCDB 2017 (full)'!$C:$C,'FCDB 2017 (full)'!$CF:$CF)*$H34/100,0)</f>
        <v>0</v>
      </c>
      <c r="CP34" s="16">
        <f ca="1">IFERROR(_xlfn.XLOOKUP($F34,'FCDB 2017 (full)'!$C:$C,'FCDB 2017 (full)'!$CG:$CG)*$H34/100,0)</f>
        <v>0</v>
      </c>
      <c r="CQ34" s="16">
        <f ca="1">IFERROR(_xlfn.XLOOKUP($F34,'FCDB 2017 (full)'!$C:$C,'FCDB 2017 (full)'!$CH:$CH)*$H34/100,0)</f>
        <v>0</v>
      </c>
      <c r="DA34" s="72" t="s">
        <v>948</v>
      </c>
    </row>
    <row r="35" spans="5:105" s="29" customFormat="1" ht="19.05" customHeight="1">
      <c r="F35" s="11">
        <f>IFERROR(VLOOKUP($D$9,$D:$AE,25,0),0)</f>
        <v>0</v>
      </c>
      <c r="G35" s="7" cm="1">
        <f t="array" ref="G35">IF(F35=0,0,IF(_xlfn.XLOOKUP(F35,$E$9:$AE$9,$E$10:$AE$10)=0,"Nhập ĐV/TV",_xlfn.XLOOKUP(F35,$E$9:$AE$9,$E$10:$AE$10)))</f>
        <v>0</v>
      </c>
      <c r="H35" s="8" cm="1">
        <f t="array" ref="H35">IFERROR(INDEX($E$11:$AE$11,MATCH(F35,$E$9:$AE$9,0)),0)</f>
        <v>0</v>
      </c>
      <c r="I35" s="9">
        <f ca="1">IFERROR(_xlfn.XLOOKUP($F35,'FCDB 2017 (full)'!$C:$C,'FCDB 2017 (full)'!$E:$E),0)</f>
        <v>0</v>
      </c>
      <c r="J35" s="10">
        <f t="shared" ca="1" si="1"/>
        <v>0</v>
      </c>
      <c r="K35" s="9">
        <f ca="1">IFERROR(_xlfn.XLOOKUP($F35,'FCDB 2017 (full)'!$C:$C,'FCDB 2017 (full)'!$G:$G),0)</f>
        <v>0</v>
      </c>
      <c r="L35" s="13">
        <f t="shared" si="2"/>
        <v>0</v>
      </c>
      <c r="M35" s="13">
        <f t="shared" si="3"/>
        <v>0</v>
      </c>
      <c r="N35" s="9">
        <f ca="1">IFERROR(_xlfn.XLOOKUP($F35,'FCDB 2017 (full)'!$C:$C,'FCDB 2017 (full)'!$H:$H),0)</f>
        <v>0</v>
      </c>
      <c r="O35" s="14">
        <f t="shared" si="4"/>
        <v>0</v>
      </c>
      <c r="P35" s="14">
        <f t="shared" si="5"/>
        <v>0</v>
      </c>
      <c r="Q35" s="9">
        <f ca="1">IFERROR(_xlfn.XLOOKUP($F35,'FCDB 2017 (full)'!$C:$C,'FCDB 2017 (full)'!$I:$I),0)</f>
        <v>0</v>
      </c>
      <c r="R35" s="15">
        <f t="shared" ca="1" si="6"/>
        <v>0</v>
      </c>
      <c r="S35" s="16">
        <f ca="1">IFERROR(_xlfn.XLOOKUP($F35,'FCDB 2017 (full)'!$C:$C,'FCDB 2017 (full)'!$J:$J)*$H35/100,0)</f>
        <v>0</v>
      </c>
      <c r="T35" s="16">
        <f ca="1">IFERROR(_xlfn.XLOOKUP($F35,'FCDB 2017 (full)'!$C:$C,'FCDB 2017 (full)'!$K:$K)*$H35/100,0)</f>
        <v>0</v>
      </c>
      <c r="U35" s="16">
        <f ca="1">IFERROR(_xlfn.XLOOKUP($F35,'FCDB 2017 (full)'!$C:$C,'FCDB 2017 (full)'!$L:$L)*$H35/100,0)</f>
        <v>0</v>
      </c>
      <c r="V35" s="16">
        <f ca="1">IFERROR(_xlfn.XLOOKUP($F35,'FCDB 2017 (full)'!$C:$C,'FCDB 2017 (full)'!$M:$M)*$H35/100,0)</f>
        <v>0</v>
      </c>
      <c r="W35" s="16">
        <f ca="1">IFERROR(_xlfn.XLOOKUP($F35,'FCDB 2017 (full)'!$C:$C,'FCDB 2017 (full)'!$N:$N)*$H35/100,0)</f>
        <v>0</v>
      </c>
      <c r="X35" s="16">
        <f ca="1">IFERROR(_xlfn.XLOOKUP($F35,'FCDB 2017 (full)'!$C:$C,'FCDB 2017 (full)'!$O:$O)*$H35/100,0)</f>
        <v>0</v>
      </c>
      <c r="Y35" s="16">
        <f ca="1">IFERROR(_xlfn.XLOOKUP($F35,'FCDB 2017 (full)'!$C:$C,'FCDB 2017 (full)'!$P:$P)*$H35/100,0)</f>
        <v>0</v>
      </c>
      <c r="Z35" s="16">
        <f ca="1">IFERROR(_xlfn.XLOOKUP($F35,'FCDB 2017 (full)'!$C:$C,'FCDB 2017 (full)'!$Q:$Q)*$H35/100,0)</f>
        <v>0</v>
      </c>
      <c r="AA35" s="16">
        <f ca="1">IFERROR(_xlfn.XLOOKUP($F35,'FCDB 2017 (full)'!$C:$C,'FCDB 2017 (full)'!$R:$R)*$H35/100,0)</f>
        <v>0</v>
      </c>
      <c r="AB35" s="16">
        <f ca="1">IFERROR(_xlfn.XLOOKUP($F35,'FCDB 2017 (full)'!$C:$C,'FCDB 2017 (full)'!$S:$S)*$H35/100,0)</f>
        <v>0</v>
      </c>
      <c r="AC35" s="16">
        <f ca="1">IFERROR(_xlfn.XLOOKUP($F35,'FCDB 2017 (full)'!$C:$C,'FCDB 2017 (full)'!$T:$T)*$H35/100,0)</f>
        <v>0</v>
      </c>
      <c r="AD35" s="16">
        <f ca="1">IFERROR(_xlfn.XLOOKUP($F35,'FCDB 2017 (full)'!$C:$C,'FCDB 2017 (full)'!$U:$U)*$H35/100,0)</f>
        <v>0</v>
      </c>
      <c r="AE35" s="16">
        <f ca="1">IFERROR(_xlfn.XLOOKUP($F35,'FCDB 2017 (full)'!$C:$C,'FCDB 2017 (full)'!$V:$V)*$H35/100,0)</f>
        <v>0</v>
      </c>
      <c r="AF35" s="16">
        <f ca="1">IFERROR(_xlfn.XLOOKUP($F35,'FCDB 2017 (full)'!$C:$C,'FCDB 2017 (full)'!$W:$W)*$H35/100,0)</f>
        <v>0</v>
      </c>
      <c r="AG35" s="16">
        <f ca="1">IFERROR(_xlfn.XLOOKUP($F35,'FCDB 2017 (full)'!$C:$C,'FCDB 2017 (full)'!$X:$X)*$H35/100,0)</f>
        <v>0</v>
      </c>
      <c r="AH35" s="16">
        <f ca="1">IFERROR(_xlfn.XLOOKUP($F35,'FCDB 2017 (full)'!$C:$C,'FCDB 2017 (full)'!$Y:$Y)*$H35/100,0)</f>
        <v>0</v>
      </c>
      <c r="AI35" s="16">
        <f ca="1">IFERROR(_xlfn.XLOOKUP($F35,'FCDB 2017 (full)'!$C:$C,'FCDB 2017 (full)'!$Z:$Z)*$H35/100,0)</f>
        <v>0</v>
      </c>
      <c r="AJ35" s="16">
        <f ca="1">IFERROR(_xlfn.XLOOKUP($F35,'FCDB 2017 (full)'!$C:$C,'FCDB 2017 (full)'!$AA:$AA)*$H35/100,0)</f>
        <v>0</v>
      </c>
      <c r="AK35" s="16">
        <f ca="1">IFERROR(_xlfn.XLOOKUP($F35,'FCDB 2017 (full)'!$C:$C,'FCDB 2017 (full)'!$AB:$AB)*$H35/100,0)</f>
        <v>0</v>
      </c>
      <c r="AL35" s="16">
        <f ca="1">IFERROR(_xlfn.XLOOKUP($F35,'FCDB 2017 (full)'!$C:$C,'FCDB 2017 (full)'!$AC:$AC)*$H35/100,0)</f>
        <v>0</v>
      </c>
      <c r="AM35" s="16">
        <f ca="1">IFERROR(_xlfn.XLOOKUP($F35,'FCDB 2017 (full)'!$C:$C,'FCDB 2017 (full)'!$AD:$AD)*$H35/100,0)</f>
        <v>0</v>
      </c>
      <c r="AN35" s="16">
        <f ca="1">IFERROR(_xlfn.XLOOKUP($F35,'FCDB 2017 (full)'!$C:$C,'FCDB 2017 (full)'!$AE:$AE)*$H35/100,0)</f>
        <v>0</v>
      </c>
      <c r="AO35" s="16">
        <f ca="1">IFERROR(_xlfn.XLOOKUP($F35,'FCDB 2017 (full)'!$C:$C,'FCDB 2017 (full)'!$AF:$AF)*$H35/100,0)</f>
        <v>0</v>
      </c>
      <c r="AP35" s="16">
        <f ca="1">IFERROR(_xlfn.XLOOKUP($F35,'FCDB 2017 (full)'!$C:$C,'FCDB 2017 (full)'!$AG:$AG)*$H35/100,0)</f>
        <v>0</v>
      </c>
      <c r="AQ35" s="16">
        <f ca="1">IFERROR(_xlfn.XLOOKUP($F35,'FCDB 2017 (full)'!$C:$C,'FCDB 2017 (full)'!$AH:$AH)*$H35/100,0)</f>
        <v>0</v>
      </c>
      <c r="AR35" s="16">
        <f ca="1">IFERROR(_xlfn.XLOOKUP($F35,'FCDB 2017 (full)'!$C:$C,'FCDB 2017 (full)'!$AI:$AI)*$H35/100,0)</f>
        <v>0</v>
      </c>
      <c r="AS35" s="16">
        <f ca="1">IFERROR(_xlfn.XLOOKUP($F35,'FCDB 2017 (full)'!$C:$C,'FCDB 2017 (full)'!$AJ:$AJ)*$H35/100,0)</f>
        <v>0</v>
      </c>
      <c r="AT35" s="16">
        <f ca="1">IFERROR(_xlfn.XLOOKUP($F35,'FCDB 2017 (full)'!$C:$C,'FCDB 2017 (full)'!$AK:$AK)*$H35/100,0)</f>
        <v>0</v>
      </c>
      <c r="AU35" s="16">
        <f ca="1">IFERROR(_xlfn.XLOOKUP($F35,'FCDB 2017 (full)'!$C:$C,'FCDB 2017 (full)'!$AK:$AK)*$H35/100,0)</f>
        <v>0</v>
      </c>
      <c r="AV35" s="16">
        <f ca="1">IFERROR(_xlfn.XLOOKUP($F35,'FCDB 2017 (full)'!$C:$C,'FCDB 2017 (full)'!$AM:$AM)*$H35/100,0)</f>
        <v>0</v>
      </c>
      <c r="AW35" s="16">
        <f ca="1">IFERROR(_xlfn.XLOOKUP($F35,'FCDB 2017 (full)'!$C:$C,'FCDB 2017 (full)'!$AN:$AN)*$H35/100,0)</f>
        <v>0</v>
      </c>
      <c r="AX35" s="16">
        <f ca="1">IFERROR(_xlfn.XLOOKUP($F35,'FCDB 2017 (full)'!$C:$C,'FCDB 2017 (full)'!$AO:$AO)*$H35/100,0)</f>
        <v>0</v>
      </c>
      <c r="AY35" s="16">
        <f ca="1">IFERROR(_xlfn.XLOOKUP($F35,'FCDB 2017 (full)'!$C:$C,'FCDB 2017 (full)'!$AP:$AP)*$H35/100,0)</f>
        <v>0</v>
      </c>
      <c r="AZ35" s="16">
        <f ca="1">IFERROR(_xlfn.XLOOKUP($F35,'FCDB 2017 (full)'!$C:$C,'FCDB 2017 (full)'!$AQ:$AQ)*$H35/100,0)</f>
        <v>0</v>
      </c>
      <c r="BA35" s="16">
        <f ca="1">IFERROR(_xlfn.XLOOKUP($F35,'FCDB 2017 (full)'!$C:$C,'FCDB 2017 (full)'!$AR:$AR)*$H35/100,0)</f>
        <v>0</v>
      </c>
      <c r="BB35" s="16">
        <f ca="1">IFERROR(_xlfn.XLOOKUP($F35,'FCDB 2017 (full)'!$C:$C,'FCDB 2017 (full)'!$AS:$AS)*$H35/100,0)</f>
        <v>0</v>
      </c>
      <c r="BC35" s="16">
        <f ca="1">IFERROR(_xlfn.XLOOKUP($F35,'FCDB 2017 (full)'!$C:$C,'FCDB 2017 (full)'!$AT:$AT)*$H35/100,0)</f>
        <v>0</v>
      </c>
      <c r="BD35" s="16">
        <f ca="1">IFERROR(_xlfn.XLOOKUP($F35,'FCDB 2017 (full)'!$C:$C,'FCDB 2017 (full)'!$AU:$AU)*$H35/100,0)</f>
        <v>0</v>
      </c>
      <c r="BE35" s="16">
        <f ca="1">IFERROR(_xlfn.XLOOKUP($F35,'FCDB 2017 (full)'!$C:$C,'FCDB 2017 (full)'!$AV:$AV)*$H35/100,0)</f>
        <v>0</v>
      </c>
      <c r="BF35" s="16">
        <f ca="1">IFERROR(_xlfn.XLOOKUP($F35,'FCDB 2017 (full)'!$C:$C,'FCDB 2017 (full)'!$AW:$AW)*$H35/100,0)</f>
        <v>0</v>
      </c>
      <c r="BG35" s="16">
        <f ca="1">IFERROR(_xlfn.XLOOKUP($F35,'FCDB 2017 (full)'!$C:$C,'FCDB 2017 (full)'!$AX:$AX)*$H35/100,0)</f>
        <v>0</v>
      </c>
      <c r="BH35" s="16">
        <f ca="1">IFERROR(_xlfn.XLOOKUP($F35,'FCDB 2017 (full)'!$C:$C,'FCDB 2017 (full)'!$AY:$AY)*$H35/100,0)</f>
        <v>0</v>
      </c>
      <c r="BI35" s="16">
        <f ca="1">IFERROR(_xlfn.XLOOKUP($F35,'FCDB 2017 (full)'!$C:$C,'FCDB 2017 (full)'!$AZ:$AZ)*$H35/100,0)</f>
        <v>0</v>
      </c>
      <c r="BJ35" s="16">
        <f ca="1">IFERROR(_xlfn.XLOOKUP($F35,'FCDB 2017 (full)'!$C:$C,'FCDB 2017 (full)'!$BA:$BA)*$H35/100,0)</f>
        <v>0</v>
      </c>
      <c r="BK35" s="16">
        <f ca="1">IFERROR(_xlfn.XLOOKUP($F35,'FCDB 2017 (full)'!$C:$C,'FCDB 2017 (full)'!$BB:$BB)*$H35/100,0)</f>
        <v>0</v>
      </c>
      <c r="BL35" s="16">
        <f ca="1">IFERROR(_xlfn.XLOOKUP($F35,'FCDB 2017 (full)'!$C:$C,'FCDB 2017 (full)'!$BC:$BC)*$H35/100,0)</f>
        <v>0</v>
      </c>
      <c r="BM35" s="16">
        <f ca="1">IFERROR(_xlfn.XLOOKUP($F35,'FCDB 2017 (full)'!$C:$C,'FCDB 2017 (full)'!$BD:$BD)*$H35/100,0)</f>
        <v>0</v>
      </c>
      <c r="BN35" s="16">
        <f ca="1">IFERROR(_xlfn.XLOOKUP($F35,'FCDB 2017 (full)'!$C:$C,'FCDB 2017 (full)'!$BE:$BE)*$H35/100,0)</f>
        <v>0</v>
      </c>
      <c r="BO35" s="16">
        <f ca="1">IFERROR(_xlfn.XLOOKUP($F35,'FCDB 2017 (full)'!$C:$C,'FCDB 2017 (full)'!$BF:$BF)*$H35/100,0)</f>
        <v>0</v>
      </c>
      <c r="BP35" s="16">
        <f ca="1">IFERROR(_xlfn.XLOOKUP($F35,'FCDB 2017 (full)'!$C:$C,'FCDB 2017 (full)'!$BG:$BG)*$H35/100,0)</f>
        <v>0</v>
      </c>
      <c r="BQ35" s="16">
        <f ca="1">IFERROR(_xlfn.XLOOKUP($F35,'FCDB 2017 (full)'!$C:$C,'FCDB 2017 (full)'!$BH:$BH)*$H35/100,0)</f>
        <v>0</v>
      </c>
      <c r="BR35" s="16">
        <f ca="1">IFERROR(_xlfn.XLOOKUP($F35,'FCDB 2017 (full)'!$C:$C,'FCDB 2017 (full)'!$BI:$BI)*$H35/100,0)</f>
        <v>0</v>
      </c>
      <c r="BS35" s="16">
        <f ca="1">IFERROR(_xlfn.XLOOKUP($F35,'FCDB 2017 (full)'!$C:$C,'FCDB 2017 (full)'!$BJ:$BJ)*$H35/100,0)</f>
        <v>0</v>
      </c>
      <c r="BT35" s="16">
        <f ca="1">IFERROR(_xlfn.XLOOKUP($F35,'FCDB 2017 (full)'!$C:$C,'FCDB 2017 (full)'!$BK:$BK)*$H35/100,0)</f>
        <v>0</v>
      </c>
      <c r="BU35" s="16">
        <f ca="1">IFERROR(_xlfn.XLOOKUP($F35,'FCDB 2017 (full)'!$C:$C,'FCDB 2017 (full)'!$BL:$BL)*$H35/100,0)</f>
        <v>0</v>
      </c>
      <c r="BV35" s="16">
        <f ca="1">IFERROR(_xlfn.XLOOKUP($F35,'FCDB 2017 (full)'!$C:$C,'FCDB 2017 (full)'!$BM:$BM)*$H35/100,0)</f>
        <v>0</v>
      </c>
      <c r="BW35" s="16">
        <f ca="1">IFERROR(_xlfn.XLOOKUP($F35,'FCDB 2017 (full)'!$C:$C,'FCDB 2017 (full)'!$BN:$BN)*$H35/100,0)</f>
        <v>0</v>
      </c>
      <c r="BX35" s="16">
        <f ca="1">IFERROR(_xlfn.XLOOKUP($F35,'FCDB 2017 (full)'!$C:$C,'FCDB 2017 (full)'!$BO:$BO)*$H35/100,0)</f>
        <v>0</v>
      </c>
      <c r="BY35" s="16">
        <f ca="1">IFERROR(_xlfn.XLOOKUP($F35,'FCDB 2017 (full)'!$C:$C,'FCDB 2017 (full)'!$BP:$BP)*$H35/100,0)</f>
        <v>0</v>
      </c>
      <c r="BZ35" s="16">
        <f ca="1">IFERROR(_xlfn.XLOOKUP($F35,'FCDB 2017 (full)'!$C:$C,'FCDB 2017 (full)'!$BQ:$BQ)*$H35/100,0)</f>
        <v>0</v>
      </c>
      <c r="CA35" s="16">
        <f ca="1">IFERROR(_xlfn.XLOOKUP($F35,'FCDB 2017 (full)'!$C:$C,'FCDB 2017 (full)'!$BR:$BR)*$H35/100,0)</f>
        <v>0</v>
      </c>
      <c r="CB35" s="16">
        <f ca="1">IFERROR(_xlfn.XLOOKUP($F35,'FCDB 2017 (full)'!$C:$C,'FCDB 2017 (full)'!$BS:$BS)*$H35/100,0)</f>
        <v>0</v>
      </c>
      <c r="CC35" s="16">
        <f ca="1">IFERROR(_xlfn.XLOOKUP($F35,'FCDB 2017 (full)'!$C:$C,'FCDB 2017 (full)'!$BT:$BT)*$H35/100,0)</f>
        <v>0</v>
      </c>
      <c r="CD35" s="16">
        <f ca="1">IFERROR(_xlfn.XLOOKUP($F35,'FCDB 2017 (full)'!$C:$C,'FCDB 2017 (full)'!$BU:$BU)*$H35/100,0)</f>
        <v>0</v>
      </c>
      <c r="CE35" s="16">
        <f ca="1">IFERROR(_xlfn.XLOOKUP($F35,'FCDB 2017 (full)'!$C:$C,'FCDB 2017 (full)'!$BV:$BV)*$H35/100,0)</f>
        <v>0</v>
      </c>
      <c r="CF35" s="16">
        <f ca="1">IFERROR(_xlfn.XLOOKUP($F35,'FCDB 2017 (full)'!$C:$C,'FCDB 2017 (full)'!$BW:$BW)*$H35/100,0)</f>
        <v>0</v>
      </c>
      <c r="CG35" s="16">
        <f ca="1">IFERROR(_xlfn.XLOOKUP($F35,'FCDB 2017 (full)'!$C:$C,'FCDB 2017 (full)'!$BX:$BX)*$H35/100,0)</f>
        <v>0</v>
      </c>
      <c r="CH35" s="16">
        <f ca="1">IFERROR(_xlfn.XLOOKUP($F35,'FCDB 2017 (full)'!$C:$C,'FCDB 2017 (full)'!$BY:$BY)*$H35/100,0)</f>
        <v>0</v>
      </c>
      <c r="CI35" s="16">
        <f ca="1">IFERROR(_xlfn.XLOOKUP($F35,'FCDB 2017 (full)'!$C:$C,'FCDB 2017 (full)'!$BZ:$BZ)*$H35/100,0)</f>
        <v>0</v>
      </c>
      <c r="CJ35" s="16">
        <f ca="1">IFERROR(_xlfn.XLOOKUP($F35,'FCDB 2017 (full)'!$C:$C,'FCDB 2017 (full)'!$CA:$CA)*$H35/100,0)</f>
        <v>0</v>
      </c>
      <c r="CK35" s="16">
        <f ca="1">IFERROR(_xlfn.XLOOKUP($F35,'FCDB 2017 (full)'!$C:$C,'FCDB 2017 (full)'!$CB:$CB)*$H35/100,0)</f>
        <v>0</v>
      </c>
      <c r="CL35" s="16">
        <f ca="1">IFERROR(_xlfn.XLOOKUP($F35,'FCDB 2017 (full)'!$C:$C,'FCDB 2017 (full)'!$CC:$CC)*$H35/100,0)</f>
        <v>0</v>
      </c>
      <c r="CM35" s="16">
        <f ca="1">IFERROR(_xlfn.XLOOKUP($F35,'FCDB 2017 (full)'!$C:$C,'FCDB 2017 (full)'!$CD:$CD)*$H35/100,0)</f>
        <v>0</v>
      </c>
      <c r="CN35" s="16">
        <f ca="1">IFERROR(_xlfn.XLOOKUP($F35,'FCDB 2017 (full)'!$C:$C,'FCDB 2017 (full)'!$CE:$CE)*$H35/100,0)</f>
        <v>0</v>
      </c>
      <c r="CO35" s="16">
        <f ca="1">IFERROR(_xlfn.XLOOKUP($F35,'FCDB 2017 (full)'!$C:$C,'FCDB 2017 (full)'!$CF:$CF)*$H35/100,0)</f>
        <v>0</v>
      </c>
      <c r="CP35" s="16">
        <f ca="1">IFERROR(_xlfn.XLOOKUP($F35,'FCDB 2017 (full)'!$C:$C,'FCDB 2017 (full)'!$CG:$CG)*$H35/100,0)</f>
        <v>0</v>
      </c>
      <c r="CQ35" s="16">
        <f ca="1">IFERROR(_xlfn.XLOOKUP($F35,'FCDB 2017 (full)'!$C:$C,'FCDB 2017 (full)'!$CH:$CH)*$H35/100,0)</f>
        <v>0</v>
      </c>
      <c r="DA35" s="72" t="s">
        <v>948</v>
      </c>
    </row>
    <row r="36" spans="5:105" s="29" customFormat="1" ht="19.05" customHeight="1">
      <c r="F36" s="11">
        <f>IFERROR(VLOOKUP($D$9,$D:$AE,26,0),0)</f>
        <v>0</v>
      </c>
      <c r="G36" s="7" cm="1">
        <f t="array" ref="G36">IF(F36=0,0,IF(_xlfn.XLOOKUP(F36,$E$9:$AE$9,$E$10:$AE$10)=0,"Nhập ĐV/TV",_xlfn.XLOOKUP(F36,$E$9:$AE$9,$E$10:$AE$10)))</f>
        <v>0</v>
      </c>
      <c r="H36" s="8" cm="1">
        <f t="array" ref="H36">IFERROR(INDEX($E$11:$AE$11,MATCH(F36,$E$9:$AE$9,0)),0)</f>
        <v>0</v>
      </c>
      <c r="I36" s="9">
        <f ca="1">IFERROR(_xlfn.XLOOKUP($F36,'FCDB 2017 (full)'!$C:$C,'FCDB 2017 (full)'!$E:$E),0)</f>
        <v>0</v>
      </c>
      <c r="J36" s="10">
        <f t="shared" ca="1" si="1"/>
        <v>0</v>
      </c>
      <c r="K36" s="9">
        <f ca="1">IFERROR(_xlfn.XLOOKUP($F36,'FCDB 2017 (full)'!$C:$C,'FCDB 2017 (full)'!$G:$G),0)</f>
        <v>0</v>
      </c>
      <c r="L36" s="13">
        <f t="shared" si="2"/>
        <v>0</v>
      </c>
      <c r="M36" s="13">
        <f t="shared" si="3"/>
        <v>0</v>
      </c>
      <c r="N36" s="9">
        <f ca="1">IFERROR(_xlfn.XLOOKUP($F36,'FCDB 2017 (full)'!$C:$C,'FCDB 2017 (full)'!$H:$H),0)</f>
        <v>0</v>
      </c>
      <c r="O36" s="14">
        <f t="shared" si="4"/>
        <v>0</v>
      </c>
      <c r="P36" s="14">
        <f t="shared" si="5"/>
        <v>0</v>
      </c>
      <c r="Q36" s="9">
        <f ca="1">IFERROR(_xlfn.XLOOKUP($F36,'FCDB 2017 (full)'!$C:$C,'FCDB 2017 (full)'!$I:$I),0)</f>
        <v>0</v>
      </c>
      <c r="R36" s="15">
        <f t="shared" ca="1" si="6"/>
        <v>0</v>
      </c>
      <c r="S36" s="16">
        <f ca="1">IFERROR(_xlfn.XLOOKUP($F36,'FCDB 2017 (full)'!$C:$C,'FCDB 2017 (full)'!$J:$J)*$H36/100,0)</f>
        <v>0</v>
      </c>
      <c r="T36" s="16">
        <f ca="1">IFERROR(_xlfn.XLOOKUP($F36,'FCDB 2017 (full)'!$C:$C,'FCDB 2017 (full)'!$K:$K)*$H36/100,0)</f>
        <v>0</v>
      </c>
      <c r="U36" s="16">
        <f ca="1">IFERROR(_xlfn.XLOOKUP($F36,'FCDB 2017 (full)'!$C:$C,'FCDB 2017 (full)'!$L:$L)*$H36/100,0)</f>
        <v>0</v>
      </c>
      <c r="V36" s="16">
        <f ca="1">IFERROR(_xlfn.XLOOKUP($F36,'FCDB 2017 (full)'!$C:$C,'FCDB 2017 (full)'!$M:$M)*$H36/100,0)</f>
        <v>0</v>
      </c>
      <c r="W36" s="16">
        <f ca="1">IFERROR(_xlfn.XLOOKUP($F36,'FCDB 2017 (full)'!$C:$C,'FCDB 2017 (full)'!$N:$N)*$H36/100,0)</f>
        <v>0</v>
      </c>
      <c r="X36" s="16">
        <f ca="1">IFERROR(_xlfn.XLOOKUP($F36,'FCDB 2017 (full)'!$C:$C,'FCDB 2017 (full)'!$O:$O)*$H36/100,0)</f>
        <v>0</v>
      </c>
      <c r="Y36" s="16">
        <f ca="1">IFERROR(_xlfn.XLOOKUP($F36,'FCDB 2017 (full)'!$C:$C,'FCDB 2017 (full)'!$P:$P)*$H36/100,0)</f>
        <v>0</v>
      </c>
      <c r="Z36" s="16">
        <f ca="1">IFERROR(_xlfn.XLOOKUP($F36,'FCDB 2017 (full)'!$C:$C,'FCDB 2017 (full)'!$Q:$Q)*$H36/100,0)</f>
        <v>0</v>
      </c>
      <c r="AA36" s="16">
        <f ca="1">IFERROR(_xlfn.XLOOKUP($F36,'FCDB 2017 (full)'!$C:$C,'FCDB 2017 (full)'!$R:$R)*$H36/100,0)</f>
        <v>0</v>
      </c>
      <c r="AB36" s="16">
        <f ca="1">IFERROR(_xlfn.XLOOKUP($F36,'FCDB 2017 (full)'!$C:$C,'FCDB 2017 (full)'!$S:$S)*$H36/100,0)</f>
        <v>0</v>
      </c>
      <c r="AC36" s="16">
        <f ca="1">IFERROR(_xlfn.XLOOKUP($F36,'FCDB 2017 (full)'!$C:$C,'FCDB 2017 (full)'!$T:$T)*$H36/100,0)</f>
        <v>0</v>
      </c>
      <c r="AD36" s="16">
        <f ca="1">IFERROR(_xlfn.XLOOKUP($F36,'FCDB 2017 (full)'!$C:$C,'FCDB 2017 (full)'!$U:$U)*$H36/100,0)</f>
        <v>0</v>
      </c>
      <c r="AE36" s="16">
        <f ca="1">IFERROR(_xlfn.XLOOKUP($F36,'FCDB 2017 (full)'!$C:$C,'FCDB 2017 (full)'!$V:$V)*$H36/100,0)</f>
        <v>0</v>
      </c>
      <c r="AF36" s="16">
        <f ca="1">IFERROR(_xlfn.XLOOKUP($F36,'FCDB 2017 (full)'!$C:$C,'FCDB 2017 (full)'!$W:$W)*$H36/100,0)</f>
        <v>0</v>
      </c>
      <c r="AG36" s="16">
        <f ca="1">IFERROR(_xlfn.XLOOKUP($F36,'FCDB 2017 (full)'!$C:$C,'FCDB 2017 (full)'!$X:$X)*$H36/100,0)</f>
        <v>0</v>
      </c>
      <c r="AH36" s="16">
        <f ca="1">IFERROR(_xlfn.XLOOKUP($F36,'FCDB 2017 (full)'!$C:$C,'FCDB 2017 (full)'!$Y:$Y)*$H36/100,0)</f>
        <v>0</v>
      </c>
      <c r="AI36" s="16">
        <f ca="1">IFERROR(_xlfn.XLOOKUP($F36,'FCDB 2017 (full)'!$C:$C,'FCDB 2017 (full)'!$Z:$Z)*$H36/100,0)</f>
        <v>0</v>
      </c>
      <c r="AJ36" s="16">
        <f ca="1">IFERROR(_xlfn.XLOOKUP($F36,'FCDB 2017 (full)'!$C:$C,'FCDB 2017 (full)'!$AA:$AA)*$H36/100,0)</f>
        <v>0</v>
      </c>
      <c r="AK36" s="16">
        <f ca="1">IFERROR(_xlfn.XLOOKUP($F36,'FCDB 2017 (full)'!$C:$C,'FCDB 2017 (full)'!$AB:$AB)*$H36/100,0)</f>
        <v>0</v>
      </c>
      <c r="AL36" s="16">
        <f ca="1">IFERROR(_xlfn.XLOOKUP($F36,'FCDB 2017 (full)'!$C:$C,'FCDB 2017 (full)'!$AC:$AC)*$H36/100,0)</f>
        <v>0</v>
      </c>
      <c r="AM36" s="16">
        <f ca="1">IFERROR(_xlfn.XLOOKUP($F36,'FCDB 2017 (full)'!$C:$C,'FCDB 2017 (full)'!$AD:$AD)*$H36/100,0)</f>
        <v>0</v>
      </c>
      <c r="AN36" s="16">
        <f ca="1">IFERROR(_xlfn.XLOOKUP($F36,'FCDB 2017 (full)'!$C:$C,'FCDB 2017 (full)'!$AE:$AE)*$H36/100,0)</f>
        <v>0</v>
      </c>
      <c r="AO36" s="16">
        <f ca="1">IFERROR(_xlfn.XLOOKUP($F36,'FCDB 2017 (full)'!$C:$C,'FCDB 2017 (full)'!$AF:$AF)*$H36/100,0)</f>
        <v>0</v>
      </c>
      <c r="AP36" s="16">
        <f ca="1">IFERROR(_xlfn.XLOOKUP($F36,'FCDB 2017 (full)'!$C:$C,'FCDB 2017 (full)'!$AG:$AG)*$H36/100,0)</f>
        <v>0</v>
      </c>
      <c r="AQ36" s="16">
        <f ca="1">IFERROR(_xlfn.XLOOKUP($F36,'FCDB 2017 (full)'!$C:$C,'FCDB 2017 (full)'!$AH:$AH)*$H36/100,0)</f>
        <v>0</v>
      </c>
      <c r="AR36" s="16">
        <f ca="1">IFERROR(_xlfn.XLOOKUP($F36,'FCDB 2017 (full)'!$C:$C,'FCDB 2017 (full)'!$AI:$AI)*$H36/100,0)</f>
        <v>0</v>
      </c>
      <c r="AS36" s="16">
        <f ca="1">IFERROR(_xlfn.XLOOKUP($F36,'FCDB 2017 (full)'!$C:$C,'FCDB 2017 (full)'!$AJ:$AJ)*$H36/100,0)</f>
        <v>0</v>
      </c>
      <c r="AT36" s="16">
        <f ca="1">IFERROR(_xlfn.XLOOKUP($F36,'FCDB 2017 (full)'!$C:$C,'FCDB 2017 (full)'!$AK:$AK)*$H36/100,0)</f>
        <v>0</v>
      </c>
      <c r="AU36" s="16">
        <f ca="1">IFERROR(_xlfn.XLOOKUP($F36,'FCDB 2017 (full)'!$C:$C,'FCDB 2017 (full)'!$AK:$AK)*$H36/100,0)</f>
        <v>0</v>
      </c>
      <c r="AV36" s="16">
        <f ca="1">IFERROR(_xlfn.XLOOKUP($F36,'FCDB 2017 (full)'!$C:$C,'FCDB 2017 (full)'!$AM:$AM)*$H36/100,0)</f>
        <v>0</v>
      </c>
      <c r="AW36" s="16">
        <f ca="1">IFERROR(_xlfn.XLOOKUP($F36,'FCDB 2017 (full)'!$C:$C,'FCDB 2017 (full)'!$AN:$AN)*$H36/100,0)</f>
        <v>0</v>
      </c>
      <c r="AX36" s="16">
        <f ca="1">IFERROR(_xlfn.XLOOKUP($F36,'FCDB 2017 (full)'!$C:$C,'FCDB 2017 (full)'!$AO:$AO)*$H36/100,0)</f>
        <v>0</v>
      </c>
      <c r="AY36" s="16">
        <f ca="1">IFERROR(_xlfn.XLOOKUP($F36,'FCDB 2017 (full)'!$C:$C,'FCDB 2017 (full)'!$AP:$AP)*$H36/100,0)</f>
        <v>0</v>
      </c>
      <c r="AZ36" s="16">
        <f ca="1">IFERROR(_xlfn.XLOOKUP($F36,'FCDB 2017 (full)'!$C:$C,'FCDB 2017 (full)'!$AQ:$AQ)*$H36/100,0)</f>
        <v>0</v>
      </c>
      <c r="BA36" s="16">
        <f ca="1">IFERROR(_xlfn.XLOOKUP($F36,'FCDB 2017 (full)'!$C:$C,'FCDB 2017 (full)'!$AR:$AR)*$H36/100,0)</f>
        <v>0</v>
      </c>
      <c r="BB36" s="16">
        <f ca="1">IFERROR(_xlfn.XLOOKUP($F36,'FCDB 2017 (full)'!$C:$C,'FCDB 2017 (full)'!$AS:$AS)*$H36/100,0)</f>
        <v>0</v>
      </c>
      <c r="BC36" s="16">
        <f ca="1">IFERROR(_xlfn.XLOOKUP($F36,'FCDB 2017 (full)'!$C:$C,'FCDB 2017 (full)'!$AT:$AT)*$H36/100,0)</f>
        <v>0</v>
      </c>
      <c r="BD36" s="16">
        <f ca="1">IFERROR(_xlfn.XLOOKUP($F36,'FCDB 2017 (full)'!$C:$C,'FCDB 2017 (full)'!$AU:$AU)*$H36/100,0)</f>
        <v>0</v>
      </c>
      <c r="BE36" s="16">
        <f ca="1">IFERROR(_xlfn.XLOOKUP($F36,'FCDB 2017 (full)'!$C:$C,'FCDB 2017 (full)'!$AV:$AV)*$H36/100,0)</f>
        <v>0</v>
      </c>
      <c r="BF36" s="16">
        <f ca="1">IFERROR(_xlfn.XLOOKUP($F36,'FCDB 2017 (full)'!$C:$C,'FCDB 2017 (full)'!$AW:$AW)*$H36/100,0)</f>
        <v>0</v>
      </c>
      <c r="BG36" s="16">
        <f ca="1">IFERROR(_xlfn.XLOOKUP($F36,'FCDB 2017 (full)'!$C:$C,'FCDB 2017 (full)'!$AX:$AX)*$H36/100,0)</f>
        <v>0</v>
      </c>
      <c r="BH36" s="16">
        <f ca="1">IFERROR(_xlfn.XLOOKUP($F36,'FCDB 2017 (full)'!$C:$C,'FCDB 2017 (full)'!$AY:$AY)*$H36/100,0)</f>
        <v>0</v>
      </c>
      <c r="BI36" s="16">
        <f ca="1">IFERROR(_xlfn.XLOOKUP($F36,'FCDB 2017 (full)'!$C:$C,'FCDB 2017 (full)'!$AZ:$AZ)*$H36/100,0)</f>
        <v>0</v>
      </c>
      <c r="BJ36" s="16">
        <f ca="1">IFERROR(_xlfn.XLOOKUP($F36,'FCDB 2017 (full)'!$C:$C,'FCDB 2017 (full)'!$BA:$BA)*$H36/100,0)</f>
        <v>0</v>
      </c>
      <c r="BK36" s="16">
        <f ca="1">IFERROR(_xlfn.XLOOKUP($F36,'FCDB 2017 (full)'!$C:$C,'FCDB 2017 (full)'!$BB:$BB)*$H36/100,0)</f>
        <v>0</v>
      </c>
      <c r="BL36" s="16">
        <f ca="1">IFERROR(_xlfn.XLOOKUP($F36,'FCDB 2017 (full)'!$C:$C,'FCDB 2017 (full)'!$BC:$BC)*$H36/100,0)</f>
        <v>0</v>
      </c>
      <c r="BM36" s="16">
        <f ca="1">IFERROR(_xlfn.XLOOKUP($F36,'FCDB 2017 (full)'!$C:$C,'FCDB 2017 (full)'!$BD:$BD)*$H36/100,0)</f>
        <v>0</v>
      </c>
      <c r="BN36" s="16">
        <f ca="1">IFERROR(_xlfn.XLOOKUP($F36,'FCDB 2017 (full)'!$C:$C,'FCDB 2017 (full)'!$BE:$BE)*$H36/100,0)</f>
        <v>0</v>
      </c>
      <c r="BO36" s="16">
        <f ca="1">IFERROR(_xlfn.XLOOKUP($F36,'FCDB 2017 (full)'!$C:$C,'FCDB 2017 (full)'!$BF:$BF)*$H36/100,0)</f>
        <v>0</v>
      </c>
      <c r="BP36" s="16">
        <f ca="1">IFERROR(_xlfn.XLOOKUP($F36,'FCDB 2017 (full)'!$C:$C,'FCDB 2017 (full)'!$BG:$BG)*$H36/100,0)</f>
        <v>0</v>
      </c>
      <c r="BQ36" s="16">
        <f ca="1">IFERROR(_xlfn.XLOOKUP($F36,'FCDB 2017 (full)'!$C:$C,'FCDB 2017 (full)'!$BH:$BH)*$H36/100,0)</f>
        <v>0</v>
      </c>
      <c r="BR36" s="16">
        <f ca="1">IFERROR(_xlfn.XLOOKUP($F36,'FCDB 2017 (full)'!$C:$C,'FCDB 2017 (full)'!$BI:$BI)*$H36/100,0)</f>
        <v>0</v>
      </c>
      <c r="BS36" s="16">
        <f ca="1">IFERROR(_xlfn.XLOOKUP($F36,'FCDB 2017 (full)'!$C:$C,'FCDB 2017 (full)'!$BJ:$BJ)*$H36/100,0)</f>
        <v>0</v>
      </c>
      <c r="BT36" s="16">
        <f ca="1">IFERROR(_xlfn.XLOOKUP($F36,'FCDB 2017 (full)'!$C:$C,'FCDB 2017 (full)'!$BK:$BK)*$H36/100,0)</f>
        <v>0</v>
      </c>
      <c r="BU36" s="16">
        <f ca="1">IFERROR(_xlfn.XLOOKUP($F36,'FCDB 2017 (full)'!$C:$C,'FCDB 2017 (full)'!$BL:$BL)*$H36/100,0)</f>
        <v>0</v>
      </c>
      <c r="BV36" s="16">
        <f ca="1">IFERROR(_xlfn.XLOOKUP($F36,'FCDB 2017 (full)'!$C:$C,'FCDB 2017 (full)'!$BM:$BM)*$H36/100,0)</f>
        <v>0</v>
      </c>
      <c r="BW36" s="16">
        <f ca="1">IFERROR(_xlfn.XLOOKUP($F36,'FCDB 2017 (full)'!$C:$C,'FCDB 2017 (full)'!$BN:$BN)*$H36/100,0)</f>
        <v>0</v>
      </c>
      <c r="BX36" s="16">
        <f ca="1">IFERROR(_xlfn.XLOOKUP($F36,'FCDB 2017 (full)'!$C:$C,'FCDB 2017 (full)'!$BO:$BO)*$H36/100,0)</f>
        <v>0</v>
      </c>
      <c r="BY36" s="16">
        <f ca="1">IFERROR(_xlfn.XLOOKUP($F36,'FCDB 2017 (full)'!$C:$C,'FCDB 2017 (full)'!$BP:$BP)*$H36/100,0)</f>
        <v>0</v>
      </c>
      <c r="BZ36" s="16">
        <f ca="1">IFERROR(_xlfn.XLOOKUP($F36,'FCDB 2017 (full)'!$C:$C,'FCDB 2017 (full)'!$BQ:$BQ)*$H36/100,0)</f>
        <v>0</v>
      </c>
      <c r="CA36" s="16">
        <f ca="1">IFERROR(_xlfn.XLOOKUP($F36,'FCDB 2017 (full)'!$C:$C,'FCDB 2017 (full)'!$BR:$BR)*$H36/100,0)</f>
        <v>0</v>
      </c>
      <c r="CB36" s="16">
        <f ca="1">IFERROR(_xlfn.XLOOKUP($F36,'FCDB 2017 (full)'!$C:$C,'FCDB 2017 (full)'!$BS:$BS)*$H36/100,0)</f>
        <v>0</v>
      </c>
      <c r="CC36" s="16">
        <f ca="1">IFERROR(_xlfn.XLOOKUP($F36,'FCDB 2017 (full)'!$C:$C,'FCDB 2017 (full)'!$BT:$BT)*$H36/100,0)</f>
        <v>0</v>
      </c>
      <c r="CD36" s="16">
        <f ca="1">IFERROR(_xlfn.XLOOKUP($F36,'FCDB 2017 (full)'!$C:$C,'FCDB 2017 (full)'!$BU:$BU)*$H36/100,0)</f>
        <v>0</v>
      </c>
      <c r="CE36" s="16">
        <f ca="1">IFERROR(_xlfn.XLOOKUP($F36,'FCDB 2017 (full)'!$C:$C,'FCDB 2017 (full)'!$BV:$BV)*$H36/100,0)</f>
        <v>0</v>
      </c>
      <c r="CF36" s="16">
        <f ca="1">IFERROR(_xlfn.XLOOKUP($F36,'FCDB 2017 (full)'!$C:$C,'FCDB 2017 (full)'!$BW:$BW)*$H36/100,0)</f>
        <v>0</v>
      </c>
      <c r="CG36" s="16">
        <f ca="1">IFERROR(_xlfn.XLOOKUP($F36,'FCDB 2017 (full)'!$C:$C,'FCDB 2017 (full)'!$BX:$BX)*$H36/100,0)</f>
        <v>0</v>
      </c>
      <c r="CH36" s="16">
        <f ca="1">IFERROR(_xlfn.XLOOKUP($F36,'FCDB 2017 (full)'!$C:$C,'FCDB 2017 (full)'!$BY:$BY)*$H36/100,0)</f>
        <v>0</v>
      </c>
      <c r="CI36" s="16">
        <f ca="1">IFERROR(_xlfn.XLOOKUP($F36,'FCDB 2017 (full)'!$C:$C,'FCDB 2017 (full)'!$BZ:$BZ)*$H36/100,0)</f>
        <v>0</v>
      </c>
      <c r="CJ36" s="16">
        <f ca="1">IFERROR(_xlfn.XLOOKUP($F36,'FCDB 2017 (full)'!$C:$C,'FCDB 2017 (full)'!$CA:$CA)*$H36/100,0)</f>
        <v>0</v>
      </c>
      <c r="CK36" s="16">
        <f ca="1">IFERROR(_xlfn.XLOOKUP($F36,'FCDB 2017 (full)'!$C:$C,'FCDB 2017 (full)'!$CB:$CB)*$H36/100,0)</f>
        <v>0</v>
      </c>
      <c r="CL36" s="16">
        <f ca="1">IFERROR(_xlfn.XLOOKUP($F36,'FCDB 2017 (full)'!$C:$C,'FCDB 2017 (full)'!$CC:$CC)*$H36/100,0)</f>
        <v>0</v>
      </c>
      <c r="CM36" s="16">
        <f ca="1">IFERROR(_xlfn.XLOOKUP($F36,'FCDB 2017 (full)'!$C:$C,'FCDB 2017 (full)'!$CD:$CD)*$H36/100,0)</f>
        <v>0</v>
      </c>
      <c r="CN36" s="16">
        <f ca="1">IFERROR(_xlfn.XLOOKUP($F36,'FCDB 2017 (full)'!$C:$C,'FCDB 2017 (full)'!$CE:$CE)*$H36/100,0)</f>
        <v>0</v>
      </c>
      <c r="CO36" s="16">
        <f ca="1">IFERROR(_xlfn.XLOOKUP($F36,'FCDB 2017 (full)'!$C:$C,'FCDB 2017 (full)'!$CF:$CF)*$H36/100,0)</f>
        <v>0</v>
      </c>
      <c r="CP36" s="16">
        <f ca="1">IFERROR(_xlfn.XLOOKUP($F36,'FCDB 2017 (full)'!$C:$C,'FCDB 2017 (full)'!$CG:$CG)*$H36/100,0)</f>
        <v>0</v>
      </c>
      <c r="CQ36" s="16">
        <f ca="1">IFERROR(_xlfn.XLOOKUP($F36,'FCDB 2017 (full)'!$C:$C,'FCDB 2017 (full)'!$CH:$CH)*$H36/100,0)</f>
        <v>0</v>
      </c>
      <c r="DA36" s="72" t="s">
        <v>948</v>
      </c>
    </row>
    <row r="37" spans="5:105" s="29" customFormat="1" ht="19.05" customHeight="1">
      <c r="F37" s="11">
        <f>IFERROR(VLOOKUP($D$9,$D:$AE,27,0),0)</f>
        <v>0</v>
      </c>
      <c r="G37" s="7" cm="1">
        <f t="array" ref="G37">IF(F37=0,0,IF(_xlfn.XLOOKUP(F37,$E$9:$AE$9,$E$10:$AE$10)=0,"Nhập ĐV/TV",_xlfn.XLOOKUP(F37,$E$9:$AE$9,$E$10:$AE$10)))</f>
        <v>0</v>
      </c>
      <c r="H37" s="8" cm="1">
        <f t="array" ref="H37">IFERROR(INDEX($E$11:$AE$11,MATCH(F37,$E$9:$AE$9,0)),0)</f>
        <v>0</v>
      </c>
      <c r="I37" s="9">
        <f ca="1">IFERROR(_xlfn.XLOOKUP($F37,'FCDB 2017 (full)'!$C:$C,'FCDB 2017 (full)'!$E:$E),0)</f>
        <v>0</v>
      </c>
      <c r="J37" s="10">
        <f t="shared" ca="1" si="1"/>
        <v>0</v>
      </c>
      <c r="K37" s="9">
        <f ca="1">IFERROR(_xlfn.XLOOKUP($F37,'FCDB 2017 (full)'!$C:$C,'FCDB 2017 (full)'!$G:$G),0)</f>
        <v>0</v>
      </c>
      <c r="L37" s="13">
        <f t="shared" si="2"/>
        <v>0</v>
      </c>
      <c r="M37" s="13">
        <f t="shared" si="3"/>
        <v>0</v>
      </c>
      <c r="N37" s="9">
        <f ca="1">IFERROR(_xlfn.XLOOKUP($F37,'FCDB 2017 (full)'!$C:$C,'FCDB 2017 (full)'!$H:$H),0)</f>
        <v>0</v>
      </c>
      <c r="O37" s="14">
        <f t="shared" si="4"/>
        <v>0</v>
      </c>
      <c r="P37" s="14">
        <f t="shared" si="5"/>
        <v>0</v>
      </c>
      <c r="Q37" s="9">
        <f ca="1">IFERROR(_xlfn.XLOOKUP($F37,'FCDB 2017 (full)'!$C:$C,'FCDB 2017 (full)'!$I:$I),0)</f>
        <v>0</v>
      </c>
      <c r="R37" s="15">
        <f t="shared" ca="1" si="6"/>
        <v>0</v>
      </c>
      <c r="S37" s="16">
        <f ca="1">IFERROR(_xlfn.XLOOKUP($F37,'FCDB 2017 (full)'!$C:$C,'FCDB 2017 (full)'!$J:$J)*$H37/100,0)</f>
        <v>0</v>
      </c>
      <c r="T37" s="16">
        <f ca="1">IFERROR(_xlfn.XLOOKUP($F37,'FCDB 2017 (full)'!$C:$C,'FCDB 2017 (full)'!$K:$K)*$H37/100,0)</f>
        <v>0</v>
      </c>
      <c r="U37" s="16">
        <f ca="1">IFERROR(_xlfn.XLOOKUP($F37,'FCDB 2017 (full)'!$C:$C,'FCDB 2017 (full)'!$L:$L)*$H37/100,0)</f>
        <v>0</v>
      </c>
      <c r="V37" s="16">
        <f ca="1">IFERROR(_xlfn.XLOOKUP($F37,'FCDB 2017 (full)'!$C:$C,'FCDB 2017 (full)'!$M:$M)*$H37/100,0)</f>
        <v>0</v>
      </c>
      <c r="W37" s="16">
        <f ca="1">IFERROR(_xlfn.XLOOKUP($F37,'FCDB 2017 (full)'!$C:$C,'FCDB 2017 (full)'!$N:$N)*$H37/100,0)</f>
        <v>0</v>
      </c>
      <c r="X37" s="16">
        <f ca="1">IFERROR(_xlfn.XLOOKUP($F37,'FCDB 2017 (full)'!$C:$C,'FCDB 2017 (full)'!$O:$O)*$H37/100,0)</f>
        <v>0</v>
      </c>
      <c r="Y37" s="16">
        <f ca="1">IFERROR(_xlfn.XLOOKUP($F37,'FCDB 2017 (full)'!$C:$C,'FCDB 2017 (full)'!$P:$P)*$H37/100,0)</f>
        <v>0</v>
      </c>
      <c r="Z37" s="16">
        <f ca="1">IFERROR(_xlfn.XLOOKUP($F37,'FCDB 2017 (full)'!$C:$C,'FCDB 2017 (full)'!$Q:$Q)*$H37/100,0)</f>
        <v>0</v>
      </c>
      <c r="AA37" s="16">
        <f ca="1">IFERROR(_xlfn.XLOOKUP($F37,'FCDB 2017 (full)'!$C:$C,'FCDB 2017 (full)'!$R:$R)*$H37/100,0)</f>
        <v>0</v>
      </c>
      <c r="AB37" s="16">
        <f ca="1">IFERROR(_xlfn.XLOOKUP($F37,'FCDB 2017 (full)'!$C:$C,'FCDB 2017 (full)'!$S:$S)*$H37/100,0)</f>
        <v>0</v>
      </c>
      <c r="AC37" s="16">
        <f ca="1">IFERROR(_xlfn.XLOOKUP($F37,'FCDB 2017 (full)'!$C:$C,'FCDB 2017 (full)'!$T:$T)*$H37/100,0)</f>
        <v>0</v>
      </c>
      <c r="AD37" s="16">
        <f ca="1">IFERROR(_xlfn.XLOOKUP($F37,'FCDB 2017 (full)'!$C:$C,'FCDB 2017 (full)'!$U:$U)*$H37/100,0)</f>
        <v>0</v>
      </c>
      <c r="AE37" s="16">
        <f ca="1">IFERROR(_xlfn.XLOOKUP($F37,'FCDB 2017 (full)'!$C:$C,'FCDB 2017 (full)'!$V:$V)*$H37/100,0)</f>
        <v>0</v>
      </c>
      <c r="AF37" s="16">
        <f ca="1">IFERROR(_xlfn.XLOOKUP($F37,'FCDB 2017 (full)'!$C:$C,'FCDB 2017 (full)'!$W:$W)*$H37/100,0)</f>
        <v>0</v>
      </c>
      <c r="AG37" s="16">
        <f ca="1">IFERROR(_xlfn.XLOOKUP($F37,'FCDB 2017 (full)'!$C:$C,'FCDB 2017 (full)'!$X:$X)*$H37/100,0)</f>
        <v>0</v>
      </c>
      <c r="AH37" s="16">
        <f ca="1">IFERROR(_xlfn.XLOOKUP($F37,'FCDB 2017 (full)'!$C:$C,'FCDB 2017 (full)'!$Y:$Y)*$H37/100,0)</f>
        <v>0</v>
      </c>
      <c r="AI37" s="16">
        <f ca="1">IFERROR(_xlfn.XLOOKUP($F37,'FCDB 2017 (full)'!$C:$C,'FCDB 2017 (full)'!$Z:$Z)*$H37/100,0)</f>
        <v>0</v>
      </c>
      <c r="AJ37" s="16">
        <f ca="1">IFERROR(_xlfn.XLOOKUP($F37,'FCDB 2017 (full)'!$C:$C,'FCDB 2017 (full)'!$AA:$AA)*$H37/100,0)</f>
        <v>0</v>
      </c>
      <c r="AK37" s="16">
        <f ca="1">IFERROR(_xlfn.XLOOKUP($F37,'FCDB 2017 (full)'!$C:$C,'FCDB 2017 (full)'!$AB:$AB)*$H37/100,0)</f>
        <v>0</v>
      </c>
      <c r="AL37" s="16">
        <f ca="1">IFERROR(_xlfn.XLOOKUP($F37,'FCDB 2017 (full)'!$C:$C,'FCDB 2017 (full)'!$AC:$AC)*$H37/100,0)</f>
        <v>0</v>
      </c>
      <c r="AM37" s="16">
        <f ca="1">IFERROR(_xlfn.XLOOKUP($F37,'FCDB 2017 (full)'!$C:$C,'FCDB 2017 (full)'!$AD:$AD)*$H37/100,0)</f>
        <v>0</v>
      </c>
      <c r="AN37" s="16">
        <f ca="1">IFERROR(_xlfn.XLOOKUP($F37,'FCDB 2017 (full)'!$C:$C,'FCDB 2017 (full)'!$AE:$AE)*$H37/100,0)</f>
        <v>0</v>
      </c>
      <c r="AO37" s="16">
        <f ca="1">IFERROR(_xlfn.XLOOKUP($F37,'FCDB 2017 (full)'!$C:$C,'FCDB 2017 (full)'!$AF:$AF)*$H37/100,0)</f>
        <v>0</v>
      </c>
      <c r="AP37" s="16">
        <f ca="1">IFERROR(_xlfn.XLOOKUP($F37,'FCDB 2017 (full)'!$C:$C,'FCDB 2017 (full)'!$AG:$AG)*$H37/100,0)</f>
        <v>0</v>
      </c>
      <c r="AQ37" s="16">
        <f ca="1">IFERROR(_xlfn.XLOOKUP($F37,'FCDB 2017 (full)'!$C:$C,'FCDB 2017 (full)'!$AH:$AH)*$H37/100,0)</f>
        <v>0</v>
      </c>
      <c r="AR37" s="16">
        <f ca="1">IFERROR(_xlfn.XLOOKUP($F37,'FCDB 2017 (full)'!$C:$C,'FCDB 2017 (full)'!$AI:$AI)*$H37/100,0)</f>
        <v>0</v>
      </c>
      <c r="AS37" s="16">
        <f ca="1">IFERROR(_xlfn.XLOOKUP($F37,'FCDB 2017 (full)'!$C:$C,'FCDB 2017 (full)'!$AJ:$AJ)*$H37/100,0)</f>
        <v>0</v>
      </c>
      <c r="AT37" s="16">
        <f ca="1">IFERROR(_xlfn.XLOOKUP($F37,'FCDB 2017 (full)'!$C:$C,'FCDB 2017 (full)'!$AK:$AK)*$H37/100,0)</f>
        <v>0</v>
      </c>
      <c r="AU37" s="16">
        <f ca="1">IFERROR(_xlfn.XLOOKUP($F37,'FCDB 2017 (full)'!$C:$C,'FCDB 2017 (full)'!$AK:$AK)*$H37/100,0)</f>
        <v>0</v>
      </c>
      <c r="AV37" s="16">
        <f ca="1">IFERROR(_xlfn.XLOOKUP($F37,'FCDB 2017 (full)'!$C:$C,'FCDB 2017 (full)'!$AM:$AM)*$H37/100,0)</f>
        <v>0</v>
      </c>
      <c r="AW37" s="16">
        <f ca="1">IFERROR(_xlfn.XLOOKUP($F37,'FCDB 2017 (full)'!$C:$C,'FCDB 2017 (full)'!$AN:$AN)*$H37/100,0)</f>
        <v>0</v>
      </c>
      <c r="AX37" s="16">
        <f ca="1">IFERROR(_xlfn.XLOOKUP($F37,'FCDB 2017 (full)'!$C:$C,'FCDB 2017 (full)'!$AO:$AO)*$H37/100,0)</f>
        <v>0</v>
      </c>
      <c r="AY37" s="16">
        <f ca="1">IFERROR(_xlfn.XLOOKUP($F37,'FCDB 2017 (full)'!$C:$C,'FCDB 2017 (full)'!$AP:$AP)*$H37/100,0)</f>
        <v>0</v>
      </c>
      <c r="AZ37" s="16">
        <f ca="1">IFERROR(_xlfn.XLOOKUP($F37,'FCDB 2017 (full)'!$C:$C,'FCDB 2017 (full)'!$AQ:$AQ)*$H37/100,0)</f>
        <v>0</v>
      </c>
      <c r="BA37" s="16">
        <f ca="1">IFERROR(_xlfn.XLOOKUP($F37,'FCDB 2017 (full)'!$C:$C,'FCDB 2017 (full)'!$AR:$AR)*$H37/100,0)</f>
        <v>0</v>
      </c>
      <c r="BB37" s="16">
        <f ca="1">IFERROR(_xlfn.XLOOKUP($F37,'FCDB 2017 (full)'!$C:$C,'FCDB 2017 (full)'!$AS:$AS)*$H37/100,0)</f>
        <v>0</v>
      </c>
      <c r="BC37" s="16">
        <f ca="1">IFERROR(_xlfn.XLOOKUP($F37,'FCDB 2017 (full)'!$C:$C,'FCDB 2017 (full)'!$AT:$AT)*$H37/100,0)</f>
        <v>0</v>
      </c>
      <c r="BD37" s="16">
        <f ca="1">IFERROR(_xlfn.XLOOKUP($F37,'FCDB 2017 (full)'!$C:$C,'FCDB 2017 (full)'!$AU:$AU)*$H37/100,0)</f>
        <v>0</v>
      </c>
      <c r="BE37" s="16">
        <f ca="1">IFERROR(_xlfn.XLOOKUP($F37,'FCDB 2017 (full)'!$C:$C,'FCDB 2017 (full)'!$AV:$AV)*$H37/100,0)</f>
        <v>0</v>
      </c>
      <c r="BF37" s="16">
        <f ca="1">IFERROR(_xlfn.XLOOKUP($F37,'FCDB 2017 (full)'!$C:$C,'FCDB 2017 (full)'!$AW:$AW)*$H37/100,0)</f>
        <v>0</v>
      </c>
      <c r="BG37" s="16">
        <f ca="1">IFERROR(_xlfn.XLOOKUP($F37,'FCDB 2017 (full)'!$C:$C,'FCDB 2017 (full)'!$AX:$AX)*$H37/100,0)</f>
        <v>0</v>
      </c>
      <c r="BH37" s="16">
        <f ca="1">IFERROR(_xlfn.XLOOKUP($F37,'FCDB 2017 (full)'!$C:$C,'FCDB 2017 (full)'!$AY:$AY)*$H37/100,0)</f>
        <v>0</v>
      </c>
      <c r="BI37" s="16">
        <f ca="1">IFERROR(_xlfn.XLOOKUP($F37,'FCDB 2017 (full)'!$C:$C,'FCDB 2017 (full)'!$AZ:$AZ)*$H37/100,0)</f>
        <v>0</v>
      </c>
      <c r="BJ37" s="16">
        <f ca="1">IFERROR(_xlfn.XLOOKUP($F37,'FCDB 2017 (full)'!$C:$C,'FCDB 2017 (full)'!$BA:$BA)*$H37/100,0)</f>
        <v>0</v>
      </c>
      <c r="BK37" s="16">
        <f ca="1">IFERROR(_xlfn.XLOOKUP($F37,'FCDB 2017 (full)'!$C:$C,'FCDB 2017 (full)'!$BB:$BB)*$H37/100,0)</f>
        <v>0</v>
      </c>
      <c r="BL37" s="16">
        <f ca="1">IFERROR(_xlfn.XLOOKUP($F37,'FCDB 2017 (full)'!$C:$C,'FCDB 2017 (full)'!$BC:$BC)*$H37/100,0)</f>
        <v>0</v>
      </c>
      <c r="BM37" s="16">
        <f ca="1">IFERROR(_xlfn.XLOOKUP($F37,'FCDB 2017 (full)'!$C:$C,'FCDB 2017 (full)'!$BD:$BD)*$H37/100,0)</f>
        <v>0</v>
      </c>
      <c r="BN37" s="16">
        <f ca="1">IFERROR(_xlfn.XLOOKUP($F37,'FCDB 2017 (full)'!$C:$C,'FCDB 2017 (full)'!$BE:$BE)*$H37/100,0)</f>
        <v>0</v>
      </c>
      <c r="BO37" s="16">
        <f ca="1">IFERROR(_xlfn.XLOOKUP($F37,'FCDB 2017 (full)'!$C:$C,'FCDB 2017 (full)'!$BF:$BF)*$H37/100,0)</f>
        <v>0</v>
      </c>
      <c r="BP37" s="16">
        <f ca="1">IFERROR(_xlfn.XLOOKUP($F37,'FCDB 2017 (full)'!$C:$C,'FCDB 2017 (full)'!$BG:$BG)*$H37/100,0)</f>
        <v>0</v>
      </c>
      <c r="BQ37" s="16">
        <f ca="1">IFERROR(_xlfn.XLOOKUP($F37,'FCDB 2017 (full)'!$C:$C,'FCDB 2017 (full)'!$BH:$BH)*$H37/100,0)</f>
        <v>0</v>
      </c>
      <c r="BR37" s="16">
        <f ca="1">IFERROR(_xlfn.XLOOKUP($F37,'FCDB 2017 (full)'!$C:$C,'FCDB 2017 (full)'!$BI:$BI)*$H37/100,0)</f>
        <v>0</v>
      </c>
      <c r="BS37" s="16">
        <f ca="1">IFERROR(_xlfn.XLOOKUP($F37,'FCDB 2017 (full)'!$C:$C,'FCDB 2017 (full)'!$BJ:$BJ)*$H37/100,0)</f>
        <v>0</v>
      </c>
      <c r="BT37" s="16">
        <f ca="1">IFERROR(_xlfn.XLOOKUP($F37,'FCDB 2017 (full)'!$C:$C,'FCDB 2017 (full)'!$BK:$BK)*$H37/100,0)</f>
        <v>0</v>
      </c>
      <c r="BU37" s="16">
        <f ca="1">IFERROR(_xlfn.XLOOKUP($F37,'FCDB 2017 (full)'!$C:$C,'FCDB 2017 (full)'!$BL:$BL)*$H37/100,0)</f>
        <v>0</v>
      </c>
      <c r="BV37" s="16">
        <f ca="1">IFERROR(_xlfn.XLOOKUP($F37,'FCDB 2017 (full)'!$C:$C,'FCDB 2017 (full)'!$BM:$BM)*$H37/100,0)</f>
        <v>0</v>
      </c>
      <c r="BW37" s="16">
        <f ca="1">IFERROR(_xlfn.XLOOKUP($F37,'FCDB 2017 (full)'!$C:$C,'FCDB 2017 (full)'!$BN:$BN)*$H37/100,0)</f>
        <v>0</v>
      </c>
      <c r="BX37" s="16">
        <f ca="1">IFERROR(_xlfn.XLOOKUP($F37,'FCDB 2017 (full)'!$C:$C,'FCDB 2017 (full)'!$BO:$BO)*$H37/100,0)</f>
        <v>0</v>
      </c>
      <c r="BY37" s="16">
        <f ca="1">IFERROR(_xlfn.XLOOKUP($F37,'FCDB 2017 (full)'!$C:$C,'FCDB 2017 (full)'!$BP:$BP)*$H37/100,0)</f>
        <v>0</v>
      </c>
      <c r="BZ37" s="16">
        <f ca="1">IFERROR(_xlfn.XLOOKUP($F37,'FCDB 2017 (full)'!$C:$C,'FCDB 2017 (full)'!$BQ:$BQ)*$H37/100,0)</f>
        <v>0</v>
      </c>
      <c r="CA37" s="16">
        <f ca="1">IFERROR(_xlfn.XLOOKUP($F37,'FCDB 2017 (full)'!$C:$C,'FCDB 2017 (full)'!$BR:$BR)*$H37/100,0)</f>
        <v>0</v>
      </c>
      <c r="CB37" s="16">
        <f ca="1">IFERROR(_xlfn.XLOOKUP($F37,'FCDB 2017 (full)'!$C:$C,'FCDB 2017 (full)'!$BS:$BS)*$H37/100,0)</f>
        <v>0</v>
      </c>
      <c r="CC37" s="16">
        <f ca="1">IFERROR(_xlfn.XLOOKUP($F37,'FCDB 2017 (full)'!$C:$C,'FCDB 2017 (full)'!$BT:$BT)*$H37/100,0)</f>
        <v>0</v>
      </c>
      <c r="CD37" s="16">
        <f ca="1">IFERROR(_xlfn.XLOOKUP($F37,'FCDB 2017 (full)'!$C:$C,'FCDB 2017 (full)'!$BU:$BU)*$H37/100,0)</f>
        <v>0</v>
      </c>
      <c r="CE37" s="16">
        <f ca="1">IFERROR(_xlfn.XLOOKUP($F37,'FCDB 2017 (full)'!$C:$C,'FCDB 2017 (full)'!$BV:$BV)*$H37/100,0)</f>
        <v>0</v>
      </c>
      <c r="CF37" s="16">
        <f ca="1">IFERROR(_xlfn.XLOOKUP($F37,'FCDB 2017 (full)'!$C:$C,'FCDB 2017 (full)'!$BW:$BW)*$H37/100,0)</f>
        <v>0</v>
      </c>
      <c r="CG37" s="16">
        <f ca="1">IFERROR(_xlfn.XLOOKUP($F37,'FCDB 2017 (full)'!$C:$C,'FCDB 2017 (full)'!$BX:$BX)*$H37/100,0)</f>
        <v>0</v>
      </c>
      <c r="CH37" s="16">
        <f ca="1">IFERROR(_xlfn.XLOOKUP($F37,'FCDB 2017 (full)'!$C:$C,'FCDB 2017 (full)'!$BY:$BY)*$H37/100,0)</f>
        <v>0</v>
      </c>
      <c r="CI37" s="16">
        <f ca="1">IFERROR(_xlfn.XLOOKUP($F37,'FCDB 2017 (full)'!$C:$C,'FCDB 2017 (full)'!$BZ:$BZ)*$H37/100,0)</f>
        <v>0</v>
      </c>
      <c r="CJ37" s="16">
        <f ca="1">IFERROR(_xlfn.XLOOKUP($F37,'FCDB 2017 (full)'!$C:$C,'FCDB 2017 (full)'!$CA:$CA)*$H37/100,0)</f>
        <v>0</v>
      </c>
      <c r="CK37" s="16">
        <f ca="1">IFERROR(_xlfn.XLOOKUP($F37,'FCDB 2017 (full)'!$C:$C,'FCDB 2017 (full)'!$CB:$CB)*$H37/100,0)</f>
        <v>0</v>
      </c>
      <c r="CL37" s="16">
        <f ca="1">IFERROR(_xlfn.XLOOKUP($F37,'FCDB 2017 (full)'!$C:$C,'FCDB 2017 (full)'!$CC:$CC)*$H37/100,0)</f>
        <v>0</v>
      </c>
      <c r="CM37" s="16">
        <f ca="1">IFERROR(_xlfn.XLOOKUP($F37,'FCDB 2017 (full)'!$C:$C,'FCDB 2017 (full)'!$CD:$CD)*$H37/100,0)</f>
        <v>0</v>
      </c>
      <c r="CN37" s="16">
        <f ca="1">IFERROR(_xlfn.XLOOKUP($F37,'FCDB 2017 (full)'!$C:$C,'FCDB 2017 (full)'!$CE:$CE)*$H37/100,0)</f>
        <v>0</v>
      </c>
      <c r="CO37" s="16">
        <f ca="1">IFERROR(_xlfn.XLOOKUP($F37,'FCDB 2017 (full)'!$C:$C,'FCDB 2017 (full)'!$CF:$CF)*$H37/100,0)</f>
        <v>0</v>
      </c>
      <c r="CP37" s="16">
        <f ca="1">IFERROR(_xlfn.XLOOKUP($F37,'FCDB 2017 (full)'!$C:$C,'FCDB 2017 (full)'!$CG:$CG)*$H37/100,0)</f>
        <v>0</v>
      </c>
      <c r="CQ37" s="16">
        <f ca="1">IFERROR(_xlfn.XLOOKUP($F37,'FCDB 2017 (full)'!$C:$C,'FCDB 2017 (full)'!$CH:$CH)*$H37/100,0)</f>
        <v>0</v>
      </c>
      <c r="DA37" s="72" t="s">
        <v>948</v>
      </c>
    </row>
    <row r="38" spans="5:105" s="29" customFormat="1" ht="19.05" customHeight="1">
      <c r="F38" s="11">
        <f>IFERROR(VLOOKUP($D$9,$D:$AE,28,0),0)</f>
        <v>0</v>
      </c>
      <c r="G38" s="7" cm="1">
        <f t="array" ref="G38">IF(F38=0,0,IF(_xlfn.XLOOKUP(F38,$E$9:$AE$9,$E$10:$AE$10)=0,"Nhập ĐV/TV",_xlfn.XLOOKUP(F38,$E$9:$AE$9,$E$10:$AE$10)))</f>
        <v>0</v>
      </c>
      <c r="H38" s="8" cm="1">
        <f t="array" ref="H38">IFERROR(INDEX($E$11:$AE$11,MATCH(F38,$E$9:$AE$9,0)),0)</f>
        <v>0</v>
      </c>
      <c r="I38" s="9">
        <f ca="1">IFERROR(_xlfn.XLOOKUP($F38,'FCDB 2017 (full)'!$C:$C,'FCDB 2017 (full)'!$E:$E),0)</f>
        <v>0</v>
      </c>
      <c r="J38" s="10">
        <f t="shared" ca="1" si="1"/>
        <v>0</v>
      </c>
      <c r="K38" s="9">
        <f ca="1">IFERROR(_xlfn.XLOOKUP($F38,'FCDB 2017 (full)'!$C:$C,'FCDB 2017 (full)'!$G:$G),0)</f>
        <v>0</v>
      </c>
      <c r="L38" s="13">
        <f t="shared" si="2"/>
        <v>0</v>
      </c>
      <c r="M38" s="13">
        <f t="shared" si="3"/>
        <v>0</v>
      </c>
      <c r="N38" s="9">
        <f ca="1">IFERROR(_xlfn.XLOOKUP($F38,'FCDB 2017 (full)'!$C:$C,'FCDB 2017 (full)'!$H:$H),0)</f>
        <v>0</v>
      </c>
      <c r="O38" s="14">
        <f t="shared" si="4"/>
        <v>0</v>
      </c>
      <c r="P38" s="14">
        <f t="shared" si="5"/>
        <v>0</v>
      </c>
      <c r="Q38" s="9">
        <f ca="1">IFERROR(_xlfn.XLOOKUP($F38,'FCDB 2017 (full)'!$C:$C,'FCDB 2017 (full)'!$I:$I),0)</f>
        <v>0</v>
      </c>
      <c r="R38" s="15">
        <f t="shared" ca="1" si="6"/>
        <v>0</v>
      </c>
      <c r="S38" s="16">
        <f ca="1">IFERROR(_xlfn.XLOOKUP($F38,'FCDB 2017 (full)'!$C:$C,'FCDB 2017 (full)'!$J:$J)*$H38/100,0)</f>
        <v>0</v>
      </c>
      <c r="T38" s="16">
        <f ca="1">IFERROR(_xlfn.XLOOKUP($F38,'FCDB 2017 (full)'!$C:$C,'FCDB 2017 (full)'!$K:$K)*$H38/100,0)</f>
        <v>0</v>
      </c>
      <c r="U38" s="16">
        <f ca="1">IFERROR(_xlfn.XLOOKUP($F38,'FCDB 2017 (full)'!$C:$C,'FCDB 2017 (full)'!$L:$L)*$H38/100,0)</f>
        <v>0</v>
      </c>
      <c r="V38" s="16">
        <f ca="1">IFERROR(_xlfn.XLOOKUP($F38,'FCDB 2017 (full)'!$C:$C,'FCDB 2017 (full)'!$M:$M)*$H38/100,0)</f>
        <v>0</v>
      </c>
      <c r="W38" s="16">
        <f ca="1">IFERROR(_xlfn.XLOOKUP($F38,'FCDB 2017 (full)'!$C:$C,'FCDB 2017 (full)'!$N:$N)*$H38/100,0)</f>
        <v>0</v>
      </c>
      <c r="X38" s="16">
        <f ca="1">IFERROR(_xlfn.XLOOKUP($F38,'FCDB 2017 (full)'!$C:$C,'FCDB 2017 (full)'!$O:$O)*$H38/100,0)</f>
        <v>0</v>
      </c>
      <c r="Y38" s="16">
        <f ca="1">IFERROR(_xlfn.XLOOKUP($F38,'FCDB 2017 (full)'!$C:$C,'FCDB 2017 (full)'!$P:$P)*$H38/100,0)</f>
        <v>0</v>
      </c>
      <c r="Z38" s="16">
        <f ca="1">IFERROR(_xlfn.XLOOKUP($F38,'FCDB 2017 (full)'!$C:$C,'FCDB 2017 (full)'!$Q:$Q)*$H38/100,0)</f>
        <v>0</v>
      </c>
      <c r="AA38" s="16">
        <f ca="1">IFERROR(_xlfn.XLOOKUP($F38,'FCDB 2017 (full)'!$C:$C,'FCDB 2017 (full)'!$R:$R)*$H38/100,0)</f>
        <v>0</v>
      </c>
      <c r="AB38" s="16">
        <f ca="1">IFERROR(_xlfn.XLOOKUP($F38,'FCDB 2017 (full)'!$C:$C,'FCDB 2017 (full)'!$S:$S)*$H38/100,0)</f>
        <v>0</v>
      </c>
      <c r="AC38" s="16">
        <f ca="1">IFERROR(_xlfn.XLOOKUP($F38,'FCDB 2017 (full)'!$C:$C,'FCDB 2017 (full)'!$T:$T)*$H38/100,0)</f>
        <v>0</v>
      </c>
      <c r="AD38" s="16">
        <f ca="1">IFERROR(_xlfn.XLOOKUP($F38,'FCDB 2017 (full)'!$C:$C,'FCDB 2017 (full)'!$U:$U)*$H38/100,0)</f>
        <v>0</v>
      </c>
      <c r="AE38" s="16">
        <f ca="1">IFERROR(_xlfn.XLOOKUP($F38,'FCDB 2017 (full)'!$C:$C,'FCDB 2017 (full)'!$V:$V)*$H38/100,0)</f>
        <v>0</v>
      </c>
      <c r="AF38" s="16">
        <f ca="1">IFERROR(_xlfn.XLOOKUP($F38,'FCDB 2017 (full)'!$C:$C,'FCDB 2017 (full)'!$W:$W)*$H38/100,0)</f>
        <v>0</v>
      </c>
      <c r="AG38" s="16">
        <f ca="1">IFERROR(_xlfn.XLOOKUP($F38,'FCDB 2017 (full)'!$C:$C,'FCDB 2017 (full)'!$X:$X)*$H38/100,0)</f>
        <v>0</v>
      </c>
      <c r="AH38" s="16">
        <f ca="1">IFERROR(_xlfn.XLOOKUP($F38,'FCDB 2017 (full)'!$C:$C,'FCDB 2017 (full)'!$Y:$Y)*$H38/100,0)</f>
        <v>0</v>
      </c>
      <c r="AI38" s="16">
        <f ca="1">IFERROR(_xlfn.XLOOKUP($F38,'FCDB 2017 (full)'!$C:$C,'FCDB 2017 (full)'!$Z:$Z)*$H38/100,0)</f>
        <v>0</v>
      </c>
      <c r="AJ38" s="16">
        <f ca="1">IFERROR(_xlfn.XLOOKUP($F38,'FCDB 2017 (full)'!$C:$C,'FCDB 2017 (full)'!$AA:$AA)*$H38/100,0)</f>
        <v>0</v>
      </c>
      <c r="AK38" s="16">
        <f ca="1">IFERROR(_xlfn.XLOOKUP($F38,'FCDB 2017 (full)'!$C:$C,'FCDB 2017 (full)'!$AB:$AB)*$H38/100,0)</f>
        <v>0</v>
      </c>
      <c r="AL38" s="16">
        <f ca="1">IFERROR(_xlfn.XLOOKUP($F38,'FCDB 2017 (full)'!$C:$C,'FCDB 2017 (full)'!$AC:$AC)*$H38/100,0)</f>
        <v>0</v>
      </c>
      <c r="AM38" s="16">
        <f ca="1">IFERROR(_xlfn.XLOOKUP($F38,'FCDB 2017 (full)'!$C:$C,'FCDB 2017 (full)'!$AD:$AD)*$H38/100,0)</f>
        <v>0</v>
      </c>
      <c r="AN38" s="16">
        <f ca="1">IFERROR(_xlfn.XLOOKUP($F38,'FCDB 2017 (full)'!$C:$C,'FCDB 2017 (full)'!$AE:$AE)*$H38/100,0)</f>
        <v>0</v>
      </c>
      <c r="AO38" s="16">
        <f ca="1">IFERROR(_xlfn.XLOOKUP($F38,'FCDB 2017 (full)'!$C:$C,'FCDB 2017 (full)'!$AF:$AF)*$H38/100,0)</f>
        <v>0</v>
      </c>
      <c r="AP38" s="16">
        <f ca="1">IFERROR(_xlfn.XLOOKUP($F38,'FCDB 2017 (full)'!$C:$C,'FCDB 2017 (full)'!$AG:$AG)*$H38/100,0)</f>
        <v>0</v>
      </c>
      <c r="AQ38" s="16">
        <f ca="1">IFERROR(_xlfn.XLOOKUP($F38,'FCDB 2017 (full)'!$C:$C,'FCDB 2017 (full)'!$AH:$AH)*$H38/100,0)</f>
        <v>0</v>
      </c>
      <c r="AR38" s="16">
        <f ca="1">IFERROR(_xlfn.XLOOKUP($F38,'FCDB 2017 (full)'!$C:$C,'FCDB 2017 (full)'!$AI:$AI)*$H38/100,0)</f>
        <v>0</v>
      </c>
      <c r="AS38" s="16">
        <f ca="1">IFERROR(_xlfn.XLOOKUP($F38,'FCDB 2017 (full)'!$C:$C,'FCDB 2017 (full)'!$AJ:$AJ)*$H38/100,0)</f>
        <v>0</v>
      </c>
      <c r="AT38" s="16">
        <f ca="1">IFERROR(_xlfn.XLOOKUP($F38,'FCDB 2017 (full)'!$C:$C,'FCDB 2017 (full)'!$AK:$AK)*$H38/100,0)</f>
        <v>0</v>
      </c>
      <c r="AU38" s="16">
        <f ca="1">IFERROR(_xlfn.XLOOKUP($F38,'FCDB 2017 (full)'!$C:$C,'FCDB 2017 (full)'!$AK:$AK)*$H38/100,0)</f>
        <v>0</v>
      </c>
      <c r="AV38" s="16">
        <f ca="1">IFERROR(_xlfn.XLOOKUP($F38,'FCDB 2017 (full)'!$C:$C,'FCDB 2017 (full)'!$AM:$AM)*$H38/100,0)</f>
        <v>0</v>
      </c>
      <c r="AW38" s="16">
        <f ca="1">IFERROR(_xlfn.XLOOKUP($F38,'FCDB 2017 (full)'!$C:$C,'FCDB 2017 (full)'!$AN:$AN)*$H38/100,0)</f>
        <v>0</v>
      </c>
      <c r="AX38" s="16">
        <f ca="1">IFERROR(_xlfn.XLOOKUP($F38,'FCDB 2017 (full)'!$C:$C,'FCDB 2017 (full)'!$AO:$AO)*$H38/100,0)</f>
        <v>0</v>
      </c>
      <c r="AY38" s="16">
        <f ca="1">IFERROR(_xlfn.XLOOKUP($F38,'FCDB 2017 (full)'!$C:$C,'FCDB 2017 (full)'!$AP:$AP)*$H38/100,0)</f>
        <v>0</v>
      </c>
      <c r="AZ38" s="16">
        <f ca="1">IFERROR(_xlfn.XLOOKUP($F38,'FCDB 2017 (full)'!$C:$C,'FCDB 2017 (full)'!$AQ:$AQ)*$H38/100,0)</f>
        <v>0</v>
      </c>
      <c r="BA38" s="16">
        <f ca="1">IFERROR(_xlfn.XLOOKUP($F38,'FCDB 2017 (full)'!$C:$C,'FCDB 2017 (full)'!$AR:$AR)*$H38/100,0)</f>
        <v>0</v>
      </c>
      <c r="BB38" s="16">
        <f ca="1">IFERROR(_xlfn.XLOOKUP($F38,'FCDB 2017 (full)'!$C:$C,'FCDB 2017 (full)'!$AS:$AS)*$H38/100,0)</f>
        <v>0</v>
      </c>
      <c r="BC38" s="16">
        <f ca="1">IFERROR(_xlfn.XLOOKUP($F38,'FCDB 2017 (full)'!$C:$C,'FCDB 2017 (full)'!$AT:$AT)*$H38/100,0)</f>
        <v>0</v>
      </c>
      <c r="BD38" s="16">
        <f ca="1">IFERROR(_xlfn.XLOOKUP($F38,'FCDB 2017 (full)'!$C:$C,'FCDB 2017 (full)'!$AU:$AU)*$H38/100,0)</f>
        <v>0</v>
      </c>
      <c r="BE38" s="16">
        <f ca="1">IFERROR(_xlfn.XLOOKUP($F38,'FCDB 2017 (full)'!$C:$C,'FCDB 2017 (full)'!$AV:$AV)*$H38/100,0)</f>
        <v>0</v>
      </c>
      <c r="BF38" s="16">
        <f ca="1">IFERROR(_xlfn.XLOOKUP($F38,'FCDB 2017 (full)'!$C:$C,'FCDB 2017 (full)'!$AW:$AW)*$H38/100,0)</f>
        <v>0</v>
      </c>
      <c r="BG38" s="16">
        <f ca="1">IFERROR(_xlfn.XLOOKUP($F38,'FCDB 2017 (full)'!$C:$C,'FCDB 2017 (full)'!$AX:$AX)*$H38/100,0)</f>
        <v>0</v>
      </c>
      <c r="BH38" s="16">
        <f ca="1">IFERROR(_xlfn.XLOOKUP($F38,'FCDB 2017 (full)'!$C:$C,'FCDB 2017 (full)'!$AY:$AY)*$H38/100,0)</f>
        <v>0</v>
      </c>
      <c r="BI38" s="16">
        <f ca="1">IFERROR(_xlfn.XLOOKUP($F38,'FCDB 2017 (full)'!$C:$C,'FCDB 2017 (full)'!$AZ:$AZ)*$H38/100,0)</f>
        <v>0</v>
      </c>
      <c r="BJ38" s="16">
        <f ca="1">IFERROR(_xlfn.XLOOKUP($F38,'FCDB 2017 (full)'!$C:$C,'FCDB 2017 (full)'!$BA:$BA)*$H38/100,0)</f>
        <v>0</v>
      </c>
      <c r="BK38" s="16">
        <f ca="1">IFERROR(_xlfn.XLOOKUP($F38,'FCDB 2017 (full)'!$C:$C,'FCDB 2017 (full)'!$BB:$BB)*$H38/100,0)</f>
        <v>0</v>
      </c>
      <c r="BL38" s="16">
        <f ca="1">IFERROR(_xlfn.XLOOKUP($F38,'FCDB 2017 (full)'!$C:$C,'FCDB 2017 (full)'!$BC:$BC)*$H38/100,0)</f>
        <v>0</v>
      </c>
      <c r="BM38" s="16">
        <f ca="1">IFERROR(_xlfn.XLOOKUP($F38,'FCDB 2017 (full)'!$C:$C,'FCDB 2017 (full)'!$BD:$BD)*$H38/100,0)</f>
        <v>0</v>
      </c>
      <c r="BN38" s="16">
        <f ca="1">IFERROR(_xlfn.XLOOKUP($F38,'FCDB 2017 (full)'!$C:$C,'FCDB 2017 (full)'!$BE:$BE)*$H38/100,0)</f>
        <v>0</v>
      </c>
      <c r="BO38" s="16">
        <f ca="1">IFERROR(_xlfn.XLOOKUP($F38,'FCDB 2017 (full)'!$C:$C,'FCDB 2017 (full)'!$BF:$BF)*$H38/100,0)</f>
        <v>0</v>
      </c>
      <c r="BP38" s="16">
        <f ca="1">IFERROR(_xlfn.XLOOKUP($F38,'FCDB 2017 (full)'!$C:$C,'FCDB 2017 (full)'!$BG:$BG)*$H38/100,0)</f>
        <v>0</v>
      </c>
      <c r="BQ38" s="16">
        <f ca="1">IFERROR(_xlfn.XLOOKUP($F38,'FCDB 2017 (full)'!$C:$C,'FCDB 2017 (full)'!$BH:$BH)*$H38/100,0)</f>
        <v>0</v>
      </c>
      <c r="BR38" s="16">
        <f ca="1">IFERROR(_xlfn.XLOOKUP($F38,'FCDB 2017 (full)'!$C:$C,'FCDB 2017 (full)'!$BI:$BI)*$H38/100,0)</f>
        <v>0</v>
      </c>
      <c r="BS38" s="16">
        <f ca="1">IFERROR(_xlfn.XLOOKUP($F38,'FCDB 2017 (full)'!$C:$C,'FCDB 2017 (full)'!$BJ:$BJ)*$H38/100,0)</f>
        <v>0</v>
      </c>
      <c r="BT38" s="16">
        <f ca="1">IFERROR(_xlfn.XLOOKUP($F38,'FCDB 2017 (full)'!$C:$C,'FCDB 2017 (full)'!$BK:$BK)*$H38/100,0)</f>
        <v>0</v>
      </c>
      <c r="BU38" s="16">
        <f ca="1">IFERROR(_xlfn.XLOOKUP($F38,'FCDB 2017 (full)'!$C:$C,'FCDB 2017 (full)'!$BL:$BL)*$H38/100,0)</f>
        <v>0</v>
      </c>
      <c r="BV38" s="16">
        <f ca="1">IFERROR(_xlfn.XLOOKUP($F38,'FCDB 2017 (full)'!$C:$C,'FCDB 2017 (full)'!$BM:$BM)*$H38/100,0)</f>
        <v>0</v>
      </c>
      <c r="BW38" s="16">
        <f ca="1">IFERROR(_xlfn.XLOOKUP($F38,'FCDB 2017 (full)'!$C:$C,'FCDB 2017 (full)'!$BN:$BN)*$H38/100,0)</f>
        <v>0</v>
      </c>
      <c r="BX38" s="16">
        <f ca="1">IFERROR(_xlfn.XLOOKUP($F38,'FCDB 2017 (full)'!$C:$C,'FCDB 2017 (full)'!$BO:$BO)*$H38/100,0)</f>
        <v>0</v>
      </c>
      <c r="BY38" s="16">
        <f ca="1">IFERROR(_xlfn.XLOOKUP($F38,'FCDB 2017 (full)'!$C:$C,'FCDB 2017 (full)'!$BP:$BP)*$H38/100,0)</f>
        <v>0</v>
      </c>
      <c r="BZ38" s="16">
        <f ca="1">IFERROR(_xlfn.XLOOKUP($F38,'FCDB 2017 (full)'!$C:$C,'FCDB 2017 (full)'!$BQ:$BQ)*$H38/100,0)</f>
        <v>0</v>
      </c>
      <c r="CA38" s="16">
        <f ca="1">IFERROR(_xlfn.XLOOKUP($F38,'FCDB 2017 (full)'!$C:$C,'FCDB 2017 (full)'!$BR:$BR)*$H38/100,0)</f>
        <v>0</v>
      </c>
      <c r="CB38" s="16">
        <f ca="1">IFERROR(_xlfn.XLOOKUP($F38,'FCDB 2017 (full)'!$C:$C,'FCDB 2017 (full)'!$BS:$BS)*$H38/100,0)</f>
        <v>0</v>
      </c>
      <c r="CC38" s="16">
        <f ca="1">IFERROR(_xlfn.XLOOKUP($F38,'FCDB 2017 (full)'!$C:$C,'FCDB 2017 (full)'!$BT:$BT)*$H38/100,0)</f>
        <v>0</v>
      </c>
      <c r="CD38" s="16">
        <f ca="1">IFERROR(_xlfn.XLOOKUP($F38,'FCDB 2017 (full)'!$C:$C,'FCDB 2017 (full)'!$BU:$BU)*$H38/100,0)</f>
        <v>0</v>
      </c>
      <c r="CE38" s="16">
        <f ca="1">IFERROR(_xlfn.XLOOKUP($F38,'FCDB 2017 (full)'!$C:$C,'FCDB 2017 (full)'!$BV:$BV)*$H38/100,0)</f>
        <v>0</v>
      </c>
      <c r="CF38" s="16">
        <f ca="1">IFERROR(_xlfn.XLOOKUP($F38,'FCDB 2017 (full)'!$C:$C,'FCDB 2017 (full)'!$BW:$BW)*$H38/100,0)</f>
        <v>0</v>
      </c>
      <c r="CG38" s="16">
        <f ca="1">IFERROR(_xlfn.XLOOKUP($F38,'FCDB 2017 (full)'!$C:$C,'FCDB 2017 (full)'!$BX:$BX)*$H38/100,0)</f>
        <v>0</v>
      </c>
      <c r="CH38" s="16">
        <f ca="1">IFERROR(_xlfn.XLOOKUP($F38,'FCDB 2017 (full)'!$C:$C,'FCDB 2017 (full)'!$BY:$BY)*$H38/100,0)</f>
        <v>0</v>
      </c>
      <c r="CI38" s="16">
        <f ca="1">IFERROR(_xlfn.XLOOKUP($F38,'FCDB 2017 (full)'!$C:$C,'FCDB 2017 (full)'!$BZ:$BZ)*$H38/100,0)</f>
        <v>0</v>
      </c>
      <c r="CJ38" s="16">
        <f ca="1">IFERROR(_xlfn.XLOOKUP($F38,'FCDB 2017 (full)'!$C:$C,'FCDB 2017 (full)'!$CA:$CA)*$H38/100,0)</f>
        <v>0</v>
      </c>
      <c r="CK38" s="16">
        <f ca="1">IFERROR(_xlfn.XLOOKUP($F38,'FCDB 2017 (full)'!$C:$C,'FCDB 2017 (full)'!$CB:$CB)*$H38/100,0)</f>
        <v>0</v>
      </c>
      <c r="CL38" s="16">
        <f ca="1">IFERROR(_xlfn.XLOOKUP($F38,'FCDB 2017 (full)'!$C:$C,'FCDB 2017 (full)'!$CC:$CC)*$H38/100,0)</f>
        <v>0</v>
      </c>
      <c r="CM38" s="16">
        <f ca="1">IFERROR(_xlfn.XLOOKUP($F38,'FCDB 2017 (full)'!$C:$C,'FCDB 2017 (full)'!$CD:$CD)*$H38/100,0)</f>
        <v>0</v>
      </c>
      <c r="CN38" s="16">
        <f ca="1">IFERROR(_xlfn.XLOOKUP($F38,'FCDB 2017 (full)'!$C:$C,'FCDB 2017 (full)'!$CE:$CE)*$H38/100,0)</f>
        <v>0</v>
      </c>
      <c r="CO38" s="16">
        <f ca="1">IFERROR(_xlfn.XLOOKUP($F38,'FCDB 2017 (full)'!$C:$C,'FCDB 2017 (full)'!$CF:$CF)*$H38/100,0)</f>
        <v>0</v>
      </c>
      <c r="CP38" s="16">
        <f ca="1">IFERROR(_xlfn.XLOOKUP($F38,'FCDB 2017 (full)'!$C:$C,'FCDB 2017 (full)'!$CG:$CG)*$H38/100,0)</f>
        <v>0</v>
      </c>
      <c r="CQ38" s="16">
        <f ca="1">IFERROR(_xlfn.XLOOKUP($F38,'FCDB 2017 (full)'!$C:$C,'FCDB 2017 (full)'!$CH:$CH)*$H38/100,0)</f>
        <v>0</v>
      </c>
      <c r="DA38" s="72" t="s">
        <v>948</v>
      </c>
    </row>
    <row r="39" spans="5:105" s="29" customFormat="1" ht="25.05" customHeight="1">
      <c r="F39" s="351" t="s">
        <v>972</v>
      </c>
      <c r="G39" s="351"/>
      <c r="H39" s="351"/>
      <c r="I39" s="18" t="s">
        <v>973</v>
      </c>
      <c r="J39" s="346">
        <f ca="1">SUM(J16:J38)</f>
        <v>0</v>
      </c>
      <c r="K39" s="30"/>
      <c r="L39" s="31" t="e">
        <f ca="1">SUM(L16:L38)</f>
        <v>#NAME?</v>
      </c>
      <c r="M39" s="31" t="e">
        <f ca="1">SUM(M16:M38)</f>
        <v>#NAME?</v>
      </c>
      <c r="N39" s="30"/>
      <c r="O39" s="32" t="e">
        <f ca="1">SUM(O16:O38)</f>
        <v>#NAME?</v>
      </c>
      <c r="P39" s="32" t="e">
        <f ca="1">SUM(P16:P38)</f>
        <v>#NAME?</v>
      </c>
      <c r="Q39" s="30"/>
      <c r="R39" s="349">
        <f t="shared" ref="R39:X39" ca="1" si="7">SUM(R16:R38)</f>
        <v>0</v>
      </c>
      <c r="S39" s="38">
        <f t="shared" ca="1" si="7"/>
        <v>0</v>
      </c>
      <c r="T39" s="38">
        <f t="shared" ca="1" si="7"/>
        <v>0</v>
      </c>
      <c r="U39" s="38">
        <f t="shared" ca="1" si="7"/>
        <v>0</v>
      </c>
      <c r="V39" s="38">
        <f t="shared" ca="1" si="7"/>
        <v>0</v>
      </c>
      <c r="W39" s="38">
        <f t="shared" ca="1" si="7"/>
        <v>0</v>
      </c>
      <c r="X39" s="38">
        <f t="shared" ca="1" si="7"/>
        <v>0</v>
      </c>
      <c r="Y39" s="38">
        <f t="shared" ref="Y39:BD39" ca="1" si="8">SUM(Y16:Y38)</f>
        <v>0</v>
      </c>
      <c r="Z39" s="38">
        <f t="shared" ca="1" si="8"/>
        <v>0</v>
      </c>
      <c r="AA39" s="38">
        <f t="shared" ca="1" si="8"/>
        <v>0</v>
      </c>
      <c r="AB39" s="38">
        <f t="shared" ca="1" si="8"/>
        <v>0</v>
      </c>
      <c r="AC39" s="38">
        <f t="shared" ca="1" si="8"/>
        <v>0</v>
      </c>
      <c r="AD39" s="38">
        <f t="shared" ca="1" si="8"/>
        <v>0</v>
      </c>
      <c r="AE39" s="38">
        <f t="shared" ca="1" si="8"/>
        <v>0</v>
      </c>
      <c r="AF39" s="70">
        <f t="shared" ca="1" si="8"/>
        <v>0</v>
      </c>
      <c r="AG39" s="70">
        <f t="shared" ca="1" si="8"/>
        <v>0</v>
      </c>
      <c r="AH39" s="70">
        <f t="shared" ca="1" si="8"/>
        <v>0</v>
      </c>
      <c r="AI39" s="70">
        <f t="shared" ca="1" si="8"/>
        <v>0</v>
      </c>
      <c r="AJ39" s="70">
        <f t="shared" ca="1" si="8"/>
        <v>0</v>
      </c>
      <c r="AK39" s="70">
        <f t="shared" ca="1" si="8"/>
        <v>0</v>
      </c>
      <c r="AL39" s="70">
        <f t="shared" ca="1" si="8"/>
        <v>0</v>
      </c>
      <c r="AM39" s="70">
        <f t="shared" ca="1" si="8"/>
        <v>0</v>
      </c>
      <c r="AN39" s="70">
        <f t="shared" ca="1" si="8"/>
        <v>0</v>
      </c>
      <c r="AO39" s="70">
        <f t="shared" ca="1" si="8"/>
        <v>0</v>
      </c>
      <c r="AP39" s="70">
        <f t="shared" ca="1" si="8"/>
        <v>0</v>
      </c>
      <c r="AQ39" s="70">
        <f t="shared" ca="1" si="8"/>
        <v>0</v>
      </c>
      <c r="AR39" s="70">
        <f t="shared" ca="1" si="8"/>
        <v>0</v>
      </c>
      <c r="AS39" s="70">
        <f t="shared" ca="1" si="8"/>
        <v>0</v>
      </c>
      <c r="AT39" s="70">
        <f t="shared" ca="1" si="8"/>
        <v>0</v>
      </c>
      <c r="AU39" s="70">
        <f t="shared" ca="1" si="8"/>
        <v>0</v>
      </c>
      <c r="AV39" s="70">
        <f t="shared" ca="1" si="8"/>
        <v>0</v>
      </c>
      <c r="AW39" s="70">
        <f t="shared" ca="1" si="8"/>
        <v>0</v>
      </c>
      <c r="AX39" s="70">
        <f t="shared" ca="1" si="8"/>
        <v>0</v>
      </c>
      <c r="AY39" s="70">
        <f t="shared" ca="1" si="8"/>
        <v>0</v>
      </c>
      <c r="AZ39" s="70">
        <f t="shared" ca="1" si="8"/>
        <v>0</v>
      </c>
      <c r="BA39" s="70">
        <f t="shared" ca="1" si="8"/>
        <v>0</v>
      </c>
      <c r="BB39" s="70">
        <f t="shared" ca="1" si="8"/>
        <v>0</v>
      </c>
      <c r="BC39" s="70">
        <f t="shared" ca="1" si="8"/>
        <v>0</v>
      </c>
      <c r="BD39" s="70">
        <f t="shared" ca="1" si="8"/>
        <v>0</v>
      </c>
      <c r="BE39" s="70">
        <f t="shared" ref="BE39:CQ39" ca="1" si="9">SUM(BE16:BE38)</f>
        <v>0</v>
      </c>
      <c r="BF39" s="70">
        <f t="shared" ca="1" si="9"/>
        <v>0</v>
      </c>
      <c r="BG39" s="70">
        <f t="shared" ca="1" si="9"/>
        <v>0</v>
      </c>
      <c r="BH39" s="70">
        <f t="shared" ca="1" si="9"/>
        <v>0</v>
      </c>
      <c r="BI39" s="70">
        <f t="shared" ca="1" si="9"/>
        <v>0</v>
      </c>
      <c r="BJ39" s="70">
        <f t="shared" ca="1" si="9"/>
        <v>0</v>
      </c>
      <c r="BK39" s="70">
        <f t="shared" ca="1" si="9"/>
        <v>0</v>
      </c>
      <c r="BL39" s="70">
        <f t="shared" ca="1" si="9"/>
        <v>0</v>
      </c>
      <c r="BM39" s="70">
        <f t="shared" ca="1" si="9"/>
        <v>0</v>
      </c>
      <c r="BN39" s="70">
        <f t="shared" ca="1" si="9"/>
        <v>0</v>
      </c>
      <c r="BO39" s="70">
        <f t="shared" ca="1" si="9"/>
        <v>0</v>
      </c>
      <c r="BP39" s="70">
        <f t="shared" ca="1" si="9"/>
        <v>0</v>
      </c>
      <c r="BQ39" s="70">
        <f t="shared" ca="1" si="9"/>
        <v>0</v>
      </c>
      <c r="BR39" s="70">
        <f t="shared" ca="1" si="9"/>
        <v>0</v>
      </c>
      <c r="BS39" s="70">
        <f t="shared" ca="1" si="9"/>
        <v>0</v>
      </c>
      <c r="BT39" s="70">
        <f t="shared" ca="1" si="9"/>
        <v>0</v>
      </c>
      <c r="BU39" s="70">
        <f t="shared" ca="1" si="9"/>
        <v>0</v>
      </c>
      <c r="BV39" s="70">
        <f t="shared" ca="1" si="9"/>
        <v>0</v>
      </c>
      <c r="BW39" s="70">
        <f t="shared" ca="1" si="9"/>
        <v>0</v>
      </c>
      <c r="BX39" s="70">
        <f t="shared" ca="1" si="9"/>
        <v>0</v>
      </c>
      <c r="BY39" s="70">
        <f t="shared" ca="1" si="9"/>
        <v>0</v>
      </c>
      <c r="BZ39" s="70">
        <f t="shared" ca="1" si="9"/>
        <v>0</v>
      </c>
      <c r="CA39" s="70">
        <f t="shared" ca="1" si="9"/>
        <v>0</v>
      </c>
      <c r="CB39" s="70">
        <f t="shared" ca="1" si="9"/>
        <v>0</v>
      </c>
      <c r="CC39" s="70">
        <f t="shared" ca="1" si="9"/>
        <v>0</v>
      </c>
      <c r="CD39" s="70">
        <f t="shared" ca="1" si="9"/>
        <v>0</v>
      </c>
      <c r="CE39" s="70">
        <f t="shared" ca="1" si="9"/>
        <v>0</v>
      </c>
      <c r="CF39" s="70">
        <f t="shared" ca="1" si="9"/>
        <v>0</v>
      </c>
      <c r="CG39" s="70">
        <f t="shared" ca="1" si="9"/>
        <v>0</v>
      </c>
      <c r="CH39" s="70">
        <f t="shared" ca="1" si="9"/>
        <v>0</v>
      </c>
      <c r="CI39" s="70">
        <f t="shared" ca="1" si="9"/>
        <v>0</v>
      </c>
      <c r="CJ39" s="70">
        <f t="shared" ca="1" si="9"/>
        <v>0</v>
      </c>
      <c r="CK39" s="70">
        <f t="shared" ca="1" si="9"/>
        <v>0</v>
      </c>
      <c r="CL39" s="70">
        <f t="shared" ca="1" si="9"/>
        <v>0</v>
      </c>
      <c r="CM39" s="70">
        <f t="shared" ca="1" si="9"/>
        <v>0</v>
      </c>
      <c r="CN39" s="70">
        <f t="shared" ca="1" si="9"/>
        <v>0</v>
      </c>
      <c r="CO39" s="70">
        <f t="shared" ca="1" si="9"/>
        <v>0</v>
      </c>
      <c r="CP39" s="70">
        <f t="shared" ca="1" si="9"/>
        <v>0</v>
      </c>
      <c r="CQ39" s="70">
        <f t="shared" ca="1" si="9"/>
        <v>0</v>
      </c>
      <c r="DA39" s="72" t="s">
        <v>948</v>
      </c>
    </row>
    <row r="40" spans="5:105" s="29" customFormat="1" ht="25.05" customHeight="1">
      <c r="F40" s="351"/>
      <c r="G40" s="351"/>
      <c r="H40" s="351"/>
      <c r="I40" s="19"/>
      <c r="J40" s="347"/>
      <c r="K40" s="30"/>
      <c r="L40" s="329" t="e">
        <f ca="1">L39+M39</f>
        <v>#NAME?</v>
      </c>
      <c r="M40" s="330"/>
      <c r="N40" s="30"/>
      <c r="O40" s="331" t="e">
        <f ca="1">O39+P39</f>
        <v>#NAME?</v>
      </c>
      <c r="P40" s="332"/>
      <c r="Q40" s="30"/>
      <c r="R40" s="350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DA40" s="72" t="s">
        <v>948</v>
      </c>
    </row>
    <row r="41" spans="5:105" s="29" customFormat="1" ht="19.95" customHeight="1">
      <c r="F41" s="340" t="s">
        <v>974</v>
      </c>
      <c r="G41" s="20">
        <v>0.95</v>
      </c>
      <c r="H41" s="21" t="s">
        <v>975</v>
      </c>
      <c r="I41" s="19"/>
      <c r="J41" s="22">
        <f>J42*0.95</f>
        <v>413.25</v>
      </c>
      <c r="K41" s="12"/>
      <c r="L41" s="333">
        <f>L42*0.95</f>
        <v>20.662500000000001</v>
      </c>
      <c r="M41" s="334"/>
      <c r="N41" s="12"/>
      <c r="O41" s="333">
        <f>O42*0.95</f>
        <v>11.4791666666667</v>
      </c>
      <c r="P41" s="334"/>
      <c r="Q41" s="12"/>
      <c r="R41" s="22">
        <f>R42*0.95</f>
        <v>56.821874999999999</v>
      </c>
      <c r="S41" s="40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DA41" s="72" t="s">
        <v>948</v>
      </c>
    </row>
    <row r="42" spans="5:105" s="29" customFormat="1" ht="19.05" customHeight="1">
      <c r="F42" s="341"/>
      <c r="G42" s="23">
        <v>1</v>
      </c>
      <c r="H42" s="24" t="s">
        <v>976</v>
      </c>
      <c r="I42" s="25"/>
      <c r="J42" s="26">
        <f>'Năng lượng_2024'!G43</f>
        <v>435</v>
      </c>
      <c r="K42" s="33"/>
      <c r="L42" s="335">
        <f>'Năng lượng_2024'!G36</f>
        <v>21.75</v>
      </c>
      <c r="M42" s="336"/>
      <c r="N42" s="26"/>
      <c r="O42" s="335">
        <f>'Năng lượng_2024'!G39</f>
        <v>12.0833333333333</v>
      </c>
      <c r="P42" s="336"/>
      <c r="Q42" s="26"/>
      <c r="R42" s="26">
        <f>'Năng lượng_2024'!G42</f>
        <v>59.8125</v>
      </c>
      <c r="S42" s="40"/>
      <c r="W42" s="28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DA42" s="72" t="s">
        <v>948</v>
      </c>
    </row>
    <row r="43" spans="5:105" s="29" customFormat="1" ht="19.05" customHeight="1">
      <c r="E43" s="28"/>
      <c r="F43" s="337" t="s">
        <v>977</v>
      </c>
      <c r="G43" s="337"/>
      <c r="H43" s="337"/>
      <c r="I43" s="28"/>
      <c r="J43" s="27" t="str">
        <f ca="1">IF(AND(J39&gt;=J41,J39&lt;=J42),"Đạt","Không Đạt")</f>
        <v>Không Đạt</v>
      </c>
      <c r="K43" s="27"/>
      <c r="L43" s="337" t="e">
        <f ca="1">IF(AND(L40&gt;=L41,L40&lt;=L42),"Đạt","Không Đạt")</f>
        <v>#NAME?</v>
      </c>
      <c r="M43" s="337"/>
      <c r="N43" s="27"/>
      <c r="O43" s="337" t="e">
        <f ca="1">IF(AND(O40&gt;=O41,O40&lt;=O42),"Đạt","Không Đạt")</f>
        <v>#NAME?</v>
      </c>
      <c r="P43" s="337"/>
      <c r="Q43" s="27"/>
      <c r="R43" s="27" t="str">
        <f ca="1">IF(AND(R39&gt;=R41,R39&lt;=R42),"Đạt","Không Đạt")</f>
        <v>Không Đạt</v>
      </c>
      <c r="S43" s="28"/>
      <c r="T43" s="28"/>
      <c r="U43" s="28"/>
      <c r="V43" s="28"/>
      <c r="W43" s="28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DA43" s="72" t="s">
        <v>948</v>
      </c>
    </row>
    <row r="44" spans="5:105" s="29" customFormat="1" ht="19.05" customHeight="1">
      <c r="E44" s="28"/>
      <c r="F44" s="28"/>
      <c r="G44" s="28"/>
      <c r="H44" s="28"/>
      <c r="I44" s="28"/>
      <c r="L44" s="64" t="e">
        <f ca="1">L42-L40</f>
        <v>#NAME?</v>
      </c>
      <c r="M44" s="65"/>
      <c r="N44" s="65"/>
      <c r="O44" s="64" t="e">
        <f ca="1">O42-O40</f>
        <v>#NAME?</v>
      </c>
      <c r="P44" s="65"/>
      <c r="Q44" s="65"/>
      <c r="R44" s="64">
        <f ca="1">R42-R39</f>
        <v>59.8125</v>
      </c>
      <c r="S44" s="28"/>
      <c r="T44" s="28"/>
      <c r="U44" s="28"/>
      <c r="V44" s="28"/>
      <c r="W44" s="28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DA44" s="72" t="s">
        <v>948</v>
      </c>
    </row>
    <row r="45" spans="5:105">
      <c r="L45" s="66" t="s">
        <v>978</v>
      </c>
      <c r="M45" s="35">
        <f ca="1">IFERROR(L39/L40,0)</f>
        <v>0</v>
      </c>
      <c r="N45" s="36"/>
      <c r="O45" s="27" t="str">
        <f ca="1">IF(M45&gt;35%,"Thừa",IF(M45&gt;=30%,"Đạt","Thiếu"))</f>
        <v>Thiếu</v>
      </c>
      <c r="DA45" s="72" t="s">
        <v>948</v>
      </c>
    </row>
    <row r="46" spans="5:105">
      <c r="L46" s="66" t="s">
        <v>979</v>
      </c>
      <c r="M46" s="35">
        <f ca="1">IFERROR(O39/O40,0)</f>
        <v>0</v>
      </c>
      <c r="N46" s="36"/>
      <c r="O46" s="27" t="str">
        <f ca="1">IF(M46&gt;60%,"Thừa",IF(M46&gt;=50%,"Đạt","Thiếu"))</f>
        <v>Thiếu</v>
      </c>
      <c r="DA46" s="72" t="s">
        <v>948</v>
      </c>
    </row>
    <row r="47" spans="5:105">
      <c r="DA47" s="72" t="s">
        <v>948</v>
      </c>
    </row>
    <row r="48" spans="5:105">
      <c r="L48" s="338" t="e">
        <f ca="1">L40*4/J39</f>
        <v>#NAME?</v>
      </c>
      <c r="M48" s="339"/>
      <c r="N48" s="23"/>
      <c r="O48" s="338" t="e">
        <f ca="1">O40*9/J39</f>
        <v>#NAME?</v>
      </c>
      <c r="P48" s="339"/>
      <c r="Q48" s="23"/>
      <c r="R48" s="23" t="e">
        <f ca="1">R39*4/J39</f>
        <v>#DIV/0!</v>
      </c>
      <c r="S48" s="68" t="e">
        <f ca="1">L48+O48+R48</f>
        <v>#NAME?</v>
      </c>
      <c r="DA48" s="72" t="s">
        <v>948</v>
      </c>
    </row>
    <row r="49" spans="4:105">
      <c r="DA49" s="72" t="s">
        <v>948</v>
      </c>
    </row>
    <row r="50" spans="4:105">
      <c r="DA50" s="72" t="s">
        <v>948</v>
      </c>
    </row>
    <row r="51" spans="4:105" ht="17.55" customHeight="1">
      <c r="D51" s="51"/>
      <c r="E51" s="319" t="s">
        <v>934</v>
      </c>
      <c r="F51" s="320"/>
      <c r="G51" s="320"/>
      <c r="H51" s="320"/>
      <c r="I51" s="53"/>
      <c r="J51" s="321" t="s">
        <v>935</v>
      </c>
      <c r="K51" s="322"/>
      <c r="L51" s="322"/>
      <c r="M51" s="322"/>
      <c r="N51" s="322"/>
      <c r="O51" s="322"/>
      <c r="P51" s="319"/>
      <c r="Q51" s="67"/>
      <c r="R51" s="321" t="s">
        <v>936</v>
      </c>
      <c r="S51" s="322"/>
      <c r="T51" s="319"/>
      <c r="U51" s="321" t="s">
        <v>937</v>
      </c>
      <c r="V51" s="322"/>
      <c r="W51" s="322"/>
      <c r="X51" s="319"/>
      <c r="Y51" s="321" t="s">
        <v>938</v>
      </c>
      <c r="Z51" s="319"/>
      <c r="AA51" s="323" t="s">
        <v>939</v>
      </c>
      <c r="AB51" s="323"/>
      <c r="AC51" s="324" t="s">
        <v>940</v>
      </c>
      <c r="AD51" s="325"/>
      <c r="AE51" s="326"/>
      <c r="DA51" s="72"/>
    </row>
    <row r="52" spans="4:105" ht="20.399999999999999">
      <c r="D52" s="54" t="s">
        <v>941</v>
      </c>
      <c r="E52" s="52" t="s">
        <v>942</v>
      </c>
      <c r="F52" s="53" t="s">
        <v>943</v>
      </c>
      <c r="G52" s="53" t="s">
        <v>944</v>
      </c>
      <c r="H52" s="53" t="s">
        <v>945</v>
      </c>
      <c r="J52" s="53" t="s">
        <v>942</v>
      </c>
      <c r="L52" s="53" t="s">
        <v>943</v>
      </c>
      <c r="M52" s="53" t="s">
        <v>944</v>
      </c>
      <c r="O52" s="53" t="s">
        <v>945</v>
      </c>
      <c r="P52" s="53" t="s">
        <v>946</v>
      </c>
      <c r="R52" s="53" t="s">
        <v>942</v>
      </c>
      <c r="S52" s="53" t="s">
        <v>943</v>
      </c>
      <c r="T52" s="53" t="s">
        <v>944</v>
      </c>
      <c r="U52" s="53" t="s">
        <v>942</v>
      </c>
      <c r="V52" s="53" t="s">
        <v>943</v>
      </c>
      <c r="W52" s="53" t="s">
        <v>944</v>
      </c>
      <c r="X52" s="53" t="s">
        <v>945</v>
      </c>
      <c r="Y52" s="69" t="s">
        <v>942</v>
      </c>
      <c r="Z52" s="69" t="s">
        <v>943</v>
      </c>
      <c r="AA52" s="53" t="s">
        <v>942</v>
      </c>
      <c r="AB52" s="53" t="s">
        <v>943</v>
      </c>
      <c r="AC52" s="69" t="s">
        <v>942</v>
      </c>
      <c r="AD52" s="69" t="s">
        <v>943</v>
      </c>
      <c r="AE52" s="69" t="s">
        <v>944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28"/>
      <c r="DA52" s="72"/>
    </row>
    <row r="53" spans="4:105" ht="20.399999999999999">
      <c r="D53" s="55" t="s">
        <v>894</v>
      </c>
      <c r="E53" s="56" t="s">
        <v>189</v>
      </c>
      <c r="F53" s="56"/>
      <c r="G53" s="56"/>
      <c r="H53" s="56"/>
      <c r="J53" s="56"/>
      <c r="L53" s="56"/>
      <c r="M53" s="56"/>
      <c r="O53" s="56"/>
      <c r="P53" s="56"/>
      <c r="R53" s="56" t="s">
        <v>416</v>
      </c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DA53" s="72" t="s">
        <v>980</v>
      </c>
    </row>
    <row r="54" spans="4:105" ht="20.399999999999999">
      <c r="D54" s="55" t="s">
        <v>949</v>
      </c>
      <c r="E54" s="57" t="s">
        <v>468</v>
      </c>
      <c r="F54" s="57"/>
      <c r="G54" s="57"/>
      <c r="H54" s="57"/>
      <c r="J54" s="57"/>
      <c r="L54" s="57"/>
      <c r="M54" s="57"/>
      <c r="O54" s="57"/>
      <c r="P54" s="57"/>
      <c r="R54" s="57" t="s">
        <v>181</v>
      </c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DA54" s="72" t="s">
        <v>980</v>
      </c>
    </row>
    <row r="55" spans="4:105" ht="20.399999999999999">
      <c r="D55" s="62" t="s">
        <v>950</v>
      </c>
      <c r="E55" s="59">
        <v>40</v>
      </c>
      <c r="F55" s="59"/>
      <c r="G55" s="59"/>
      <c r="H55" s="59"/>
      <c r="J55" s="59"/>
      <c r="L55" s="59"/>
      <c r="M55" s="59"/>
      <c r="O55" s="59"/>
      <c r="P55" s="59"/>
      <c r="R55" s="59">
        <v>70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DA55" s="72" t="s">
        <v>980</v>
      </c>
    </row>
    <row r="56" spans="4:105"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DA56" s="72" t="s">
        <v>980</v>
      </c>
    </row>
    <row r="57" spans="4:105">
      <c r="DA57" s="72" t="s">
        <v>980</v>
      </c>
    </row>
    <row r="58" spans="4:105" ht="27.45" customHeight="1">
      <c r="E58" s="41"/>
      <c r="F58" s="327" t="str">
        <f>D53</f>
        <v>Phụ sáng</v>
      </c>
      <c r="G58" s="327"/>
      <c r="H58" s="343" t="s">
        <v>951</v>
      </c>
      <c r="I58" s="3" t="s">
        <v>952</v>
      </c>
      <c r="J58" s="345" t="s">
        <v>953</v>
      </c>
      <c r="K58" s="3" t="s">
        <v>954</v>
      </c>
      <c r="L58" s="328" t="s">
        <v>955</v>
      </c>
      <c r="M58" s="328"/>
      <c r="N58" s="3" t="s">
        <v>956</v>
      </c>
      <c r="O58" s="328" t="s">
        <v>91</v>
      </c>
      <c r="P58" s="328"/>
      <c r="Q58" s="3" t="s">
        <v>957</v>
      </c>
      <c r="R58" s="348" t="s">
        <v>958</v>
      </c>
      <c r="S58" s="348" t="s">
        <v>959</v>
      </c>
      <c r="T58" s="348" t="s">
        <v>960</v>
      </c>
      <c r="U58" s="348" t="s">
        <v>95</v>
      </c>
      <c r="V58" s="348" t="s">
        <v>961</v>
      </c>
      <c r="W58" s="348" t="s">
        <v>97</v>
      </c>
      <c r="X58" s="348" t="s">
        <v>962</v>
      </c>
      <c r="Y58" s="348" t="s">
        <v>99</v>
      </c>
      <c r="Z58" s="348" t="s">
        <v>100</v>
      </c>
      <c r="AA58" s="348" t="s">
        <v>101</v>
      </c>
      <c r="AB58" s="348" t="s">
        <v>102</v>
      </c>
      <c r="AC58" s="348" t="s">
        <v>103</v>
      </c>
      <c r="AD58" s="348" t="s">
        <v>104</v>
      </c>
      <c r="AE58" s="348" t="s">
        <v>105</v>
      </c>
      <c r="AF58" s="348" t="s">
        <v>963</v>
      </c>
      <c r="AG58" s="348" t="s">
        <v>964</v>
      </c>
      <c r="AH58" s="348" t="s">
        <v>965</v>
      </c>
      <c r="AI58" s="348" t="s">
        <v>966</v>
      </c>
      <c r="AJ58" s="348" t="s">
        <v>110</v>
      </c>
      <c r="AK58" s="348" t="s">
        <v>111</v>
      </c>
      <c r="AL58" s="348" t="s">
        <v>112</v>
      </c>
      <c r="AM58" s="348" t="s">
        <v>967</v>
      </c>
      <c r="AN58" s="348" t="s">
        <v>968</v>
      </c>
      <c r="AO58" s="348" t="s">
        <v>115</v>
      </c>
      <c r="AP58" s="348" t="s">
        <v>116</v>
      </c>
      <c r="AQ58" s="348" t="s">
        <v>117</v>
      </c>
      <c r="AR58" s="348" t="s">
        <v>118</v>
      </c>
      <c r="AS58" s="348" t="s">
        <v>119</v>
      </c>
      <c r="AT58" s="348" t="s">
        <v>120</v>
      </c>
      <c r="AU58" s="348" t="s">
        <v>121</v>
      </c>
      <c r="AV58" s="348" t="s">
        <v>122</v>
      </c>
      <c r="AW58" s="348" t="s">
        <v>123</v>
      </c>
      <c r="AX58" s="348" t="s">
        <v>124</v>
      </c>
      <c r="AY58" s="348" t="s">
        <v>125</v>
      </c>
      <c r="AZ58" s="348" t="s">
        <v>126</v>
      </c>
      <c r="BA58" s="348" t="s">
        <v>969</v>
      </c>
      <c r="BB58" s="348" t="s">
        <v>128</v>
      </c>
      <c r="BC58" s="348" t="s">
        <v>129</v>
      </c>
      <c r="BD58" s="348" t="s">
        <v>130</v>
      </c>
      <c r="BE58" s="348" t="s">
        <v>131</v>
      </c>
      <c r="BF58" s="348" t="s">
        <v>132</v>
      </c>
      <c r="BG58" s="348" t="s">
        <v>133</v>
      </c>
      <c r="BH58" s="348" t="s">
        <v>134</v>
      </c>
      <c r="BI58" s="348" t="s">
        <v>135</v>
      </c>
      <c r="BJ58" s="348" t="s">
        <v>136</v>
      </c>
      <c r="BK58" s="348" t="s">
        <v>137</v>
      </c>
      <c r="BL58" s="348" t="s">
        <v>138</v>
      </c>
      <c r="BM58" s="348" t="s">
        <v>139</v>
      </c>
      <c r="BN58" s="348" t="s">
        <v>140</v>
      </c>
      <c r="BO58" s="348" t="s">
        <v>141</v>
      </c>
      <c r="BP58" s="348" t="s">
        <v>142</v>
      </c>
      <c r="BQ58" s="348" t="s">
        <v>143</v>
      </c>
      <c r="BR58" s="348" t="s">
        <v>144</v>
      </c>
      <c r="BS58" s="348" t="s">
        <v>145</v>
      </c>
      <c r="BT58" s="348" t="s">
        <v>146</v>
      </c>
      <c r="BU58" s="348" t="s">
        <v>147</v>
      </c>
      <c r="BV58" s="348" t="s">
        <v>148</v>
      </c>
      <c r="BW58" s="348" t="s">
        <v>149</v>
      </c>
      <c r="BX58" s="348" t="s">
        <v>150</v>
      </c>
      <c r="BY58" s="348" t="s">
        <v>151</v>
      </c>
      <c r="BZ58" s="348" t="s">
        <v>152</v>
      </c>
      <c r="CA58" s="348" t="s">
        <v>153</v>
      </c>
      <c r="CB58" s="348" t="s">
        <v>154</v>
      </c>
      <c r="CC58" s="348" t="s">
        <v>155</v>
      </c>
      <c r="CD58" s="348" t="s">
        <v>156</v>
      </c>
      <c r="CE58" s="348" t="s">
        <v>157</v>
      </c>
      <c r="CF58" s="348" t="s">
        <v>158</v>
      </c>
      <c r="CG58" s="348" t="s">
        <v>159</v>
      </c>
      <c r="CH58" s="348" t="s">
        <v>160</v>
      </c>
      <c r="CI58" s="348" t="s">
        <v>161</v>
      </c>
      <c r="CJ58" s="348" t="s">
        <v>162</v>
      </c>
      <c r="CK58" s="348" t="s">
        <v>163</v>
      </c>
      <c r="CL58" s="348" t="s">
        <v>164</v>
      </c>
      <c r="CM58" s="348" t="s">
        <v>165</v>
      </c>
      <c r="CN58" s="348" t="s">
        <v>166</v>
      </c>
      <c r="CO58" s="348" t="s">
        <v>167</v>
      </c>
      <c r="CP58" s="348" t="s">
        <v>168</v>
      </c>
      <c r="CQ58" s="348" t="s">
        <v>169</v>
      </c>
      <c r="DA58" s="72" t="s">
        <v>980</v>
      </c>
    </row>
    <row r="59" spans="4:105" ht="13.8" customHeight="1">
      <c r="E59" s="41"/>
      <c r="F59" s="4" t="s">
        <v>970</v>
      </c>
      <c r="G59" s="4" t="s">
        <v>971</v>
      </c>
      <c r="H59" s="344"/>
      <c r="I59" s="3"/>
      <c r="J59" s="344"/>
      <c r="K59" s="3"/>
      <c r="L59" s="2" t="s">
        <v>468</v>
      </c>
      <c r="M59" s="2" t="s">
        <v>181</v>
      </c>
      <c r="N59" s="3"/>
      <c r="O59" s="2" t="s">
        <v>468</v>
      </c>
      <c r="P59" s="2" t="s">
        <v>181</v>
      </c>
      <c r="Q59" s="3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348"/>
      <c r="AL59" s="348"/>
      <c r="AM59" s="348"/>
      <c r="AN59" s="348"/>
      <c r="AO59" s="348"/>
      <c r="AP59" s="348"/>
      <c r="AQ59" s="348"/>
      <c r="AR59" s="348"/>
      <c r="AS59" s="348"/>
      <c r="AT59" s="348"/>
      <c r="AU59" s="348"/>
      <c r="AV59" s="348"/>
      <c r="AW59" s="348"/>
      <c r="AX59" s="348"/>
      <c r="AY59" s="348"/>
      <c r="AZ59" s="348"/>
      <c r="BA59" s="348"/>
      <c r="BB59" s="348"/>
      <c r="BC59" s="348"/>
      <c r="BD59" s="348"/>
      <c r="BE59" s="348"/>
      <c r="BF59" s="348"/>
      <c r="BG59" s="348"/>
      <c r="BH59" s="348"/>
      <c r="BI59" s="348"/>
      <c r="BJ59" s="348"/>
      <c r="BK59" s="348"/>
      <c r="BL59" s="348"/>
      <c r="BM59" s="348"/>
      <c r="BN59" s="348"/>
      <c r="BO59" s="348"/>
      <c r="BP59" s="348"/>
      <c r="BQ59" s="348"/>
      <c r="BR59" s="348"/>
      <c r="BS59" s="348"/>
      <c r="BT59" s="348"/>
      <c r="BU59" s="348"/>
      <c r="BV59" s="348"/>
      <c r="BW59" s="348"/>
      <c r="BX59" s="348"/>
      <c r="BY59" s="348"/>
      <c r="BZ59" s="348"/>
      <c r="CA59" s="348"/>
      <c r="CB59" s="348"/>
      <c r="CC59" s="348"/>
      <c r="CD59" s="348"/>
      <c r="CE59" s="348"/>
      <c r="CF59" s="348"/>
      <c r="CG59" s="348"/>
      <c r="CH59" s="348"/>
      <c r="CI59" s="348"/>
      <c r="CJ59" s="348"/>
      <c r="CK59" s="348"/>
      <c r="CL59" s="348"/>
      <c r="CM59" s="348"/>
      <c r="CN59" s="348"/>
      <c r="CO59" s="348"/>
      <c r="CP59" s="348"/>
      <c r="CQ59" s="348"/>
      <c r="DA59" s="72" t="s">
        <v>980</v>
      </c>
    </row>
    <row r="60" spans="4:105">
      <c r="E60" s="41"/>
      <c r="F60" s="11" t="str">
        <f>IFERROR(VLOOKUP($D$53,$D:$AE,2,0),0)</f>
        <v>Bánh bao</v>
      </c>
      <c r="G60" s="7" t="e" cm="1">
        <f t="array" aca="1" ref="G60" ca="1">IF(F60=0,0,IF(_xlfn.XLOOKUP(F60,$E$53:$AE$53,$E$54:$AE$54)=0,"Nhập ĐV/TV",_xlfn.XLOOKUP(F60,$E$53:$AE$53,$E$54:$AE$54)))</f>
        <v>#NAME?</v>
      </c>
      <c r="H60" s="8">
        <f>IFERROR(INDEX($E$55:$AE$55,MATCH(F60,$E$53:$AE$53,0)),0)</f>
        <v>40</v>
      </c>
      <c r="I60" s="9">
        <f ca="1">IFERROR(_xlfn.XLOOKUP($F60,'FCDB 2017 (full)'!$C:$C,'FCDB 2017 (full)'!$E:$E),0)</f>
        <v>0</v>
      </c>
      <c r="J60" s="10">
        <f ca="1">$H60*I60/100</f>
        <v>0</v>
      </c>
      <c r="K60" s="9">
        <f ca="1">IFERROR(_xlfn.XLOOKUP($F60,'FCDB 2017 (full)'!$C:$C,'FCDB 2017 (full)'!$G:$G),0)</f>
        <v>0</v>
      </c>
      <c r="L60" s="13" t="e">
        <f ca="1">IF($G60=L$15,$H60*$K60/100,0)</f>
        <v>#NAME?</v>
      </c>
      <c r="M60" s="13" t="e">
        <f t="shared" ref="M60:M82" ca="1" si="10">IF($G60=M$15,$H60*$K60/100,0)</f>
        <v>#NAME?</v>
      </c>
      <c r="N60" s="9">
        <f ca="1">IFERROR(_xlfn.XLOOKUP($F60,'FCDB 2017 (full)'!$C:$C,'FCDB 2017 (full)'!$H:$H),0)</f>
        <v>0</v>
      </c>
      <c r="O60" s="14" t="e">
        <f t="shared" ref="O60:O82" ca="1" si="11">IF($G60=O$15,$H60*$N60/100,0)</f>
        <v>#NAME?</v>
      </c>
      <c r="P60" s="14" t="e">
        <f t="shared" ref="P60:P82" ca="1" si="12">IF($G60=P$15,$H60*$N60/100,0)</f>
        <v>#NAME?</v>
      </c>
      <c r="Q60" s="9">
        <f ca="1">IFERROR(_xlfn.XLOOKUP($F60,'FCDB 2017 (full)'!$C:$C,'FCDB 2017 (full)'!$I:$I),0)</f>
        <v>0</v>
      </c>
      <c r="R60" s="15">
        <f t="shared" ref="R60:R82" ca="1" si="13">$H60*Q60/100</f>
        <v>0</v>
      </c>
      <c r="S60" s="16">
        <f ca="1">IFERROR(_xlfn.XLOOKUP($F60,'FCDB 2017 (full)'!$C:$C,'FCDB 2017 (full)'!$J:$J)*$H60/100,0)</f>
        <v>0</v>
      </c>
      <c r="T60" s="16">
        <f ca="1">IFERROR(_xlfn.XLOOKUP($F60,'FCDB 2017 (full)'!$C:$C,'FCDB 2017 (full)'!$K:$K)*$H60/100,0)</f>
        <v>0</v>
      </c>
      <c r="U60" s="16">
        <f ca="1">IFERROR(_xlfn.XLOOKUP($F60,'FCDB 2017 (full)'!$C:$C,'FCDB 2017 (full)'!$L:$L)*$H60/100,0)</f>
        <v>0</v>
      </c>
      <c r="V60" s="16">
        <f ca="1">IFERROR(_xlfn.XLOOKUP($F60,'FCDB 2017 (full)'!$C:$C,'FCDB 2017 (full)'!$M:$M)*$H60/100,0)</f>
        <v>0</v>
      </c>
      <c r="W60" s="16">
        <f ca="1">IFERROR(_xlfn.XLOOKUP($F60,'FCDB 2017 (full)'!$C:$C,'FCDB 2017 (full)'!$N:$N)*$H60/100,0)</f>
        <v>0</v>
      </c>
      <c r="X60" s="16">
        <f ca="1">IFERROR(_xlfn.XLOOKUP($F60,'FCDB 2017 (full)'!$C:$C,'FCDB 2017 (full)'!$O:$O)*$H60/100,0)</f>
        <v>0</v>
      </c>
      <c r="Y60" s="16">
        <f ca="1">IFERROR(_xlfn.XLOOKUP($F60,'FCDB 2017 (full)'!$C:$C,'FCDB 2017 (full)'!$P:$P)*$H60/100,0)</f>
        <v>0</v>
      </c>
      <c r="Z60" s="16">
        <f ca="1">IFERROR(_xlfn.XLOOKUP($F60,'FCDB 2017 (full)'!$C:$C,'FCDB 2017 (full)'!$Q:$Q)*$H60/100,0)</f>
        <v>0</v>
      </c>
      <c r="AA60" s="16">
        <f ca="1">IFERROR(_xlfn.XLOOKUP($F60,'FCDB 2017 (full)'!$C:$C,'FCDB 2017 (full)'!$R:$R)*$H60/100,0)</f>
        <v>0</v>
      </c>
      <c r="AB60" s="16">
        <f ca="1">IFERROR(_xlfn.XLOOKUP($F60,'FCDB 2017 (full)'!$C:$C,'FCDB 2017 (full)'!$S:$S)*$H60/100,0)</f>
        <v>0</v>
      </c>
      <c r="AC60" s="16">
        <f ca="1">IFERROR(_xlfn.XLOOKUP($F60,'FCDB 2017 (full)'!$C:$C,'FCDB 2017 (full)'!$T:$T)*$H60/100,0)</f>
        <v>0</v>
      </c>
      <c r="AD60" s="16">
        <f ca="1">IFERROR(_xlfn.XLOOKUP($F60,'FCDB 2017 (full)'!$C:$C,'FCDB 2017 (full)'!$U:$U)*$H60/100,0)</f>
        <v>0</v>
      </c>
      <c r="AE60" s="16">
        <f ca="1">IFERROR(_xlfn.XLOOKUP($F60,'FCDB 2017 (full)'!$C:$C,'FCDB 2017 (full)'!$V:$V)*$H60/100,0)</f>
        <v>0</v>
      </c>
      <c r="AF60" s="16">
        <f ca="1">IFERROR(_xlfn.XLOOKUP($F60,'FCDB 2017 (full)'!$C:$C,'FCDB 2017 (full)'!$W:$W)*$H60/100,0)</f>
        <v>0</v>
      </c>
      <c r="AG60" s="16">
        <f ca="1">IFERROR(_xlfn.XLOOKUP($F60,'FCDB 2017 (full)'!$C:$C,'FCDB 2017 (full)'!$X:$X)*$H60/100,0)</f>
        <v>0</v>
      </c>
      <c r="AH60" s="16">
        <f ca="1">IFERROR(_xlfn.XLOOKUP($F60,'FCDB 2017 (full)'!$C:$C,'FCDB 2017 (full)'!$Y:$Y)*$H60/100,0)</f>
        <v>0</v>
      </c>
      <c r="AI60" s="16">
        <f ca="1">IFERROR(_xlfn.XLOOKUP($F60,'FCDB 2017 (full)'!$C:$C,'FCDB 2017 (full)'!$Z:$Z)*$H60/100,0)</f>
        <v>0</v>
      </c>
      <c r="AJ60" s="16">
        <f ca="1">IFERROR(_xlfn.XLOOKUP($F60,'FCDB 2017 (full)'!$C:$C,'FCDB 2017 (full)'!$AA:$AA)*$H60/100,0)</f>
        <v>0</v>
      </c>
      <c r="AK60" s="16">
        <f ca="1">IFERROR(_xlfn.XLOOKUP($F60,'FCDB 2017 (full)'!$C:$C,'FCDB 2017 (full)'!$AB:$AB)*$H60/100,0)</f>
        <v>0</v>
      </c>
      <c r="AL60" s="16">
        <f ca="1">IFERROR(_xlfn.XLOOKUP($F60,'FCDB 2017 (full)'!$C:$C,'FCDB 2017 (full)'!$AC:$AC)*$H60/100,0)</f>
        <v>0</v>
      </c>
      <c r="AM60" s="16">
        <f ca="1">IFERROR(_xlfn.XLOOKUP($F60,'FCDB 2017 (full)'!$C:$C,'FCDB 2017 (full)'!$AD:$AD)*$H60/100,0)</f>
        <v>0</v>
      </c>
      <c r="AN60" s="16">
        <f ca="1">IFERROR(_xlfn.XLOOKUP($F60,'FCDB 2017 (full)'!$C:$C,'FCDB 2017 (full)'!$AE:$AE)*$H60/100,0)</f>
        <v>0</v>
      </c>
      <c r="AO60" s="16">
        <f ca="1">IFERROR(_xlfn.XLOOKUP($F60,'FCDB 2017 (full)'!$C:$C,'FCDB 2017 (full)'!$AF:$AF)*$H60/100,0)</f>
        <v>0</v>
      </c>
      <c r="AP60" s="16">
        <f ca="1">IFERROR(_xlfn.XLOOKUP($F60,'FCDB 2017 (full)'!$C:$C,'FCDB 2017 (full)'!$AG:$AG)*$H60/100,0)</f>
        <v>0</v>
      </c>
      <c r="AQ60" s="16">
        <f ca="1">IFERROR(_xlfn.XLOOKUP($F60,'FCDB 2017 (full)'!$C:$C,'FCDB 2017 (full)'!$AH:$AH)*$H60/100,0)</f>
        <v>0</v>
      </c>
      <c r="AR60" s="16">
        <f ca="1">IFERROR(_xlfn.XLOOKUP($F60,'FCDB 2017 (full)'!$C:$C,'FCDB 2017 (full)'!$AI:$AI)*$H60/100,0)</f>
        <v>0</v>
      </c>
      <c r="AS60" s="16">
        <f ca="1">IFERROR(_xlfn.XLOOKUP($F60,'FCDB 2017 (full)'!$C:$C,'FCDB 2017 (full)'!$AJ:$AJ)*$H60/100,0)</f>
        <v>0</v>
      </c>
      <c r="AT60" s="16">
        <f ca="1">IFERROR(_xlfn.XLOOKUP($F60,'FCDB 2017 (full)'!$C:$C,'FCDB 2017 (full)'!$AK:$AK)*$H60/100,0)</f>
        <v>0</v>
      </c>
      <c r="AU60" s="16">
        <f ca="1">IFERROR(_xlfn.XLOOKUP($F60,'FCDB 2017 (full)'!$C:$C,'FCDB 2017 (full)'!$AK:$AK)*$H60/100,0)</f>
        <v>0</v>
      </c>
      <c r="AV60" s="16">
        <f ca="1">IFERROR(_xlfn.XLOOKUP($F60,'FCDB 2017 (full)'!$C:$C,'FCDB 2017 (full)'!$AM:$AM)*$H60/100,0)</f>
        <v>0</v>
      </c>
      <c r="AW60" s="16">
        <f ca="1">IFERROR(_xlfn.XLOOKUP($F60,'FCDB 2017 (full)'!$C:$C,'FCDB 2017 (full)'!$AN:$AN)*$H60/100,0)</f>
        <v>0</v>
      </c>
      <c r="AX60" s="16">
        <f ca="1">IFERROR(_xlfn.XLOOKUP($F60,'FCDB 2017 (full)'!$C:$C,'FCDB 2017 (full)'!$AO:$AO)*$H60/100,0)</f>
        <v>0</v>
      </c>
      <c r="AY60" s="16">
        <f ca="1">IFERROR(_xlfn.XLOOKUP($F60,'FCDB 2017 (full)'!$C:$C,'FCDB 2017 (full)'!$AP:$AP)*$H60/100,0)</f>
        <v>0</v>
      </c>
      <c r="AZ60" s="16">
        <f ca="1">IFERROR(_xlfn.XLOOKUP($F60,'FCDB 2017 (full)'!$C:$C,'FCDB 2017 (full)'!$AQ:$AQ)*$H60/100,0)</f>
        <v>0</v>
      </c>
      <c r="BA60" s="16">
        <f ca="1">IFERROR(_xlfn.XLOOKUP($F60,'FCDB 2017 (full)'!$C:$C,'FCDB 2017 (full)'!$AR:$AR)*$H60/100,0)</f>
        <v>0</v>
      </c>
      <c r="BB60" s="16">
        <f ca="1">IFERROR(_xlfn.XLOOKUP($F60,'FCDB 2017 (full)'!$C:$C,'FCDB 2017 (full)'!$AS:$AS)*$H60/100,0)</f>
        <v>0</v>
      </c>
      <c r="BC60" s="16">
        <f ca="1">IFERROR(_xlfn.XLOOKUP($F60,'FCDB 2017 (full)'!$C:$C,'FCDB 2017 (full)'!$AT:$AT)*$H60/100,0)</f>
        <v>0</v>
      </c>
      <c r="BD60" s="16">
        <f ca="1">IFERROR(_xlfn.XLOOKUP($F60,'FCDB 2017 (full)'!$C:$C,'FCDB 2017 (full)'!$AU:$AU)*$H60/100,0)</f>
        <v>0</v>
      </c>
      <c r="BE60" s="16">
        <f ca="1">IFERROR(_xlfn.XLOOKUP($F60,'FCDB 2017 (full)'!$C:$C,'FCDB 2017 (full)'!$AV:$AV)*$H60/100,0)</f>
        <v>0</v>
      </c>
      <c r="BF60" s="16">
        <f ca="1">IFERROR(_xlfn.XLOOKUP($F60,'FCDB 2017 (full)'!$C:$C,'FCDB 2017 (full)'!$AW:$AW)*$H60/100,0)</f>
        <v>0</v>
      </c>
      <c r="BG60" s="16">
        <f ca="1">IFERROR(_xlfn.XLOOKUP($F60,'FCDB 2017 (full)'!$C:$C,'FCDB 2017 (full)'!$AX:$AX)*$H60/100,0)</f>
        <v>0</v>
      </c>
      <c r="BH60" s="16">
        <f ca="1">IFERROR(_xlfn.XLOOKUP($F60,'FCDB 2017 (full)'!$C:$C,'FCDB 2017 (full)'!$AY:$AY)*$H60/100,0)</f>
        <v>0</v>
      </c>
      <c r="BI60" s="16">
        <f ca="1">IFERROR(_xlfn.XLOOKUP($F60,'FCDB 2017 (full)'!$C:$C,'FCDB 2017 (full)'!$AZ:$AZ)*$H60/100,0)</f>
        <v>0</v>
      </c>
      <c r="BJ60" s="16">
        <f ca="1">IFERROR(_xlfn.XLOOKUP($F60,'FCDB 2017 (full)'!$C:$C,'FCDB 2017 (full)'!$BA:$BA)*$H60/100,0)</f>
        <v>0</v>
      </c>
      <c r="BK60" s="16">
        <f ca="1">IFERROR(_xlfn.XLOOKUP($F60,'FCDB 2017 (full)'!$C:$C,'FCDB 2017 (full)'!$BB:$BB)*$H60/100,0)</f>
        <v>0</v>
      </c>
      <c r="BL60" s="16">
        <f ca="1">IFERROR(_xlfn.XLOOKUP($F60,'FCDB 2017 (full)'!$C:$C,'FCDB 2017 (full)'!$BC:$BC)*$H60/100,0)</f>
        <v>0</v>
      </c>
      <c r="BM60" s="16">
        <f ca="1">IFERROR(_xlfn.XLOOKUP($F60,'FCDB 2017 (full)'!$C:$C,'FCDB 2017 (full)'!$BD:$BD)*$H60/100,0)</f>
        <v>0</v>
      </c>
      <c r="BN60" s="16">
        <f ca="1">IFERROR(_xlfn.XLOOKUP($F60,'FCDB 2017 (full)'!$C:$C,'FCDB 2017 (full)'!$BE:$BE)*$H60/100,0)</f>
        <v>0</v>
      </c>
      <c r="BO60" s="16">
        <f ca="1">IFERROR(_xlfn.XLOOKUP($F60,'FCDB 2017 (full)'!$C:$C,'FCDB 2017 (full)'!$BF:$BF)*$H60/100,0)</f>
        <v>0</v>
      </c>
      <c r="BP60" s="16">
        <f ca="1">IFERROR(_xlfn.XLOOKUP($F60,'FCDB 2017 (full)'!$C:$C,'FCDB 2017 (full)'!$BG:$BG)*$H60/100,0)</f>
        <v>0</v>
      </c>
      <c r="BQ60" s="16">
        <f ca="1">IFERROR(_xlfn.XLOOKUP($F60,'FCDB 2017 (full)'!$C:$C,'FCDB 2017 (full)'!$BH:$BH)*$H60/100,0)</f>
        <v>0</v>
      </c>
      <c r="BR60" s="16">
        <f ca="1">IFERROR(_xlfn.XLOOKUP($F60,'FCDB 2017 (full)'!$C:$C,'FCDB 2017 (full)'!$BI:$BI)*$H60/100,0)</f>
        <v>0</v>
      </c>
      <c r="BS60" s="16">
        <f ca="1">IFERROR(_xlfn.XLOOKUP($F60,'FCDB 2017 (full)'!$C:$C,'FCDB 2017 (full)'!$BJ:$BJ)*$H60/100,0)</f>
        <v>0</v>
      </c>
      <c r="BT60" s="16">
        <f ca="1">IFERROR(_xlfn.XLOOKUP($F60,'FCDB 2017 (full)'!$C:$C,'FCDB 2017 (full)'!$BK:$BK)*$H60/100,0)</f>
        <v>0</v>
      </c>
      <c r="BU60" s="16">
        <f ca="1">IFERROR(_xlfn.XLOOKUP($F60,'FCDB 2017 (full)'!$C:$C,'FCDB 2017 (full)'!$BL:$BL)*$H60/100,0)</f>
        <v>0</v>
      </c>
      <c r="BV60" s="16">
        <f ca="1">IFERROR(_xlfn.XLOOKUP($F60,'FCDB 2017 (full)'!$C:$C,'FCDB 2017 (full)'!$BM:$BM)*$H60/100,0)</f>
        <v>0</v>
      </c>
      <c r="BW60" s="16">
        <f ca="1">IFERROR(_xlfn.XLOOKUP($F60,'FCDB 2017 (full)'!$C:$C,'FCDB 2017 (full)'!$BN:$BN)*$H60/100,0)</f>
        <v>0</v>
      </c>
      <c r="BX60" s="16">
        <f ca="1">IFERROR(_xlfn.XLOOKUP($F60,'FCDB 2017 (full)'!$C:$C,'FCDB 2017 (full)'!$BO:$BO)*$H60/100,0)</f>
        <v>0</v>
      </c>
      <c r="BY60" s="16">
        <f ca="1">IFERROR(_xlfn.XLOOKUP($F60,'FCDB 2017 (full)'!$C:$C,'FCDB 2017 (full)'!$BP:$BP)*$H60/100,0)</f>
        <v>0</v>
      </c>
      <c r="BZ60" s="16">
        <f ca="1">IFERROR(_xlfn.XLOOKUP($F60,'FCDB 2017 (full)'!$C:$C,'FCDB 2017 (full)'!$BQ:$BQ)*$H60/100,0)</f>
        <v>0</v>
      </c>
      <c r="CA60" s="16">
        <f ca="1">IFERROR(_xlfn.XLOOKUP($F60,'FCDB 2017 (full)'!$C:$C,'FCDB 2017 (full)'!$BR:$BR)*$H60/100,0)</f>
        <v>0</v>
      </c>
      <c r="CB60" s="16">
        <f ca="1">IFERROR(_xlfn.XLOOKUP($F60,'FCDB 2017 (full)'!$C:$C,'FCDB 2017 (full)'!$BS:$BS)*$H60/100,0)</f>
        <v>0</v>
      </c>
      <c r="CC60" s="16">
        <f ca="1">IFERROR(_xlfn.XLOOKUP($F60,'FCDB 2017 (full)'!$C:$C,'FCDB 2017 (full)'!$BT:$BT)*$H60/100,0)</f>
        <v>0</v>
      </c>
      <c r="CD60" s="16">
        <f ca="1">IFERROR(_xlfn.XLOOKUP($F60,'FCDB 2017 (full)'!$C:$C,'FCDB 2017 (full)'!$BU:$BU)*$H60/100,0)</f>
        <v>0</v>
      </c>
      <c r="CE60" s="16">
        <f ca="1">IFERROR(_xlfn.XLOOKUP($F60,'FCDB 2017 (full)'!$C:$C,'FCDB 2017 (full)'!$BV:$BV)*$H60/100,0)</f>
        <v>0</v>
      </c>
      <c r="CF60" s="16">
        <f ca="1">IFERROR(_xlfn.XLOOKUP($F60,'FCDB 2017 (full)'!$C:$C,'FCDB 2017 (full)'!$BW:$BW)*$H60/100,0)</f>
        <v>0</v>
      </c>
      <c r="CG60" s="16">
        <f ca="1">IFERROR(_xlfn.XLOOKUP($F60,'FCDB 2017 (full)'!$C:$C,'FCDB 2017 (full)'!$BX:$BX)*$H60/100,0)</f>
        <v>0</v>
      </c>
      <c r="CH60" s="16">
        <f ca="1">IFERROR(_xlfn.XLOOKUP($F60,'FCDB 2017 (full)'!$C:$C,'FCDB 2017 (full)'!$BY:$BY)*$H60/100,0)</f>
        <v>0</v>
      </c>
      <c r="CI60" s="16">
        <f ca="1">IFERROR(_xlfn.XLOOKUP($F60,'FCDB 2017 (full)'!$C:$C,'FCDB 2017 (full)'!$BZ:$BZ)*$H60/100,0)</f>
        <v>0</v>
      </c>
      <c r="CJ60" s="16">
        <f ca="1">IFERROR(_xlfn.XLOOKUP($F60,'FCDB 2017 (full)'!$C:$C,'FCDB 2017 (full)'!$CA:$CA)*$H60/100,0)</f>
        <v>0</v>
      </c>
      <c r="CK60" s="16">
        <f ca="1">IFERROR(_xlfn.XLOOKUP($F60,'FCDB 2017 (full)'!$C:$C,'FCDB 2017 (full)'!$CB:$CB)*$H60/100,0)</f>
        <v>0</v>
      </c>
      <c r="CL60" s="16">
        <f ca="1">IFERROR(_xlfn.XLOOKUP($F60,'FCDB 2017 (full)'!$C:$C,'FCDB 2017 (full)'!$CC:$CC)*$H60/100,0)</f>
        <v>0</v>
      </c>
      <c r="CM60" s="16">
        <f ca="1">IFERROR(_xlfn.XLOOKUP($F60,'FCDB 2017 (full)'!$C:$C,'FCDB 2017 (full)'!$CD:$CD)*$H60/100,0)</f>
        <v>0</v>
      </c>
      <c r="CN60" s="16">
        <f ca="1">IFERROR(_xlfn.XLOOKUP($F60,'FCDB 2017 (full)'!$C:$C,'FCDB 2017 (full)'!$CE:$CE)*$H60/100,0)</f>
        <v>0</v>
      </c>
      <c r="CO60" s="16">
        <f ca="1">IFERROR(_xlfn.XLOOKUP($F60,'FCDB 2017 (full)'!$C:$C,'FCDB 2017 (full)'!$CF:$CF)*$H60/100,0)</f>
        <v>0</v>
      </c>
      <c r="CP60" s="16">
        <f ca="1">IFERROR(_xlfn.XLOOKUP($F60,'FCDB 2017 (full)'!$C:$C,'FCDB 2017 (full)'!$CG:$CG)*$H60/100,0)</f>
        <v>0</v>
      </c>
      <c r="CQ60" s="16">
        <f ca="1">IFERROR(_xlfn.XLOOKUP($F60,'FCDB 2017 (full)'!$C:$C,'FCDB 2017 (full)'!$CH:$CH)*$H60/100,0)</f>
        <v>0</v>
      </c>
      <c r="DA60" s="72" t="s">
        <v>980</v>
      </c>
    </row>
    <row r="61" spans="4:105">
      <c r="E61" s="41"/>
      <c r="F61" s="11">
        <f>IFERROR(VLOOKUP($D$53,$D:$AE,3,0),0)</f>
        <v>0</v>
      </c>
      <c r="G61" s="7" cm="1">
        <f t="array" ref="G61">IF(F61=0,0,IF(_xlfn.XLOOKUP(F61,$E$53:$AE$53,$E$54:$AE$54)=0,"Nhập ĐV/TV",_xlfn.XLOOKUP(F61,$E$53:$AE$53,$E$54:$AE$54)))</f>
        <v>0</v>
      </c>
      <c r="H61" s="8">
        <f t="shared" ref="H61:H82" si="14">IFERROR(INDEX($E$55:$AE$55,MATCH(F61,$E$53:$AE$53,0)),0)</f>
        <v>0</v>
      </c>
      <c r="I61" s="9">
        <f ca="1">IFERROR(_xlfn.XLOOKUP($F61,'FCDB 2017 (full)'!$C:$C,'FCDB 2017 (full)'!$E:$E),0)</f>
        <v>0</v>
      </c>
      <c r="J61" s="10">
        <f t="shared" ref="J61:J82" ca="1" si="15">$H61*I61/100</f>
        <v>0</v>
      </c>
      <c r="K61" s="9">
        <f ca="1">IFERROR(_xlfn.XLOOKUP($F61,'FCDB 2017 (full)'!$C:$C,'FCDB 2017 (full)'!$G:$G),0)</f>
        <v>0</v>
      </c>
      <c r="L61" s="13">
        <f t="shared" ref="L61:L82" si="16">IF($G61=L$15,$H61*$K61/100,0)</f>
        <v>0</v>
      </c>
      <c r="M61" s="13">
        <f t="shared" si="10"/>
        <v>0</v>
      </c>
      <c r="N61" s="9">
        <f ca="1">IFERROR(_xlfn.XLOOKUP($F61,'FCDB 2017 (full)'!$C:$C,'FCDB 2017 (full)'!$H:$H),0)</f>
        <v>0</v>
      </c>
      <c r="O61" s="14">
        <f t="shared" si="11"/>
        <v>0</v>
      </c>
      <c r="P61" s="14">
        <f t="shared" si="12"/>
        <v>0</v>
      </c>
      <c r="Q61" s="9">
        <f ca="1">IFERROR(_xlfn.XLOOKUP($F61,'FCDB 2017 (full)'!$C:$C,'FCDB 2017 (full)'!$I:$I),0)</f>
        <v>0</v>
      </c>
      <c r="R61" s="15">
        <f t="shared" ca="1" si="13"/>
        <v>0</v>
      </c>
      <c r="S61" s="16">
        <f ca="1">IFERROR(_xlfn.XLOOKUP($F61,'FCDB 2017 (full)'!$C:$C,'FCDB 2017 (full)'!$J:$J)*$H61/100,0)</f>
        <v>0</v>
      </c>
      <c r="T61" s="16">
        <f ca="1">IFERROR(_xlfn.XLOOKUP($F61,'FCDB 2017 (full)'!$C:$C,'FCDB 2017 (full)'!$K:$K)*$H61/100,0)</f>
        <v>0</v>
      </c>
      <c r="U61" s="16">
        <f ca="1">IFERROR(_xlfn.XLOOKUP($F61,'FCDB 2017 (full)'!$C:$C,'FCDB 2017 (full)'!$L:$L)*$H61/100,0)</f>
        <v>0</v>
      </c>
      <c r="V61" s="16">
        <f ca="1">IFERROR(_xlfn.XLOOKUP($F61,'FCDB 2017 (full)'!$C:$C,'FCDB 2017 (full)'!$M:$M)*$H61/100,0)</f>
        <v>0</v>
      </c>
      <c r="W61" s="16">
        <f ca="1">IFERROR(_xlfn.XLOOKUP($F61,'FCDB 2017 (full)'!$C:$C,'FCDB 2017 (full)'!$N:$N)*$H61/100,0)</f>
        <v>0</v>
      </c>
      <c r="X61" s="16">
        <f ca="1">IFERROR(_xlfn.XLOOKUP($F61,'FCDB 2017 (full)'!$C:$C,'FCDB 2017 (full)'!$O:$O)*$H61/100,0)</f>
        <v>0</v>
      </c>
      <c r="Y61" s="16">
        <f ca="1">IFERROR(_xlfn.XLOOKUP($F61,'FCDB 2017 (full)'!$C:$C,'FCDB 2017 (full)'!$P:$P)*$H61/100,0)</f>
        <v>0</v>
      </c>
      <c r="Z61" s="16">
        <f ca="1">IFERROR(_xlfn.XLOOKUP($F61,'FCDB 2017 (full)'!$C:$C,'FCDB 2017 (full)'!$Q:$Q)*$H61/100,0)</f>
        <v>0</v>
      </c>
      <c r="AA61" s="16">
        <f ca="1">IFERROR(_xlfn.XLOOKUP($F61,'FCDB 2017 (full)'!$C:$C,'FCDB 2017 (full)'!$R:$R)*$H61/100,0)</f>
        <v>0</v>
      </c>
      <c r="AB61" s="16">
        <f ca="1">IFERROR(_xlfn.XLOOKUP($F61,'FCDB 2017 (full)'!$C:$C,'FCDB 2017 (full)'!$S:$S)*$H61/100,0)</f>
        <v>0</v>
      </c>
      <c r="AC61" s="16">
        <f ca="1">IFERROR(_xlfn.XLOOKUP($F61,'FCDB 2017 (full)'!$C:$C,'FCDB 2017 (full)'!$T:$T)*$H61/100,0)</f>
        <v>0</v>
      </c>
      <c r="AD61" s="16">
        <f ca="1">IFERROR(_xlfn.XLOOKUP($F61,'FCDB 2017 (full)'!$C:$C,'FCDB 2017 (full)'!$U:$U)*$H61/100,0)</f>
        <v>0</v>
      </c>
      <c r="AE61" s="16">
        <f ca="1">IFERROR(_xlfn.XLOOKUP($F61,'FCDB 2017 (full)'!$C:$C,'FCDB 2017 (full)'!$V:$V)*$H61/100,0)</f>
        <v>0</v>
      </c>
      <c r="AF61" s="16">
        <f ca="1">IFERROR(_xlfn.XLOOKUP($F61,'FCDB 2017 (full)'!$C:$C,'FCDB 2017 (full)'!$W:$W)*$H61/100,0)</f>
        <v>0</v>
      </c>
      <c r="AG61" s="16">
        <f ca="1">IFERROR(_xlfn.XLOOKUP($F61,'FCDB 2017 (full)'!$C:$C,'FCDB 2017 (full)'!$X:$X)*$H61/100,0)</f>
        <v>0</v>
      </c>
      <c r="AH61" s="16">
        <f ca="1">IFERROR(_xlfn.XLOOKUP($F61,'FCDB 2017 (full)'!$C:$C,'FCDB 2017 (full)'!$Y:$Y)*$H61/100,0)</f>
        <v>0</v>
      </c>
      <c r="AI61" s="16">
        <f ca="1">IFERROR(_xlfn.XLOOKUP($F61,'FCDB 2017 (full)'!$C:$C,'FCDB 2017 (full)'!$Z:$Z)*$H61/100,0)</f>
        <v>0</v>
      </c>
      <c r="AJ61" s="16">
        <f ca="1">IFERROR(_xlfn.XLOOKUP($F61,'FCDB 2017 (full)'!$C:$C,'FCDB 2017 (full)'!$AA:$AA)*$H61/100,0)</f>
        <v>0</v>
      </c>
      <c r="AK61" s="16">
        <f ca="1">IFERROR(_xlfn.XLOOKUP($F61,'FCDB 2017 (full)'!$C:$C,'FCDB 2017 (full)'!$AB:$AB)*$H61/100,0)</f>
        <v>0</v>
      </c>
      <c r="AL61" s="16">
        <f ca="1">IFERROR(_xlfn.XLOOKUP($F61,'FCDB 2017 (full)'!$C:$C,'FCDB 2017 (full)'!$AC:$AC)*$H61/100,0)</f>
        <v>0</v>
      </c>
      <c r="AM61" s="16">
        <f ca="1">IFERROR(_xlfn.XLOOKUP($F61,'FCDB 2017 (full)'!$C:$C,'FCDB 2017 (full)'!$AD:$AD)*$H61/100,0)</f>
        <v>0</v>
      </c>
      <c r="AN61" s="16">
        <f ca="1">IFERROR(_xlfn.XLOOKUP($F61,'FCDB 2017 (full)'!$C:$C,'FCDB 2017 (full)'!$AE:$AE)*$H61/100,0)</f>
        <v>0</v>
      </c>
      <c r="AO61" s="16">
        <f ca="1">IFERROR(_xlfn.XLOOKUP($F61,'FCDB 2017 (full)'!$C:$C,'FCDB 2017 (full)'!$AF:$AF)*$H61/100,0)</f>
        <v>0</v>
      </c>
      <c r="AP61" s="16">
        <f ca="1">IFERROR(_xlfn.XLOOKUP($F61,'FCDB 2017 (full)'!$C:$C,'FCDB 2017 (full)'!$AG:$AG)*$H61/100,0)</f>
        <v>0</v>
      </c>
      <c r="AQ61" s="16">
        <f ca="1">IFERROR(_xlfn.XLOOKUP($F61,'FCDB 2017 (full)'!$C:$C,'FCDB 2017 (full)'!$AH:$AH)*$H61/100,0)</f>
        <v>0</v>
      </c>
      <c r="AR61" s="16">
        <f ca="1">IFERROR(_xlfn.XLOOKUP($F61,'FCDB 2017 (full)'!$C:$C,'FCDB 2017 (full)'!$AI:$AI)*$H61/100,0)</f>
        <v>0</v>
      </c>
      <c r="AS61" s="16">
        <f ca="1">IFERROR(_xlfn.XLOOKUP($F61,'FCDB 2017 (full)'!$C:$C,'FCDB 2017 (full)'!$AJ:$AJ)*$H61/100,0)</f>
        <v>0</v>
      </c>
      <c r="AT61" s="16">
        <f ca="1">IFERROR(_xlfn.XLOOKUP($F61,'FCDB 2017 (full)'!$C:$C,'FCDB 2017 (full)'!$AK:$AK)*$H61/100,0)</f>
        <v>0</v>
      </c>
      <c r="AU61" s="16">
        <f ca="1">IFERROR(_xlfn.XLOOKUP($F61,'FCDB 2017 (full)'!$C:$C,'FCDB 2017 (full)'!$AK:$AK)*$H61/100,0)</f>
        <v>0</v>
      </c>
      <c r="AV61" s="16">
        <f ca="1">IFERROR(_xlfn.XLOOKUP($F61,'FCDB 2017 (full)'!$C:$C,'FCDB 2017 (full)'!$AM:$AM)*$H61/100,0)</f>
        <v>0</v>
      </c>
      <c r="AW61" s="16">
        <f ca="1">IFERROR(_xlfn.XLOOKUP($F61,'FCDB 2017 (full)'!$C:$C,'FCDB 2017 (full)'!$AN:$AN)*$H61/100,0)</f>
        <v>0</v>
      </c>
      <c r="AX61" s="16">
        <f ca="1">IFERROR(_xlfn.XLOOKUP($F61,'FCDB 2017 (full)'!$C:$C,'FCDB 2017 (full)'!$AO:$AO)*$H61/100,0)</f>
        <v>0</v>
      </c>
      <c r="AY61" s="16">
        <f ca="1">IFERROR(_xlfn.XLOOKUP($F61,'FCDB 2017 (full)'!$C:$C,'FCDB 2017 (full)'!$AP:$AP)*$H61/100,0)</f>
        <v>0</v>
      </c>
      <c r="AZ61" s="16">
        <f ca="1">IFERROR(_xlfn.XLOOKUP($F61,'FCDB 2017 (full)'!$C:$C,'FCDB 2017 (full)'!$AQ:$AQ)*$H61/100,0)</f>
        <v>0</v>
      </c>
      <c r="BA61" s="16">
        <f ca="1">IFERROR(_xlfn.XLOOKUP($F61,'FCDB 2017 (full)'!$C:$C,'FCDB 2017 (full)'!$AR:$AR)*$H61/100,0)</f>
        <v>0</v>
      </c>
      <c r="BB61" s="16">
        <f ca="1">IFERROR(_xlfn.XLOOKUP($F61,'FCDB 2017 (full)'!$C:$C,'FCDB 2017 (full)'!$AS:$AS)*$H61/100,0)</f>
        <v>0</v>
      </c>
      <c r="BC61" s="16">
        <f ca="1">IFERROR(_xlfn.XLOOKUP($F61,'FCDB 2017 (full)'!$C:$C,'FCDB 2017 (full)'!$AT:$AT)*$H61/100,0)</f>
        <v>0</v>
      </c>
      <c r="BD61" s="16">
        <f ca="1">IFERROR(_xlfn.XLOOKUP($F61,'FCDB 2017 (full)'!$C:$C,'FCDB 2017 (full)'!$AU:$AU)*$H61/100,0)</f>
        <v>0</v>
      </c>
      <c r="BE61" s="16">
        <f ca="1">IFERROR(_xlfn.XLOOKUP($F61,'FCDB 2017 (full)'!$C:$C,'FCDB 2017 (full)'!$AV:$AV)*$H61/100,0)</f>
        <v>0</v>
      </c>
      <c r="BF61" s="16">
        <f ca="1">IFERROR(_xlfn.XLOOKUP($F61,'FCDB 2017 (full)'!$C:$C,'FCDB 2017 (full)'!$AW:$AW)*$H61/100,0)</f>
        <v>0</v>
      </c>
      <c r="BG61" s="16">
        <f ca="1">IFERROR(_xlfn.XLOOKUP($F61,'FCDB 2017 (full)'!$C:$C,'FCDB 2017 (full)'!$AX:$AX)*$H61/100,0)</f>
        <v>0</v>
      </c>
      <c r="BH61" s="16">
        <f ca="1">IFERROR(_xlfn.XLOOKUP($F61,'FCDB 2017 (full)'!$C:$C,'FCDB 2017 (full)'!$AY:$AY)*$H61/100,0)</f>
        <v>0</v>
      </c>
      <c r="BI61" s="16">
        <f ca="1">IFERROR(_xlfn.XLOOKUP($F61,'FCDB 2017 (full)'!$C:$C,'FCDB 2017 (full)'!$AZ:$AZ)*$H61/100,0)</f>
        <v>0</v>
      </c>
      <c r="BJ61" s="16">
        <f ca="1">IFERROR(_xlfn.XLOOKUP($F61,'FCDB 2017 (full)'!$C:$C,'FCDB 2017 (full)'!$BA:$BA)*$H61/100,0)</f>
        <v>0</v>
      </c>
      <c r="BK61" s="16">
        <f ca="1">IFERROR(_xlfn.XLOOKUP($F61,'FCDB 2017 (full)'!$C:$C,'FCDB 2017 (full)'!$BB:$BB)*$H61/100,0)</f>
        <v>0</v>
      </c>
      <c r="BL61" s="16">
        <f ca="1">IFERROR(_xlfn.XLOOKUP($F61,'FCDB 2017 (full)'!$C:$C,'FCDB 2017 (full)'!$BC:$BC)*$H61/100,0)</f>
        <v>0</v>
      </c>
      <c r="BM61" s="16">
        <f ca="1">IFERROR(_xlfn.XLOOKUP($F61,'FCDB 2017 (full)'!$C:$C,'FCDB 2017 (full)'!$BD:$BD)*$H61/100,0)</f>
        <v>0</v>
      </c>
      <c r="BN61" s="16">
        <f ca="1">IFERROR(_xlfn.XLOOKUP($F61,'FCDB 2017 (full)'!$C:$C,'FCDB 2017 (full)'!$BE:$BE)*$H61/100,0)</f>
        <v>0</v>
      </c>
      <c r="BO61" s="16">
        <f ca="1">IFERROR(_xlfn.XLOOKUP($F61,'FCDB 2017 (full)'!$C:$C,'FCDB 2017 (full)'!$BF:$BF)*$H61/100,0)</f>
        <v>0</v>
      </c>
      <c r="BP61" s="16">
        <f ca="1">IFERROR(_xlfn.XLOOKUP($F61,'FCDB 2017 (full)'!$C:$C,'FCDB 2017 (full)'!$BG:$BG)*$H61/100,0)</f>
        <v>0</v>
      </c>
      <c r="BQ61" s="16">
        <f ca="1">IFERROR(_xlfn.XLOOKUP($F61,'FCDB 2017 (full)'!$C:$C,'FCDB 2017 (full)'!$BH:$BH)*$H61/100,0)</f>
        <v>0</v>
      </c>
      <c r="BR61" s="16">
        <f ca="1">IFERROR(_xlfn.XLOOKUP($F61,'FCDB 2017 (full)'!$C:$C,'FCDB 2017 (full)'!$BI:$BI)*$H61/100,0)</f>
        <v>0</v>
      </c>
      <c r="BS61" s="16">
        <f ca="1">IFERROR(_xlfn.XLOOKUP($F61,'FCDB 2017 (full)'!$C:$C,'FCDB 2017 (full)'!$BJ:$BJ)*$H61/100,0)</f>
        <v>0</v>
      </c>
      <c r="BT61" s="16">
        <f ca="1">IFERROR(_xlfn.XLOOKUP($F61,'FCDB 2017 (full)'!$C:$C,'FCDB 2017 (full)'!$BK:$BK)*$H61/100,0)</f>
        <v>0</v>
      </c>
      <c r="BU61" s="16">
        <f ca="1">IFERROR(_xlfn.XLOOKUP($F61,'FCDB 2017 (full)'!$C:$C,'FCDB 2017 (full)'!$BL:$BL)*$H61/100,0)</f>
        <v>0</v>
      </c>
      <c r="BV61" s="16">
        <f ca="1">IFERROR(_xlfn.XLOOKUP($F61,'FCDB 2017 (full)'!$C:$C,'FCDB 2017 (full)'!$BM:$BM)*$H61/100,0)</f>
        <v>0</v>
      </c>
      <c r="BW61" s="16">
        <f ca="1">IFERROR(_xlfn.XLOOKUP($F61,'FCDB 2017 (full)'!$C:$C,'FCDB 2017 (full)'!$BN:$BN)*$H61/100,0)</f>
        <v>0</v>
      </c>
      <c r="BX61" s="16">
        <f ca="1">IFERROR(_xlfn.XLOOKUP($F61,'FCDB 2017 (full)'!$C:$C,'FCDB 2017 (full)'!$BO:$BO)*$H61/100,0)</f>
        <v>0</v>
      </c>
      <c r="BY61" s="16">
        <f ca="1">IFERROR(_xlfn.XLOOKUP($F61,'FCDB 2017 (full)'!$C:$C,'FCDB 2017 (full)'!$BP:$BP)*$H61/100,0)</f>
        <v>0</v>
      </c>
      <c r="BZ61" s="16">
        <f ca="1">IFERROR(_xlfn.XLOOKUP($F61,'FCDB 2017 (full)'!$C:$C,'FCDB 2017 (full)'!$BQ:$BQ)*$H61/100,0)</f>
        <v>0</v>
      </c>
      <c r="CA61" s="16">
        <f ca="1">IFERROR(_xlfn.XLOOKUP($F61,'FCDB 2017 (full)'!$C:$C,'FCDB 2017 (full)'!$BR:$BR)*$H61/100,0)</f>
        <v>0</v>
      </c>
      <c r="CB61" s="16">
        <f ca="1">IFERROR(_xlfn.XLOOKUP($F61,'FCDB 2017 (full)'!$C:$C,'FCDB 2017 (full)'!$BS:$BS)*$H61/100,0)</f>
        <v>0</v>
      </c>
      <c r="CC61" s="16">
        <f ca="1">IFERROR(_xlfn.XLOOKUP($F61,'FCDB 2017 (full)'!$C:$C,'FCDB 2017 (full)'!$BT:$BT)*$H61/100,0)</f>
        <v>0</v>
      </c>
      <c r="CD61" s="16">
        <f ca="1">IFERROR(_xlfn.XLOOKUP($F61,'FCDB 2017 (full)'!$C:$C,'FCDB 2017 (full)'!$BU:$BU)*$H61/100,0)</f>
        <v>0</v>
      </c>
      <c r="CE61" s="16">
        <f ca="1">IFERROR(_xlfn.XLOOKUP($F61,'FCDB 2017 (full)'!$C:$C,'FCDB 2017 (full)'!$BV:$BV)*$H61/100,0)</f>
        <v>0</v>
      </c>
      <c r="CF61" s="16">
        <f ca="1">IFERROR(_xlfn.XLOOKUP($F61,'FCDB 2017 (full)'!$C:$C,'FCDB 2017 (full)'!$BW:$BW)*$H61/100,0)</f>
        <v>0</v>
      </c>
      <c r="CG61" s="16">
        <f ca="1">IFERROR(_xlfn.XLOOKUP($F61,'FCDB 2017 (full)'!$C:$C,'FCDB 2017 (full)'!$BX:$BX)*$H61/100,0)</f>
        <v>0</v>
      </c>
      <c r="CH61" s="16">
        <f ca="1">IFERROR(_xlfn.XLOOKUP($F61,'FCDB 2017 (full)'!$C:$C,'FCDB 2017 (full)'!$BY:$BY)*$H61/100,0)</f>
        <v>0</v>
      </c>
      <c r="CI61" s="16">
        <f ca="1">IFERROR(_xlfn.XLOOKUP($F61,'FCDB 2017 (full)'!$C:$C,'FCDB 2017 (full)'!$BZ:$BZ)*$H61/100,0)</f>
        <v>0</v>
      </c>
      <c r="CJ61" s="16">
        <f ca="1">IFERROR(_xlfn.XLOOKUP($F61,'FCDB 2017 (full)'!$C:$C,'FCDB 2017 (full)'!$CA:$CA)*$H61/100,0)</f>
        <v>0</v>
      </c>
      <c r="CK61" s="16">
        <f ca="1">IFERROR(_xlfn.XLOOKUP($F61,'FCDB 2017 (full)'!$C:$C,'FCDB 2017 (full)'!$CB:$CB)*$H61/100,0)</f>
        <v>0</v>
      </c>
      <c r="CL61" s="16">
        <f ca="1">IFERROR(_xlfn.XLOOKUP($F61,'FCDB 2017 (full)'!$C:$C,'FCDB 2017 (full)'!$CC:$CC)*$H61/100,0)</f>
        <v>0</v>
      </c>
      <c r="CM61" s="16">
        <f ca="1">IFERROR(_xlfn.XLOOKUP($F61,'FCDB 2017 (full)'!$C:$C,'FCDB 2017 (full)'!$CD:$CD)*$H61/100,0)</f>
        <v>0</v>
      </c>
      <c r="CN61" s="16">
        <f ca="1">IFERROR(_xlfn.XLOOKUP($F61,'FCDB 2017 (full)'!$C:$C,'FCDB 2017 (full)'!$CE:$CE)*$H61/100,0)</f>
        <v>0</v>
      </c>
      <c r="CO61" s="16">
        <f ca="1">IFERROR(_xlfn.XLOOKUP($F61,'FCDB 2017 (full)'!$C:$C,'FCDB 2017 (full)'!$CF:$CF)*$H61/100,0)</f>
        <v>0</v>
      </c>
      <c r="CP61" s="16">
        <f ca="1">IFERROR(_xlfn.XLOOKUP($F61,'FCDB 2017 (full)'!$C:$C,'FCDB 2017 (full)'!$CG:$CG)*$H61/100,0)</f>
        <v>0</v>
      </c>
      <c r="CQ61" s="16">
        <f ca="1">IFERROR(_xlfn.XLOOKUP($F61,'FCDB 2017 (full)'!$C:$C,'FCDB 2017 (full)'!$CH:$CH)*$H61/100,0)</f>
        <v>0</v>
      </c>
      <c r="DA61" s="72" t="s">
        <v>980</v>
      </c>
    </row>
    <row r="62" spans="4:105">
      <c r="E62" s="41"/>
      <c r="F62" s="11">
        <f>IFERROR(VLOOKUP($D$53,$D:$AE,4,0),0)</f>
        <v>0</v>
      </c>
      <c r="G62" s="7" cm="1">
        <f t="array" ref="G62">IF(F62=0,0,IF(_xlfn.XLOOKUP(F62,$E$53:$AE$53,$E$54:$AE$54)=0,"Nhập ĐV/TV",_xlfn.XLOOKUP(F62,$E$53:$AE$53,$E$54:$AE$54)))</f>
        <v>0</v>
      </c>
      <c r="H62" s="8">
        <f t="shared" si="14"/>
        <v>0</v>
      </c>
      <c r="I62" s="9">
        <f ca="1">IFERROR(_xlfn.XLOOKUP($F62,'FCDB 2017 (full)'!$C:$C,'FCDB 2017 (full)'!$E:$E),0)</f>
        <v>0</v>
      </c>
      <c r="J62" s="10">
        <f t="shared" ca="1" si="15"/>
        <v>0</v>
      </c>
      <c r="K62" s="9">
        <f ca="1">IFERROR(_xlfn.XLOOKUP($F62,'FCDB 2017 (full)'!$C:$C,'FCDB 2017 (full)'!$G:$G),0)</f>
        <v>0</v>
      </c>
      <c r="L62" s="13">
        <f t="shared" si="16"/>
        <v>0</v>
      </c>
      <c r="M62" s="13">
        <f t="shared" si="10"/>
        <v>0</v>
      </c>
      <c r="N62" s="9">
        <f ca="1">IFERROR(_xlfn.XLOOKUP($F62,'FCDB 2017 (full)'!$C:$C,'FCDB 2017 (full)'!$H:$H),0)</f>
        <v>0</v>
      </c>
      <c r="O62" s="14">
        <f t="shared" si="11"/>
        <v>0</v>
      </c>
      <c r="P62" s="14">
        <f t="shared" si="12"/>
        <v>0</v>
      </c>
      <c r="Q62" s="9">
        <f ca="1">IFERROR(_xlfn.XLOOKUP($F62,'FCDB 2017 (full)'!$C:$C,'FCDB 2017 (full)'!$I:$I),0)</f>
        <v>0</v>
      </c>
      <c r="R62" s="15">
        <f t="shared" ca="1" si="13"/>
        <v>0</v>
      </c>
      <c r="S62" s="16">
        <f ca="1">IFERROR(_xlfn.XLOOKUP($F62,'FCDB 2017 (full)'!$C:$C,'FCDB 2017 (full)'!$J:$J)*$H62/100,0)</f>
        <v>0</v>
      </c>
      <c r="T62" s="16">
        <f ca="1">IFERROR(_xlfn.XLOOKUP($F62,'FCDB 2017 (full)'!$C:$C,'FCDB 2017 (full)'!$K:$K)*$H62/100,0)</f>
        <v>0</v>
      </c>
      <c r="U62" s="16">
        <f ca="1">IFERROR(_xlfn.XLOOKUP($F62,'FCDB 2017 (full)'!$C:$C,'FCDB 2017 (full)'!$L:$L)*$H62/100,0)</f>
        <v>0</v>
      </c>
      <c r="V62" s="16">
        <f ca="1">IFERROR(_xlfn.XLOOKUP($F62,'FCDB 2017 (full)'!$C:$C,'FCDB 2017 (full)'!$M:$M)*$H62/100,0)</f>
        <v>0</v>
      </c>
      <c r="W62" s="16">
        <f ca="1">IFERROR(_xlfn.XLOOKUP($F62,'FCDB 2017 (full)'!$C:$C,'FCDB 2017 (full)'!$N:$N)*$H62/100,0)</f>
        <v>0</v>
      </c>
      <c r="X62" s="16">
        <f ca="1">IFERROR(_xlfn.XLOOKUP($F62,'FCDB 2017 (full)'!$C:$C,'FCDB 2017 (full)'!$O:$O)*$H62/100,0)</f>
        <v>0</v>
      </c>
      <c r="Y62" s="16">
        <f ca="1">IFERROR(_xlfn.XLOOKUP($F62,'FCDB 2017 (full)'!$C:$C,'FCDB 2017 (full)'!$P:$P)*$H62/100,0)</f>
        <v>0</v>
      </c>
      <c r="Z62" s="16">
        <f ca="1">IFERROR(_xlfn.XLOOKUP($F62,'FCDB 2017 (full)'!$C:$C,'FCDB 2017 (full)'!$Q:$Q)*$H62/100,0)</f>
        <v>0</v>
      </c>
      <c r="AA62" s="16">
        <f ca="1">IFERROR(_xlfn.XLOOKUP($F62,'FCDB 2017 (full)'!$C:$C,'FCDB 2017 (full)'!$R:$R)*$H62/100,0)</f>
        <v>0</v>
      </c>
      <c r="AB62" s="16">
        <f ca="1">IFERROR(_xlfn.XLOOKUP($F62,'FCDB 2017 (full)'!$C:$C,'FCDB 2017 (full)'!$S:$S)*$H62/100,0)</f>
        <v>0</v>
      </c>
      <c r="AC62" s="16">
        <f ca="1">IFERROR(_xlfn.XLOOKUP($F62,'FCDB 2017 (full)'!$C:$C,'FCDB 2017 (full)'!$T:$T)*$H62/100,0)</f>
        <v>0</v>
      </c>
      <c r="AD62" s="16">
        <f ca="1">IFERROR(_xlfn.XLOOKUP($F62,'FCDB 2017 (full)'!$C:$C,'FCDB 2017 (full)'!$U:$U)*$H62/100,0)</f>
        <v>0</v>
      </c>
      <c r="AE62" s="16">
        <f ca="1">IFERROR(_xlfn.XLOOKUP($F62,'FCDB 2017 (full)'!$C:$C,'FCDB 2017 (full)'!$V:$V)*$H62/100,0)</f>
        <v>0</v>
      </c>
      <c r="AF62" s="16">
        <f ca="1">IFERROR(_xlfn.XLOOKUP($F62,'FCDB 2017 (full)'!$C:$C,'FCDB 2017 (full)'!$W:$W)*$H62/100,0)</f>
        <v>0</v>
      </c>
      <c r="AG62" s="16">
        <f ca="1">IFERROR(_xlfn.XLOOKUP($F62,'FCDB 2017 (full)'!$C:$C,'FCDB 2017 (full)'!$X:$X)*$H62/100,0)</f>
        <v>0</v>
      </c>
      <c r="AH62" s="16">
        <f ca="1">IFERROR(_xlfn.XLOOKUP($F62,'FCDB 2017 (full)'!$C:$C,'FCDB 2017 (full)'!$Y:$Y)*$H62/100,0)</f>
        <v>0</v>
      </c>
      <c r="AI62" s="16">
        <f ca="1">IFERROR(_xlfn.XLOOKUP($F62,'FCDB 2017 (full)'!$C:$C,'FCDB 2017 (full)'!$Z:$Z)*$H62/100,0)</f>
        <v>0</v>
      </c>
      <c r="AJ62" s="16">
        <f ca="1">IFERROR(_xlfn.XLOOKUP($F62,'FCDB 2017 (full)'!$C:$C,'FCDB 2017 (full)'!$AA:$AA)*$H62/100,0)</f>
        <v>0</v>
      </c>
      <c r="AK62" s="16">
        <f ca="1">IFERROR(_xlfn.XLOOKUP($F62,'FCDB 2017 (full)'!$C:$C,'FCDB 2017 (full)'!$AB:$AB)*$H62/100,0)</f>
        <v>0</v>
      </c>
      <c r="AL62" s="16">
        <f ca="1">IFERROR(_xlfn.XLOOKUP($F62,'FCDB 2017 (full)'!$C:$C,'FCDB 2017 (full)'!$AC:$AC)*$H62/100,0)</f>
        <v>0</v>
      </c>
      <c r="AM62" s="16">
        <f ca="1">IFERROR(_xlfn.XLOOKUP($F62,'FCDB 2017 (full)'!$C:$C,'FCDB 2017 (full)'!$AD:$AD)*$H62/100,0)</f>
        <v>0</v>
      </c>
      <c r="AN62" s="16">
        <f ca="1">IFERROR(_xlfn.XLOOKUP($F62,'FCDB 2017 (full)'!$C:$C,'FCDB 2017 (full)'!$AE:$AE)*$H62/100,0)</f>
        <v>0</v>
      </c>
      <c r="AO62" s="16">
        <f ca="1">IFERROR(_xlfn.XLOOKUP($F62,'FCDB 2017 (full)'!$C:$C,'FCDB 2017 (full)'!$AF:$AF)*$H62/100,0)</f>
        <v>0</v>
      </c>
      <c r="AP62" s="16">
        <f ca="1">IFERROR(_xlfn.XLOOKUP($F62,'FCDB 2017 (full)'!$C:$C,'FCDB 2017 (full)'!$AG:$AG)*$H62/100,0)</f>
        <v>0</v>
      </c>
      <c r="AQ62" s="16">
        <f ca="1">IFERROR(_xlfn.XLOOKUP($F62,'FCDB 2017 (full)'!$C:$C,'FCDB 2017 (full)'!$AH:$AH)*$H62/100,0)</f>
        <v>0</v>
      </c>
      <c r="AR62" s="16">
        <f ca="1">IFERROR(_xlfn.XLOOKUP($F62,'FCDB 2017 (full)'!$C:$C,'FCDB 2017 (full)'!$AI:$AI)*$H62/100,0)</f>
        <v>0</v>
      </c>
      <c r="AS62" s="16">
        <f ca="1">IFERROR(_xlfn.XLOOKUP($F62,'FCDB 2017 (full)'!$C:$C,'FCDB 2017 (full)'!$AJ:$AJ)*$H62/100,0)</f>
        <v>0</v>
      </c>
      <c r="AT62" s="16">
        <f ca="1">IFERROR(_xlfn.XLOOKUP($F62,'FCDB 2017 (full)'!$C:$C,'FCDB 2017 (full)'!$AK:$AK)*$H62/100,0)</f>
        <v>0</v>
      </c>
      <c r="AU62" s="16">
        <f ca="1">IFERROR(_xlfn.XLOOKUP($F62,'FCDB 2017 (full)'!$C:$C,'FCDB 2017 (full)'!$AK:$AK)*$H62/100,0)</f>
        <v>0</v>
      </c>
      <c r="AV62" s="16">
        <f ca="1">IFERROR(_xlfn.XLOOKUP($F62,'FCDB 2017 (full)'!$C:$C,'FCDB 2017 (full)'!$AM:$AM)*$H62/100,0)</f>
        <v>0</v>
      </c>
      <c r="AW62" s="16">
        <f ca="1">IFERROR(_xlfn.XLOOKUP($F62,'FCDB 2017 (full)'!$C:$C,'FCDB 2017 (full)'!$AN:$AN)*$H62/100,0)</f>
        <v>0</v>
      </c>
      <c r="AX62" s="16">
        <f ca="1">IFERROR(_xlfn.XLOOKUP($F62,'FCDB 2017 (full)'!$C:$C,'FCDB 2017 (full)'!$AO:$AO)*$H62/100,0)</f>
        <v>0</v>
      </c>
      <c r="AY62" s="16">
        <f ca="1">IFERROR(_xlfn.XLOOKUP($F62,'FCDB 2017 (full)'!$C:$C,'FCDB 2017 (full)'!$AP:$AP)*$H62/100,0)</f>
        <v>0</v>
      </c>
      <c r="AZ62" s="16">
        <f ca="1">IFERROR(_xlfn.XLOOKUP($F62,'FCDB 2017 (full)'!$C:$C,'FCDB 2017 (full)'!$AQ:$AQ)*$H62/100,0)</f>
        <v>0</v>
      </c>
      <c r="BA62" s="16">
        <f ca="1">IFERROR(_xlfn.XLOOKUP($F62,'FCDB 2017 (full)'!$C:$C,'FCDB 2017 (full)'!$AR:$AR)*$H62/100,0)</f>
        <v>0</v>
      </c>
      <c r="BB62" s="16">
        <f ca="1">IFERROR(_xlfn.XLOOKUP($F62,'FCDB 2017 (full)'!$C:$C,'FCDB 2017 (full)'!$AS:$AS)*$H62/100,0)</f>
        <v>0</v>
      </c>
      <c r="BC62" s="16">
        <f ca="1">IFERROR(_xlfn.XLOOKUP($F62,'FCDB 2017 (full)'!$C:$C,'FCDB 2017 (full)'!$AT:$AT)*$H62/100,0)</f>
        <v>0</v>
      </c>
      <c r="BD62" s="16">
        <f ca="1">IFERROR(_xlfn.XLOOKUP($F62,'FCDB 2017 (full)'!$C:$C,'FCDB 2017 (full)'!$AU:$AU)*$H62/100,0)</f>
        <v>0</v>
      </c>
      <c r="BE62" s="16">
        <f ca="1">IFERROR(_xlfn.XLOOKUP($F62,'FCDB 2017 (full)'!$C:$C,'FCDB 2017 (full)'!$AV:$AV)*$H62/100,0)</f>
        <v>0</v>
      </c>
      <c r="BF62" s="16">
        <f ca="1">IFERROR(_xlfn.XLOOKUP($F62,'FCDB 2017 (full)'!$C:$C,'FCDB 2017 (full)'!$AW:$AW)*$H62/100,0)</f>
        <v>0</v>
      </c>
      <c r="BG62" s="16">
        <f ca="1">IFERROR(_xlfn.XLOOKUP($F62,'FCDB 2017 (full)'!$C:$C,'FCDB 2017 (full)'!$AX:$AX)*$H62/100,0)</f>
        <v>0</v>
      </c>
      <c r="BH62" s="16">
        <f ca="1">IFERROR(_xlfn.XLOOKUP($F62,'FCDB 2017 (full)'!$C:$C,'FCDB 2017 (full)'!$AY:$AY)*$H62/100,0)</f>
        <v>0</v>
      </c>
      <c r="BI62" s="16">
        <f ca="1">IFERROR(_xlfn.XLOOKUP($F62,'FCDB 2017 (full)'!$C:$C,'FCDB 2017 (full)'!$AZ:$AZ)*$H62/100,0)</f>
        <v>0</v>
      </c>
      <c r="BJ62" s="16">
        <f ca="1">IFERROR(_xlfn.XLOOKUP($F62,'FCDB 2017 (full)'!$C:$C,'FCDB 2017 (full)'!$BA:$BA)*$H62/100,0)</f>
        <v>0</v>
      </c>
      <c r="BK62" s="16">
        <f ca="1">IFERROR(_xlfn.XLOOKUP($F62,'FCDB 2017 (full)'!$C:$C,'FCDB 2017 (full)'!$BB:$BB)*$H62/100,0)</f>
        <v>0</v>
      </c>
      <c r="BL62" s="16">
        <f ca="1">IFERROR(_xlfn.XLOOKUP($F62,'FCDB 2017 (full)'!$C:$C,'FCDB 2017 (full)'!$BC:$BC)*$H62/100,0)</f>
        <v>0</v>
      </c>
      <c r="BM62" s="16">
        <f ca="1">IFERROR(_xlfn.XLOOKUP($F62,'FCDB 2017 (full)'!$C:$C,'FCDB 2017 (full)'!$BD:$BD)*$H62/100,0)</f>
        <v>0</v>
      </c>
      <c r="BN62" s="16">
        <f ca="1">IFERROR(_xlfn.XLOOKUP($F62,'FCDB 2017 (full)'!$C:$C,'FCDB 2017 (full)'!$BE:$BE)*$H62/100,0)</f>
        <v>0</v>
      </c>
      <c r="BO62" s="16">
        <f ca="1">IFERROR(_xlfn.XLOOKUP($F62,'FCDB 2017 (full)'!$C:$C,'FCDB 2017 (full)'!$BF:$BF)*$H62/100,0)</f>
        <v>0</v>
      </c>
      <c r="BP62" s="16">
        <f ca="1">IFERROR(_xlfn.XLOOKUP($F62,'FCDB 2017 (full)'!$C:$C,'FCDB 2017 (full)'!$BG:$BG)*$H62/100,0)</f>
        <v>0</v>
      </c>
      <c r="BQ62" s="16">
        <f ca="1">IFERROR(_xlfn.XLOOKUP($F62,'FCDB 2017 (full)'!$C:$C,'FCDB 2017 (full)'!$BH:$BH)*$H62/100,0)</f>
        <v>0</v>
      </c>
      <c r="BR62" s="16">
        <f ca="1">IFERROR(_xlfn.XLOOKUP($F62,'FCDB 2017 (full)'!$C:$C,'FCDB 2017 (full)'!$BI:$BI)*$H62/100,0)</f>
        <v>0</v>
      </c>
      <c r="BS62" s="16">
        <f ca="1">IFERROR(_xlfn.XLOOKUP($F62,'FCDB 2017 (full)'!$C:$C,'FCDB 2017 (full)'!$BJ:$BJ)*$H62/100,0)</f>
        <v>0</v>
      </c>
      <c r="BT62" s="16">
        <f ca="1">IFERROR(_xlfn.XLOOKUP($F62,'FCDB 2017 (full)'!$C:$C,'FCDB 2017 (full)'!$BK:$BK)*$H62/100,0)</f>
        <v>0</v>
      </c>
      <c r="BU62" s="16">
        <f ca="1">IFERROR(_xlfn.XLOOKUP($F62,'FCDB 2017 (full)'!$C:$C,'FCDB 2017 (full)'!$BL:$BL)*$H62/100,0)</f>
        <v>0</v>
      </c>
      <c r="BV62" s="16">
        <f ca="1">IFERROR(_xlfn.XLOOKUP($F62,'FCDB 2017 (full)'!$C:$C,'FCDB 2017 (full)'!$BM:$BM)*$H62/100,0)</f>
        <v>0</v>
      </c>
      <c r="BW62" s="16">
        <f ca="1">IFERROR(_xlfn.XLOOKUP($F62,'FCDB 2017 (full)'!$C:$C,'FCDB 2017 (full)'!$BN:$BN)*$H62/100,0)</f>
        <v>0</v>
      </c>
      <c r="BX62" s="16">
        <f ca="1">IFERROR(_xlfn.XLOOKUP($F62,'FCDB 2017 (full)'!$C:$C,'FCDB 2017 (full)'!$BO:$BO)*$H62/100,0)</f>
        <v>0</v>
      </c>
      <c r="BY62" s="16">
        <f ca="1">IFERROR(_xlfn.XLOOKUP($F62,'FCDB 2017 (full)'!$C:$C,'FCDB 2017 (full)'!$BP:$BP)*$H62/100,0)</f>
        <v>0</v>
      </c>
      <c r="BZ62" s="16">
        <f ca="1">IFERROR(_xlfn.XLOOKUP($F62,'FCDB 2017 (full)'!$C:$C,'FCDB 2017 (full)'!$BQ:$BQ)*$H62/100,0)</f>
        <v>0</v>
      </c>
      <c r="CA62" s="16">
        <f ca="1">IFERROR(_xlfn.XLOOKUP($F62,'FCDB 2017 (full)'!$C:$C,'FCDB 2017 (full)'!$BR:$BR)*$H62/100,0)</f>
        <v>0</v>
      </c>
      <c r="CB62" s="16">
        <f ca="1">IFERROR(_xlfn.XLOOKUP($F62,'FCDB 2017 (full)'!$C:$C,'FCDB 2017 (full)'!$BS:$BS)*$H62/100,0)</f>
        <v>0</v>
      </c>
      <c r="CC62" s="16">
        <f ca="1">IFERROR(_xlfn.XLOOKUP($F62,'FCDB 2017 (full)'!$C:$C,'FCDB 2017 (full)'!$BT:$BT)*$H62/100,0)</f>
        <v>0</v>
      </c>
      <c r="CD62" s="16">
        <f ca="1">IFERROR(_xlfn.XLOOKUP($F62,'FCDB 2017 (full)'!$C:$C,'FCDB 2017 (full)'!$BU:$BU)*$H62/100,0)</f>
        <v>0</v>
      </c>
      <c r="CE62" s="16">
        <f ca="1">IFERROR(_xlfn.XLOOKUP($F62,'FCDB 2017 (full)'!$C:$C,'FCDB 2017 (full)'!$BV:$BV)*$H62/100,0)</f>
        <v>0</v>
      </c>
      <c r="CF62" s="16">
        <f ca="1">IFERROR(_xlfn.XLOOKUP($F62,'FCDB 2017 (full)'!$C:$C,'FCDB 2017 (full)'!$BW:$BW)*$H62/100,0)</f>
        <v>0</v>
      </c>
      <c r="CG62" s="16">
        <f ca="1">IFERROR(_xlfn.XLOOKUP($F62,'FCDB 2017 (full)'!$C:$C,'FCDB 2017 (full)'!$BX:$BX)*$H62/100,0)</f>
        <v>0</v>
      </c>
      <c r="CH62" s="16">
        <f ca="1">IFERROR(_xlfn.XLOOKUP($F62,'FCDB 2017 (full)'!$C:$C,'FCDB 2017 (full)'!$BY:$BY)*$H62/100,0)</f>
        <v>0</v>
      </c>
      <c r="CI62" s="16">
        <f ca="1">IFERROR(_xlfn.XLOOKUP($F62,'FCDB 2017 (full)'!$C:$C,'FCDB 2017 (full)'!$BZ:$BZ)*$H62/100,0)</f>
        <v>0</v>
      </c>
      <c r="CJ62" s="16">
        <f ca="1">IFERROR(_xlfn.XLOOKUP($F62,'FCDB 2017 (full)'!$C:$C,'FCDB 2017 (full)'!$CA:$CA)*$H62/100,0)</f>
        <v>0</v>
      </c>
      <c r="CK62" s="16">
        <f ca="1">IFERROR(_xlfn.XLOOKUP($F62,'FCDB 2017 (full)'!$C:$C,'FCDB 2017 (full)'!$CB:$CB)*$H62/100,0)</f>
        <v>0</v>
      </c>
      <c r="CL62" s="16">
        <f ca="1">IFERROR(_xlfn.XLOOKUP($F62,'FCDB 2017 (full)'!$C:$C,'FCDB 2017 (full)'!$CC:$CC)*$H62/100,0)</f>
        <v>0</v>
      </c>
      <c r="CM62" s="16">
        <f ca="1">IFERROR(_xlfn.XLOOKUP($F62,'FCDB 2017 (full)'!$C:$C,'FCDB 2017 (full)'!$CD:$CD)*$H62/100,0)</f>
        <v>0</v>
      </c>
      <c r="CN62" s="16">
        <f ca="1">IFERROR(_xlfn.XLOOKUP($F62,'FCDB 2017 (full)'!$C:$C,'FCDB 2017 (full)'!$CE:$CE)*$H62/100,0)</f>
        <v>0</v>
      </c>
      <c r="CO62" s="16">
        <f ca="1">IFERROR(_xlfn.XLOOKUP($F62,'FCDB 2017 (full)'!$C:$C,'FCDB 2017 (full)'!$CF:$CF)*$H62/100,0)</f>
        <v>0</v>
      </c>
      <c r="CP62" s="16">
        <f ca="1">IFERROR(_xlfn.XLOOKUP($F62,'FCDB 2017 (full)'!$C:$C,'FCDB 2017 (full)'!$CG:$CG)*$H62/100,0)</f>
        <v>0</v>
      </c>
      <c r="CQ62" s="16">
        <f ca="1">IFERROR(_xlfn.XLOOKUP($F62,'FCDB 2017 (full)'!$C:$C,'FCDB 2017 (full)'!$CH:$CH)*$H62/100,0)</f>
        <v>0</v>
      </c>
      <c r="DA62" s="72" t="s">
        <v>980</v>
      </c>
    </row>
    <row r="63" spans="4:105">
      <c r="E63" s="41"/>
      <c r="F63" s="11">
        <f>IFERROR(VLOOKUP($D$53,$D:$AE,5,0),0)</f>
        <v>0</v>
      </c>
      <c r="G63" s="7" cm="1">
        <f t="array" ref="G63">IF(F63=0,0,IF(_xlfn.XLOOKUP(F63,$E$53:$AE$53,$E$54:$AE$54)=0,"Nhập ĐV/TV",_xlfn.XLOOKUP(F63,$E$53:$AE$53,$E$54:$AE$54)))</f>
        <v>0</v>
      </c>
      <c r="H63" s="8">
        <f t="shared" si="14"/>
        <v>0</v>
      </c>
      <c r="I63" s="9">
        <f ca="1">IFERROR(_xlfn.XLOOKUP($F63,'FCDB 2017 (full)'!$C:$C,'FCDB 2017 (full)'!$E:$E),0)</f>
        <v>0</v>
      </c>
      <c r="J63" s="10">
        <f t="shared" ca="1" si="15"/>
        <v>0</v>
      </c>
      <c r="K63" s="9">
        <f ca="1">IFERROR(_xlfn.XLOOKUP($F63,'FCDB 2017 (full)'!$C:$C,'FCDB 2017 (full)'!$G:$G),0)</f>
        <v>0</v>
      </c>
      <c r="L63" s="13">
        <f t="shared" si="16"/>
        <v>0</v>
      </c>
      <c r="M63" s="13">
        <f t="shared" si="10"/>
        <v>0</v>
      </c>
      <c r="N63" s="9">
        <f ca="1">IFERROR(_xlfn.XLOOKUP($F63,'FCDB 2017 (full)'!$C:$C,'FCDB 2017 (full)'!$H:$H),0)</f>
        <v>0</v>
      </c>
      <c r="O63" s="14">
        <f t="shared" si="11"/>
        <v>0</v>
      </c>
      <c r="P63" s="14">
        <f t="shared" si="12"/>
        <v>0</v>
      </c>
      <c r="Q63" s="9">
        <f ca="1">IFERROR(_xlfn.XLOOKUP($F63,'FCDB 2017 (full)'!$C:$C,'FCDB 2017 (full)'!$I:$I),0)</f>
        <v>0</v>
      </c>
      <c r="R63" s="15">
        <f t="shared" ca="1" si="13"/>
        <v>0</v>
      </c>
      <c r="S63" s="16">
        <f ca="1">IFERROR(_xlfn.XLOOKUP($F63,'FCDB 2017 (full)'!$C:$C,'FCDB 2017 (full)'!$J:$J)*$H63/100,0)</f>
        <v>0</v>
      </c>
      <c r="T63" s="16">
        <f ca="1">IFERROR(_xlfn.XLOOKUP($F63,'FCDB 2017 (full)'!$C:$C,'FCDB 2017 (full)'!$K:$K)*$H63/100,0)</f>
        <v>0</v>
      </c>
      <c r="U63" s="16">
        <f ca="1">IFERROR(_xlfn.XLOOKUP($F63,'FCDB 2017 (full)'!$C:$C,'FCDB 2017 (full)'!$L:$L)*$H63/100,0)</f>
        <v>0</v>
      </c>
      <c r="V63" s="16">
        <f ca="1">IFERROR(_xlfn.XLOOKUP($F63,'FCDB 2017 (full)'!$C:$C,'FCDB 2017 (full)'!$M:$M)*$H63/100,0)</f>
        <v>0</v>
      </c>
      <c r="W63" s="16">
        <f ca="1">IFERROR(_xlfn.XLOOKUP($F63,'FCDB 2017 (full)'!$C:$C,'FCDB 2017 (full)'!$N:$N)*$H63/100,0)</f>
        <v>0</v>
      </c>
      <c r="X63" s="16">
        <f ca="1">IFERROR(_xlfn.XLOOKUP($F63,'FCDB 2017 (full)'!$C:$C,'FCDB 2017 (full)'!$O:$O)*$H63/100,0)</f>
        <v>0</v>
      </c>
      <c r="Y63" s="16">
        <f ca="1">IFERROR(_xlfn.XLOOKUP($F63,'FCDB 2017 (full)'!$C:$C,'FCDB 2017 (full)'!$P:$P)*$H63/100,0)</f>
        <v>0</v>
      </c>
      <c r="Z63" s="16">
        <f ca="1">IFERROR(_xlfn.XLOOKUP($F63,'FCDB 2017 (full)'!$C:$C,'FCDB 2017 (full)'!$Q:$Q)*$H63/100,0)</f>
        <v>0</v>
      </c>
      <c r="AA63" s="16">
        <f ca="1">IFERROR(_xlfn.XLOOKUP($F63,'FCDB 2017 (full)'!$C:$C,'FCDB 2017 (full)'!$R:$R)*$H63/100,0)</f>
        <v>0</v>
      </c>
      <c r="AB63" s="16">
        <f ca="1">IFERROR(_xlfn.XLOOKUP($F63,'FCDB 2017 (full)'!$C:$C,'FCDB 2017 (full)'!$S:$S)*$H63/100,0)</f>
        <v>0</v>
      </c>
      <c r="AC63" s="16">
        <f ca="1">IFERROR(_xlfn.XLOOKUP($F63,'FCDB 2017 (full)'!$C:$C,'FCDB 2017 (full)'!$T:$T)*$H63/100,0)</f>
        <v>0</v>
      </c>
      <c r="AD63" s="16">
        <f ca="1">IFERROR(_xlfn.XLOOKUP($F63,'FCDB 2017 (full)'!$C:$C,'FCDB 2017 (full)'!$U:$U)*$H63/100,0)</f>
        <v>0</v>
      </c>
      <c r="AE63" s="16">
        <f ca="1">IFERROR(_xlfn.XLOOKUP($F63,'FCDB 2017 (full)'!$C:$C,'FCDB 2017 (full)'!$V:$V)*$H63/100,0)</f>
        <v>0</v>
      </c>
      <c r="AF63" s="16">
        <f ca="1">IFERROR(_xlfn.XLOOKUP($F63,'FCDB 2017 (full)'!$C:$C,'FCDB 2017 (full)'!$W:$W)*$H63/100,0)</f>
        <v>0</v>
      </c>
      <c r="AG63" s="16">
        <f ca="1">IFERROR(_xlfn.XLOOKUP($F63,'FCDB 2017 (full)'!$C:$C,'FCDB 2017 (full)'!$X:$X)*$H63/100,0)</f>
        <v>0</v>
      </c>
      <c r="AH63" s="16">
        <f ca="1">IFERROR(_xlfn.XLOOKUP($F63,'FCDB 2017 (full)'!$C:$C,'FCDB 2017 (full)'!$Y:$Y)*$H63/100,0)</f>
        <v>0</v>
      </c>
      <c r="AI63" s="16">
        <f ca="1">IFERROR(_xlfn.XLOOKUP($F63,'FCDB 2017 (full)'!$C:$C,'FCDB 2017 (full)'!$Z:$Z)*$H63/100,0)</f>
        <v>0</v>
      </c>
      <c r="AJ63" s="16">
        <f ca="1">IFERROR(_xlfn.XLOOKUP($F63,'FCDB 2017 (full)'!$C:$C,'FCDB 2017 (full)'!$AA:$AA)*$H63/100,0)</f>
        <v>0</v>
      </c>
      <c r="AK63" s="16">
        <f ca="1">IFERROR(_xlfn.XLOOKUP($F63,'FCDB 2017 (full)'!$C:$C,'FCDB 2017 (full)'!$AB:$AB)*$H63/100,0)</f>
        <v>0</v>
      </c>
      <c r="AL63" s="16">
        <f ca="1">IFERROR(_xlfn.XLOOKUP($F63,'FCDB 2017 (full)'!$C:$C,'FCDB 2017 (full)'!$AC:$AC)*$H63/100,0)</f>
        <v>0</v>
      </c>
      <c r="AM63" s="16">
        <f ca="1">IFERROR(_xlfn.XLOOKUP($F63,'FCDB 2017 (full)'!$C:$C,'FCDB 2017 (full)'!$AD:$AD)*$H63/100,0)</f>
        <v>0</v>
      </c>
      <c r="AN63" s="16">
        <f ca="1">IFERROR(_xlfn.XLOOKUP($F63,'FCDB 2017 (full)'!$C:$C,'FCDB 2017 (full)'!$AE:$AE)*$H63/100,0)</f>
        <v>0</v>
      </c>
      <c r="AO63" s="16">
        <f ca="1">IFERROR(_xlfn.XLOOKUP($F63,'FCDB 2017 (full)'!$C:$C,'FCDB 2017 (full)'!$AF:$AF)*$H63/100,0)</f>
        <v>0</v>
      </c>
      <c r="AP63" s="16">
        <f ca="1">IFERROR(_xlfn.XLOOKUP($F63,'FCDB 2017 (full)'!$C:$C,'FCDB 2017 (full)'!$AG:$AG)*$H63/100,0)</f>
        <v>0</v>
      </c>
      <c r="AQ63" s="16">
        <f ca="1">IFERROR(_xlfn.XLOOKUP($F63,'FCDB 2017 (full)'!$C:$C,'FCDB 2017 (full)'!$AH:$AH)*$H63/100,0)</f>
        <v>0</v>
      </c>
      <c r="AR63" s="16">
        <f ca="1">IFERROR(_xlfn.XLOOKUP($F63,'FCDB 2017 (full)'!$C:$C,'FCDB 2017 (full)'!$AI:$AI)*$H63/100,0)</f>
        <v>0</v>
      </c>
      <c r="AS63" s="16">
        <f ca="1">IFERROR(_xlfn.XLOOKUP($F63,'FCDB 2017 (full)'!$C:$C,'FCDB 2017 (full)'!$AJ:$AJ)*$H63/100,0)</f>
        <v>0</v>
      </c>
      <c r="AT63" s="16">
        <f ca="1">IFERROR(_xlfn.XLOOKUP($F63,'FCDB 2017 (full)'!$C:$C,'FCDB 2017 (full)'!$AK:$AK)*$H63/100,0)</f>
        <v>0</v>
      </c>
      <c r="AU63" s="16">
        <f ca="1">IFERROR(_xlfn.XLOOKUP($F63,'FCDB 2017 (full)'!$C:$C,'FCDB 2017 (full)'!$AK:$AK)*$H63/100,0)</f>
        <v>0</v>
      </c>
      <c r="AV63" s="16">
        <f ca="1">IFERROR(_xlfn.XLOOKUP($F63,'FCDB 2017 (full)'!$C:$C,'FCDB 2017 (full)'!$AM:$AM)*$H63/100,0)</f>
        <v>0</v>
      </c>
      <c r="AW63" s="16">
        <f ca="1">IFERROR(_xlfn.XLOOKUP($F63,'FCDB 2017 (full)'!$C:$C,'FCDB 2017 (full)'!$AN:$AN)*$H63/100,0)</f>
        <v>0</v>
      </c>
      <c r="AX63" s="16">
        <f ca="1">IFERROR(_xlfn.XLOOKUP($F63,'FCDB 2017 (full)'!$C:$C,'FCDB 2017 (full)'!$AO:$AO)*$H63/100,0)</f>
        <v>0</v>
      </c>
      <c r="AY63" s="16">
        <f ca="1">IFERROR(_xlfn.XLOOKUP($F63,'FCDB 2017 (full)'!$C:$C,'FCDB 2017 (full)'!$AP:$AP)*$H63/100,0)</f>
        <v>0</v>
      </c>
      <c r="AZ63" s="16">
        <f ca="1">IFERROR(_xlfn.XLOOKUP($F63,'FCDB 2017 (full)'!$C:$C,'FCDB 2017 (full)'!$AQ:$AQ)*$H63/100,0)</f>
        <v>0</v>
      </c>
      <c r="BA63" s="16">
        <f ca="1">IFERROR(_xlfn.XLOOKUP($F63,'FCDB 2017 (full)'!$C:$C,'FCDB 2017 (full)'!$AR:$AR)*$H63/100,0)</f>
        <v>0</v>
      </c>
      <c r="BB63" s="16">
        <f ca="1">IFERROR(_xlfn.XLOOKUP($F63,'FCDB 2017 (full)'!$C:$C,'FCDB 2017 (full)'!$AS:$AS)*$H63/100,0)</f>
        <v>0</v>
      </c>
      <c r="BC63" s="16">
        <f ca="1">IFERROR(_xlfn.XLOOKUP($F63,'FCDB 2017 (full)'!$C:$C,'FCDB 2017 (full)'!$AT:$AT)*$H63/100,0)</f>
        <v>0</v>
      </c>
      <c r="BD63" s="16">
        <f ca="1">IFERROR(_xlfn.XLOOKUP($F63,'FCDB 2017 (full)'!$C:$C,'FCDB 2017 (full)'!$AU:$AU)*$H63/100,0)</f>
        <v>0</v>
      </c>
      <c r="BE63" s="16">
        <f ca="1">IFERROR(_xlfn.XLOOKUP($F63,'FCDB 2017 (full)'!$C:$C,'FCDB 2017 (full)'!$AV:$AV)*$H63/100,0)</f>
        <v>0</v>
      </c>
      <c r="BF63" s="16">
        <f ca="1">IFERROR(_xlfn.XLOOKUP($F63,'FCDB 2017 (full)'!$C:$C,'FCDB 2017 (full)'!$AW:$AW)*$H63/100,0)</f>
        <v>0</v>
      </c>
      <c r="BG63" s="16">
        <f ca="1">IFERROR(_xlfn.XLOOKUP($F63,'FCDB 2017 (full)'!$C:$C,'FCDB 2017 (full)'!$AX:$AX)*$H63/100,0)</f>
        <v>0</v>
      </c>
      <c r="BH63" s="16">
        <f ca="1">IFERROR(_xlfn.XLOOKUP($F63,'FCDB 2017 (full)'!$C:$C,'FCDB 2017 (full)'!$AY:$AY)*$H63/100,0)</f>
        <v>0</v>
      </c>
      <c r="BI63" s="16">
        <f ca="1">IFERROR(_xlfn.XLOOKUP($F63,'FCDB 2017 (full)'!$C:$C,'FCDB 2017 (full)'!$AZ:$AZ)*$H63/100,0)</f>
        <v>0</v>
      </c>
      <c r="BJ63" s="16">
        <f ca="1">IFERROR(_xlfn.XLOOKUP($F63,'FCDB 2017 (full)'!$C:$C,'FCDB 2017 (full)'!$BA:$BA)*$H63/100,0)</f>
        <v>0</v>
      </c>
      <c r="BK63" s="16">
        <f ca="1">IFERROR(_xlfn.XLOOKUP($F63,'FCDB 2017 (full)'!$C:$C,'FCDB 2017 (full)'!$BB:$BB)*$H63/100,0)</f>
        <v>0</v>
      </c>
      <c r="BL63" s="16">
        <f ca="1">IFERROR(_xlfn.XLOOKUP($F63,'FCDB 2017 (full)'!$C:$C,'FCDB 2017 (full)'!$BC:$BC)*$H63/100,0)</f>
        <v>0</v>
      </c>
      <c r="BM63" s="16">
        <f ca="1">IFERROR(_xlfn.XLOOKUP($F63,'FCDB 2017 (full)'!$C:$C,'FCDB 2017 (full)'!$BD:$BD)*$H63/100,0)</f>
        <v>0</v>
      </c>
      <c r="BN63" s="16">
        <f ca="1">IFERROR(_xlfn.XLOOKUP($F63,'FCDB 2017 (full)'!$C:$C,'FCDB 2017 (full)'!$BE:$BE)*$H63/100,0)</f>
        <v>0</v>
      </c>
      <c r="BO63" s="16">
        <f ca="1">IFERROR(_xlfn.XLOOKUP($F63,'FCDB 2017 (full)'!$C:$C,'FCDB 2017 (full)'!$BF:$BF)*$H63/100,0)</f>
        <v>0</v>
      </c>
      <c r="BP63" s="16">
        <f ca="1">IFERROR(_xlfn.XLOOKUP($F63,'FCDB 2017 (full)'!$C:$C,'FCDB 2017 (full)'!$BG:$BG)*$H63/100,0)</f>
        <v>0</v>
      </c>
      <c r="BQ63" s="16">
        <f ca="1">IFERROR(_xlfn.XLOOKUP($F63,'FCDB 2017 (full)'!$C:$C,'FCDB 2017 (full)'!$BH:$BH)*$H63/100,0)</f>
        <v>0</v>
      </c>
      <c r="BR63" s="16">
        <f ca="1">IFERROR(_xlfn.XLOOKUP($F63,'FCDB 2017 (full)'!$C:$C,'FCDB 2017 (full)'!$BI:$BI)*$H63/100,0)</f>
        <v>0</v>
      </c>
      <c r="BS63" s="16">
        <f ca="1">IFERROR(_xlfn.XLOOKUP($F63,'FCDB 2017 (full)'!$C:$C,'FCDB 2017 (full)'!$BJ:$BJ)*$H63/100,0)</f>
        <v>0</v>
      </c>
      <c r="BT63" s="16">
        <f ca="1">IFERROR(_xlfn.XLOOKUP($F63,'FCDB 2017 (full)'!$C:$C,'FCDB 2017 (full)'!$BK:$BK)*$H63/100,0)</f>
        <v>0</v>
      </c>
      <c r="BU63" s="16">
        <f ca="1">IFERROR(_xlfn.XLOOKUP($F63,'FCDB 2017 (full)'!$C:$C,'FCDB 2017 (full)'!$BL:$BL)*$H63/100,0)</f>
        <v>0</v>
      </c>
      <c r="BV63" s="16">
        <f ca="1">IFERROR(_xlfn.XLOOKUP($F63,'FCDB 2017 (full)'!$C:$C,'FCDB 2017 (full)'!$BM:$BM)*$H63/100,0)</f>
        <v>0</v>
      </c>
      <c r="BW63" s="16">
        <f ca="1">IFERROR(_xlfn.XLOOKUP($F63,'FCDB 2017 (full)'!$C:$C,'FCDB 2017 (full)'!$BN:$BN)*$H63/100,0)</f>
        <v>0</v>
      </c>
      <c r="BX63" s="16">
        <f ca="1">IFERROR(_xlfn.XLOOKUP($F63,'FCDB 2017 (full)'!$C:$C,'FCDB 2017 (full)'!$BO:$BO)*$H63/100,0)</f>
        <v>0</v>
      </c>
      <c r="BY63" s="16">
        <f ca="1">IFERROR(_xlfn.XLOOKUP($F63,'FCDB 2017 (full)'!$C:$C,'FCDB 2017 (full)'!$BP:$BP)*$H63/100,0)</f>
        <v>0</v>
      </c>
      <c r="BZ63" s="16">
        <f ca="1">IFERROR(_xlfn.XLOOKUP($F63,'FCDB 2017 (full)'!$C:$C,'FCDB 2017 (full)'!$BQ:$BQ)*$H63/100,0)</f>
        <v>0</v>
      </c>
      <c r="CA63" s="16">
        <f ca="1">IFERROR(_xlfn.XLOOKUP($F63,'FCDB 2017 (full)'!$C:$C,'FCDB 2017 (full)'!$BR:$BR)*$H63/100,0)</f>
        <v>0</v>
      </c>
      <c r="CB63" s="16">
        <f ca="1">IFERROR(_xlfn.XLOOKUP($F63,'FCDB 2017 (full)'!$C:$C,'FCDB 2017 (full)'!$BS:$BS)*$H63/100,0)</f>
        <v>0</v>
      </c>
      <c r="CC63" s="16">
        <f ca="1">IFERROR(_xlfn.XLOOKUP($F63,'FCDB 2017 (full)'!$C:$C,'FCDB 2017 (full)'!$BT:$BT)*$H63/100,0)</f>
        <v>0</v>
      </c>
      <c r="CD63" s="16">
        <f ca="1">IFERROR(_xlfn.XLOOKUP($F63,'FCDB 2017 (full)'!$C:$C,'FCDB 2017 (full)'!$BU:$BU)*$H63/100,0)</f>
        <v>0</v>
      </c>
      <c r="CE63" s="16">
        <f ca="1">IFERROR(_xlfn.XLOOKUP($F63,'FCDB 2017 (full)'!$C:$C,'FCDB 2017 (full)'!$BV:$BV)*$H63/100,0)</f>
        <v>0</v>
      </c>
      <c r="CF63" s="16">
        <f ca="1">IFERROR(_xlfn.XLOOKUP($F63,'FCDB 2017 (full)'!$C:$C,'FCDB 2017 (full)'!$BW:$BW)*$H63/100,0)</f>
        <v>0</v>
      </c>
      <c r="CG63" s="16">
        <f ca="1">IFERROR(_xlfn.XLOOKUP($F63,'FCDB 2017 (full)'!$C:$C,'FCDB 2017 (full)'!$BX:$BX)*$H63/100,0)</f>
        <v>0</v>
      </c>
      <c r="CH63" s="16">
        <f ca="1">IFERROR(_xlfn.XLOOKUP($F63,'FCDB 2017 (full)'!$C:$C,'FCDB 2017 (full)'!$BY:$BY)*$H63/100,0)</f>
        <v>0</v>
      </c>
      <c r="CI63" s="16">
        <f ca="1">IFERROR(_xlfn.XLOOKUP($F63,'FCDB 2017 (full)'!$C:$C,'FCDB 2017 (full)'!$BZ:$BZ)*$H63/100,0)</f>
        <v>0</v>
      </c>
      <c r="CJ63" s="16">
        <f ca="1">IFERROR(_xlfn.XLOOKUP($F63,'FCDB 2017 (full)'!$C:$C,'FCDB 2017 (full)'!$CA:$CA)*$H63/100,0)</f>
        <v>0</v>
      </c>
      <c r="CK63" s="16">
        <f ca="1">IFERROR(_xlfn.XLOOKUP($F63,'FCDB 2017 (full)'!$C:$C,'FCDB 2017 (full)'!$CB:$CB)*$H63/100,0)</f>
        <v>0</v>
      </c>
      <c r="CL63" s="16">
        <f ca="1">IFERROR(_xlfn.XLOOKUP($F63,'FCDB 2017 (full)'!$C:$C,'FCDB 2017 (full)'!$CC:$CC)*$H63/100,0)</f>
        <v>0</v>
      </c>
      <c r="CM63" s="16">
        <f ca="1">IFERROR(_xlfn.XLOOKUP($F63,'FCDB 2017 (full)'!$C:$C,'FCDB 2017 (full)'!$CD:$CD)*$H63/100,0)</f>
        <v>0</v>
      </c>
      <c r="CN63" s="16">
        <f ca="1">IFERROR(_xlfn.XLOOKUP($F63,'FCDB 2017 (full)'!$C:$C,'FCDB 2017 (full)'!$CE:$CE)*$H63/100,0)</f>
        <v>0</v>
      </c>
      <c r="CO63" s="16">
        <f ca="1">IFERROR(_xlfn.XLOOKUP($F63,'FCDB 2017 (full)'!$C:$C,'FCDB 2017 (full)'!$CF:$CF)*$H63/100,0)</f>
        <v>0</v>
      </c>
      <c r="CP63" s="16">
        <f ca="1">IFERROR(_xlfn.XLOOKUP($F63,'FCDB 2017 (full)'!$C:$C,'FCDB 2017 (full)'!$CG:$CG)*$H63/100,0)</f>
        <v>0</v>
      </c>
      <c r="CQ63" s="16">
        <f ca="1">IFERROR(_xlfn.XLOOKUP($F63,'FCDB 2017 (full)'!$C:$C,'FCDB 2017 (full)'!$CH:$CH)*$H63/100,0)</f>
        <v>0</v>
      </c>
      <c r="DA63" s="72" t="s">
        <v>980</v>
      </c>
    </row>
    <row r="64" spans="4:105">
      <c r="E64" s="41"/>
      <c r="F64" s="11">
        <f>IFERROR(VLOOKUP($D$53,$D:$AE,7,0),0)</f>
        <v>0</v>
      </c>
      <c r="G64" s="7" cm="1">
        <f t="array" ref="G64">IF(F64=0,0,IF(_xlfn.XLOOKUP(F64,$E$53:$AE$53,$E$54:$AE$54)=0,"Nhập ĐV/TV",_xlfn.XLOOKUP(F64,$E$53:$AE$53,$E$54:$AE$54)))</f>
        <v>0</v>
      </c>
      <c r="H64" s="8">
        <f t="shared" si="14"/>
        <v>0</v>
      </c>
      <c r="I64" s="9">
        <f ca="1">IFERROR(_xlfn.XLOOKUP($F64,'FCDB 2017 (full)'!$C:$C,'FCDB 2017 (full)'!$E:$E),0)</f>
        <v>0</v>
      </c>
      <c r="J64" s="10">
        <f t="shared" ca="1" si="15"/>
        <v>0</v>
      </c>
      <c r="K64" s="9">
        <f ca="1">IFERROR(_xlfn.XLOOKUP($F64,'FCDB 2017 (full)'!$C:$C,'FCDB 2017 (full)'!$G:$G),0)</f>
        <v>0</v>
      </c>
      <c r="L64" s="13">
        <f t="shared" si="16"/>
        <v>0</v>
      </c>
      <c r="M64" s="13">
        <f t="shared" si="10"/>
        <v>0</v>
      </c>
      <c r="N64" s="9">
        <f ca="1">IFERROR(_xlfn.XLOOKUP($F64,'FCDB 2017 (full)'!$C:$C,'FCDB 2017 (full)'!$H:$H),0)</f>
        <v>0</v>
      </c>
      <c r="O64" s="14">
        <f t="shared" si="11"/>
        <v>0</v>
      </c>
      <c r="P64" s="14">
        <f t="shared" si="12"/>
        <v>0</v>
      </c>
      <c r="Q64" s="9">
        <f ca="1">IFERROR(_xlfn.XLOOKUP($F64,'FCDB 2017 (full)'!$C:$C,'FCDB 2017 (full)'!$I:$I),0)</f>
        <v>0</v>
      </c>
      <c r="R64" s="15">
        <f t="shared" ca="1" si="13"/>
        <v>0</v>
      </c>
      <c r="S64" s="16">
        <f ca="1">IFERROR(_xlfn.XLOOKUP($F64,'FCDB 2017 (full)'!$C:$C,'FCDB 2017 (full)'!$J:$J)*$H64/100,0)</f>
        <v>0</v>
      </c>
      <c r="T64" s="16">
        <f ca="1">IFERROR(_xlfn.XLOOKUP($F64,'FCDB 2017 (full)'!$C:$C,'FCDB 2017 (full)'!$K:$K)*$H64/100,0)</f>
        <v>0</v>
      </c>
      <c r="U64" s="16">
        <f ca="1">IFERROR(_xlfn.XLOOKUP($F64,'FCDB 2017 (full)'!$C:$C,'FCDB 2017 (full)'!$L:$L)*$H64/100,0)</f>
        <v>0</v>
      </c>
      <c r="V64" s="16">
        <f ca="1">IFERROR(_xlfn.XLOOKUP($F64,'FCDB 2017 (full)'!$C:$C,'FCDB 2017 (full)'!$M:$M)*$H64/100,0)</f>
        <v>0</v>
      </c>
      <c r="W64" s="16">
        <f ca="1">IFERROR(_xlfn.XLOOKUP($F64,'FCDB 2017 (full)'!$C:$C,'FCDB 2017 (full)'!$N:$N)*$H64/100,0)</f>
        <v>0</v>
      </c>
      <c r="X64" s="16">
        <f ca="1">IFERROR(_xlfn.XLOOKUP($F64,'FCDB 2017 (full)'!$C:$C,'FCDB 2017 (full)'!$O:$O)*$H64/100,0)</f>
        <v>0</v>
      </c>
      <c r="Y64" s="16">
        <f ca="1">IFERROR(_xlfn.XLOOKUP($F64,'FCDB 2017 (full)'!$C:$C,'FCDB 2017 (full)'!$P:$P)*$H64/100,0)</f>
        <v>0</v>
      </c>
      <c r="Z64" s="16">
        <f ca="1">IFERROR(_xlfn.XLOOKUP($F64,'FCDB 2017 (full)'!$C:$C,'FCDB 2017 (full)'!$Q:$Q)*$H64/100,0)</f>
        <v>0</v>
      </c>
      <c r="AA64" s="16">
        <f ca="1">IFERROR(_xlfn.XLOOKUP($F64,'FCDB 2017 (full)'!$C:$C,'FCDB 2017 (full)'!$R:$R)*$H64/100,0)</f>
        <v>0</v>
      </c>
      <c r="AB64" s="16">
        <f ca="1">IFERROR(_xlfn.XLOOKUP($F64,'FCDB 2017 (full)'!$C:$C,'FCDB 2017 (full)'!$S:$S)*$H64/100,0)</f>
        <v>0</v>
      </c>
      <c r="AC64" s="16">
        <f ca="1">IFERROR(_xlfn.XLOOKUP($F64,'FCDB 2017 (full)'!$C:$C,'FCDB 2017 (full)'!$T:$T)*$H64/100,0)</f>
        <v>0</v>
      </c>
      <c r="AD64" s="16">
        <f ca="1">IFERROR(_xlfn.XLOOKUP($F64,'FCDB 2017 (full)'!$C:$C,'FCDB 2017 (full)'!$U:$U)*$H64/100,0)</f>
        <v>0</v>
      </c>
      <c r="AE64" s="16">
        <f ca="1">IFERROR(_xlfn.XLOOKUP($F64,'FCDB 2017 (full)'!$C:$C,'FCDB 2017 (full)'!$V:$V)*$H64/100,0)</f>
        <v>0</v>
      </c>
      <c r="AF64" s="16">
        <f ca="1">IFERROR(_xlfn.XLOOKUP($F64,'FCDB 2017 (full)'!$C:$C,'FCDB 2017 (full)'!$W:$W)*$H64/100,0)</f>
        <v>0</v>
      </c>
      <c r="AG64" s="16">
        <f ca="1">IFERROR(_xlfn.XLOOKUP($F64,'FCDB 2017 (full)'!$C:$C,'FCDB 2017 (full)'!$X:$X)*$H64/100,0)</f>
        <v>0</v>
      </c>
      <c r="AH64" s="16">
        <f ca="1">IFERROR(_xlfn.XLOOKUP($F64,'FCDB 2017 (full)'!$C:$C,'FCDB 2017 (full)'!$Y:$Y)*$H64/100,0)</f>
        <v>0</v>
      </c>
      <c r="AI64" s="16">
        <f ca="1">IFERROR(_xlfn.XLOOKUP($F64,'FCDB 2017 (full)'!$C:$C,'FCDB 2017 (full)'!$Z:$Z)*$H64/100,0)</f>
        <v>0</v>
      </c>
      <c r="AJ64" s="16">
        <f ca="1">IFERROR(_xlfn.XLOOKUP($F64,'FCDB 2017 (full)'!$C:$C,'FCDB 2017 (full)'!$AA:$AA)*$H64/100,0)</f>
        <v>0</v>
      </c>
      <c r="AK64" s="16">
        <f ca="1">IFERROR(_xlfn.XLOOKUP($F64,'FCDB 2017 (full)'!$C:$C,'FCDB 2017 (full)'!$AB:$AB)*$H64/100,0)</f>
        <v>0</v>
      </c>
      <c r="AL64" s="16">
        <f ca="1">IFERROR(_xlfn.XLOOKUP($F64,'FCDB 2017 (full)'!$C:$C,'FCDB 2017 (full)'!$AC:$AC)*$H64/100,0)</f>
        <v>0</v>
      </c>
      <c r="AM64" s="16">
        <f ca="1">IFERROR(_xlfn.XLOOKUP($F64,'FCDB 2017 (full)'!$C:$C,'FCDB 2017 (full)'!$AD:$AD)*$H64/100,0)</f>
        <v>0</v>
      </c>
      <c r="AN64" s="16">
        <f ca="1">IFERROR(_xlfn.XLOOKUP($F64,'FCDB 2017 (full)'!$C:$C,'FCDB 2017 (full)'!$AE:$AE)*$H64/100,0)</f>
        <v>0</v>
      </c>
      <c r="AO64" s="16">
        <f ca="1">IFERROR(_xlfn.XLOOKUP($F64,'FCDB 2017 (full)'!$C:$C,'FCDB 2017 (full)'!$AF:$AF)*$H64/100,0)</f>
        <v>0</v>
      </c>
      <c r="AP64" s="16">
        <f ca="1">IFERROR(_xlfn.XLOOKUP($F64,'FCDB 2017 (full)'!$C:$C,'FCDB 2017 (full)'!$AG:$AG)*$H64/100,0)</f>
        <v>0</v>
      </c>
      <c r="AQ64" s="16">
        <f ca="1">IFERROR(_xlfn.XLOOKUP($F64,'FCDB 2017 (full)'!$C:$C,'FCDB 2017 (full)'!$AH:$AH)*$H64/100,0)</f>
        <v>0</v>
      </c>
      <c r="AR64" s="16">
        <f ca="1">IFERROR(_xlfn.XLOOKUP($F64,'FCDB 2017 (full)'!$C:$C,'FCDB 2017 (full)'!$AI:$AI)*$H64/100,0)</f>
        <v>0</v>
      </c>
      <c r="AS64" s="16">
        <f ca="1">IFERROR(_xlfn.XLOOKUP($F64,'FCDB 2017 (full)'!$C:$C,'FCDB 2017 (full)'!$AJ:$AJ)*$H64/100,0)</f>
        <v>0</v>
      </c>
      <c r="AT64" s="16">
        <f ca="1">IFERROR(_xlfn.XLOOKUP($F64,'FCDB 2017 (full)'!$C:$C,'FCDB 2017 (full)'!$AK:$AK)*$H64/100,0)</f>
        <v>0</v>
      </c>
      <c r="AU64" s="16">
        <f ca="1">IFERROR(_xlfn.XLOOKUP($F64,'FCDB 2017 (full)'!$C:$C,'FCDB 2017 (full)'!$AK:$AK)*$H64/100,0)</f>
        <v>0</v>
      </c>
      <c r="AV64" s="16">
        <f ca="1">IFERROR(_xlfn.XLOOKUP($F64,'FCDB 2017 (full)'!$C:$C,'FCDB 2017 (full)'!$AM:$AM)*$H64/100,0)</f>
        <v>0</v>
      </c>
      <c r="AW64" s="16">
        <f ca="1">IFERROR(_xlfn.XLOOKUP($F64,'FCDB 2017 (full)'!$C:$C,'FCDB 2017 (full)'!$AN:$AN)*$H64/100,0)</f>
        <v>0</v>
      </c>
      <c r="AX64" s="16">
        <f ca="1">IFERROR(_xlfn.XLOOKUP($F64,'FCDB 2017 (full)'!$C:$C,'FCDB 2017 (full)'!$AO:$AO)*$H64/100,0)</f>
        <v>0</v>
      </c>
      <c r="AY64" s="16">
        <f ca="1">IFERROR(_xlfn.XLOOKUP($F64,'FCDB 2017 (full)'!$C:$C,'FCDB 2017 (full)'!$AP:$AP)*$H64/100,0)</f>
        <v>0</v>
      </c>
      <c r="AZ64" s="16">
        <f ca="1">IFERROR(_xlfn.XLOOKUP($F64,'FCDB 2017 (full)'!$C:$C,'FCDB 2017 (full)'!$AQ:$AQ)*$H64/100,0)</f>
        <v>0</v>
      </c>
      <c r="BA64" s="16">
        <f ca="1">IFERROR(_xlfn.XLOOKUP($F64,'FCDB 2017 (full)'!$C:$C,'FCDB 2017 (full)'!$AR:$AR)*$H64/100,0)</f>
        <v>0</v>
      </c>
      <c r="BB64" s="16">
        <f ca="1">IFERROR(_xlfn.XLOOKUP($F64,'FCDB 2017 (full)'!$C:$C,'FCDB 2017 (full)'!$AS:$AS)*$H64/100,0)</f>
        <v>0</v>
      </c>
      <c r="BC64" s="16">
        <f ca="1">IFERROR(_xlfn.XLOOKUP($F64,'FCDB 2017 (full)'!$C:$C,'FCDB 2017 (full)'!$AT:$AT)*$H64/100,0)</f>
        <v>0</v>
      </c>
      <c r="BD64" s="16">
        <f ca="1">IFERROR(_xlfn.XLOOKUP($F64,'FCDB 2017 (full)'!$C:$C,'FCDB 2017 (full)'!$AU:$AU)*$H64/100,0)</f>
        <v>0</v>
      </c>
      <c r="BE64" s="16">
        <f ca="1">IFERROR(_xlfn.XLOOKUP($F64,'FCDB 2017 (full)'!$C:$C,'FCDB 2017 (full)'!$AV:$AV)*$H64/100,0)</f>
        <v>0</v>
      </c>
      <c r="BF64" s="16">
        <f ca="1">IFERROR(_xlfn.XLOOKUP($F64,'FCDB 2017 (full)'!$C:$C,'FCDB 2017 (full)'!$AW:$AW)*$H64/100,0)</f>
        <v>0</v>
      </c>
      <c r="BG64" s="16">
        <f ca="1">IFERROR(_xlfn.XLOOKUP($F64,'FCDB 2017 (full)'!$C:$C,'FCDB 2017 (full)'!$AX:$AX)*$H64/100,0)</f>
        <v>0</v>
      </c>
      <c r="BH64" s="16">
        <f ca="1">IFERROR(_xlfn.XLOOKUP($F64,'FCDB 2017 (full)'!$C:$C,'FCDB 2017 (full)'!$AY:$AY)*$H64/100,0)</f>
        <v>0</v>
      </c>
      <c r="BI64" s="16">
        <f ca="1">IFERROR(_xlfn.XLOOKUP($F64,'FCDB 2017 (full)'!$C:$C,'FCDB 2017 (full)'!$AZ:$AZ)*$H64/100,0)</f>
        <v>0</v>
      </c>
      <c r="BJ64" s="16">
        <f ca="1">IFERROR(_xlfn.XLOOKUP($F64,'FCDB 2017 (full)'!$C:$C,'FCDB 2017 (full)'!$BA:$BA)*$H64/100,0)</f>
        <v>0</v>
      </c>
      <c r="BK64" s="16">
        <f ca="1">IFERROR(_xlfn.XLOOKUP($F64,'FCDB 2017 (full)'!$C:$C,'FCDB 2017 (full)'!$BB:$BB)*$H64/100,0)</f>
        <v>0</v>
      </c>
      <c r="BL64" s="16">
        <f ca="1">IFERROR(_xlfn.XLOOKUP($F64,'FCDB 2017 (full)'!$C:$C,'FCDB 2017 (full)'!$BC:$BC)*$H64/100,0)</f>
        <v>0</v>
      </c>
      <c r="BM64" s="16">
        <f ca="1">IFERROR(_xlfn.XLOOKUP($F64,'FCDB 2017 (full)'!$C:$C,'FCDB 2017 (full)'!$BD:$BD)*$H64/100,0)</f>
        <v>0</v>
      </c>
      <c r="BN64" s="16">
        <f ca="1">IFERROR(_xlfn.XLOOKUP($F64,'FCDB 2017 (full)'!$C:$C,'FCDB 2017 (full)'!$BE:$BE)*$H64/100,0)</f>
        <v>0</v>
      </c>
      <c r="BO64" s="16">
        <f ca="1">IFERROR(_xlfn.XLOOKUP($F64,'FCDB 2017 (full)'!$C:$C,'FCDB 2017 (full)'!$BF:$BF)*$H64/100,0)</f>
        <v>0</v>
      </c>
      <c r="BP64" s="16">
        <f ca="1">IFERROR(_xlfn.XLOOKUP($F64,'FCDB 2017 (full)'!$C:$C,'FCDB 2017 (full)'!$BG:$BG)*$H64/100,0)</f>
        <v>0</v>
      </c>
      <c r="BQ64" s="16">
        <f ca="1">IFERROR(_xlfn.XLOOKUP($F64,'FCDB 2017 (full)'!$C:$C,'FCDB 2017 (full)'!$BH:$BH)*$H64/100,0)</f>
        <v>0</v>
      </c>
      <c r="BR64" s="16">
        <f ca="1">IFERROR(_xlfn.XLOOKUP($F64,'FCDB 2017 (full)'!$C:$C,'FCDB 2017 (full)'!$BI:$BI)*$H64/100,0)</f>
        <v>0</v>
      </c>
      <c r="BS64" s="16">
        <f ca="1">IFERROR(_xlfn.XLOOKUP($F64,'FCDB 2017 (full)'!$C:$C,'FCDB 2017 (full)'!$BJ:$BJ)*$H64/100,0)</f>
        <v>0</v>
      </c>
      <c r="BT64" s="16">
        <f ca="1">IFERROR(_xlfn.XLOOKUP($F64,'FCDB 2017 (full)'!$C:$C,'FCDB 2017 (full)'!$BK:$BK)*$H64/100,0)</f>
        <v>0</v>
      </c>
      <c r="BU64" s="16">
        <f ca="1">IFERROR(_xlfn.XLOOKUP($F64,'FCDB 2017 (full)'!$C:$C,'FCDB 2017 (full)'!$BL:$BL)*$H64/100,0)</f>
        <v>0</v>
      </c>
      <c r="BV64" s="16">
        <f ca="1">IFERROR(_xlfn.XLOOKUP($F64,'FCDB 2017 (full)'!$C:$C,'FCDB 2017 (full)'!$BM:$BM)*$H64/100,0)</f>
        <v>0</v>
      </c>
      <c r="BW64" s="16">
        <f ca="1">IFERROR(_xlfn.XLOOKUP($F64,'FCDB 2017 (full)'!$C:$C,'FCDB 2017 (full)'!$BN:$BN)*$H64/100,0)</f>
        <v>0</v>
      </c>
      <c r="BX64" s="16">
        <f ca="1">IFERROR(_xlfn.XLOOKUP($F64,'FCDB 2017 (full)'!$C:$C,'FCDB 2017 (full)'!$BO:$BO)*$H64/100,0)</f>
        <v>0</v>
      </c>
      <c r="BY64" s="16">
        <f ca="1">IFERROR(_xlfn.XLOOKUP($F64,'FCDB 2017 (full)'!$C:$C,'FCDB 2017 (full)'!$BP:$BP)*$H64/100,0)</f>
        <v>0</v>
      </c>
      <c r="BZ64" s="16">
        <f ca="1">IFERROR(_xlfn.XLOOKUP($F64,'FCDB 2017 (full)'!$C:$C,'FCDB 2017 (full)'!$BQ:$BQ)*$H64/100,0)</f>
        <v>0</v>
      </c>
      <c r="CA64" s="16">
        <f ca="1">IFERROR(_xlfn.XLOOKUP($F64,'FCDB 2017 (full)'!$C:$C,'FCDB 2017 (full)'!$BR:$BR)*$H64/100,0)</f>
        <v>0</v>
      </c>
      <c r="CB64" s="16">
        <f ca="1">IFERROR(_xlfn.XLOOKUP($F64,'FCDB 2017 (full)'!$C:$C,'FCDB 2017 (full)'!$BS:$BS)*$H64/100,0)</f>
        <v>0</v>
      </c>
      <c r="CC64" s="16">
        <f ca="1">IFERROR(_xlfn.XLOOKUP($F64,'FCDB 2017 (full)'!$C:$C,'FCDB 2017 (full)'!$BT:$BT)*$H64/100,0)</f>
        <v>0</v>
      </c>
      <c r="CD64" s="16">
        <f ca="1">IFERROR(_xlfn.XLOOKUP($F64,'FCDB 2017 (full)'!$C:$C,'FCDB 2017 (full)'!$BU:$BU)*$H64/100,0)</f>
        <v>0</v>
      </c>
      <c r="CE64" s="16">
        <f ca="1">IFERROR(_xlfn.XLOOKUP($F64,'FCDB 2017 (full)'!$C:$C,'FCDB 2017 (full)'!$BV:$BV)*$H64/100,0)</f>
        <v>0</v>
      </c>
      <c r="CF64" s="16">
        <f ca="1">IFERROR(_xlfn.XLOOKUP($F64,'FCDB 2017 (full)'!$C:$C,'FCDB 2017 (full)'!$BW:$BW)*$H64/100,0)</f>
        <v>0</v>
      </c>
      <c r="CG64" s="16">
        <f ca="1">IFERROR(_xlfn.XLOOKUP($F64,'FCDB 2017 (full)'!$C:$C,'FCDB 2017 (full)'!$BX:$BX)*$H64/100,0)</f>
        <v>0</v>
      </c>
      <c r="CH64" s="16">
        <f ca="1">IFERROR(_xlfn.XLOOKUP($F64,'FCDB 2017 (full)'!$C:$C,'FCDB 2017 (full)'!$BY:$BY)*$H64/100,0)</f>
        <v>0</v>
      </c>
      <c r="CI64" s="16">
        <f ca="1">IFERROR(_xlfn.XLOOKUP($F64,'FCDB 2017 (full)'!$C:$C,'FCDB 2017 (full)'!$BZ:$BZ)*$H64/100,0)</f>
        <v>0</v>
      </c>
      <c r="CJ64" s="16">
        <f ca="1">IFERROR(_xlfn.XLOOKUP($F64,'FCDB 2017 (full)'!$C:$C,'FCDB 2017 (full)'!$CA:$CA)*$H64/100,0)</f>
        <v>0</v>
      </c>
      <c r="CK64" s="16">
        <f ca="1">IFERROR(_xlfn.XLOOKUP($F64,'FCDB 2017 (full)'!$C:$C,'FCDB 2017 (full)'!$CB:$CB)*$H64/100,0)</f>
        <v>0</v>
      </c>
      <c r="CL64" s="16">
        <f ca="1">IFERROR(_xlfn.XLOOKUP($F64,'FCDB 2017 (full)'!$C:$C,'FCDB 2017 (full)'!$CC:$CC)*$H64/100,0)</f>
        <v>0</v>
      </c>
      <c r="CM64" s="16">
        <f ca="1">IFERROR(_xlfn.XLOOKUP($F64,'FCDB 2017 (full)'!$C:$C,'FCDB 2017 (full)'!$CD:$CD)*$H64/100,0)</f>
        <v>0</v>
      </c>
      <c r="CN64" s="16">
        <f ca="1">IFERROR(_xlfn.XLOOKUP($F64,'FCDB 2017 (full)'!$C:$C,'FCDB 2017 (full)'!$CE:$CE)*$H64/100,0)</f>
        <v>0</v>
      </c>
      <c r="CO64" s="16">
        <f ca="1">IFERROR(_xlfn.XLOOKUP($F64,'FCDB 2017 (full)'!$C:$C,'FCDB 2017 (full)'!$CF:$CF)*$H64/100,0)</f>
        <v>0</v>
      </c>
      <c r="CP64" s="16">
        <f ca="1">IFERROR(_xlfn.XLOOKUP($F64,'FCDB 2017 (full)'!$C:$C,'FCDB 2017 (full)'!$CG:$CG)*$H64/100,0)</f>
        <v>0</v>
      </c>
      <c r="CQ64" s="16">
        <f ca="1">IFERROR(_xlfn.XLOOKUP($F64,'FCDB 2017 (full)'!$C:$C,'FCDB 2017 (full)'!$CH:$CH)*$H64/100,0)</f>
        <v>0</v>
      </c>
      <c r="DA64" s="72" t="s">
        <v>980</v>
      </c>
    </row>
    <row r="65" spans="4:105" ht="16.8">
      <c r="D65"/>
      <c r="E65"/>
      <c r="F65" s="11">
        <f>IFERROR(VLOOKUP($D$53,$D:$AE,9,0),0)</f>
        <v>0</v>
      </c>
      <c r="G65" s="7" cm="1">
        <f t="array" ref="G65">IF(F65=0,0,IF(_xlfn.XLOOKUP(F65,$E$53:$AE$53,$E$54:$AE$54)=0,"Nhập ĐV/TV",_xlfn.XLOOKUP(F65,$E$53:$AE$53,$E$54:$AE$54)))</f>
        <v>0</v>
      </c>
      <c r="H65" s="8">
        <f t="shared" si="14"/>
        <v>0</v>
      </c>
      <c r="I65" s="9">
        <f ca="1">IFERROR(_xlfn.XLOOKUP($F65,'FCDB 2017 (full)'!$C:$C,'FCDB 2017 (full)'!$E:$E),0)</f>
        <v>0</v>
      </c>
      <c r="J65" s="10">
        <f t="shared" ca="1" si="15"/>
        <v>0</v>
      </c>
      <c r="K65" s="9">
        <f ca="1">IFERROR(_xlfn.XLOOKUP($F65,'FCDB 2017 (full)'!$C:$C,'FCDB 2017 (full)'!$G:$G),0)</f>
        <v>0</v>
      </c>
      <c r="L65" s="13">
        <f t="shared" si="16"/>
        <v>0</v>
      </c>
      <c r="M65" s="13">
        <f t="shared" si="10"/>
        <v>0</v>
      </c>
      <c r="N65" s="9">
        <f ca="1">IFERROR(_xlfn.XLOOKUP($F65,'FCDB 2017 (full)'!$C:$C,'FCDB 2017 (full)'!$H:$H),0)</f>
        <v>0</v>
      </c>
      <c r="O65" s="14">
        <f t="shared" si="11"/>
        <v>0</v>
      </c>
      <c r="P65" s="14">
        <f t="shared" si="12"/>
        <v>0</v>
      </c>
      <c r="Q65" s="9">
        <f ca="1">IFERROR(_xlfn.XLOOKUP($F65,'FCDB 2017 (full)'!$C:$C,'FCDB 2017 (full)'!$I:$I),0)</f>
        <v>0</v>
      </c>
      <c r="R65" s="15">
        <f t="shared" ca="1" si="13"/>
        <v>0</v>
      </c>
      <c r="S65" s="16">
        <f ca="1">IFERROR(_xlfn.XLOOKUP($F65,'FCDB 2017 (full)'!$C:$C,'FCDB 2017 (full)'!$J:$J)*$H65/100,0)</f>
        <v>0</v>
      </c>
      <c r="T65" s="16">
        <f ca="1">IFERROR(_xlfn.XLOOKUP($F65,'FCDB 2017 (full)'!$C:$C,'FCDB 2017 (full)'!$K:$K)*$H65/100,0)</f>
        <v>0</v>
      </c>
      <c r="U65" s="16">
        <f ca="1">IFERROR(_xlfn.XLOOKUP($F65,'FCDB 2017 (full)'!$C:$C,'FCDB 2017 (full)'!$L:$L)*$H65/100,0)</f>
        <v>0</v>
      </c>
      <c r="V65" s="16">
        <f ca="1">IFERROR(_xlfn.XLOOKUP($F65,'FCDB 2017 (full)'!$C:$C,'FCDB 2017 (full)'!$M:$M)*$H65/100,0)</f>
        <v>0</v>
      </c>
      <c r="W65" s="16">
        <f ca="1">IFERROR(_xlfn.XLOOKUP($F65,'FCDB 2017 (full)'!$C:$C,'FCDB 2017 (full)'!$N:$N)*$H65/100,0)</f>
        <v>0</v>
      </c>
      <c r="X65" s="16">
        <f ca="1">IFERROR(_xlfn.XLOOKUP($F65,'FCDB 2017 (full)'!$C:$C,'FCDB 2017 (full)'!$O:$O)*$H65/100,0)</f>
        <v>0</v>
      </c>
      <c r="Y65" s="16">
        <f ca="1">IFERROR(_xlfn.XLOOKUP($F65,'FCDB 2017 (full)'!$C:$C,'FCDB 2017 (full)'!$P:$P)*$H65/100,0)</f>
        <v>0</v>
      </c>
      <c r="Z65" s="16">
        <f ca="1">IFERROR(_xlfn.XLOOKUP($F65,'FCDB 2017 (full)'!$C:$C,'FCDB 2017 (full)'!$Q:$Q)*$H65/100,0)</f>
        <v>0</v>
      </c>
      <c r="AA65" s="16">
        <f ca="1">IFERROR(_xlfn.XLOOKUP($F65,'FCDB 2017 (full)'!$C:$C,'FCDB 2017 (full)'!$R:$R)*$H65/100,0)</f>
        <v>0</v>
      </c>
      <c r="AB65" s="16">
        <f ca="1">IFERROR(_xlfn.XLOOKUP($F65,'FCDB 2017 (full)'!$C:$C,'FCDB 2017 (full)'!$S:$S)*$H65/100,0)</f>
        <v>0</v>
      </c>
      <c r="AC65" s="16">
        <f ca="1">IFERROR(_xlfn.XLOOKUP($F65,'FCDB 2017 (full)'!$C:$C,'FCDB 2017 (full)'!$T:$T)*$H65/100,0)</f>
        <v>0</v>
      </c>
      <c r="AD65" s="16">
        <f ca="1">IFERROR(_xlfn.XLOOKUP($F65,'FCDB 2017 (full)'!$C:$C,'FCDB 2017 (full)'!$U:$U)*$H65/100,0)</f>
        <v>0</v>
      </c>
      <c r="AE65" s="16">
        <f ca="1">IFERROR(_xlfn.XLOOKUP($F65,'FCDB 2017 (full)'!$C:$C,'FCDB 2017 (full)'!$V:$V)*$H65/100,0)</f>
        <v>0</v>
      </c>
      <c r="AF65" s="16">
        <f ca="1">IFERROR(_xlfn.XLOOKUP($F65,'FCDB 2017 (full)'!$C:$C,'FCDB 2017 (full)'!$W:$W)*$H65/100,0)</f>
        <v>0</v>
      </c>
      <c r="AG65" s="16">
        <f ca="1">IFERROR(_xlfn.XLOOKUP($F65,'FCDB 2017 (full)'!$C:$C,'FCDB 2017 (full)'!$X:$X)*$H65/100,0)</f>
        <v>0</v>
      </c>
      <c r="AH65" s="16">
        <f ca="1">IFERROR(_xlfn.XLOOKUP($F65,'FCDB 2017 (full)'!$C:$C,'FCDB 2017 (full)'!$Y:$Y)*$H65/100,0)</f>
        <v>0</v>
      </c>
      <c r="AI65" s="16">
        <f ca="1">IFERROR(_xlfn.XLOOKUP($F65,'FCDB 2017 (full)'!$C:$C,'FCDB 2017 (full)'!$Z:$Z)*$H65/100,0)</f>
        <v>0</v>
      </c>
      <c r="AJ65" s="16">
        <f ca="1">IFERROR(_xlfn.XLOOKUP($F65,'FCDB 2017 (full)'!$C:$C,'FCDB 2017 (full)'!$AA:$AA)*$H65/100,0)</f>
        <v>0</v>
      </c>
      <c r="AK65" s="16">
        <f ca="1">IFERROR(_xlfn.XLOOKUP($F65,'FCDB 2017 (full)'!$C:$C,'FCDB 2017 (full)'!$AB:$AB)*$H65/100,0)</f>
        <v>0</v>
      </c>
      <c r="AL65" s="16">
        <f ca="1">IFERROR(_xlfn.XLOOKUP($F65,'FCDB 2017 (full)'!$C:$C,'FCDB 2017 (full)'!$AC:$AC)*$H65/100,0)</f>
        <v>0</v>
      </c>
      <c r="AM65" s="16">
        <f ca="1">IFERROR(_xlfn.XLOOKUP($F65,'FCDB 2017 (full)'!$C:$C,'FCDB 2017 (full)'!$AD:$AD)*$H65/100,0)</f>
        <v>0</v>
      </c>
      <c r="AN65" s="16">
        <f ca="1">IFERROR(_xlfn.XLOOKUP($F65,'FCDB 2017 (full)'!$C:$C,'FCDB 2017 (full)'!$AE:$AE)*$H65/100,0)</f>
        <v>0</v>
      </c>
      <c r="AO65" s="16">
        <f ca="1">IFERROR(_xlfn.XLOOKUP($F65,'FCDB 2017 (full)'!$C:$C,'FCDB 2017 (full)'!$AF:$AF)*$H65/100,0)</f>
        <v>0</v>
      </c>
      <c r="AP65" s="16">
        <f ca="1">IFERROR(_xlfn.XLOOKUP($F65,'FCDB 2017 (full)'!$C:$C,'FCDB 2017 (full)'!$AG:$AG)*$H65/100,0)</f>
        <v>0</v>
      </c>
      <c r="AQ65" s="16">
        <f ca="1">IFERROR(_xlfn.XLOOKUP($F65,'FCDB 2017 (full)'!$C:$C,'FCDB 2017 (full)'!$AH:$AH)*$H65/100,0)</f>
        <v>0</v>
      </c>
      <c r="AR65" s="16">
        <f ca="1">IFERROR(_xlfn.XLOOKUP($F65,'FCDB 2017 (full)'!$C:$C,'FCDB 2017 (full)'!$AI:$AI)*$H65/100,0)</f>
        <v>0</v>
      </c>
      <c r="AS65" s="16">
        <f ca="1">IFERROR(_xlfn.XLOOKUP($F65,'FCDB 2017 (full)'!$C:$C,'FCDB 2017 (full)'!$AJ:$AJ)*$H65/100,0)</f>
        <v>0</v>
      </c>
      <c r="AT65" s="16">
        <f ca="1">IFERROR(_xlfn.XLOOKUP($F65,'FCDB 2017 (full)'!$C:$C,'FCDB 2017 (full)'!$AK:$AK)*$H65/100,0)</f>
        <v>0</v>
      </c>
      <c r="AU65" s="16">
        <f ca="1">IFERROR(_xlfn.XLOOKUP($F65,'FCDB 2017 (full)'!$C:$C,'FCDB 2017 (full)'!$AK:$AK)*$H65/100,0)</f>
        <v>0</v>
      </c>
      <c r="AV65" s="16">
        <f ca="1">IFERROR(_xlfn.XLOOKUP($F65,'FCDB 2017 (full)'!$C:$C,'FCDB 2017 (full)'!$AM:$AM)*$H65/100,0)</f>
        <v>0</v>
      </c>
      <c r="AW65" s="16">
        <f ca="1">IFERROR(_xlfn.XLOOKUP($F65,'FCDB 2017 (full)'!$C:$C,'FCDB 2017 (full)'!$AN:$AN)*$H65/100,0)</f>
        <v>0</v>
      </c>
      <c r="AX65" s="16">
        <f ca="1">IFERROR(_xlfn.XLOOKUP($F65,'FCDB 2017 (full)'!$C:$C,'FCDB 2017 (full)'!$AO:$AO)*$H65/100,0)</f>
        <v>0</v>
      </c>
      <c r="AY65" s="16">
        <f ca="1">IFERROR(_xlfn.XLOOKUP($F65,'FCDB 2017 (full)'!$C:$C,'FCDB 2017 (full)'!$AP:$AP)*$H65/100,0)</f>
        <v>0</v>
      </c>
      <c r="AZ65" s="16">
        <f ca="1">IFERROR(_xlfn.XLOOKUP($F65,'FCDB 2017 (full)'!$C:$C,'FCDB 2017 (full)'!$AQ:$AQ)*$H65/100,0)</f>
        <v>0</v>
      </c>
      <c r="BA65" s="16">
        <f ca="1">IFERROR(_xlfn.XLOOKUP($F65,'FCDB 2017 (full)'!$C:$C,'FCDB 2017 (full)'!$AR:$AR)*$H65/100,0)</f>
        <v>0</v>
      </c>
      <c r="BB65" s="16">
        <f ca="1">IFERROR(_xlfn.XLOOKUP($F65,'FCDB 2017 (full)'!$C:$C,'FCDB 2017 (full)'!$AS:$AS)*$H65/100,0)</f>
        <v>0</v>
      </c>
      <c r="BC65" s="16">
        <f ca="1">IFERROR(_xlfn.XLOOKUP($F65,'FCDB 2017 (full)'!$C:$C,'FCDB 2017 (full)'!$AT:$AT)*$H65/100,0)</f>
        <v>0</v>
      </c>
      <c r="BD65" s="16">
        <f ca="1">IFERROR(_xlfn.XLOOKUP($F65,'FCDB 2017 (full)'!$C:$C,'FCDB 2017 (full)'!$AU:$AU)*$H65/100,0)</f>
        <v>0</v>
      </c>
      <c r="BE65" s="16">
        <f ca="1">IFERROR(_xlfn.XLOOKUP($F65,'FCDB 2017 (full)'!$C:$C,'FCDB 2017 (full)'!$AV:$AV)*$H65/100,0)</f>
        <v>0</v>
      </c>
      <c r="BF65" s="16">
        <f ca="1">IFERROR(_xlfn.XLOOKUP($F65,'FCDB 2017 (full)'!$C:$C,'FCDB 2017 (full)'!$AW:$AW)*$H65/100,0)</f>
        <v>0</v>
      </c>
      <c r="BG65" s="16">
        <f ca="1">IFERROR(_xlfn.XLOOKUP($F65,'FCDB 2017 (full)'!$C:$C,'FCDB 2017 (full)'!$AX:$AX)*$H65/100,0)</f>
        <v>0</v>
      </c>
      <c r="BH65" s="16">
        <f ca="1">IFERROR(_xlfn.XLOOKUP($F65,'FCDB 2017 (full)'!$C:$C,'FCDB 2017 (full)'!$AY:$AY)*$H65/100,0)</f>
        <v>0</v>
      </c>
      <c r="BI65" s="16">
        <f ca="1">IFERROR(_xlfn.XLOOKUP($F65,'FCDB 2017 (full)'!$C:$C,'FCDB 2017 (full)'!$AZ:$AZ)*$H65/100,0)</f>
        <v>0</v>
      </c>
      <c r="BJ65" s="16">
        <f ca="1">IFERROR(_xlfn.XLOOKUP($F65,'FCDB 2017 (full)'!$C:$C,'FCDB 2017 (full)'!$BA:$BA)*$H65/100,0)</f>
        <v>0</v>
      </c>
      <c r="BK65" s="16">
        <f ca="1">IFERROR(_xlfn.XLOOKUP($F65,'FCDB 2017 (full)'!$C:$C,'FCDB 2017 (full)'!$BB:$BB)*$H65/100,0)</f>
        <v>0</v>
      </c>
      <c r="BL65" s="16">
        <f ca="1">IFERROR(_xlfn.XLOOKUP($F65,'FCDB 2017 (full)'!$C:$C,'FCDB 2017 (full)'!$BC:$BC)*$H65/100,0)</f>
        <v>0</v>
      </c>
      <c r="BM65" s="16">
        <f ca="1">IFERROR(_xlfn.XLOOKUP($F65,'FCDB 2017 (full)'!$C:$C,'FCDB 2017 (full)'!$BD:$BD)*$H65/100,0)</f>
        <v>0</v>
      </c>
      <c r="BN65" s="16">
        <f ca="1">IFERROR(_xlfn.XLOOKUP($F65,'FCDB 2017 (full)'!$C:$C,'FCDB 2017 (full)'!$BE:$BE)*$H65/100,0)</f>
        <v>0</v>
      </c>
      <c r="BO65" s="16">
        <f ca="1">IFERROR(_xlfn.XLOOKUP($F65,'FCDB 2017 (full)'!$C:$C,'FCDB 2017 (full)'!$BF:$BF)*$H65/100,0)</f>
        <v>0</v>
      </c>
      <c r="BP65" s="16">
        <f ca="1">IFERROR(_xlfn.XLOOKUP($F65,'FCDB 2017 (full)'!$C:$C,'FCDB 2017 (full)'!$BG:$BG)*$H65/100,0)</f>
        <v>0</v>
      </c>
      <c r="BQ65" s="16">
        <f ca="1">IFERROR(_xlfn.XLOOKUP($F65,'FCDB 2017 (full)'!$C:$C,'FCDB 2017 (full)'!$BH:$BH)*$H65/100,0)</f>
        <v>0</v>
      </c>
      <c r="BR65" s="16">
        <f ca="1">IFERROR(_xlfn.XLOOKUP($F65,'FCDB 2017 (full)'!$C:$C,'FCDB 2017 (full)'!$BI:$BI)*$H65/100,0)</f>
        <v>0</v>
      </c>
      <c r="BS65" s="16">
        <f ca="1">IFERROR(_xlfn.XLOOKUP($F65,'FCDB 2017 (full)'!$C:$C,'FCDB 2017 (full)'!$BJ:$BJ)*$H65/100,0)</f>
        <v>0</v>
      </c>
      <c r="BT65" s="16">
        <f ca="1">IFERROR(_xlfn.XLOOKUP($F65,'FCDB 2017 (full)'!$C:$C,'FCDB 2017 (full)'!$BK:$BK)*$H65/100,0)</f>
        <v>0</v>
      </c>
      <c r="BU65" s="16">
        <f ca="1">IFERROR(_xlfn.XLOOKUP($F65,'FCDB 2017 (full)'!$C:$C,'FCDB 2017 (full)'!$BL:$BL)*$H65/100,0)</f>
        <v>0</v>
      </c>
      <c r="BV65" s="16">
        <f ca="1">IFERROR(_xlfn.XLOOKUP($F65,'FCDB 2017 (full)'!$C:$C,'FCDB 2017 (full)'!$BM:$BM)*$H65/100,0)</f>
        <v>0</v>
      </c>
      <c r="BW65" s="16">
        <f ca="1">IFERROR(_xlfn.XLOOKUP($F65,'FCDB 2017 (full)'!$C:$C,'FCDB 2017 (full)'!$BN:$BN)*$H65/100,0)</f>
        <v>0</v>
      </c>
      <c r="BX65" s="16">
        <f ca="1">IFERROR(_xlfn.XLOOKUP($F65,'FCDB 2017 (full)'!$C:$C,'FCDB 2017 (full)'!$BO:$BO)*$H65/100,0)</f>
        <v>0</v>
      </c>
      <c r="BY65" s="16">
        <f ca="1">IFERROR(_xlfn.XLOOKUP($F65,'FCDB 2017 (full)'!$C:$C,'FCDB 2017 (full)'!$BP:$BP)*$H65/100,0)</f>
        <v>0</v>
      </c>
      <c r="BZ65" s="16">
        <f ca="1">IFERROR(_xlfn.XLOOKUP($F65,'FCDB 2017 (full)'!$C:$C,'FCDB 2017 (full)'!$BQ:$BQ)*$H65/100,0)</f>
        <v>0</v>
      </c>
      <c r="CA65" s="16">
        <f ca="1">IFERROR(_xlfn.XLOOKUP($F65,'FCDB 2017 (full)'!$C:$C,'FCDB 2017 (full)'!$BR:$BR)*$H65/100,0)</f>
        <v>0</v>
      </c>
      <c r="CB65" s="16">
        <f ca="1">IFERROR(_xlfn.XLOOKUP($F65,'FCDB 2017 (full)'!$C:$C,'FCDB 2017 (full)'!$BS:$BS)*$H65/100,0)</f>
        <v>0</v>
      </c>
      <c r="CC65" s="16">
        <f ca="1">IFERROR(_xlfn.XLOOKUP($F65,'FCDB 2017 (full)'!$C:$C,'FCDB 2017 (full)'!$BT:$BT)*$H65/100,0)</f>
        <v>0</v>
      </c>
      <c r="CD65" s="16">
        <f ca="1">IFERROR(_xlfn.XLOOKUP($F65,'FCDB 2017 (full)'!$C:$C,'FCDB 2017 (full)'!$BU:$BU)*$H65/100,0)</f>
        <v>0</v>
      </c>
      <c r="CE65" s="16">
        <f ca="1">IFERROR(_xlfn.XLOOKUP($F65,'FCDB 2017 (full)'!$C:$C,'FCDB 2017 (full)'!$BV:$BV)*$H65/100,0)</f>
        <v>0</v>
      </c>
      <c r="CF65" s="16">
        <f ca="1">IFERROR(_xlfn.XLOOKUP($F65,'FCDB 2017 (full)'!$C:$C,'FCDB 2017 (full)'!$BW:$BW)*$H65/100,0)</f>
        <v>0</v>
      </c>
      <c r="CG65" s="16">
        <f ca="1">IFERROR(_xlfn.XLOOKUP($F65,'FCDB 2017 (full)'!$C:$C,'FCDB 2017 (full)'!$BX:$BX)*$H65/100,0)</f>
        <v>0</v>
      </c>
      <c r="CH65" s="16">
        <f ca="1">IFERROR(_xlfn.XLOOKUP($F65,'FCDB 2017 (full)'!$C:$C,'FCDB 2017 (full)'!$BY:$BY)*$H65/100,0)</f>
        <v>0</v>
      </c>
      <c r="CI65" s="16">
        <f ca="1">IFERROR(_xlfn.XLOOKUP($F65,'FCDB 2017 (full)'!$C:$C,'FCDB 2017 (full)'!$BZ:$BZ)*$H65/100,0)</f>
        <v>0</v>
      </c>
      <c r="CJ65" s="16">
        <f ca="1">IFERROR(_xlfn.XLOOKUP($F65,'FCDB 2017 (full)'!$C:$C,'FCDB 2017 (full)'!$CA:$CA)*$H65/100,0)</f>
        <v>0</v>
      </c>
      <c r="CK65" s="16">
        <f ca="1">IFERROR(_xlfn.XLOOKUP($F65,'FCDB 2017 (full)'!$C:$C,'FCDB 2017 (full)'!$CB:$CB)*$H65/100,0)</f>
        <v>0</v>
      </c>
      <c r="CL65" s="16">
        <f ca="1">IFERROR(_xlfn.XLOOKUP($F65,'FCDB 2017 (full)'!$C:$C,'FCDB 2017 (full)'!$CC:$CC)*$H65/100,0)</f>
        <v>0</v>
      </c>
      <c r="CM65" s="16">
        <f ca="1">IFERROR(_xlfn.XLOOKUP($F65,'FCDB 2017 (full)'!$C:$C,'FCDB 2017 (full)'!$CD:$CD)*$H65/100,0)</f>
        <v>0</v>
      </c>
      <c r="CN65" s="16">
        <f ca="1">IFERROR(_xlfn.XLOOKUP($F65,'FCDB 2017 (full)'!$C:$C,'FCDB 2017 (full)'!$CE:$CE)*$H65/100,0)</f>
        <v>0</v>
      </c>
      <c r="CO65" s="16">
        <f ca="1">IFERROR(_xlfn.XLOOKUP($F65,'FCDB 2017 (full)'!$C:$C,'FCDB 2017 (full)'!$CF:$CF)*$H65/100,0)</f>
        <v>0</v>
      </c>
      <c r="CP65" s="16">
        <f ca="1">IFERROR(_xlfn.XLOOKUP($F65,'FCDB 2017 (full)'!$C:$C,'FCDB 2017 (full)'!$CG:$CG)*$H65/100,0)</f>
        <v>0</v>
      </c>
      <c r="CQ65" s="16">
        <f ca="1">IFERROR(_xlfn.XLOOKUP($F65,'FCDB 2017 (full)'!$C:$C,'FCDB 2017 (full)'!$CH:$CH)*$H65/100,0)</f>
        <v>0</v>
      </c>
      <c r="CR65"/>
      <c r="DA65" s="72" t="s">
        <v>980</v>
      </c>
    </row>
    <row r="66" spans="4:105" ht="16.8">
      <c r="D66"/>
      <c r="E66"/>
      <c r="F66" s="11">
        <f>IFERROR(VLOOKUP($D$53,$D:$AE,10,0),0)</f>
        <v>0</v>
      </c>
      <c r="G66" s="7" cm="1">
        <f t="array" ref="G66">IF(F66=0,0,IF(_xlfn.XLOOKUP(F66,$E$53:$AE$53,$E$54:$AE$54)=0,"Nhập ĐV/TV",_xlfn.XLOOKUP(F66,$E$53:$AE$53,$E$54:$AE$54)))</f>
        <v>0</v>
      </c>
      <c r="H66" s="8">
        <f t="shared" si="14"/>
        <v>0</v>
      </c>
      <c r="I66" s="9">
        <f ca="1">IFERROR(_xlfn.XLOOKUP($F66,'FCDB 2017 (full)'!$C:$C,'FCDB 2017 (full)'!$E:$E),0)</f>
        <v>0</v>
      </c>
      <c r="J66" s="10">
        <f t="shared" ca="1" si="15"/>
        <v>0</v>
      </c>
      <c r="K66" s="9">
        <f ca="1">IFERROR(_xlfn.XLOOKUP($F66,'FCDB 2017 (full)'!$C:$C,'FCDB 2017 (full)'!$G:$G),0)</f>
        <v>0</v>
      </c>
      <c r="L66" s="13">
        <f t="shared" si="16"/>
        <v>0</v>
      </c>
      <c r="M66" s="13">
        <f t="shared" si="10"/>
        <v>0</v>
      </c>
      <c r="N66" s="9">
        <f ca="1">IFERROR(_xlfn.XLOOKUP($F66,'FCDB 2017 (full)'!$C:$C,'FCDB 2017 (full)'!$H:$H),0)</f>
        <v>0</v>
      </c>
      <c r="O66" s="14">
        <f t="shared" si="11"/>
        <v>0</v>
      </c>
      <c r="P66" s="14">
        <f t="shared" si="12"/>
        <v>0</v>
      </c>
      <c r="Q66" s="9">
        <f ca="1">IFERROR(_xlfn.XLOOKUP($F66,'FCDB 2017 (full)'!$C:$C,'FCDB 2017 (full)'!$I:$I),0)</f>
        <v>0</v>
      </c>
      <c r="R66" s="15">
        <f t="shared" ca="1" si="13"/>
        <v>0</v>
      </c>
      <c r="S66" s="16">
        <f ca="1">IFERROR(_xlfn.XLOOKUP($F66,'FCDB 2017 (full)'!$C:$C,'FCDB 2017 (full)'!$J:$J)*$H66/100,0)</f>
        <v>0</v>
      </c>
      <c r="T66" s="16">
        <f ca="1">IFERROR(_xlfn.XLOOKUP($F66,'FCDB 2017 (full)'!$C:$C,'FCDB 2017 (full)'!$K:$K)*$H66/100,0)</f>
        <v>0</v>
      </c>
      <c r="U66" s="16">
        <f ca="1">IFERROR(_xlfn.XLOOKUP($F66,'FCDB 2017 (full)'!$C:$C,'FCDB 2017 (full)'!$L:$L)*$H66/100,0)</f>
        <v>0</v>
      </c>
      <c r="V66" s="16">
        <f ca="1">IFERROR(_xlfn.XLOOKUP($F66,'FCDB 2017 (full)'!$C:$C,'FCDB 2017 (full)'!$M:$M)*$H66/100,0)</f>
        <v>0</v>
      </c>
      <c r="W66" s="16">
        <f ca="1">IFERROR(_xlfn.XLOOKUP($F66,'FCDB 2017 (full)'!$C:$C,'FCDB 2017 (full)'!$N:$N)*$H66/100,0)</f>
        <v>0</v>
      </c>
      <c r="X66" s="16">
        <f ca="1">IFERROR(_xlfn.XLOOKUP($F66,'FCDB 2017 (full)'!$C:$C,'FCDB 2017 (full)'!$O:$O)*$H66/100,0)</f>
        <v>0</v>
      </c>
      <c r="Y66" s="16">
        <f ca="1">IFERROR(_xlfn.XLOOKUP($F66,'FCDB 2017 (full)'!$C:$C,'FCDB 2017 (full)'!$P:$P)*$H66/100,0)</f>
        <v>0</v>
      </c>
      <c r="Z66" s="16">
        <f ca="1">IFERROR(_xlfn.XLOOKUP($F66,'FCDB 2017 (full)'!$C:$C,'FCDB 2017 (full)'!$Q:$Q)*$H66/100,0)</f>
        <v>0</v>
      </c>
      <c r="AA66" s="16">
        <f ca="1">IFERROR(_xlfn.XLOOKUP($F66,'FCDB 2017 (full)'!$C:$C,'FCDB 2017 (full)'!$R:$R)*$H66/100,0)</f>
        <v>0</v>
      </c>
      <c r="AB66" s="16">
        <f ca="1">IFERROR(_xlfn.XLOOKUP($F66,'FCDB 2017 (full)'!$C:$C,'FCDB 2017 (full)'!$S:$S)*$H66/100,0)</f>
        <v>0</v>
      </c>
      <c r="AC66" s="16">
        <f ca="1">IFERROR(_xlfn.XLOOKUP($F66,'FCDB 2017 (full)'!$C:$C,'FCDB 2017 (full)'!$T:$T)*$H66/100,0)</f>
        <v>0</v>
      </c>
      <c r="AD66" s="16">
        <f ca="1">IFERROR(_xlfn.XLOOKUP($F66,'FCDB 2017 (full)'!$C:$C,'FCDB 2017 (full)'!$U:$U)*$H66/100,0)</f>
        <v>0</v>
      </c>
      <c r="AE66" s="16">
        <f ca="1">IFERROR(_xlfn.XLOOKUP($F66,'FCDB 2017 (full)'!$C:$C,'FCDB 2017 (full)'!$V:$V)*$H66/100,0)</f>
        <v>0</v>
      </c>
      <c r="AF66" s="16">
        <f ca="1">IFERROR(_xlfn.XLOOKUP($F66,'FCDB 2017 (full)'!$C:$C,'FCDB 2017 (full)'!$W:$W)*$H66/100,0)</f>
        <v>0</v>
      </c>
      <c r="AG66" s="16">
        <f ca="1">IFERROR(_xlfn.XLOOKUP($F66,'FCDB 2017 (full)'!$C:$C,'FCDB 2017 (full)'!$X:$X)*$H66/100,0)</f>
        <v>0</v>
      </c>
      <c r="AH66" s="16">
        <f ca="1">IFERROR(_xlfn.XLOOKUP($F66,'FCDB 2017 (full)'!$C:$C,'FCDB 2017 (full)'!$Y:$Y)*$H66/100,0)</f>
        <v>0</v>
      </c>
      <c r="AI66" s="16">
        <f ca="1">IFERROR(_xlfn.XLOOKUP($F66,'FCDB 2017 (full)'!$C:$C,'FCDB 2017 (full)'!$Z:$Z)*$H66/100,0)</f>
        <v>0</v>
      </c>
      <c r="AJ66" s="16">
        <f ca="1">IFERROR(_xlfn.XLOOKUP($F66,'FCDB 2017 (full)'!$C:$C,'FCDB 2017 (full)'!$AA:$AA)*$H66/100,0)</f>
        <v>0</v>
      </c>
      <c r="AK66" s="16">
        <f ca="1">IFERROR(_xlfn.XLOOKUP($F66,'FCDB 2017 (full)'!$C:$C,'FCDB 2017 (full)'!$AB:$AB)*$H66/100,0)</f>
        <v>0</v>
      </c>
      <c r="AL66" s="16">
        <f ca="1">IFERROR(_xlfn.XLOOKUP($F66,'FCDB 2017 (full)'!$C:$C,'FCDB 2017 (full)'!$AC:$AC)*$H66/100,0)</f>
        <v>0</v>
      </c>
      <c r="AM66" s="16">
        <f ca="1">IFERROR(_xlfn.XLOOKUP($F66,'FCDB 2017 (full)'!$C:$C,'FCDB 2017 (full)'!$AD:$AD)*$H66/100,0)</f>
        <v>0</v>
      </c>
      <c r="AN66" s="16">
        <f ca="1">IFERROR(_xlfn.XLOOKUP($F66,'FCDB 2017 (full)'!$C:$C,'FCDB 2017 (full)'!$AE:$AE)*$H66/100,0)</f>
        <v>0</v>
      </c>
      <c r="AO66" s="16">
        <f ca="1">IFERROR(_xlfn.XLOOKUP($F66,'FCDB 2017 (full)'!$C:$C,'FCDB 2017 (full)'!$AF:$AF)*$H66/100,0)</f>
        <v>0</v>
      </c>
      <c r="AP66" s="16">
        <f ca="1">IFERROR(_xlfn.XLOOKUP($F66,'FCDB 2017 (full)'!$C:$C,'FCDB 2017 (full)'!$AG:$AG)*$H66/100,0)</f>
        <v>0</v>
      </c>
      <c r="AQ66" s="16">
        <f ca="1">IFERROR(_xlfn.XLOOKUP($F66,'FCDB 2017 (full)'!$C:$C,'FCDB 2017 (full)'!$AH:$AH)*$H66/100,0)</f>
        <v>0</v>
      </c>
      <c r="AR66" s="16">
        <f ca="1">IFERROR(_xlfn.XLOOKUP($F66,'FCDB 2017 (full)'!$C:$C,'FCDB 2017 (full)'!$AI:$AI)*$H66/100,0)</f>
        <v>0</v>
      </c>
      <c r="AS66" s="16">
        <f ca="1">IFERROR(_xlfn.XLOOKUP($F66,'FCDB 2017 (full)'!$C:$C,'FCDB 2017 (full)'!$AJ:$AJ)*$H66/100,0)</f>
        <v>0</v>
      </c>
      <c r="AT66" s="16">
        <f ca="1">IFERROR(_xlfn.XLOOKUP($F66,'FCDB 2017 (full)'!$C:$C,'FCDB 2017 (full)'!$AK:$AK)*$H66/100,0)</f>
        <v>0</v>
      </c>
      <c r="AU66" s="16">
        <f ca="1">IFERROR(_xlfn.XLOOKUP($F66,'FCDB 2017 (full)'!$C:$C,'FCDB 2017 (full)'!$AK:$AK)*$H66/100,0)</f>
        <v>0</v>
      </c>
      <c r="AV66" s="16">
        <f ca="1">IFERROR(_xlfn.XLOOKUP($F66,'FCDB 2017 (full)'!$C:$C,'FCDB 2017 (full)'!$AM:$AM)*$H66/100,0)</f>
        <v>0</v>
      </c>
      <c r="AW66" s="16">
        <f ca="1">IFERROR(_xlfn.XLOOKUP($F66,'FCDB 2017 (full)'!$C:$C,'FCDB 2017 (full)'!$AN:$AN)*$H66/100,0)</f>
        <v>0</v>
      </c>
      <c r="AX66" s="16">
        <f ca="1">IFERROR(_xlfn.XLOOKUP($F66,'FCDB 2017 (full)'!$C:$C,'FCDB 2017 (full)'!$AO:$AO)*$H66/100,0)</f>
        <v>0</v>
      </c>
      <c r="AY66" s="16">
        <f ca="1">IFERROR(_xlfn.XLOOKUP($F66,'FCDB 2017 (full)'!$C:$C,'FCDB 2017 (full)'!$AP:$AP)*$H66/100,0)</f>
        <v>0</v>
      </c>
      <c r="AZ66" s="16">
        <f ca="1">IFERROR(_xlfn.XLOOKUP($F66,'FCDB 2017 (full)'!$C:$C,'FCDB 2017 (full)'!$AQ:$AQ)*$H66/100,0)</f>
        <v>0</v>
      </c>
      <c r="BA66" s="16">
        <f ca="1">IFERROR(_xlfn.XLOOKUP($F66,'FCDB 2017 (full)'!$C:$C,'FCDB 2017 (full)'!$AR:$AR)*$H66/100,0)</f>
        <v>0</v>
      </c>
      <c r="BB66" s="16">
        <f ca="1">IFERROR(_xlfn.XLOOKUP($F66,'FCDB 2017 (full)'!$C:$C,'FCDB 2017 (full)'!$AS:$AS)*$H66/100,0)</f>
        <v>0</v>
      </c>
      <c r="BC66" s="16">
        <f ca="1">IFERROR(_xlfn.XLOOKUP($F66,'FCDB 2017 (full)'!$C:$C,'FCDB 2017 (full)'!$AT:$AT)*$H66/100,0)</f>
        <v>0</v>
      </c>
      <c r="BD66" s="16">
        <f ca="1">IFERROR(_xlfn.XLOOKUP($F66,'FCDB 2017 (full)'!$C:$C,'FCDB 2017 (full)'!$AU:$AU)*$H66/100,0)</f>
        <v>0</v>
      </c>
      <c r="BE66" s="16">
        <f ca="1">IFERROR(_xlfn.XLOOKUP($F66,'FCDB 2017 (full)'!$C:$C,'FCDB 2017 (full)'!$AV:$AV)*$H66/100,0)</f>
        <v>0</v>
      </c>
      <c r="BF66" s="16">
        <f ca="1">IFERROR(_xlfn.XLOOKUP($F66,'FCDB 2017 (full)'!$C:$C,'FCDB 2017 (full)'!$AW:$AW)*$H66/100,0)</f>
        <v>0</v>
      </c>
      <c r="BG66" s="16">
        <f ca="1">IFERROR(_xlfn.XLOOKUP($F66,'FCDB 2017 (full)'!$C:$C,'FCDB 2017 (full)'!$AX:$AX)*$H66/100,0)</f>
        <v>0</v>
      </c>
      <c r="BH66" s="16">
        <f ca="1">IFERROR(_xlfn.XLOOKUP($F66,'FCDB 2017 (full)'!$C:$C,'FCDB 2017 (full)'!$AY:$AY)*$H66/100,0)</f>
        <v>0</v>
      </c>
      <c r="BI66" s="16">
        <f ca="1">IFERROR(_xlfn.XLOOKUP($F66,'FCDB 2017 (full)'!$C:$C,'FCDB 2017 (full)'!$AZ:$AZ)*$H66/100,0)</f>
        <v>0</v>
      </c>
      <c r="BJ66" s="16">
        <f ca="1">IFERROR(_xlfn.XLOOKUP($F66,'FCDB 2017 (full)'!$C:$C,'FCDB 2017 (full)'!$BA:$BA)*$H66/100,0)</f>
        <v>0</v>
      </c>
      <c r="BK66" s="16">
        <f ca="1">IFERROR(_xlfn.XLOOKUP($F66,'FCDB 2017 (full)'!$C:$C,'FCDB 2017 (full)'!$BB:$BB)*$H66/100,0)</f>
        <v>0</v>
      </c>
      <c r="BL66" s="16">
        <f ca="1">IFERROR(_xlfn.XLOOKUP($F66,'FCDB 2017 (full)'!$C:$C,'FCDB 2017 (full)'!$BC:$BC)*$H66/100,0)</f>
        <v>0</v>
      </c>
      <c r="BM66" s="16">
        <f ca="1">IFERROR(_xlfn.XLOOKUP($F66,'FCDB 2017 (full)'!$C:$C,'FCDB 2017 (full)'!$BD:$BD)*$H66/100,0)</f>
        <v>0</v>
      </c>
      <c r="BN66" s="16">
        <f ca="1">IFERROR(_xlfn.XLOOKUP($F66,'FCDB 2017 (full)'!$C:$C,'FCDB 2017 (full)'!$BE:$BE)*$H66/100,0)</f>
        <v>0</v>
      </c>
      <c r="BO66" s="16">
        <f ca="1">IFERROR(_xlfn.XLOOKUP($F66,'FCDB 2017 (full)'!$C:$C,'FCDB 2017 (full)'!$BF:$BF)*$H66/100,0)</f>
        <v>0</v>
      </c>
      <c r="BP66" s="16">
        <f ca="1">IFERROR(_xlfn.XLOOKUP($F66,'FCDB 2017 (full)'!$C:$C,'FCDB 2017 (full)'!$BG:$BG)*$H66/100,0)</f>
        <v>0</v>
      </c>
      <c r="BQ66" s="16">
        <f ca="1">IFERROR(_xlfn.XLOOKUP($F66,'FCDB 2017 (full)'!$C:$C,'FCDB 2017 (full)'!$BH:$BH)*$H66/100,0)</f>
        <v>0</v>
      </c>
      <c r="BR66" s="16">
        <f ca="1">IFERROR(_xlfn.XLOOKUP($F66,'FCDB 2017 (full)'!$C:$C,'FCDB 2017 (full)'!$BI:$BI)*$H66/100,0)</f>
        <v>0</v>
      </c>
      <c r="BS66" s="16">
        <f ca="1">IFERROR(_xlfn.XLOOKUP($F66,'FCDB 2017 (full)'!$C:$C,'FCDB 2017 (full)'!$BJ:$BJ)*$H66/100,0)</f>
        <v>0</v>
      </c>
      <c r="BT66" s="16">
        <f ca="1">IFERROR(_xlfn.XLOOKUP($F66,'FCDB 2017 (full)'!$C:$C,'FCDB 2017 (full)'!$BK:$BK)*$H66/100,0)</f>
        <v>0</v>
      </c>
      <c r="BU66" s="16">
        <f ca="1">IFERROR(_xlfn.XLOOKUP($F66,'FCDB 2017 (full)'!$C:$C,'FCDB 2017 (full)'!$BL:$BL)*$H66/100,0)</f>
        <v>0</v>
      </c>
      <c r="BV66" s="16">
        <f ca="1">IFERROR(_xlfn.XLOOKUP($F66,'FCDB 2017 (full)'!$C:$C,'FCDB 2017 (full)'!$BM:$BM)*$H66/100,0)</f>
        <v>0</v>
      </c>
      <c r="BW66" s="16">
        <f ca="1">IFERROR(_xlfn.XLOOKUP($F66,'FCDB 2017 (full)'!$C:$C,'FCDB 2017 (full)'!$BN:$BN)*$H66/100,0)</f>
        <v>0</v>
      </c>
      <c r="BX66" s="16">
        <f ca="1">IFERROR(_xlfn.XLOOKUP($F66,'FCDB 2017 (full)'!$C:$C,'FCDB 2017 (full)'!$BO:$BO)*$H66/100,0)</f>
        <v>0</v>
      </c>
      <c r="BY66" s="16">
        <f ca="1">IFERROR(_xlfn.XLOOKUP($F66,'FCDB 2017 (full)'!$C:$C,'FCDB 2017 (full)'!$BP:$BP)*$H66/100,0)</f>
        <v>0</v>
      </c>
      <c r="BZ66" s="16">
        <f ca="1">IFERROR(_xlfn.XLOOKUP($F66,'FCDB 2017 (full)'!$C:$C,'FCDB 2017 (full)'!$BQ:$BQ)*$H66/100,0)</f>
        <v>0</v>
      </c>
      <c r="CA66" s="16">
        <f ca="1">IFERROR(_xlfn.XLOOKUP($F66,'FCDB 2017 (full)'!$C:$C,'FCDB 2017 (full)'!$BR:$BR)*$H66/100,0)</f>
        <v>0</v>
      </c>
      <c r="CB66" s="16">
        <f ca="1">IFERROR(_xlfn.XLOOKUP($F66,'FCDB 2017 (full)'!$C:$C,'FCDB 2017 (full)'!$BS:$BS)*$H66/100,0)</f>
        <v>0</v>
      </c>
      <c r="CC66" s="16">
        <f ca="1">IFERROR(_xlfn.XLOOKUP($F66,'FCDB 2017 (full)'!$C:$C,'FCDB 2017 (full)'!$BT:$BT)*$H66/100,0)</f>
        <v>0</v>
      </c>
      <c r="CD66" s="16">
        <f ca="1">IFERROR(_xlfn.XLOOKUP($F66,'FCDB 2017 (full)'!$C:$C,'FCDB 2017 (full)'!$BU:$BU)*$H66/100,0)</f>
        <v>0</v>
      </c>
      <c r="CE66" s="16">
        <f ca="1">IFERROR(_xlfn.XLOOKUP($F66,'FCDB 2017 (full)'!$C:$C,'FCDB 2017 (full)'!$BV:$BV)*$H66/100,0)</f>
        <v>0</v>
      </c>
      <c r="CF66" s="16">
        <f ca="1">IFERROR(_xlfn.XLOOKUP($F66,'FCDB 2017 (full)'!$C:$C,'FCDB 2017 (full)'!$BW:$BW)*$H66/100,0)</f>
        <v>0</v>
      </c>
      <c r="CG66" s="16">
        <f ca="1">IFERROR(_xlfn.XLOOKUP($F66,'FCDB 2017 (full)'!$C:$C,'FCDB 2017 (full)'!$BX:$BX)*$H66/100,0)</f>
        <v>0</v>
      </c>
      <c r="CH66" s="16">
        <f ca="1">IFERROR(_xlfn.XLOOKUP($F66,'FCDB 2017 (full)'!$C:$C,'FCDB 2017 (full)'!$BY:$BY)*$H66/100,0)</f>
        <v>0</v>
      </c>
      <c r="CI66" s="16">
        <f ca="1">IFERROR(_xlfn.XLOOKUP($F66,'FCDB 2017 (full)'!$C:$C,'FCDB 2017 (full)'!$BZ:$BZ)*$H66/100,0)</f>
        <v>0</v>
      </c>
      <c r="CJ66" s="16">
        <f ca="1">IFERROR(_xlfn.XLOOKUP($F66,'FCDB 2017 (full)'!$C:$C,'FCDB 2017 (full)'!$CA:$CA)*$H66/100,0)</f>
        <v>0</v>
      </c>
      <c r="CK66" s="16">
        <f ca="1">IFERROR(_xlfn.XLOOKUP($F66,'FCDB 2017 (full)'!$C:$C,'FCDB 2017 (full)'!$CB:$CB)*$H66/100,0)</f>
        <v>0</v>
      </c>
      <c r="CL66" s="16">
        <f ca="1">IFERROR(_xlfn.XLOOKUP($F66,'FCDB 2017 (full)'!$C:$C,'FCDB 2017 (full)'!$CC:$CC)*$H66/100,0)</f>
        <v>0</v>
      </c>
      <c r="CM66" s="16">
        <f ca="1">IFERROR(_xlfn.XLOOKUP($F66,'FCDB 2017 (full)'!$C:$C,'FCDB 2017 (full)'!$CD:$CD)*$H66/100,0)</f>
        <v>0</v>
      </c>
      <c r="CN66" s="16">
        <f ca="1">IFERROR(_xlfn.XLOOKUP($F66,'FCDB 2017 (full)'!$C:$C,'FCDB 2017 (full)'!$CE:$CE)*$H66/100,0)</f>
        <v>0</v>
      </c>
      <c r="CO66" s="16">
        <f ca="1">IFERROR(_xlfn.XLOOKUP($F66,'FCDB 2017 (full)'!$C:$C,'FCDB 2017 (full)'!$CF:$CF)*$H66/100,0)</f>
        <v>0</v>
      </c>
      <c r="CP66" s="16">
        <f ca="1">IFERROR(_xlfn.XLOOKUP($F66,'FCDB 2017 (full)'!$C:$C,'FCDB 2017 (full)'!$CG:$CG)*$H66/100,0)</f>
        <v>0</v>
      </c>
      <c r="CQ66" s="16">
        <f ca="1">IFERROR(_xlfn.XLOOKUP($F66,'FCDB 2017 (full)'!$C:$C,'FCDB 2017 (full)'!$CH:$CH)*$H66/100,0)</f>
        <v>0</v>
      </c>
      <c r="CR66"/>
      <c r="DA66" s="72" t="s">
        <v>980</v>
      </c>
    </row>
    <row r="67" spans="4:105" ht="16.8">
      <c r="D67"/>
      <c r="E67"/>
      <c r="F67" s="11">
        <f>IFERROR(VLOOKUP($D$53,$D:$AE,12,0),0)</f>
        <v>0</v>
      </c>
      <c r="G67" s="7" cm="1">
        <f t="array" ref="G67">IF(F67=0,0,IF(_xlfn.XLOOKUP(F67,$E$53:$AE$53,$E$54:$AE$54)=0,"Nhập ĐV/TV",_xlfn.XLOOKUP(F67,$E$53:$AE$53,$E$54:$AE$54)))</f>
        <v>0</v>
      </c>
      <c r="H67" s="8">
        <f t="shared" si="14"/>
        <v>0</v>
      </c>
      <c r="I67" s="9">
        <f ca="1">IFERROR(_xlfn.XLOOKUP($F67,'FCDB 2017 (full)'!$C:$C,'FCDB 2017 (full)'!$E:$E),0)</f>
        <v>0</v>
      </c>
      <c r="J67" s="10">
        <f t="shared" ca="1" si="15"/>
        <v>0</v>
      </c>
      <c r="K67" s="9">
        <f ca="1">IFERROR(_xlfn.XLOOKUP($F67,'FCDB 2017 (full)'!$C:$C,'FCDB 2017 (full)'!$G:$G),0)</f>
        <v>0</v>
      </c>
      <c r="L67" s="13">
        <f t="shared" si="16"/>
        <v>0</v>
      </c>
      <c r="M67" s="13">
        <f t="shared" si="10"/>
        <v>0</v>
      </c>
      <c r="N67" s="9">
        <f ca="1">IFERROR(_xlfn.XLOOKUP($F67,'FCDB 2017 (full)'!$C:$C,'FCDB 2017 (full)'!$H:$H),0)</f>
        <v>0</v>
      </c>
      <c r="O67" s="14">
        <f t="shared" si="11"/>
        <v>0</v>
      </c>
      <c r="P67" s="14">
        <f t="shared" si="12"/>
        <v>0</v>
      </c>
      <c r="Q67" s="9">
        <f ca="1">IFERROR(_xlfn.XLOOKUP($F67,'FCDB 2017 (full)'!$C:$C,'FCDB 2017 (full)'!$I:$I),0)</f>
        <v>0</v>
      </c>
      <c r="R67" s="15">
        <f t="shared" ca="1" si="13"/>
        <v>0</v>
      </c>
      <c r="S67" s="16">
        <f ca="1">IFERROR(_xlfn.XLOOKUP($F67,'FCDB 2017 (full)'!$C:$C,'FCDB 2017 (full)'!$J:$J)*$H67/100,0)</f>
        <v>0</v>
      </c>
      <c r="T67" s="16">
        <f ca="1">IFERROR(_xlfn.XLOOKUP($F67,'FCDB 2017 (full)'!$C:$C,'FCDB 2017 (full)'!$K:$K)*$H67/100,0)</f>
        <v>0</v>
      </c>
      <c r="U67" s="16">
        <f ca="1">IFERROR(_xlfn.XLOOKUP($F67,'FCDB 2017 (full)'!$C:$C,'FCDB 2017 (full)'!$L:$L)*$H67/100,0)</f>
        <v>0</v>
      </c>
      <c r="V67" s="16">
        <f ca="1">IFERROR(_xlfn.XLOOKUP($F67,'FCDB 2017 (full)'!$C:$C,'FCDB 2017 (full)'!$M:$M)*$H67/100,0)</f>
        <v>0</v>
      </c>
      <c r="W67" s="16">
        <f ca="1">IFERROR(_xlfn.XLOOKUP($F67,'FCDB 2017 (full)'!$C:$C,'FCDB 2017 (full)'!$N:$N)*$H67/100,0)</f>
        <v>0</v>
      </c>
      <c r="X67" s="16">
        <f ca="1">IFERROR(_xlfn.XLOOKUP($F67,'FCDB 2017 (full)'!$C:$C,'FCDB 2017 (full)'!$O:$O)*$H67/100,0)</f>
        <v>0</v>
      </c>
      <c r="Y67" s="16">
        <f ca="1">IFERROR(_xlfn.XLOOKUP($F67,'FCDB 2017 (full)'!$C:$C,'FCDB 2017 (full)'!$P:$P)*$H67/100,0)</f>
        <v>0</v>
      </c>
      <c r="Z67" s="16">
        <f ca="1">IFERROR(_xlfn.XLOOKUP($F67,'FCDB 2017 (full)'!$C:$C,'FCDB 2017 (full)'!$Q:$Q)*$H67/100,0)</f>
        <v>0</v>
      </c>
      <c r="AA67" s="16">
        <f ca="1">IFERROR(_xlfn.XLOOKUP($F67,'FCDB 2017 (full)'!$C:$C,'FCDB 2017 (full)'!$R:$R)*$H67/100,0)</f>
        <v>0</v>
      </c>
      <c r="AB67" s="16">
        <f ca="1">IFERROR(_xlfn.XLOOKUP($F67,'FCDB 2017 (full)'!$C:$C,'FCDB 2017 (full)'!$S:$S)*$H67/100,0)</f>
        <v>0</v>
      </c>
      <c r="AC67" s="16">
        <f ca="1">IFERROR(_xlfn.XLOOKUP($F67,'FCDB 2017 (full)'!$C:$C,'FCDB 2017 (full)'!$T:$T)*$H67/100,0)</f>
        <v>0</v>
      </c>
      <c r="AD67" s="16">
        <f ca="1">IFERROR(_xlfn.XLOOKUP($F67,'FCDB 2017 (full)'!$C:$C,'FCDB 2017 (full)'!$U:$U)*$H67/100,0)</f>
        <v>0</v>
      </c>
      <c r="AE67" s="16">
        <f ca="1">IFERROR(_xlfn.XLOOKUP($F67,'FCDB 2017 (full)'!$C:$C,'FCDB 2017 (full)'!$V:$V)*$H67/100,0)</f>
        <v>0</v>
      </c>
      <c r="AF67" s="16">
        <f ca="1">IFERROR(_xlfn.XLOOKUP($F67,'FCDB 2017 (full)'!$C:$C,'FCDB 2017 (full)'!$W:$W)*$H67/100,0)</f>
        <v>0</v>
      </c>
      <c r="AG67" s="16">
        <f ca="1">IFERROR(_xlfn.XLOOKUP($F67,'FCDB 2017 (full)'!$C:$C,'FCDB 2017 (full)'!$X:$X)*$H67/100,0)</f>
        <v>0</v>
      </c>
      <c r="AH67" s="16">
        <f ca="1">IFERROR(_xlfn.XLOOKUP($F67,'FCDB 2017 (full)'!$C:$C,'FCDB 2017 (full)'!$Y:$Y)*$H67/100,0)</f>
        <v>0</v>
      </c>
      <c r="AI67" s="16">
        <f ca="1">IFERROR(_xlfn.XLOOKUP($F67,'FCDB 2017 (full)'!$C:$C,'FCDB 2017 (full)'!$Z:$Z)*$H67/100,0)</f>
        <v>0</v>
      </c>
      <c r="AJ67" s="16">
        <f ca="1">IFERROR(_xlfn.XLOOKUP($F67,'FCDB 2017 (full)'!$C:$C,'FCDB 2017 (full)'!$AA:$AA)*$H67/100,0)</f>
        <v>0</v>
      </c>
      <c r="AK67" s="16">
        <f ca="1">IFERROR(_xlfn.XLOOKUP($F67,'FCDB 2017 (full)'!$C:$C,'FCDB 2017 (full)'!$AB:$AB)*$H67/100,0)</f>
        <v>0</v>
      </c>
      <c r="AL67" s="16">
        <f ca="1">IFERROR(_xlfn.XLOOKUP($F67,'FCDB 2017 (full)'!$C:$C,'FCDB 2017 (full)'!$AC:$AC)*$H67/100,0)</f>
        <v>0</v>
      </c>
      <c r="AM67" s="16">
        <f ca="1">IFERROR(_xlfn.XLOOKUP($F67,'FCDB 2017 (full)'!$C:$C,'FCDB 2017 (full)'!$AD:$AD)*$H67/100,0)</f>
        <v>0</v>
      </c>
      <c r="AN67" s="16">
        <f ca="1">IFERROR(_xlfn.XLOOKUP($F67,'FCDB 2017 (full)'!$C:$C,'FCDB 2017 (full)'!$AE:$AE)*$H67/100,0)</f>
        <v>0</v>
      </c>
      <c r="AO67" s="16">
        <f ca="1">IFERROR(_xlfn.XLOOKUP($F67,'FCDB 2017 (full)'!$C:$C,'FCDB 2017 (full)'!$AF:$AF)*$H67/100,0)</f>
        <v>0</v>
      </c>
      <c r="AP67" s="16">
        <f ca="1">IFERROR(_xlfn.XLOOKUP($F67,'FCDB 2017 (full)'!$C:$C,'FCDB 2017 (full)'!$AG:$AG)*$H67/100,0)</f>
        <v>0</v>
      </c>
      <c r="AQ67" s="16">
        <f ca="1">IFERROR(_xlfn.XLOOKUP($F67,'FCDB 2017 (full)'!$C:$C,'FCDB 2017 (full)'!$AH:$AH)*$H67/100,0)</f>
        <v>0</v>
      </c>
      <c r="AR67" s="16">
        <f ca="1">IFERROR(_xlfn.XLOOKUP($F67,'FCDB 2017 (full)'!$C:$C,'FCDB 2017 (full)'!$AI:$AI)*$H67/100,0)</f>
        <v>0</v>
      </c>
      <c r="AS67" s="16">
        <f ca="1">IFERROR(_xlfn.XLOOKUP($F67,'FCDB 2017 (full)'!$C:$C,'FCDB 2017 (full)'!$AJ:$AJ)*$H67/100,0)</f>
        <v>0</v>
      </c>
      <c r="AT67" s="16">
        <f ca="1">IFERROR(_xlfn.XLOOKUP($F67,'FCDB 2017 (full)'!$C:$C,'FCDB 2017 (full)'!$AK:$AK)*$H67/100,0)</f>
        <v>0</v>
      </c>
      <c r="AU67" s="16">
        <f ca="1">IFERROR(_xlfn.XLOOKUP($F67,'FCDB 2017 (full)'!$C:$C,'FCDB 2017 (full)'!$AK:$AK)*$H67/100,0)</f>
        <v>0</v>
      </c>
      <c r="AV67" s="16">
        <f ca="1">IFERROR(_xlfn.XLOOKUP($F67,'FCDB 2017 (full)'!$C:$C,'FCDB 2017 (full)'!$AM:$AM)*$H67/100,0)</f>
        <v>0</v>
      </c>
      <c r="AW67" s="16">
        <f ca="1">IFERROR(_xlfn.XLOOKUP($F67,'FCDB 2017 (full)'!$C:$C,'FCDB 2017 (full)'!$AN:$AN)*$H67/100,0)</f>
        <v>0</v>
      </c>
      <c r="AX67" s="16">
        <f ca="1">IFERROR(_xlfn.XLOOKUP($F67,'FCDB 2017 (full)'!$C:$C,'FCDB 2017 (full)'!$AO:$AO)*$H67/100,0)</f>
        <v>0</v>
      </c>
      <c r="AY67" s="16">
        <f ca="1">IFERROR(_xlfn.XLOOKUP($F67,'FCDB 2017 (full)'!$C:$C,'FCDB 2017 (full)'!$AP:$AP)*$H67/100,0)</f>
        <v>0</v>
      </c>
      <c r="AZ67" s="16">
        <f ca="1">IFERROR(_xlfn.XLOOKUP($F67,'FCDB 2017 (full)'!$C:$C,'FCDB 2017 (full)'!$AQ:$AQ)*$H67/100,0)</f>
        <v>0</v>
      </c>
      <c r="BA67" s="16">
        <f ca="1">IFERROR(_xlfn.XLOOKUP($F67,'FCDB 2017 (full)'!$C:$C,'FCDB 2017 (full)'!$AR:$AR)*$H67/100,0)</f>
        <v>0</v>
      </c>
      <c r="BB67" s="16">
        <f ca="1">IFERROR(_xlfn.XLOOKUP($F67,'FCDB 2017 (full)'!$C:$C,'FCDB 2017 (full)'!$AS:$AS)*$H67/100,0)</f>
        <v>0</v>
      </c>
      <c r="BC67" s="16">
        <f ca="1">IFERROR(_xlfn.XLOOKUP($F67,'FCDB 2017 (full)'!$C:$C,'FCDB 2017 (full)'!$AT:$AT)*$H67/100,0)</f>
        <v>0</v>
      </c>
      <c r="BD67" s="16">
        <f ca="1">IFERROR(_xlfn.XLOOKUP($F67,'FCDB 2017 (full)'!$C:$C,'FCDB 2017 (full)'!$AU:$AU)*$H67/100,0)</f>
        <v>0</v>
      </c>
      <c r="BE67" s="16">
        <f ca="1">IFERROR(_xlfn.XLOOKUP($F67,'FCDB 2017 (full)'!$C:$C,'FCDB 2017 (full)'!$AV:$AV)*$H67/100,0)</f>
        <v>0</v>
      </c>
      <c r="BF67" s="16">
        <f ca="1">IFERROR(_xlfn.XLOOKUP($F67,'FCDB 2017 (full)'!$C:$C,'FCDB 2017 (full)'!$AW:$AW)*$H67/100,0)</f>
        <v>0</v>
      </c>
      <c r="BG67" s="16">
        <f ca="1">IFERROR(_xlfn.XLOOKUP($F67,'FCDB 2017 (full)'!$C:$C,'FCDB 2017 (full)'!$AX:$AX)*$H67/100,0)</f>
        <v>0</v>
      </c>
      <c r="BH67" s="16">
        <f ca="1">IFERROR(_xlfn.XLOOKUP($F67,'FCDB 2017 (full)'!$C:$C,'FCDB 2017 (full)'!$AY:$AY)*$H67/100,0)</f>
        <v>0</v>
      </c>
      <c r="BI67" s="16">
        <f ca="1">IFERROR(_xlfn.XLOOKUP($F67,'FCDB 2017 (full)'!$C:$C,'FCDB 2017 (full)'!$AZ:$AZ)*$H67/100,0)</f>
        <v>0</v>
      </c>
      <c r="BJ67" s="16">
        <f ca="1">IFERROR(_xlfn.XLOOKUP($F67,'FCDB 2017 (full)'!$C:$C,'FCDB 2017 (full)'!$BA:$BA)*$H67/100,0)</f>
        <v>0</v>
      </c>
      <c r="BK67" s="16">
        <f ca="1">IFERROR(_xlfn.XLOOKUP($F67,'FCDB 2017 (full)'!$C:$C,'FCDB 2017 (full)'!$BB:$BB)*$H67/100,0)</f>
        <v>0</v>
      </c>
      <c r="BL67" s="16">
        <f ca="1">IFERROR(_xlfn.XLOOKUP($F67,'FCDB 2017 (full)'!$C:$C,'FCDB 2017 (full)'!$BC:$BC)*$H67/100,0)</f>
        <v>0</v>
      </c>
      <c r="BM67" s="16">
        <f ca="1">IFERROR(_xlfn.XLOOKUP($F67,'FCDB 2017 (full)'!$C:$C,'FCDB 2017 (full)'!$BD:$BD)*$H67/100,0)</f>
        <v>0</v>
      </c>
      <c r="BN67" s="16">
        <f ca="1">IFERROR(_xlfn.XLOOKUP($F67,'FCDB 2017 (full)'!$C:$C,'FCDB 2017 (full)'!$BE:$BE)*$H67/100,0)</f>
        <v>0</v>
      </c>
      <c r="BO67" s="16">
        <f ca="1">IFERROR(_xlfn.XLOOKUP($F67,'FCDB 2017 (full)'!$C:$C,'FCDB 2017 (full)'!$BF:$BF)*$H67/100,0)</f>
        <v>0</v>
      </c>
      <c r="BP67" s="16">
        <f ca="1">IFERROR(_xlfn.XLOOKUP($F67,'FCDB 2017 (full)'!$C:$C,'FCDB 2017 (full)'!$BG:$BG)*$H67/100,0)</f>
        <v>0</v>
      </c>
      <c r="BQ67" s="16">
        <f ca="1">IFERROR(_xlfn.XLOOKUP($F67,'FCDB 2017 (full)'!$C:$C,'FCDB 2017 (full)'!$BH:$BH)*$H67/100,0)</f>
        <v>0</v>
      </c>
      <c r="BR67" s="16">
        <f ca="1">IFERROR(_xlfn.XLOOKUP($F67,'FCDB 2017 (full)'!$C:$C,'FCDB 2017 (full)'!$BI:$BI)*$H67/100,0)</f>
        <v>0</v>
      </c>
      <c r="BS67" s="16">
        <f ca="1">IFERROR(_xlfn.XLOOKUP($F67,'FCDB 2017 (full)'!$C:$C,'FCDB 2017 (full)'!$BJ:$BJ)*$H67/100,0)</f>
        <v>0</v>
      </c>
      <c r="BT67" s="16">
        <f ca="1">IFERROR(_xlfn.XLOOKUP($F67,'FCDB 2017 (full)'!$C:$C,'FCDB 2017 (full)'!$BK:$BK)*$H67/100,0)</f>
        <v>0</v>
      </c>
      <c r="BU67" s="16">
        <f ca="1">IFERROR(_xlfn.XLOOKUP($F67,'FCDB 2017 (full)'!$C:$C,'FCDB 2017 (full)'!$BL:$BL)*$H67/100,0)</f>
        <v>0</v>
      </c>
      <c r="BV67" s="16">
        <f ca="1">IFERROR(_xlfn.XLOOKUP($F67,'FCDB 2017 (full)'!$C:$C,'FCDB 2017 (full)'!$BM:$BM)*$H67/100,0)</f>
        <v>0</v>
      </c>
      <c r="BW67" s="16">
        <f ca="1">IFERROR(_xlfn.XLOOKUP($F67,'FCDB 2017 (full)'!$C:$C,'FCDB 2017 (full)'!$BN:$BN)*$H67/100,0)</f>
        <v>0</v>
      </c>
      <c r="BX67" s="16">
        <f ca="1">IFERROR(_xlfn.XLOOKUP($F67,'FCDB 2017 (full)'!$C:$C,'FCDB 2017 (full)'!$BO:$BO)*$H67/100,0)</f>
        <v>0</v>
      </c>
      <c r="BY67" s="16">
        <f ca="1">IFERROR(_xlfn.XLOOKUP($F67,'FCDB 2017 (full)'!$C:$C,'FCDB 2017 (full)'!$BP:$BP)*$H67/100,0)</f>
        <v>0</v>
      </c>
      <c r="BZ67" s="16">
        <f ca="1">IFERROR(_xlfn.XLOOKUP($F67,'FCDB 2017 (full)'!$C:$C,'FCDB 2017 (full)'!$BQ:$BQ)*$H67/100,0)</f>
        <v>0</v>
      </c>
      <c r="CA67" s="16">
        <f ca="1">IFERROR(_xlfn.XLOOKUP($F67,'FCDB 2017 (full)'!$C:$C,'FCDB 2017 (full)'!$BR:$BR)*$H67/100,0)</f>
        <v>0</v>
      </c>
      <c r="CB67" s="16">
        <f ca="1">IFERROR(_xlfn.XLOOKUP($F67,'FCDB 2017 (full)'!$C:$C,'FCDB 2017 (full)'!$BS:$BS)*$H67/100,0)</f>
        <v>0</v>
      </c>
      <c r="CC67" s="16">
        <f ca="1">IFERROR(_xlfn.XLOOKUP($F67,'FCDB 2017 (full)'!$C:$C,'FCDB 2017 (full)'!$BT:$BT)*$H67/100,0)</f>
        <v>0</v>
      </c>
      <c r="CD67" s="16">
        <f ca="1">IFERROR(_xlfn.XLOOKUP($F67,'FCDB 2017 (full)'!$C:$C,'FCDB 2017 (full)'!$BU:$BU)*$H67/100,0)</f>
        <v>0</v>
      </c>
      <c r="CE67" s="16">
        <f ca="1">IFERROR(_xlfn.XLOOKUP($F67,'FCDB 2017 (full)'!$C:$C,'FCDB 2017 (full)'!$BV:$BV)*$H67/100,0)</f>
        <v>0</v>
      </c>
      <c r="CF67" s="16">
        <f ca="1">IFERROR(_xlfn.XLOOKUP($F67,'FCDB 2017 (full)'!$C:$C,'FCDB 2017 (full)'!$BW:$BW)*$H67/100,0)</f>
        <v>0</v>
      </c>
      <c r="CG67" s="16">
        <f ca="1">IFERROR(_xlfn.XLOOKUP($F67,'FCDB 2017 (full)'!$C:$C,'FCDB 2017 (full)'!$BX:$BX)*$H67/100,0)</f>
        <v>0</v>
      </c>
      <c r="CH67" s="16">
        <f ca="1">IFERROR(_xlfn.XLOOKUP($F67,'FCDB 2017 (full)'!$C:$C,'FCDB 2017 (full)'!$BY:$BY)*$H67/100,0)</f>
        <v>0</v>
      </c>
      <c r="CI67" s="16">
        <f ca="1">IFERROR(_xlfn.XLOOKUP($F67,'FCDB 2017 (full)'!$C:$C,'FCDB 2017 (full)'!$BZ:$BZ)*$H67/100,0)</f>
        <v>0</v>
      </c>
      <c r="CJ67" s="16">
        <f ca="1">IFERROR(_xlfn.XLOOKUP($F67,'FCDB 2017 (full)'!$C:$C,'FCDB 2017 (full)'!$CA:$CA)*$H67/100,0)</f>
        <v>0</v>
      </c>
      <c r="CK67" s="16">
        <f ca="1">IFERROR(_xlfn.XLOOKUP($F67,'FCDB 2017 (full)'!$C:$C,'FCDB 2017 (full)'!$CB:$CB)*$H67/100,0)</f>
        <v>0</v>
      </c>
      <c r="CL67" s="16">
        <f ca="1">IFERROR(_xlfn.XLOOKUP($F67,'FCDB 2017 (full)'!$C:$C,'FCDB 2017 (full)'!$CC:$CC)*$H67/100,0)</f>
        <v>0</v>
      </c>
      <c r="CM67" s="16">
        <f ca="1">IFERROR(_xlfn.XLOOKUP($F67,'FCDB 2017 (full)'!$C:$C,'FCDB 2017 (full)'!$CD:$CD)*$H67/100,0)</f>
        <v>0</v>
      </c>
      <c r="CN67" s="16">
        <f ca="1">IFERROR(_xlfn.XLOOKUP($F67,'FCDB 2017 (full)'!$C:$C,'FCDB 2017 (full)'!$CE:$CE)*$H67/100,0)</f>
        <v>0</v>
      </c>
      <c r="CO67" s="16">
        <f ca="1">IFERROR(_xlfn.XLOOKUP($F67,'FCDB 2017 (full)'!$C:$C,'FCDB 2017 (full)'!$CF:$CF)*$H67/100,0)</f>
        <v>0</v>
      </c>
      <c r="CP67" s="16">
        <f ca="1">IFERROR(_xlfn.XLOOKUP($F67,'FCDB 2017 (full)'!$C:$C,'FCDB 2017 (full)'!$CG:$CG)*$H67/100,0)</f>
        <v>0</v>
      </c>
      <c r="CQ67" s="16">
        <f ca="1">IFERROR(_xlfn.XLOOKUP($F67,'FCDB 2017 (full)'!$C:$C,'FCDB 2017 (full)'!$CH:$CH)*$H67/100,0)</f>
        <v>0</v>
      </c>
      <c r="CR67"/>
      <c r="DA67" s="72" t="s">
        <v>980</v>
      </c>
    </row>
    <row r="68" spans="4:105" ht="16.8">
      <c r="D68"/>
      <c r="E68"/>
      <c r="F68" s="11">
        <f>IFERROR(VLOOKUP($D$53,$D:$AE,13,0),0)</f>
        <v>0</v>
      </c>
      <c r="G68" s="7" cm="1">
        <f t="array" ref="G68">IF(F68=0,0,IF(_xlfn.XLOOKUP(F68,$E$53:$AE$53,$E$54:$AE$54)=0,"Nhập ĐV/TV",_xlfn.XLOOKUP(F68,$E$53:$AE$53,$E$54:$AE$54)))</f>
        <v>0</v>
      </c>
      <c r="H68" s="8">
        <f t="shared" si="14"/>
        <v>0</v>
      </c>
      <c r="I68" s="9">
        <f ca="1">IFERROR(_xlfn.XLOOKUP($F68,'FCDB 2017 (full)'!$C:$C,'FCDB 2017 (full)'!$E:$E),0)</f>
        <v>0</v>
      </c>
      <c r="J68" s="10">
        <f t="shared" ca="1" si="15"/>
        <v>0</v>
      </c>
      <c r="K68" s="9">
        <f ca="1">IFERROR(_xlfn.XLOOKUP($F68,'FCDB 2017 (full)'!$C:$C,'FCDB 2017 (full)'!$G:$G),0)</f>
        <v>0</v>
      </c>
      <c r="L68" s="13">
        <f t="shared" si="16"/>
        <v>0</v>
      </c>
      <c r="M68" s="13">
        <f t="shared" si="10"/>
        <v>0</v>
      </c>
      <c r="N68" s="9">
        <f ca="1">IFERROR(_xlfn.XLOOKUP($F68,'FCDB 2017 (full)'!$C:$C,'FCDB 2017 (full)'!$H:$H),0)</f>
        <v>0</v>
      </c>
      <c r="O68" s="14">
        <f t="shared" si="11"/>
        <v>0</v>
      </c>
      <c r="P68" s="14">
        <f t="shared" si="12"/>
        <v>0</v>
      </c>
      <c r="Q68" s="9">
        <f ca="1">IFERROR(_xlfn.XLOOKUP($F68,'FCDB 2017 (full)'!$C:$C,'FCDB 2017 (full)'!$I:$I),0)</f>
        <v>0</v>
      </c>
      <c r="R68" s="15">
        <f t="shared" ca="1" si="13"/>
        <v>0</v>
      </c>
      <c r="S68" s="16">
        <f ca="1">IFERROR(_xlfn.XLOOKUP($F68,'FCDB 2017 (full)'!$C:$C,'FCDB 2017 (full)'!$J:$J)*$H68/100,0)</f>
        <v>0</v>
      </c>
      <c r="T68" s="16">
        <f ca="1">IFERROR(_xlfn.XLOOKUP($F68,'FCDB 2017 (full)'!$C:$C,'FCDB 2017 (full)'!$K:$K)*$H68/100,0)</f>
        <v>0</v>
      </c>
      <c r="U68" s="16">
        <f ca="1">IFERROR(_xlfn.XLOOKUP($F68,'FCDB 2017 (full)'!$C:$C,'FCDB 2017 (full)'!$L:$L)*$H68/100,0)</f>
        <v>0</v>
      </c>
      <c r="V68" s="16">
        <f ca="1">IFERROR(_xlfn.XLOOKUP($F68,'FCDB 2017 (full)'!$C:$C,'FCDB 2017 (full)'!$M:$M)*$H68/100,0)</f>
        <v>0</v>
      </c>
      <c r="W68" s="16">
        <f ca="1">IFERROR(_xlfn.XLOOKUP($F68,'FCDB 2017 (full)'!$C:$C,'FCDB 2017 (full)'!$N:$N)*$H68/100,0)</f>
        <v>0</v>
      </c>
      <c r="X68" s="16">
        <f ca="1">IFERROR(_xlfn.XLOOKUP($F68,'FCDB 2017 (full)'!$C:$C,'FCDB 2017 (full)'!$O:$O)*$H68/100,0)</f>
        <v>0</v>
      </c>
      <c r="Y68" s="16">
        <f ca="1">IFERROR(_xlfn.XLOOKUP($F68,'FCDB 2017 (full)'!$C:$C,'FCDB 2017 (full)'!$P:$P)*$H68/100,0)</f>
        <v>0</v>
      </c>
      <c r="Z68" s="16">
        <f ca="1">IFERROR(_xlfn.XLOOKUP($F68,'FCDB 2017 (full)'!$C:$C,'FCDB 2017 (full)'!$Q:$Q)*$H68/100,0)</f>
        <v>0</v>
      </c>
      <c r="AA68" s="16">
        <f ca="1">IFERROR(_xlfn.XLOOKUP($F68,'FCDB 2017 (full)'!$C:$C,'FCDB 2017 (full)'!$R:$R)*$H68/100,0)</f>
        <v>0</v>
      </c>
      <c r="AB68" s="16">
        <f ca="1">IFERROR(_xlfn.XLOOKUP($F68,'FCDB 2017 (full)'!$C:$C,'FCDB 2017 (full)'!$S:$S)*$H68/100,0)</f>
        <v>0</v>
      </c>
      <c r="AC68" s="16">
        <f ca="1">IFERROR(_xlfn.XLOOKUP($F68,'FCDB 2017 (full)'!$C:$C,'FCDB 2017 (full)'!$T:$T)*$H68/100,0)</f>
        <v>0</v>
      </c>
      <c r="AD68" s="16">
        <f ca="1">IFERROR(_xlfn.XLOOKUP($F68,'FCDB 2017 (full)'!$C:$C,'FCDB 2017 (full)'!$U:$U)*$H68/100,0)</f>
        <v>0</v>
      </c>
      <c r="AE68" s="16">
        <f ca="1">IFERROR(_xlfn.XLOOKUP($F68,'FCDB 2017 (full)'!$C:$C,'FCDB 2017 (full)'!$V:$V)*$H68/100,0)</f>
        <v>0</v>
      </c>
      <c r="AF68" s="16">
        <f ca="1">IFERROR(_xlfn.XLOOKUP($F68,'FCDB 2017 (full)'!$C:$C,'FCDB 2017 (full)'!$W:$W)*$H68/100,0)</f>
        <v>0</v>
      </c>
      <c r="AG68" s="16">
        <f ca="1">IFERROR(_xlfn.XLOOKUP($F68,'FCDB 2017 (full)'!$C:$C,'FCDB 2017 (full)'!$X:$X)*$H68/100,0)</f>
        <v>0</v>
      </c>
      <c r="AH68" s="16">
        <f ca="1">IFERROR(_xlfn.XLOOKUP($F68,'FCDB 2017 (full)'!$C:$C,'FCDB 2017 (full)'!$Y:$Y)*$H68/100,0)</f>
        <v>0</v>
      </c>
      <c r="AI68" s="16">
        <f ca="1">IFERROR(_xlfn.XLOOKUP($F68,'FCDB 2017 (full)'!$C:$C,'FCDB 2017 (full)'!$Z:$Z)*$H68/100,0)</f>
        <v>0</v>
      </c>
      <c r="AJ68" s="16">
        <f ca="1">IFERROR(_xlfn.XLOOKUP($F68,'FCDB 2017 (full)'!$C:$C,'FCDB 2017 (full)'!$AA:$AA)*$H68/100,0)</f>
        <v>0</v>
      </c>
      <c r="AK68" s="16">
        <f ca="1">IFERROR(_xlfn.XLOOKUP($F68,'FCDB 2017 (full)'!$C:$C,'FCDB 2017 (full)'!$AB:$AB)*$H68/100,0)</f>
        <v>0</v>
      </c>
      <c r="AL68" s="16">
        <f ca="1">IFERROR(_xlfn.XLOOKUP($F68,'FCDB 2017 (full)'!$C:$C,'FCDB 2017 (full)'!$AC:$AC)*$H68/100,0)</f>
        <v>0</v>
      </c>
      <c r="AM68" s="16">
        <f ca="1">IFERROR(_xlfn.XLOOKUP($F68,'FCDB 2017 (full)'!$C:$C,'FCDB 2017 (full)'!$AD:$AD)*$H68/100,0)</f>
        <v>0</v>
      </c>
      <c r="AN68" s="16">
        <f ca="1">IFERROR(_xlfn.XLOOKUP($F68,'FCDB 2017 (full)'!$C:$C,'FCDB 2017 (full)'!$AE:$AE)*$H68/100,0)</f>
        <v>0</v>
      </c>
      <c r="AO68" s="16">
        <f ca="1">IFERROR(_xlfn.XLOOKUP($F68,'FCDB 2017 (full)'!$C:$C,'FCDB 2017 (full)'!$AF:$AF)*$H68/100,0)</f>
        <v>0</v>
      </c>
      <c r="AP68" s="16">
        <f ca="1">IFERROR(_xlfn.XLOOKUP($F68,'FCDB 2017 (full)'!$C:$C,'FCDB 2017 (full)'!$AG:$AG)*$H68/100,0)</f>
        <v>0</v>
      </c>
      <c r="AQ68" s="16">
        <f ca="1">IFERROR(_xlfn.XLOOKUP($F68,'FCDB 2017 (full)'!$C:$C,'FCDB 2017 (full)'!$AH:$AH)*$H68/100,0)</f>
        <v>0</v>
      </c>
      <c r="AR68" s="16">
        <f ca="1">IFERROR(_xlfn.XLOOKUP($F68,'FCDB 2017 (full)'!$C:$C,'FCDB 2017 (full)'!$AI:$AI)*$H68/100,0)</f>
        <v>0</v>
      </c>
      <c r="AS68" s="16">
        <f ca="1">IFERROR(_xlfn.XLOOKUP($F68,'FCDB 2017 (full)'!$C:$C,'FCDB 2017 (full)'!$AJ:$AJ)*$H68/100,0)</f>
        <v>0</v>
      </c>
      <c r="AT68" s="16">
        <f ca="1">IFERROR(_xlfn.XLOOKUP($F68,'FCDB 2017 (full)'!$C:$C,'FCDB 2017 (full)'!$AK:$AK)*$H68/100,0)</f>
        <v>0</v>
      </c>
      <c r="AU68" s="16">
        <f ca="1">IFERROR(_xlfn.XLOOKUP($F68,'FCDB 2017 (full)'!$C:$C,'FCDB 2017 (full)'!$AK:$AK)*$H68/100,0)</f>
        <v>0</v>
      </c>
      <c r="AV68" s="16">
        <f ca="1">IFERROR(_xlfn.XLOOKUP($F68,'FCDB 2017 (full)'!$C:$C,'FCDB 2017 (full)'!$AM:$AM)*$H68/100,0)</f>
        <v>0</v>
      </c>
      <c r="AW68" s="16">
        <f ca="1">IFERROR(_xlfn.XLOOKUP($F68,'FCDB 2017 (full)'!$C:$C,'FCDB 2017 (full)'!$AN:$AN)*$H68/100,0)</f>
        <v>0</v>
      </c>
      <c r="AX68" s="16">
        <f ca="1">IFERROR(_xlfn.XLOOKUP($F68,'FCDB 2017 (full)'!$C:$C,'FCDB 2017 (full)'!$AO:$AO)*$H68/100,0)</f>
        <v>0</v>
      </c>
      <c r="AY68" s="16">
        <f ca="1">IFERROR(_xlfn.XLOOKUP($F68,'FCDB 2017 (full)'!$C:$C,'FCDB 2017 (full)'!$AP:$AP)*$H68/100,0)</f>
        <v>0</v>
      </c>
      <c r="AZ68" s="16">
        <f ca="1">IFERROR(_xlfn.XLOOKUP($F68,'FCDB 2017 (full)'!$C:$C,'FCDB 2017 (full)'!$AQ:$AQ)*$H68/100,0)</f>
        <v>0</v>
      </c>
      <c r="BA68" s="16">
        <f ca="1">IFERROR(_xlfn.XLOOKUP($F68,'FCDB 2017 (full)'!$C:$C,'FCDB 2017 (full)'!$AR:$AR)*$H68/100,0)</f>
        <v>0</v>
      </c>
      <c r="BB68" s="16">
        <f ca="1">IFERROR(_xlfn.XLOOKUP($F68,'FCDB 2017 (full)'!$C:$C,'FCDB 2017 (full)'!$AS:$AS)*$H68/100,0)</f>
        <v>0</v>
      </c>
      <c r="BC68" s="16">
        <f ca="1">IFERROR(_xlfn.XLOOKUP($F68,'FCDB 2017 (full)'!$C:$C,'FCDB 2017 (full)'!$AT:$AT)*$H68/100,0)</f>
        <v>0</v>
      </c>
      <c r="BD68" s="16">
        <f ca="1">IFERROR(_xlfn.XLOOKUP($F68,'FCDB 2017 (full)'!$C:$C,'FCDB 2017 (full)'!$AU:$AU)*$H68/100,0)</f>
        <v>0</v>
      </c>
      <c r="BE68" s="16">
        <f ca="1">IFERROR(_xlfn.XLOOKUP($F68,'FCDB 2017 (full)'!$C:$C,'FCDB 2017 (full)'!$AV:$AV)*$H68/100,0)</f>
        <v>0</v>
      </c>
      <c r="BF68" s="16">
        <f ca="1">IFERROR(_xlfn.XLOOKUP($F68,'FCDB 2017 (full)'!$C:$C,'FCDB 2017 (full)'!$AW:$AW)*$H68/100,0)</f>
        <v>0</v>
      </c>
      <c r="BG68" s="16">
        <f ca="1">IFERROR(_xlfn.XLOOKUP($F68,'FCDB 2017 (full)'!$C:$C,'FCDB 2017 (full)'!$AX:$AX)*$H68/100,0)</f>
        <v>0</v>
      </c>
      <c r="BH68" s="16">
        <f ca="1">IFERROR(_xlfn.XLOOKUP($F68,'FCDB 2017 (full)'!$C:$C,'FCDB 2017 (full)'!$AY:$AY)*$H68/100,0)</f>
        <v>0</v>
      </c>
      <c r="BI68" s="16">
        <f ca="1">IFERROR(_xlfn.XLOOKUP($F68,'FCDB 2017 (full)'!$C:$C,'FCDB 2017 (full)'!$AZ:$AZ)*$H68/100,0)</f>
        <v>0</v>
      </c>
      <c r="BJ68" s="16">
        <f ca="1">IFERROR(_xlfn.XLOOKUP($F68,'FCDB 2017 (full)'!$C:$C,'FCDB 2017 (full)'!$BA:$BA)*$H68/100,0)</f>
        <v>0</v>
      </c>
      <c r="BK68" s="16">
        <f ca="1">IFERROR(_xlfn.XLOOKUP($F68,'FCDB 2017 (full)'!$C:$C,'FCDB 2017 (full)'!$BB:$BB)*$H68/100,0)</f>
        <v>0</v>
      </c>
      <c r="BL68" s="16">
        <f ca="1">IFERROR(_xlfn.XLOOKUP($F68,'FCDB 2017 (full)'!$C:$C,'FCDB 2017 (full)'!$BC:$BC)*$H68/100,0)</f>
        <v>0</v>
      </c>
      <c r="BM68" s="16">
        <f ca="1">IFERROR(_xlfn.XLOOKUP($F68,'FCDB 2017 (full)'!$C:$C,'FCDB 2017 (full)'!$BD:$BD)*$H68/100,0)</f>
        <v>0</v>
      </c>
      <c r="BN68" s="16">
        <f ca="1">IFERROR(_xlfn.XLOOKUP($F68,'FCDB 2017 (full)'!$C:$C,'FCDB 2017 (full)'!$BE:$BE)*$H68/100,0)</f>
        <v>0</v>
      </c>
      <c r="BO68" s="16">
        <f ca="1">IFERROR(_xlfn.XLOOKUP($F68,'FCDB 2017 (full)'!$C:$C,'FCDB 2017 (full)'!$BF:$BF)*$H68/100,0)</f>
        <v>0</v>
      </c>
      <c r="BP68" s="16">
        <f ca="1">IFERROR(_xlfn.XLOOKUP($F68,'FCDB 2017 (full)'!$C:$C,'FCDB 2017 (full)'!$BG:$BG)*$H68/100,0)</f>
        <v>0</v>
      </c>
      <c r="BQ68" s="16">
        <f ca="1">IFERROR(_xlfn.XLOOKUP($F68,'FCDB 2017 (full)'!$C:$C,'FCDB 2017 (full)'!$BH:$BH)*$H68/100,0)</f>
        <v>0</v>
      </c>
      <c r="BR68" s="16">
        <f ca="1">IFERROR(_xlfn.XLOOKUP($F68,'FCDB 2017 (full)'!$C:$C,'FCDB 2017 (full)'!$BI:$BI)*$H68/100,0)</f>
        <v>0</v>
      </c>
      <c r="BS68" s="16">
        <f ca="1">IFERROR(_xlfn.XLOOKUP($F68,'FCDB 2017 (full)'!$C:$C,'FCDB 2017 (full)'!$BJ:$BJ)*$H68/100,0)</f>
        <v>0</v>
      </c>
      <c r="BT68" s="16">
        <f ca="1">IFERROR(_xlfn.XLOOKUP($F68,'FCDB 2017 (full)'!$C:$C,'FCDB 2017 (full)'!$BK:$BK)*$H68/100,0)</f>
        <v>0</v>
      </c>
      <c r="BU68" s="16">
        <f ca="1">IFERROR(_xlfn.XLOOKUP($F68,'FCDB 2017 (full)'!$C:$C,'FCDB 2017 (full)'!$BL:$BL)*$H68/100,0)</f>
        <v>0</v>
      </c>
      <c r="BV68" s="16">
        <f ca="1">IFERROR(_xlfn.XLOOKUP($F68,'FCDB 2017 (full)'!$C:$C,'FCDB 2017 (full)'!$BM:$BM)*$H68/100,0)</f>
        <v>0</v>
      </c>
      <c r="BW68" s="16">
        <f ca="1">IFERROR(_xlfn.XLOOKUP($F68,'FCDB 2017 (full)'!$C:$C,'FCDB 2017 (full)'!$BN:$BN)*$H68/100,0)</f>
        <v>0</v>
      </c>
      <c r="BX68" s="16">
        <f ca="1">IFERROR(_xlfn.XLOOKUP($F68,'FCDB 2017 (full)'!$C:$C,'FCDB 2017 (full)'!$BO:$BO)*$H68/100,0)</f>
        <v>0</v>
      </c>
      <c r="BY68" s="16">
        <f ca="1">IFERROR(_xlfn.XLOOKUP($F68,'FCDB 2017 (full)'!$C:$C,'FCDB 2017 (full)'!$BP:$BP)*$H68/100,0)</f>
        <v>0</v>
      </c>
      <c r="BZ68" s="16">
        <f ca="1">IFERROR(_xlfn.XLOOKUP($F68,'FCDB 2017 (full)'!$C:$C,'FCDB 2017 (full)'!$BQ:$BQ)*$H68/100,0)</f>
        <v>0</v>
      </c>
      <c r="CA68" s="16">
        <f ca="1">IFERROR(_xlfn.XLOOKUP($F68,'FCDB 2017 (full)'!$C:$C,'FCDB 2017 (full)'!$BR:$BR)*$H68/100,0)</f>
        <v>0</v>
      </c>
      <c r="CB68" s="16">
        <f ca="1">IFERROR(_xlfn.XLOOKUP($F68,'FCDB 2017 (full)'!$C:$C,'FCDB 2017 (full)'!$BS:$BS)*$H68/100,0)</f>
        <v>0</v>
      </c>
      <c r="CC68" s="16">
        <f ca="1">IFERROR(_xlfn.XLOOKUP($F68,'FCDB 2017 (full)'!$C:$C,'FCDB 2017 (full)'!$BT:$BT)*$H68/100,0)</f>
        <v>0</v>
      </c>
      <c r="CD68" s="16">
        <f ca="1">IFERROR(_xlfn.XLOOKUP($F68,'FCDB 2017 (full)'!$C:$C,'FCDB 2017 (full)'!$BU:$BU)*$H68/100,0)</f>
        <v>0</v>
      </c>
      <c r="CE68" s="16">
        <f ca="1">IFERROR(_xlfn.XLOOKUP($F68,'FCDB 2017 (full)'!$C:$C,'FCDB 2017 (full)'!$BV:$BV)*$H68/100,0)</f>
        <v>0</v>
      </c>
      <c r="CF68" s="16">
        <f ca="1">IFERROR(_xlfn.XLOOKUP($F68,'FCDB 2017 (full)'!$C:$C,'FCDB 2017 (full)'!$BW:$BW)*$H68/100,0)</f>
        <v>0</v>
      </c>
      <c r="CG68" s="16">
        <f ca="1">IFERROR(_xlfn.XLOOKUP($F68,'FCDB 2017 (full)'!$C:$C,'FCDB 2017 (full)'!$BX:$BX)*$H68/100,0)</f>
        <v>0</v>
      </c>
      <c r="CH68" s="16">
        <f ca="1">IFERROR(_xlfn.XLOOKUP($F68,'FCDB 2017 (full)'!$C:$C,'FCDB 2017 (full)'!$BY:$BY)*$H68/100,0)</f>
        <v>0</v>
      </c>
      <c r="CI68" s="16">
        <f ca="1">IFERROR(_xlfn.XLOOKUP($F68,'FCDB 2017 (full)'!$C:$C,'FCDB 2017 (full)'!$BZ:$BZ)*$H68/100,0)</f>
        <v>0</v>
      </c>
      <c r="CJ68" s="16">
        <f ca="1">IFERROR(_xlfn.XLOOKUP($F68,'FCDB 2017 (full)'!$C:$C,'FCDB 2017 (full)'!$CA:$CA)*$H68/100,0)</f>
        <v>0</v>
      </c>
      <c r="CK68" s="16">
        <f ca="1">IFERROR(_xlfn.XLOOKUP($F68,'FCDB 2017 (full)'!$C:$C,'FCDB 2017 (full)'!$CB:$CB)*$H68/100,0)</f>
        <v>0</v>
      </c>
      <c r="CL68" s="16">
        <f ca="1">IFERROR(_xlfn.XLOOKUP($F68,'FCDB 2017 (full)'!$C:$C,'FCDB 2017 (full)'!$CC:$CC)*$H68/100,0)</f>
        <v>0</v>
      </c>
      <c r="CM68" s="16">
        <f ca="1">IFERROR(_xlfn.XLOOKUP($F68,'FCDB 2017 (full)'!$C:$C,'FCDB 2017 (full)'!$CD:$CD)*$H68/100,0)</f>
        <v>0</v>
      </c>
      <c r="CN68" s="16">
        <f ca="1">IFERROR(_xlfn.XLOOKUP($F68,'FCDB 2017 (full)'!$C:$C,'FCDB 2017 (full)'!$CE:$CE)*$H68/100,0)</f>
        <v>0</v>
      </c>
      <c r="CO68" s="16">
        <f ca="1">IFERROR(_xlfn.XLOOKUP($F68,'FCDB 2017 (full)'!$C:$C,'FCDB 2017 (full)'!$CF:$CF)*$H68/100,0)</f>
        <v>0</v>
      </c>
      <c r="CP68" s="16">
        <f ca="1">IFERROR(_xlfn.XLOOKUP($F68,'FCDB 2017 (full)'!$C:$C,'FCDB 2017 (full)'!$CG:$CG)*$H68/100,0)</f>
        <v>0</v>
      </c>
      <c r="CQ68" s="16">
        <f ca="1">IFERROR(_xlfn.XLOOKUP($F68,'FCDB 2017 (full)'!$C:$C,'FCDB 2017 (full)'!$CH:$CH)*$H68/100,0)</f>
        <v>0</v>
      </c>
      <c r="CR68"/>
      <c r="DA68" s="72" t="s">
        <v>980</v>
      </c>
    </row>
    <row r="69" spans="4:105" ht="16.8">
      <c r="D69"/>
      <c r="E69"/>
      <c r="F69" s="11" t="str">
        <f>IFERROR(VLOOKUP($D$53,$D:$AE,15,0),0)</f>
        <v>Dâu tây</v>
      </c>
      <c r="G69" s="7" t="e" cm="1">
        <f t="array" aca="1" ref="G69" ca="1">IF(F69=0,0,IF(_xlfn.XLOOKUP(F69,$E$53:$AE$53,$E$54:$AE$54)=0,"Nhập ĐV/TV",_xlfn.XLOOKUP(F69,$E$53:$AE$53,$E$54:$AE$54)))</f>
        <v>#NAME?</v>
      </c>
      <c r="H69" s="8">
        <f t="shared" si="14"/>
        <v>70</v>
      </c>
      <c r="I69" s="9">
        <f ca="1">IFERROR(_xlfn.XLOOKUP($F69,'FCDB 2017 (full)'!$C:$C,'FCDB 2017 (full)'!$E:$E),0)</f>
        <v>0</v>
      </c>
      <c r="J69" s="10">
        <f t="shared" ca="1" si="15"/>
        <v>0</v>
      </c>
      <c r="K69" s="9">
        <f ca="1">IFERROR(_xlfn.XLOOKUP($F69,'FCDB 2017 (full)'!$C:$C,'FCDB 2017 (full)'!$G:$G),0)</f>
        <v>0</v>
      </c>
      <c r="L69" s="13" t="e">
        <f t="shared" ca="1" si="16"/>
        <v>#NAME?</v>
      </c>
      <c r="M69" s="13" t="e">
        <f t="shared" ca="1" si="10"/>
        <v>#NAME?</v>
      </c>
      <c r="N69" s="9">
        <f ca="1">IFERROR(_xlfn.XLOOKUP($F69,'FCDB 2017 (full)'!$C:$C,'FCDB 2017 (full)'!$H:$H),0)</f>
        <v>0</v>
      </c>
      <c r="O69" s="14" t="e">
        <f t="shared" ca="1" si="11"/>
        <v>#NAME?</v>
      </c>
      <c r="P69" s="14" t="e">
        <f t="shared" ca="1" si="12"/>
        <v>#NAME?</v>
      </c>
      <c r="Q69" s="9">
        <f ca="1">IFERROR(_xlfn.XLOOKUP($F69,'FCDB 2017 (full)'!$C:$C,'FCDB 2017 (full)'!$I:$I),0)</f>
        <v>0</v>
      </c>
      <c r="R69" s="15">
        <f t="shared" ca="1" si="13"/>
        <v>0</v>
      </c>
      <c r="S69" s="16">
        <f ca="1">IFERROR(_xlfn.XLOOKUP($F69,'FCDB 2017 (full)'!$C:$C,'FCDB 2017 (full)'!$J:$J)*$H69/100,0)</f>
        <v>0</v>
      </c>
      <c r="T69" s="16">
        <f ca="1">IFERROR(_xlfn.XLOOKUP($F69,'FCDB 2017 (full)'!$C:$C,'FCDB 2017 (full)'!$K:$K)*$H69/100,0)</f>
        <v>0</v>
      </c>
      <c r="U69" s="16">
        <f ca="1">IFERROR(_xlfn.XLOOKUP($F69,'FCDB 2017 (full)'!$C:$C,'FCDB 2017 (full)'!$L:$L)*$H69/100,0)</f>
        <v>0</v>
      </c>
      <c r="V69" s="16">
        <f ca="1">IFERROR(_xlfn.XLOOKUP($F69,'FCDB 2017 (full)'!$C:$C,'FCDB 2017 (full)'!$M:$M)*$H69/100,0)</f>
        <v>0</v>
      </c>
      <c r="W69" s="16">
        <f ca="1">IFERROR(_xlfn.XLOOKUP($F69,'FCDB 2017 (full)'!$C:$C,'FCDB 2017 (full)'!$N:$N)*$H69/100,0)</f>
        <v>0</v>
      </c>
      <c r="X69" s="16">
        <f ca="1">IFERROR(_xlfn.XLOOKUP($F69,'FCDB 2017 (full)'!$C:$C,'FCDB 2017 (full)'!$O:$O)*$H69/100,0)</f>
        <v>0</v>
      </c>
      <c r="Y69" s="16">
        <f ca="1">IFERROR(_xlfn.XLOOKUP($F69,'FCDB 2017 (full)'!$C:$C,'FCDB 2017 (full)'!$P:$P)*$H69/100,0)</f>
        <v>0</v>
      </c>
      <c r="Z69" s="16">
        <f ca="1">IFERROR(_xlfn.XLOOKUP($F69,'FCDB 2017 (full)'!$C:$C,'FCDB 2017 (full)'!$Q:$Q)*$H69/100,0)</f>
        <v>0</v>
      </c>
      <c r="AA69" s="16">
        <f ca="1">IFERROR(_xlfn.XLOOKUP($F69,'FCDB 2017 (full)'!$C:$C,'FCDB 2017 (full)'!$R:$R)*$H69/100,0)</f>
        <v>0</v>
      </c>
      <c r="AB69" s="16">
        <f ca="1">IFERROR(_xlfn.XLOOKUP($F69,'FCDB 2017 (full)'!$C:$C,'FCDB 2017 (full)'!$S:$S)*$H69/100,0)</f>
        <v>0</v>
      </c>
      <c r="AC69" s="16">
        <f ca="1">IFERROR(_xlfn.XLOOKUP($F69,'FCDB 2017 (full)'!$C:$C,'FCDB 2017 (full)'!$T:$T)*$H69/100,0)</f>
        <v>0</v>
      </c>
      <c r="AD69" s="16">
        <f ca="1">IFERROR(_xlfn.XLOOKUP($F69,'FCDB 2017 (full)'!$C:$C,'FCDB 2017 (full)'!$U:$U)*$H69/100,0)</f>
        <v>0</v>
      </c>
      <c r="AE69" s="16">
        <f ca="1">IFERROR(_xlfn.XLOOKUP($F69,'FCDB 2017 (full)'!$C:$C,'FCDB 2017 (full)'!$V:$V)*$H69/100,0)</f>
        <v>0</v>
      </c>
      <c r="AF69" s="16">
        <f ca="1">IFERROR(_xlfn.XLOOKUP($F69,'FCDB 2017 (full)'!$C:$C,'FCDB 2017 (full)'!$W:$W)*$H69/100,0)</f>
        <v>0</v>
      </c>
      <c r="AG69" s="16">
        <f ca="1">IFERROR(_xlfn.XLOOKUP($F69,'FCDB 2017 (full)'!$C:$C,'FCDB 2017 (full)'!$X:$X)*$H69/100,0)</f>
        <v>0</v>
      </c>
      <c r="AH69" s="16">
        <f ca="1">IFERROR(_xlfn.XLOOKUP($F69,'FCDB 2017 (full)'!$C:$C,'FCDB 2017 (full)'!$Y:$Y)*$H69/100,0)</f>
        <v>0</v>
      </c>
      <c r="AI69" s="16">
        <f ca="1">IFERROR(_xlfn.XLOOKUP($F69,'FCDB 2017 (full)'!$C:$C,'FCDB 2017 (full)'!$Z:$Z)*$H69/100,0)</f>
        <v>0</v>
      </c>
      <c r="AJ69" s="16">
        <f ca="1">IFERROR(_xlfn.XLOOKUP($F69,'FCDB 2017 (full)'!$C:$C,'FCDB 2017 (full)'!$AA:$AA)*$H69/100,0)</f>
        <v>0</v>
      </c>
      <c r="AK69" s="16">
        <f ca="1">IFERROR(_xlfn.XLOOKUP($F69,'FCDB 2017 (full)'!$C:$C,'FCDB 2017 (full)'!$AB:$AB)*$H69/100,0)</f>
        <v>0</v>
      </c>
      <c r="AL69" s="16">
        <f ca="1">IFERROR(_xlfn.XLOOKUP($F69,'FCDB 2017 (full)'!$C:$C,'FCDB 2017 (full)'!$AC:$AC)*$H69/100,0)</f>
        <v>0</v>
      </c>
      <c r="AM69" s="16">
        <f ca="1">IFERROR(_xlfn.XLOOKUP($F69,'FCDB 2017 (full)'!$C:$C,'FCDB 2017 (full)'!$AD:$AD)*$H69/100,0)</f>
        <v>0</v>
      </c>
      <c r="AN69" s="16">
        <f ca="1">IFERROR(_xlfn.XLOOKUP($F69,'FCDB 2017 (full)'!$C:$C,'FCDB 2017 (full)'!$AE:$AE)*$H69/100,0)</f>
        <v>0</v>
      </c>
      <c r="AO69" s="16">
        <f ca="1">IFERROR(_xlfn.XLOOKUP($F69,'FCDB 2017 (full)'!$C:$C,'FCDB 2017 (full)'!$AF:$AF)*$H69/100,0)</f>
        <v>0</v>
      </c>
      <c r="AP69" s="16">
        <f ca="1">IFERROR(_xlfn.XLOOKUP($F69,'FCDB 2017 (full)'!$C:$C,'FCDB 2017 (full)'!$AG:$AG)*$H69/100,0)</f>
        <v>0</v>
      </c>
      <c r="AQ69" s="16">
        <f ca="1">IFERROR(_xlfn.XLOOKUP($F69,'FCDB 2017 (full)'!$C:$C,'FCDB 2017 (full)'!$AH:$AH)*$H69/100,0)</f>
        <v>0</v>
      </c>
      <c r="AR69" s="16">
        <f ca="1">IFERROR(_xlfn.XLOOKUP($F69,'FCDB 2017 (full)'!$C:$C,'FCDB 2017 (full)'!$AI:$AI)*$H69/100,0)</f>
        <v>0</v>
      </c>
      <c r="AS69" s="16">
        <f ca="1">IFERROR(_xlfn.XLOOKUP($F69,'FCDB 2017 (full)'!$C:$C,'FCDB 2017 (full)'!$AJ:$AJ)*$H69/100,0)</f>
        <v>0</v>
      </c>
      <c r="AT69" s="16">
        <f ca="1">IFERROR(_xlfn.XLOOKUP($F69,'FCDB 2017 (full)'!$C:$C,'FCDB 2017 (full)'!$AK:$AK)*$H69/100,0)</f>
        <v>0</v>
      </c>
      <c r="AU69" s="16">
        <f ca="1">IFERROR(_xlfn.XLOOKUP($F69,'FCDB 2017 (full)'!$C:$C,'FCDB 2017 (full)'!$AK:$AK)*$H69/100,0)</f>
        <v>0</v>
      </c>
      <c r="AV69" s="16">
        <f ca="1">IFERROR(_xlfn.XLOOKUP($F69,'FCDB 2017 (full)'!$C:$C,'FCDB 2017 (full)'!$AM:$AM)*$H69/100,0)</f>
        <v>0</v>
      </c>
      <c r="AW69" s="16">
        <f ca="1">IFERROR(_xlfn.XLOOKUP($F69,'FCDB 2017 (full)'!$C:$C,'FCDB 2017 (full)'!$AN:$AN)*$H69/100,0)</f>
        <v>0</v>
      </c>
      <c r="AX69" s="16">
        <f ca="1">IFERROR(_xlfn.XLOOKUP($F69,'FCDB 2017 (full)'!$C:$C,'FCDB 2017 (full)'!$AO:$AO)*$H69/100,0)</f>
        <v>0</v>
      </c>
      <c r="AY69" s="16">
        <f ca="1">IFERROR(_xlfn.XLOOKUP($F69,'FCDB 2017 (full)'!$C:$C,'FCDB 2017 (full)'!$AP:$AP)*$H69/100,0)</f>
        <v>0</v>
      </c>
      <c r="AZ69" s="16">
        <f ca="1">IFERROR(_xlfn.XLOOKUP($F69,'FCDB 2017 (full)'!$C:$C,'FCDB 2017 (full)'!$AQ:$AQ)*$H69/100,0)</f>
        <v>0</v>
      </c>
      <c r="BA69" s="16">
        <f ca="1">IFERROR(_xlfn.XLOOKUP($F69,'FCDB 2017 (full)'!$C:$C,'FCDB 2017 (full)'!$AR:$AR)*$H69/100,0)</f>
        <v>0</v>
      </c>
      <c r="BB69" s="16">
        <f ca="1">IFERROR(_xlfn.XLOOKUP($F69,'FCDB 2017 (full)'!$C:$C,'FCDB 2017 (full)'!$AS:$AS)*$H69/100,0)</f>
        <v>0</v>
      </c>
      <c r="BC69" s="16">
        <f ca="1">IFERROR(_xlfn.XLOOKUP($F69,'FCDB 2017 (full)'!$C:$C,'FCDB 2017 (full)'!$AT:$AT)*$H69/100,0)</f>
        <v>0</v>
      </c>
      <c r="BD69" s="16">
        <f ca="1">IFERROR(_xlfn.XLOOKUP($F69,'FCDB 2017 (full)'!$C:$C,'FCDB 2017 (full)'!$AU:$AU)*$H69/100,0)</f>
        <v>0</v>
      </c>
      <c r="BE69" s="16">
        <f ca="1">IFERROR(_xlfn.XLOOKUP($F69,'FCDB 2017 (full)'!$C:$C,'FCDB 2017 (full)'!$AV:$AV)*$H69/100,0)</f>
        <v>0</v>
      </c>
      <c r="BF69" s="16">
        <f ca="1">IFERROR(_xlfn.XLOOKUP($F69,'FCDB 2017 (full)'!$C:$C,'FCDB 2017 (full)'!$AW:$AW)*$H69/100,0)</f>
        <v>0</v>
      </c>
      <c r="BG69" s="16">
        <f ca="1">IFERROR(_xlfn.XLOOKUP($F69,'FCDB 2017 (full)'!$C:$C,'FCDB 2017 (full)'!$AX:$AX)*$H69/100,0)</f>
        <v>0</v>
      </c>
      <c r="BH69" s="16">
        <f ca="1">IFERROR(_xlfn.XLOOKUP($F69,'FCDB 2017 (full)'!$C:$C,'FCDB 2017 (full)'!$AY:$AY)*$H69/100,0)</f>
        <v>0</v>
      </c>
      <c r="BI69" s="16">
        <f ca="1">IFERROR(_xlfn.XLOOKUP($F69,'FCDB 2017 (full)'!$C:$C,'FCDB 2017 (full)'!$AZ:$AZ)*$H69/100,0)</f>
        <v>0</v>
      </c>
      <c r="BJ69" s="16">
        <f ca="1">IFERROR(_xlfn.XLOOKUP($F69,'FCDB 2017 (full)'!$C:$C,'FCDB 2017 (full)'!$BA:$BA)*$H69/100,0)</f>
        <v>0</v>
      </c>
      <c r="BK69" s="16">
        <f ca="1">IFERROR(_xlfn.XLOOKUP($F69,'FCDB 2017 (full)'!$C:$C,'FCDB 2017 (full)'!$BB:$BB)*$H69/100,0)</f>
        <v>0</v>
      </c>
      <c r="BL69" s="16">
        <f ca="1">IFERROR(_xlfn.XLOOKUP($F69,'FCDB 2017 (full)'!$C:$C,'FCDB 2017 (full)'!$BC:$BC)*$H69/100,0)</f>
        <v>0</v>
      </c>
      <c r="BM69" s="16">
        <f ca="1">IFERROR(_xlfn.XLOOKUP($F69,'FCDB 2017 (full)'!$C:$C,'FCDB 2017 (full)'!$BD:$BD)*$H69/100,0)</f>
        <v>0</v>
      </c>
      <c r="BN69" s="16">
        <f ca="1">IFERROR(_xlfn.XLOOKUP($F69,'FCDB 2017 (full)'!$C:$C,'FCDB 2017 (full)'!$BE:$BE)*$H69/100,0)</f>
        <v>0</v>
      </c>
      <c r="BO69" s="16">
        <f ca="1">IFERROR(_xlfn.XLOOKUP($F69,'FCDB 2017 (full)'!$C:$C,'FCDB 2017 (full)'!$BF:$BF)*$H69/100,0)</f>
        <v>0</v>
      </c>
      <c r="BP69" s="16">
        <f ca="1">IFERROR(_xlfn.XLOOKUP($F69,'FCDB 2017 (full)'!$C:$C,'FCDB 2017 (full)'!$BG:$BG)*$H69/100,0)</f>
        <v>0</v>
      </c>
      <c r="BQ69" s="16">
        <f ca="1">IFERROR(_xlfn.XLOOKUP($F69,'FCDB 2017 (full)'!$C:$C,'FCDB 2017 (full)'!$BH:$BH)*$H69/100,0)</f>
        <v>0</v>
      </c>
      <c r="BR69" s="16">
        <f ca="1">IFERROR(_xlfn.XLOOKUP($F69,'FCDB 2017 (full)'!$C:$C,'FCDB 2017 (full)'!$BI:$BI)*$H69/100,0)</f>
        <v>0</v>
      </c>
      <c r="BS69" s="16">
        <f ca="1">IFERROR(_xlfn.XLOOKUP($F69,'FCDB 2017 (full)'!$C:$C,'FCDB 2017 (full)'!$BJ:$BJ)*$H69/100,0)</f>
        <v>0</v>
      </c>
      <c r="BT69" s="16">
        <f ca="1">IFERROR(_xlfn.XLOOKUP($F69,'FCDB 2017 (full)'!$C:$C,'FCDB 2017 (full)'!$BK:$BK)*$H69/100,0)</f>
        <v>0</v>
      </c>
      <c r="BU69" s="16">
        <f ca="1">IFERROR(_xlfn.XLOOKUP($F69,'FCDB 2017 (full)'!$C:$C,'FCDB 2017 (full)'!$BL:$BL)*$H69/100,0)</f>
        <v>0</v>
      </c>
      <c r="BV69" s="16">
        <f ca="1">IFERROR(_xlfn.XLOOKUP($F69,'FCDB 2017 (full)'!$C:$C,'FCDB 2017 (full)'!$BM:$BM)*$H69/100,0)</f>
        <v>0</v>
      </c>
      <c r="BW69" s="16">
        <f ca="1">IFERROR(_xlfn.XLOOKUP($F69,'FCDB 2017 (full)'!$C:$C,'FCDB 2017 (full)'!$BN:$BN)*$H69/100,0)</f>
        <v>0</v>
      </c>
      <c r="BX69" s="16">
        <f ca="1">IFERROR(_xlfn.XLOOKUP($F69,'FCDB 2017 (full)'!$C:$C,'FCDB 2017 (full)'!$BO:$BO)*$H69/100,0)</f>
        <v>0</v>
      </c>
      <c r="BY69" s="16">
        <f ca="1">IFERROR(_xlfn.XLOOKUP($F69,'FCDB 2017 (full)'!$C:$C,'FCDB 2017 (full)'!$BP:$BP)*$H69/100,0)</f>
        <v>0</v>
      </c>
      <c r="BZ69" s="16">
        <f ca="1">IFERROR(_xlfn.XLOOKUP($F69,'FCDB 2017 (full)'!$C:$C,'FCDB 2017 (full)'!$BQ:$BQ)*$H69/100,0)</f>
        <v>0</v>
      </c>
      <c r="CA69" s="16">
        <f ca="1">IFERROR(_xlfn.XLOOKUP($F69,'FCDB 2017 (full)'!$C:$C,'FCDB 2017 (full)'!$BR:$BR)*$H69/100,0)</f>
        <v>0</v>
      </c>
      <c r="CB69" s="16">
        <f ca="1">IFERROR(_xlfn.XLOOKUP($F69,'FCDB 2017 (full)'!$C:$C,'FCDB 2017 (full)'!$BS:$BS)*$H69/100,0)</f>
        <v>0</v>
      </c>
      <c r="CC69" s="16">
        <f ca="1">IFERROR(_xlfn.XLOOKUP($F69,'FCDB 2017 (full)'!$C:$C,'FCDB 2017 (full)'!$BT:$BT)*$H69/100,0)</f>
        <v>0</v>
      </c>
      <c r="CD69" s="16">
        <f ca="1">IFERROR(_xlfn.XLOOKUP($F69,'FCDB 2017 (full)'!$C:$C,'FCDB 2017 (full)'!$BU:$BU)*$H69/100,0)</f>
        <v>0</v>
      </c>
      <c r="CE69" s="16">
        <f ca="1">IFERROR(_xlfn.XLOOKUP($F69,'FCDB 2017 (full)'!$C:$C,'FCDB 2017 (full)'!$BV:$BV)*$H69/100,0)</f>
        <v>0</v>
      </c>
      <c r="CF69" s="16">
        <f ca="1">IFERROR(_xlfn.XLOOKUP($F69,'FCDB 2017 (full)'!$C:$C,'FCDB 2017 (full)'!$BW:$BW)*$H69/100,0)</f>
        <v>0</v>
      </c>
      <c r="CG69" s="16">
        <f ca="1">IFERROR(_xlfn.XLOOKUP($F69,'FCDB 2017 (full)'!$C:$C,'FCDB 2017 (full)'!$BX:$BX)*$H69/100,0)</f>
        <v>0</v>
      </c>
      <c r="CH69" s="16">
        <f ca="1">IFERROR(_xlfn.XLOOKUP($F69,'FCDB 2017 (full)'!$C:$C,'FCDB 2017 (full)'!$BY:$BY)*$H69/100,0)</f>
        <v>0</v>
      </c>
      <c r="CI69" s="16">
        <f ca="1">IFERROR(_xlfn.XLOOKUP($F69,'FCDB 2017 (full)'!$C:$C,'FCDB 2017 (full)'!$BZ:$BZ)*$H69/100,0)</f>
        <v>0</v>
      </c>
      <c r="CJ69" s="16">
        <f ca="1">IFERROR(_xlfn.XLOOKUP($F69,'FCDB 2017 (full)'!$C:$C,'FCDB 2017 (full)'!$CA:$CA)*$H69/100,0)</f>
        <v>0</v>
      </c>
      <c r="CK69" s="16">
        <f ca="1">IFERROR(_xlfn.XLOOKUP($F69,'FCDB 2017 (full)'!$C:$C,'FCDB 2017 (full)'!$CB:$CB)*$H69/100,0)</f>
        <v>0</v>
      </c>
      <c r="CL69" s="16">
        <f ca="1">IFERROR(_xlfn.XLOOKUP($F69,'FCDB 2017 (full)'!$C:$C,'FCDB 2017 (full)'!$CC:$CC)*$H69/100,0)</f>
        <v>0</v>
      </c>
      <c r="CM69" s="16">
        <f ca="1">IFERROR(_xlfn.XLOOKUP($F69,'FCDB 2017 (full)'!$C:$C,'FCDB 2017 (full)'!$CD:$CD)*$H69/100,0)</f>
        <v>0</v>
      </c>
      <c r="CN69" s="16">
        <f ca="1">IFERROR(_xlfn.XLOOKUP($F69,'FCDB 2017 (full)'!$C:$C,'FCDB 2017 (full)'!$CE:$CE)*$H69/100,0)</f>
        <v>0</v>
      </c>
      <c r="CO69" s="16">
        <f ca="1">IFERROR(_xlfn.XLOOKUP($F69,'FCDB 2017 (full)'!$C:$C,'FCDB 2017 (full)'!$CF:$CF)*$H69/100,0)</f>
        <v>0</v>
      </c>
      <c r="CP69" s="16">
        <f ca="1">IFERROR(_xlfn.XLOOKUP($F69,'FCDB 2017 (full)'!$C:$C,'FCDB 2017 (full)'!$CG:$CG)*$H69/100,0)</f>
        <v>0</v>
      </c>
      <c r="CQ69" s="16">
        <f ca="1">IFERROR(_xlfn.XLOOKUP($F69,'FCDB 2017 (full)'!$C:$C,'FCDB 2017 (full)'!$CH:$CH)*$H69/100,0)</f>
        <v>0</v>
      </c>
      <c r="CR69"/>
      <c r="DA69" s="72" t="s">
        <v>980</v>
      </c>
    </row>
    <row r="70" spans="4:105" ht="16.8">
      <c r="D70"/>
      <c r="E70"/>
      <c r="F70" s="11">
        <f>IFERROR(VLOOKUP($D$53,$D:$AE,16,0),0)</f>
        <v>0</v>
      </c>
      <c r="G70" s="7" cm="1">
        <f t="array" ref="G70">IF(F70=0,0,IF(_xlfn.XLOOKUP(F70,$E$53:$AE$53,$E$54:$AE$54)=0,"Nhập ĐV/TV",_xlfn.XLOOKUP(F70,$E$53:$AE$53,$E$54:$AE$54)))</f>
        <v>0</v>
      </c>
      <c r="H70" s="8">
        <f t="shared" si="14"/>
        <v>0</v>
      </c>
      <c r="I70" s="9">
        <f ca="1">IFERROR(_xlfn.XLOOKUP($F70,'FCDB 2017 (full)'!$C:$C,'FCDB 2017 (full)'!$E:$E),0)</f>
        <v>0</v>
      </c>
      <c r="J70" s="10">
        <f t="shared" ca="1" si="15"/>
        <v>0</v>
      </c>
      <c r="K70" s="9">
        <f ca="1">IFERROR(_xlfn.XLOOKUP($F70,'FCDB 2017 (full)'!$C:$C,'FCDB 2017 (full)'!$G:$G),0)</f>
        <v>0</v>
      </c>
      <c r="L70" s="13">
        <f t="shared" si="16"/>
        <v>0</v>
      </c>
      <c r="M70" s="13">
        <f t="shared" si="10"/>
        <v>0</v>
      </c>
      <c r="N70" s="9">
        <f ca="1">IFERROR(_xlfn.XLOOKUP($F70,'FCDB 2017 (full)'!$C:$C,'FCDB 2017 (full)'!$H:$H),0)</f>
        <v>0</v>
      </c>
      <c r="O70" s="14">
        <f t="shared" si="11"/>
        <v>0</v>
      </c>
      <c r="P70" s="14">
        <f t="shared" si="12"/>
        <v>0</v>
      </c>
      <c r="Q70" s="9">
        <f ca="1">IFERROR(_xlfn.XLOOKUP($F70,'FCDB 2017 (full)'!$C:$C,'FCDB 2017 (full)'!$I:$I),0)</f>
        <v>0</v>
      </c>
      <c r="R70" s="15">
        <f t="shared" ca="1" si="13"/>
        <v>0</v>
      </c>
      <c r="S70" s="16">
        <f ca="1">IFERROR(_xlfn.XLOOKUP($F70,'FCDB 2017 (full)'!$C:$C,'FCDB 2017 (full)'!$J:$J)*$H70/100,0)</f>
        <v>0</v>
      </c>
      <c r="T70" s="16">
        <f ca="1">IFERROR(_xlfn.XLOOKUP($F70,'FCDB 2017 (full)'!$C:$C,'FCDB 2017 (full)'!$K:$K)*$H70/100,0)</f>
        <v>0</v>
      </c>
      <c r="U70" s="16">
        <f ca="1">IFERROR(_xlfn.XLOOKUP($F70,'FCDB 2017 (full)'!$C:$C,'FCDB 2017 (full)'!$L:$L)*$H70/100,0)</f>
        <v>0</v>
      </c>
      <c r="V70" s="16">
        <f ca="1">IFERROR(_xlfn.XLOOKUP($F70,'FCDB 2017 (full)'!$C:$C,'FCDB 2017 (full)'!$M:$M)*$H70/100,0)</f>
        <v>0</v>
      </c>
      <c r="W70" s="16">
        <f ca="1">IFERROR(_xlfn.XLOOKUP($F70,'FCDB 2017 (full)'!$C:$C,'FCDB 2017 (full)'!$N:$N)*$H70/100,0)</f>
        <v>0</v>
      </c>
      <c r="X70" s="16">
        <f ca="1">IFERROR(_xlfn.XLOOKUP($F70,'FCDB 2017 (full)'!$C:$C,'FCDB 2017 (full)'!$O:$O)*$H70/100,0)</f>
        <v>0</v>
      </c>
      <c r="Y70" s="16">
        <f ca="1">IFERROR(_xlfn.XLOOKUP($F70,'FCDB 2017 (full)'!$C:$C,'FCDB 2017 (full)'!$P:$P)*$H70/100,0)</f>
        <v>0</v>
      </c>
      <c r="Z70" s="16">
        <f ca="1">IFERROR(_xlfn.XLOOKUP($F70,'FCDB 2017 (full)'!$C:$C,'FCDB 2017 (full)'!$Q:$Q)*$H70/100,0)</f>
        <v>0</v>
      </c>
      <c r="AA70" s="16">
        <f ca="1">IFERROR(_xlfn.XLOOKUP($F70,'FCDB 2017 (full)'!$C:$C,'FCDB 2017 (full)'!$R:$R)*$H70/100,0)</f>
        <v>0</v>
      </c>
      <c r="AB70" s="16">
        <f ca="1">IFERROR(_xlfn.XLOOKUP($F70,'FCDB 2017 (full)'!$C:$C,'FCDB 2017 (full)'!$S:$S)*$H70/100,0)</f>
        <v>0</v>
      </c>
      <c r="AC70" s="16">
        <f ca="1">IFERROR(_xlfn.XLOOKUP($F70,'FCDB 2017 (full)'!$C:$C,'FCDB 2017 (full)'!$T:$T)*$H70/100,0)</f>
        <v>0</v>
      </c>
      <c r="AD70" s="16">
        <f ca="1">IFERROR(_xlfn.XLOOKUP($F70,'FCDB 2017 (full)'!$C:$C,'FCDB 2017 (full)'!$U:$U)*$H70/100,0)</f>
        <v>0</v>
      </c>
      <c r="AE70" s="16">
        <f ca="1">IFERROR(_xlfn.XLOOKUP($F70,'FCDB 2017 (full)'!$C:$C,'FCDB 2017 (full)'!$V:$V)*$H70/100,0)</f>
        <v>0</v>
      </c>
      <c r="AF70" s="16">
        <f ca="1">IFERROR(_xlfn.XLOOKUP($F70,'FCDB 2017 (full)'!$C:$C,'FCDB 2017 (full)'!$W:$W)*$H70/100,0)</f>
        <v>0</v>
      </c>
      <c r="AG70" s="16">
        <f ca="1">IFERROR(_xlfn.XLOOKUP($F70,'FCDB 2017 (full)'!$C:$C,'FCDB 2017 (full)'!$X:$X)*$H70/100,0)</f>
        <v>0</v>
      </c>
      <c r="AH70" s="16">
        <f ca="1">IFERROR(_xlfn.XLOOKUP($F70,'FCDB 2017 (full)'!$C:$C,'FCDB 2017 (full)'!$Y:$Y)*$H70/100,0)</f>
        <v>0</v>
      </c>
      <c r="AI70" s="16">
        <f ca="1">IFERROR(_xlfn.XLOOKUP($F70,'FCDB 2017 (full)'!$C:$C,'FCDB 2017 (full)'!$Z:$Z)*$H70/100,0)</f>
        <v>0</v>
      </c>
      <c r="AJ70" s="16">
        <f ca="1">IFERROR(_xlfn.XLOOKUP($F70,'FCDB 2017 (full)'!$C:$C,'FCDB 2017 (full)'!$AA:$AA)*$H70/100,0)</f>
        <v>0</v>
      </c>
      <c r="AK70" s="16">
        <f ca="1">IFERROR(_xlfn.XLOOKUP($F70,'FCDB 2017 (full)'!$C:$C,'FCDB 2017 (full)'!$AB:$AB)*$H70/100,0)</f>
        <v>0</v>
      </c>
      <c r="AL70" s="16">
        <f ca="1">IFERROR(_xlfn.XLOOKUP($F70,'FCDB 2017 (full)'!$C:$C,'FCDB 2017 (full)'!$AC:$AC)*$H70/100,0)</f>
        <v>0</v>
      </c>
      <c r="AM70" s="16">
        <f ca="1">IFERROR(_xlfn.XLOOKUP($F70,'FCDB 2017 (full)'!$C:$C,'FCDB 2017 (full)'!$AD:$AD)*$H70/100,0)</f>
        <v>0</v>
      </c>
      <c r="AN70" s="16">
        <f ca="1">IFERROR(_xlfn.XLOOKUP($F70,'FCDB 2017 (full)'!$C:$C,'FCDB 2017 (full)'!$AE:$AE)*$H70/100,0)</f>
        <v>0</v>
      </c>
      <c r="AO70" s="16">
        <f ca="1">IFERROR(_xlfn.XLOOKUP($F70,'FCDB 2017 (full)'!$C:$C,'FCDB 2017 (full)'!$AF:$AF)*$H70/100,0)</f>
        <v>0</v>
      </c>
      <c r="AP70" s="16">
        <f ca="1">IFERROR(_xlfn.XLOOKUP($F70,'FCDB 2017 (full)'!$C:$C,'FCDB 2017 (full)'!$AG:$AG)*$H70/100,0)</f>
        <v>0</v>
      </c>
      <c r="AQ70" s="16">
        <f ca="1">IFERROR(_xlfn.XLOOKUP($F70,'FCDB 2017 (full)'!$C:$C,'FCDB 2017 (full)'!$AH:$AH)*$H70/100,0)</f>
        <v>0</v>
      </c>
      <c r="AR70" s="16">
        <f ca="1">IFERROR(_xlfn.XLOOKUP($F70,'FCDB 2017 (full)'!$C:$C,'FCDB 2017 (full)'!$AI:$AI)*$H70/100,0)</f>
        <v>0</v>
      </c>
      <c r="AS70" s="16">
        <f ca="1">IFERROR(_xlfn.XLOOKUP($F70,'FCDB 2017 (full)'!$C:$C,'FCDB 2017 (full)'!$AJ:$AJ)*$H70/100,0)</f>
        <v>0</v>
      </c>
      <c r="AT70" s="16">
        <f ca="1">IFERROR(_xlfn.XLOOKUP($F70,'FCDB 2017 (full)'!$C:$C,'FCDB 2017 (full)'!$AK:$AK)*$H70/100,0)</f>
        <v>0</v>
      </c>
      <c r="AU70" s="16">
        <f ca="1">IFERROR(_xlfn.XLOOKUP($F70,'FCDB 2017 (full)'!$C:$C,'FCDB 2017 (full)'!$AK:$AK)*$H70/100,0)</f>
        <v>0</v>
      </c>
      <c r="AV70" s="16">
        <f ca="1">IFERROR(_xlfn.XLOOKUP($F70,'FCDB 2017 (full)'!$C:$C,'FCDB 2017 (full)'!$AM:$AM)*$H70/100,0)</f>
        <v>0</v>
      </c>
      <c r="AW70" s="16">
        <f ca="1">IFERROR(_xlfn.XLOOKUP($F70,'FCDB 2017 (full)'!$C:$C,'FCDB 2017 (full)'!$AN:$AN)*$H70/100,0)</f>
        <v>0</v>
      </c>
      <c r="AX70" s="16">
        <f ca="1">IFERROR(_xlfn.XLOOKUP($F70,'FCDB 2017 (full)'!$C:$C,'FCDB 2017 (full)'!$AO:$AO)*$H70/100,0)</f>
        <v>0</v>
      </c>
      <c r="AY70" s="16">
        <f ca="1">IFERROR(_xlfn.XLOOKUP($F70,'FCDB 2017 (full)'!$C:$C,'FCDB 2017 (full)'!$AP:$AP)*$H70/100,0)</f>
        <v>0</v>
      </c>
      <c r="AZ70" s="16">
        <f ca="1">IFERROR(_xlfn.XLOOKUP($F70,'FCDB 2017 (full)'!$C:$C,'FCDB 2017 (full)'!$AQ:$AQ)*$H70/100,0)</f>
        <v>0</v>
      </c>
      <c r="BA70" s="16">
        <f ca="1">IFERROR(_xlfn.XLOOKUP($F70,'FCDB 2017 (full)'!$C:$C,'FCDB 2017 (full)'!$AR:$AR)*$H70/100,0)</f>
        <v>0</v>
      </c>
      <c r="BB70" s="16">
        <f ca="1">IFERROR(_xlfn.XLOOKUP($F70,'FCDB 2017 (full)'!$C:$C,'FCDB 2017 (full)'!$AS:$AS)*$H70/100,0)</f>
        <v>0</v>
      </c>
      <c r="BC70" s="16">
        <f ca="1">IFERROR(_xlfn.XLOOKUP($F70,'FCDB 2017 (full)'!$C:$C,'FCDB 2017 (full)'!$AT:$AT)*$H70/100,0)</f>
        <v>0</v>
      </c>
      <c r="BD70" s="16">
        <f ca="1">IFERROR(_xlfn.XLOOKUP($F70,'FCDB 2017 (full)'!$C:$C,'FCDB 2017 (full)'!$AU:$AU)*$H70/100,0)</f>
        <v>0</v>
      </c>
      <c r="BE70" s="16">
        <f ca="1">IFERROR(_xlfn.XLOOKUP($F70,'FCDB 2017 (full)'!$C:$C,'FCDB 2017 (full)'!$AV:$AV)*$H70/100,0)</f>
        <v>0</v>
      </c>
      <c r="BF70" s="16">
        <f ca="1">IFERROR(_xlfn.XLOOKUP($F70,'FCDB 2017 (full)'!$C:$C,'FCDB 2017 (full)'!$AW:$AW)*$H70/100,0)</f>
        <v>0</v>
      </c>
      <c r="BG70" s="16">
        <f ca="1">IFERROR(_xlfn.XLOOKUP($F70,'FCDB 2017 (full)'!$C:$C,'FCDB 2017 (full)'!$AX:$AX)*$H70/100,0)</f>
        <v>0</v>
      </c>
      <c r="BH70" s="16">
        <f ca="1">IFERROR(_xlfn.XLOOKUP($F70,'FCDB 2017 (full)'!$C:$C,'FCDB 2017 (full)'!$AY:$AY)*$H70/100,0)</f>
        <v>0</v>
      </c>
      <c r="BI70" s="16">
        <f ca="1">IFERROR(_xlfn.XLOOKUP($F70,'FCDB 2017 (full)'!$C:$C,'FCDB 2017 (full)'!$AZ:$AZ)*$H70/100,0)</f>
        <v>0</v>
      </c>
      <c r="BJ70" s="16">
        <f ca="1">IFERROR(_xlfn.XLOOKUP($F70,'FCDB 2017 (full)'!$C:$C,'FCDB 2017 (full)'!$BA:$BA)*$H70/100,0)</f>
        <v>0</v>
      </c>
      <c r="BK70" s="16">
        <f ca="1">IFERROR(_xlfn.XLOOKUP($F70,'FCDB 2017 (full)'!$C:$C,'FCDB 2017 (full)'!$BB:$BB)*$H70/100,0)</f>
        <v>0</v>
      </c>
      <c r="BL70" s="16">
        <f ca="1">IFERROR(_xlfn.XLOOKUP($F70,'FCDB 2017 (full)'!$C:$C,'FCDB 2017 (full)'!$BC:$BC)*$H70/100,0)</f>
        <v>0</v>
      </c>
      <c r="BM70" s="16">
        <f ca="1">IFERROR(_xlfn.XLOOKUP($F70,'FCDB 2017 (full)'!$C:$C,'FCDB 2017 (full)'!$BD:$BD)*$H70/100,0)</f>
        <v>0</v>
      </c>
      <c r="BN70" s="16">
        <f ca="1">IFERROR(_xlfn.XLOOKUP($F70,'FCDB 2017 (full)'!$C:$C,'FCDB 2017 (full)'!$BE:$BE)*$H70/100,0)</f>
        <v>0</v>
      </c>
      <c r="BO70" s="16">
        <f ca="1">IFERROR(_xlfn.XLOOKUP($F70,'FCDB 2017 (full)'!$C:$C,'FCDB 2017 (full)'!$BF:$BF)*$H70/100,0)</f>
        <v>0</v>
      </c>
      <c r="BP70" s="16">
        <f ca="1">IFERROR(_xlfn.XLOOKUP($F70,'FCDB 2017 (full)'!$C:$C,'FCDB 2017 (full)'!$BG:$BG)*$H70/100,0)</f>
        <v>0</v>
      </c>
      <c r="BQ70" s="16">
        <f ca="1">IFERROR(_xlfn.XLOOKUP($F70,'FCDB 2017 (full)'!$C:$C,'FCDB 2017 (full)'!$BH:$BH)*$H70/100,0)</f>
        <v>0</v>
      </c>
      <c r="BR70" s="16">
        <f ca="1">IFERROR(_xlfn.XLOOKUP($F70,'FCDB 2017 (full)'!$C:$C,'FCDB 2017 (full)'!$BI:$BI)*$H70/100,0)</f>
        <v>0</v>
      </c>
      <c r="BS70" s="16">
        <f ca="1">IFERROR(_xlfn.XLOOKUP($F70,'FCDB 2017 (full)'!$C:$C,'FCDB 2017 (full)'!$BJ:$BJ)*$H70/100,0)</f>
        <v>0</v>
      </c>
      <c r="BT70" s="16">
        <f ca="1">IFERROR(_xlfn.XLOOKUP($F70,'FCDB 2017 (full)'!$C:$C,'FCDB 2017 (full)'!$BK:$BK)*$H70/100,0)</f>
        <v>0</v>
      </c>
      <c r="BU70" s="16">
        <f ca="1">IFERROR(_xlfn.XLOOKUP($F70,'FCDB 2017 (full)'!$C:$C,'FCDB 2017 (full)'!$BL:$BL)*$H70/100,0)</f>
        <v>0</v>
      </c>
      <c r="BV70" s="16">
        <f ca="1">IFERROR(_xlfn.XLOOKUP($F70,'FCDB 2017 (full)'!$C:$C,'FCDB 2017 (full)'!$BM:$BM)*$H70/100,0)</f>
        <v>0</v>
      </c>
      <c r="BW70" s="16">
        <f ca="1">IFERROR(_xlfn.XLOOKUP($F70,'FCDB 2017 (full)'!$C:$C,'FCDB 2017 (full)'!$BN:$BN)*$H70/100,0)</f>
        <v>0</v>
      </c>
      <c r="BX70" s="16">
        <f ca="1">IFERROR(_xlfn.XLOOKUP($F70,'FCDB 2017 (full)'!$C:$C,'FCDB 2017 (full)'!$BO:$BO)*$H70/100,0)</f>
        <v>0</v>
      </c>
      <c r="BY70" s="16">
        <f ca="1">IFERROR(_xlfn.XLOOKUP($F70,'FCDB 2017 (full)'!$C:$C,'FCDB 2017 (full)'!$BP:$BP)*$H70/100,0)</f>
        <v>0</v>
      </c>
      <c r="BZ70" s="16">
        <f ca="1">IFERROR(_xlfn.XLOOKUP($F70,'FCDB 2017 (full)'!$C:$C,'FCDB 2017 (full)'!$BQ:$BQ)*$H70/100,0)</f>
        <v>0</v>
      </c>
      <c r="CA70" s="16">
        <f ca="1">IFERROR(_xlfn.XLOOKUP($F70,'FCDB 2017 (full)'!$C:$C,'FCDB 2017 (full)'!$BR:$BR)*$H70/100,0)</f>
        <v>0</v>
      </c>
      <c r="CB70" s="16">
        <f ca="1">IFERROR(_xlfn.XLOOKUP($F70,'FCDB 2017 (full)'!$C:$C,'FCDB 2017 (full)'!$BS:$BS)*$H70/100,0)</f>
        <v>0</v>
      </c>
      <c r="CC70" s="16">
        <f ca="1">IFERROR(_xlfn.XLOOKUP($F70,'FCDB 2017 (full)'!$C:$C,'FCDB 2017 (full)'!$BT:$BT)*$H70/100,0)</f>
        <v>0</v>
      </c>
      <c r="CD70" s="16">
        <f ca="1">IFERROR(_xlfn.XLOOKUP($F70,'FCDB 2017 (full)'!$C:$C,'FCDB 2017 (full)'!$BU:$BU)*$H70/100,0)</f>
        <v>0</v>
      </c>
      <c r="CE70" s="16">
        <f ca="1">IFERROR(_xlfn.XLOOKUP($F70,'FCDB 2017 (full)'!$C:$C,'FCDB 2017 (full)'!$BV:$BV)*$H70/100,0)</f>
        <v>0</v>
      </c>
      <c r="CF70" s="16">
        <f ca="1">IFERROR(_xlfn.XLOOKUP($F70,'FCDB 2017 (full)'!$C:$C,'FCDB 2017 (full)'!$BW:$BW)*$H70/100,0)</f>
        <v>0</v>
      </c>
      <c r="CG70" s="16">
        <f ca="1">IFERROR(_xlfn.XLOOKUP($F70,'FCDB 2017 (full)'!$C:$C,'FCDB 2017 (full)'!$BX:$BX)*$H70/100,0)</f>
        <v>0</v>
      </c>
      <c r="CH70" s="16">
        <f ca="1">IFERROR(_xlfn.XLOOKUP($F70,'FCDB 2017 (full)'!$C:$C,'FCDB 2017 (full)'!$BY:$BY)*$H70/100,0)</f>
        <v>0</v>
      </c>
      <c r="CI70" s="16">
        <f ca="1">IFERROR(_xlfn.XLOOKUP($F70,'FCDB 2017 (full)'!$C:$C,'FCDB 2017 (full)'!$BZ:$BZ)*$H70/100,0)</f>
        <v>0</v>
      </c>
      <c r="CJ70" s="16">
        <f ca="1">IFERROR(_xlfn.XLOOKUP($F70,'FCDB 2017 (full)'!$C:$C,'FCDB 2017 (full)'!$CA:$CA)*$H70/100,0)</f>
        <v>0</v>
      </c>
      <c r="CK70" s="16">
        <f ca="1">IFERROR(_xlfn.XLOOKUP($F70,'FCDB 2017 (full)'!$C:$C,'FCDB 2017 (full)'!$CB:$CB)*$H70/100,0)</f>
        <v>0</v>
      </c>
      <c r="CL70" s="16">
        <f ca="1">IFERROR(_xlfn.XLOOKUP($F70,'FCDB 2017 (full)'!$C:$C,'FCDB 2017 (full)'!$CC:$CC)*$H70/100,0)</f>
        <v>0</v>
      </c>
      <c r="CM70" s="16">
        <f ca="1">IFERROR(_xlfn.XLOOKUP($F70,'FCDB 2017 (full)'!$C:$C,'FCDB 2017 (full)'!$CD:$CD)*$H70/100,0)</f>
        <v>0</v>
      </c>
      <c r="CN70" s="16">
        <f ca="1">IFERROR(_xlfn.XLOOKUP($F70,'FCDB 2017 (full)'!$C:$C,'FCDB 2017 (full)'!$CE:$CE)*$H70/100,0)</f>
        <v>0</v>
      </c>
      <c r="CO70" s="16">
        <f ca="1">IFERROR(_xlfn.XLOOKUP($F70,'FCDB 2017 (full)'!$C:$C,'FCDB 2017 (full)'!$CF:$CF)*$H70/100,0)</f>
        <v>0</v>
      </c>
      <c r="CP70" s="16">
        <f ca="1">IFERROR(_xlfn.XLOOKUP($F70,'FCDB 2017 (full)'!$C:$C,'FCDB 2017 (full)'!$CG:$CG)*$H70/100,0)</f>
        <v>0</v>
      </c>
      <c r="CQ70" s="16">
        <f ca="1">IFERROR(_xlfn.XLOOKUP($F70,'FCDB 2017 (full)'!$C:$C,'FCDB 2017 (full)'!$CH:$CH)*$H70/100,0)</f>
        <v>0</v>
      </c>
      <c r="CR70"/>
      <c r="DA70" s="72" t="s">
        <v>980</v>
      </c>
    </row>
    <row r="71" spans="4:105" ht="16.8">
      <c r="D71"/>
      <c r="E71"/>
      <c r="F71" s="11">
        <f>IFERROR(VLOOKUP($D$53,$D:$AE,17,0),0)</f>
        <v>0</v>
      </c>
      <c r="G71" s="7" cm="1">
        <f t="array" ref="G71">IF(F71=0,0,IF(_xlfn.XLOOKUP(F71,$E$53:$AE$53,$E$54:$AE$54)=0,"Nhập ĐV/TV",_xlfn.XLOOKUP(F71,$E$53:$AE$53,$E$54:$AE$54)))</f>
        <v>0</v>
      </c>
      <c r="H71" s="8">
        <f t="shared" si="14"/>
        <v>0</v>
      </c>
      <c r="I71" s="9">
        <f ca="1">IFERROR(_xlfn.XLOOKUP($F71,'FCDB 2017 (full)'!$C:$C,'FCDB 2017 (full)'!$E:$E),0)</f>
        <v>0</v>
      </c>
      <c r="J71" s="10">
        <f t="shared" ca="1" si="15"/>
        <v>0</v>
      </c>
      <c r="K71" s="9">
        <f ca="1">IFERROR(_xlfn.XLOOKUP($F71,'FCDB 2017 (full)'!$C:$C,'FCDB 2017 (full)'!$G:$G),0)</f>
        <v>0</v>
      </c>
      <c r="L71" s="13">
        <f t="shared" si="16"/>
        <v>0</v>
      </c>
      <c r="M71" s="13">
        <f t="shared" si="10"/>
        <v>0</v>
      </c>
      <c r="N71" s="9">
        <f ca="1">IFERROR(_xlfn.XLOOKUP($F71,'FCDB 2017 (full)'!$C:$C,'FCDB 2017 (full)'!$H:$H),0)</f>
        <v>0</v>
      </c>
      <c r="O71" s="14">
        <f t="shared" si="11"/>
        <v>0</v>
      </c>
      <c r="P71" s="14">
        <f t="shared" si="12"/>
        <v>0</v>
      </c>
      <c r="Q71" s="9">
        <f ca="1">IFERROR(_xlfn.XLOOKUP($F71,'FCDB 2017 (full)'!$C:$C,'FCDB 2017 (full)'!$I:$I),0)</f>
        <v>0</v>
      </c>
      <c r="R71" s="15">
        <f t="shared" ca="1" si="13"/>
        <v>0</v>
      </c>
      <c r="S71" s="16">
        <f ca="1">IFERROR(_xlfn.XLOOKUP($F71,'FCDB 2017 (full)'!$C:$C,'FCDB 2017 (full)'!$J:$J)*$H71/100,0)</f>
        <v>0</v>
      </c>
      <c r="T71" s="16">
        <f ca="1">IFERROR(_xlfn.XLOOKUP($F71,'FCDB 2017 (full)'!$C:$C,'FCDB 2017 (full)'!$K:$K)*$H71/100,0)</f>
        <v>0</v>
      </c>
      <c r="U71" s="16">
        <f ca="1">IFERROR(_xlfn.XLOOKUP($F71,'FCDB 2017 (full)'!$C:$C,'FCDB 2017 (full)'!$L:$L)*$H71/100,0)</f>
        <v>0</v>
      </c>
      <c r="V71" s="16">
        <f ca="1">IFERROR(_xlfn.XLOOKUP($F71,'FCDB 2017 (full)'!$C:$C,'FCDB 2017 (full)'!$M:$M)*$H71/100,0)</f>
        <v>0</v>
      </c>
      <c r="W71" s="16">
        <f ca="1">IFERROR(_xlfn.XLOOKUP($F71,'FCDB 2017 (full)'!$C:$C,'FCDB 2017 (full)'!$N:$N)*$H71/100,0)</f>
        <v>0</v>
      </c>
      <c r="X71" s="16">
        <f ca="1">IFERROR(_xlfn.XLOOKUP($F71,'FCDB 2017 (full)'!$C:$C,'FCDB 2017 (full)'!$O:$O)*$H71/100,0)</f>
        <v>0</v>
      </c>
      <c r="Y71" s="16">
        <f ca="1">IFERROR(_xlfn.XLOOKUP($F71,'FCDB 2017 (full)'!$C:$C,'FCDB 2017 (full)'!$P:$P)*$H71/100,0)</f>
        <v>0</v>
      </c>
      <c r="Z71" s="16">
        <f ca="1">IFERROR(_xlfn.XLOOKUP($F71,'FCDB 2017 (full)'!$C:$C,'FCDB 2017 (full)'!$Q:$Q)*$H71/100,0)</f>
        <v>0</v>
      </c>
      <c r="AA71" s="16">
        <f ca="1">IFERROR(_xlfn.XLOOKUP($F71,'FCDB 2017 (full)'!$C:$C,'FCDB 2017 (full)'!$R:$R)*$H71/100,0)</f>
        <v>0</v>
      </c>
      <c r="AB71" s="16">
        <f ca="1">IFERROR(_xlfn.XLOOKUP($F71,'FCDB 2017 (full)'!$C:$C,'FCDB 2017 (full)'!$S:$S)*$H71/100,0)</f>
        <v>0</v>
      </c>
      <c r="AC71" s="16">
        <f ca="1">IFERROR(_xlfn.XLOOKUP($F71,'FCDB 2017 (full)'!$C:$C,'FCDB 2017 (full)'!$T:$T)*$H71/100,0)</f>
        <v>0</v>
      </c>
      <c r="AD71" s="16">
        <f ca="1">IFERROR(_xlfn.XLOOKUP($F71,'FCDB 2017 (full)'!$C:$C,'FCDB 2017 (full)'!$U:$U)*$H71/100,0)</f>
        <v>0</v>
      </c>
      <c r="AE71" s="16">
        <f ca="1">IFERROR(_xlfn.XLOOKUP($F71,'FCDB 2017 (full)'!$C:$C,'FCDB 2017 (full)'!$V:$V)*$H71/100,0)</f>
        <v>0</v>
      </c>
      <c r="AF71" s="16">
        <f ca="1">IFERROR(_xlfn.XLOOKUP($F71,'FCDB 2017 (full)'!$C:$C,'FCDB 2017 (full)'!$W:$W)*$H71/100,0)</f>
        <v>0</v>
      </c>
      <c r="AG71" s="16">
        <f ca="1">IFERROR(_xlfn.XLOOKUP($F71,'FCDB 2017 (full)'!$C:$C,'FCDB 2017 (full)'!$X:$X)*$H71/100,0)</f>
        <v>0</v>
      </c>
      <c r="AH71" s="16">
        <f ca="1">IFERROR(_xlfn.XLOOKUP($F71,'FCDB 2017 (full)'!$C:$C,'FCDB 2017 (full)'!$Y:$Y)*$H71/100,0)</f>
        <v>0</v>
      </c>
      <c r="AI71" s="16">
        <f ca="1">IFERROR(_xlfn.XLOOKUP($F71,'FCDB 2017 (full)'!$C:$C,'FCDB 2017 (full)'!$Z:$Z)*$H71/100,0)</f>
        <v>0</v>
      </c>
      <c r="AJ71" s="16">
        <f ca="1">IFERROR(_xlfn.XLOOKUP($F71,'FCDB 2017 (full)'!$C:$C,'FCDB 2017 (full)'!$AA:$AA)*$H71/100,0)</f>
        <v>0</v>
      </c>
      <c r="AK71" s="16">
        <f ca="1">IFERROR(_xlfn.XLOOKUP($F71,'FCDB 2017 (full)'!$C:$C,'FCDB 2017 (full)'!$AB:$AB)*$H71/100,0)</f>
        <v>0</v>
      </c>
      <c r="AL71" s="16">
        <f ca="1">IFERROR(_xlfn.XLOOKUP($F71,'FCDB 2017 (full)'!$C:$C,'FCDB 2017 (full)'!$AC:$AC)*$H71/100,0)</f>
        <v>0</v>
      </c>
      <c r="AM71" s="16">
        <f ca="1">IFERROR(_xlfn.XLOOKUP($F71,'FCDB 2017 (full)'!$C:$C,'FCDB 2017 (full)'!$AD:$AD)*$H71/100,0)</f>
        <v>0</v>
      </c>
      <c r="AN71" s="16">
        <f ca="1">IFERROR(_xlfn.XLOOKUP($F71,'FCDB 2017 (full)'!$C:$C,'FCDB 2017 (full)'!$AE:$AE)*$H71/100,0)</f>
        <v>0</v>
      </c>
      <c r="AO71" s="16">
        <f ca="1">IFERROR(_xlfn.XLOOKUP($F71,'FCDB 2017 (full)'!$C:$C,'FCDB 2017 (full)'!$AF:$AF)*$H71/100,0)</f>
        <v>0</v>
      </c>
      <c r="AP71" s="16">
        <f ca="1">IFERROR(_xlfn.XLOOKUP($F71,'FCDB 2017 (full)'!$C:$C,'FCDB 2017 (full)'!$AG:$AG)*$H71/100,0)</f>
        <v>0</v>
      </c>
      <c r="AQ71" s="16">
        <f ca="1">IFERROR(_xlfn.XLOOKUP($F71,'FCDB 2017 (full)'!$C:$C,'FCDB 2017 (full)'!$AH:$AH)*$H71/100,0)</f>
        <v>0</v>
      </c>
      <c r="AR71" s="16">
        <f ca="1">IFERROR(_xlfn.XLOOKUP($F71,'FCDB 2017 (full)'!$C:$C,'FCDB 2017 (full)'!$AI:$AI)*$H71/100,0)</f>
        <v>0</v>
      </c>
      <c r="AS71" s="16">
        <f ca="1">IFERROR(_xlfn.XLOOKUP($F71,'FCDB 2017 (full)'!$C:$C,'FCDB 2017 (full)'!$AJ:$AJ)*$H71/100,0)</f>
        <v>0</v>
      </c>
      <c r="AT71" s="16">
        <f ca="1">IFERROR(_xlfn.XLOOKUP($F71,'FCDB 2017 (full)'!$C:$C,'FCDB 2017 (full)'!$AK:$AK)*$H71/100,0)</f>
        <v>0</v>
      </c>
      <c r="AU71" s="16">
        <f ca="1">IFERROR(_xlfn.XLOOKUP($F71,'FCDB 2017 (full)'!$C:$C,'FCDB 2017 (full)'!$AK:$AK)*$H71/100,0)</f>
        <v>0</v>
      </c>
      <c r="AV71" s="16">
        <f ca="1">IFERROR(_xlfn.XLOOKUP($F71,'FCDB 2017 (full)'!$C:$C,'FCDB 2017 (full)'!$AM:$AM)*$H71/100,0)</f>
        <v>0</v>
      </c>
      <c r="AW71" s="16">
        <f ca="1">IFERROR(_xlfn.XLOOKUP($F71,'FCDB 2017 (full)'!$C:$C,'FCDB 2017 (full)'!$AN:$AN)*$H71/100,0)</f>
        <v>0</v>
      </c>
      <c r="AX71" s="16">
        <f ca="1">IFERROR(_xlfn.XLOOKUP($F71,'FCDB 2017 (full)'!$C:$C,'FCDB 2017 (full)'!$AO:$AO)*$H71/100,0)</f>
        <v>0</v>
      </c>
      <c r="AY71" s="16">
        <f ca="1">IFERROR(_xlfn.XLOOKUP($F71,'FCDB 2017 (full)'!$C:$C,'FCDB 2017 (full)'!$AP:$AP)*$H71/100,0)</f>
        <v>0</v>
      </c>
      <c r="AZ71" s="16">
        <f ca="1">IFERROR(_xlfn.XLOOKUP($F71,'FCDB 2017 (full)'!$C:$C,'FCDB 2017 (full)'!$AQ:$AQ)*$H71/100,0)</f>
        <v>0</v>
      </c>
      <c r="BA71" s="16">
        <f ca="1">IFERROR(_xlfn.XLOOKUP($F71,'FCDB 2017 (full)'!$C:$C,'FCDB 2017 (full)'!$AR:$AR)*$H71/100,0)</f>
        <v>0</v>
      </c>
      <c r="BB71" s="16">
        <f ca="1">IFERROR(_xlfn.XLOOKUP($F71,'FCDB 2017 (full)'!$C:$C,'FCDB 2017 (full)'!$AS:$AS)*$H71/100,0)</f>
        <v>0</v>
      </c>
      <c r="BC71" s="16">
        <f ca="1">IFERROR(_xlfn.XLOOKUP($F71,'FCDB 2017 (full)'!$C:$C,'FCDB 2017 (full)'!$AT:$AT)*$H71/100,0)</f>
        <v>0</v>
      </c>
      <c r="BD71" s="16">
        <f ca="1">IFERROR(_xlfn.XLOOKUP($F71,'FCDB 2017 (full)'!$C:$C,'FCDB 2017 (full)'!$AU:$AU)*$H71/100,0)</f>
        <v>0</v>
      </c>
      <c r="BE71" s="16">
        <f ca="1">IFERROR(_xlfn.XLOOKUP($F71,'FCDB 2017 (full)'!$C:$C,'FCDB 2017 (full)'!$AV:$AV)*$H71/100,0)</f>
        <v>0</v>
      </c>
      <c r="BF71" s="16">
        <f ca="1">IFERROR(_xlfn.XLOOKUP($F71,'FCDB 2017 (full)'!$C:$C,'FCDB 2017 (full)'!$AW:$AW)*$H71/100,0)</f>
        <v>0</v>
      </c>
      <c r="BG71" s="16">
        <f ca="1">IFERROR(_xlfn.XLOOKUP($F71,'FCDB 2017 (full)'!$C:$C,'FCDB 2017 (full)'!$AX:$AX)*$H71/100,0)</f>
        <v>0</v>
      </c>
      <c r="BH71" s="16">
        <f ca="1">IFERROR(_xlfn.XLOOKUP($F71,'FCDB 2017 (full)'!$C:$C,'FCDB 2017 (full)'!$AY:$AY)*$H71/100,0)</f>
        <v>0</v>
      </c>
      <c r="BI71" s="16">
        <f ca="1">IFERROR(_xlfn.XLOOKUP($F71,'FCDB 2017 (full)'!$C:$C,'FCDB 2017 (full)'!$AZ:$AZ)*$H71/100,0)</f>
        <v>0</v>
      </c>
      <c r="BJ71" s="16">
        <f ca="1">IFERROR(_xlfn.XLOOKUP($F71,'FCDB 2017 (full)'!$C:$C,'FCDB 2017 (full)'!$BA:$BA)*$H71/100,0)</f>
        <v>0</v>
      </c>
      <c r="BK71" s="16">
        <f ca="1">IFERROR(_xlfn.XLOOKUP($F71,'FCDB 2017 (full)'!$C:$C,'FCDB 2017 (full)'!$BB:$BB)*$H71/100,0)</f>
        <v>0</v>
      </c>
      <c r="BL71" s="16">
        <f ca="1">IFERROR(_xlfn.XLOOKUP($F71,'FCDB 2017 (full)'!$C:$C,'FCDB 2017 (full)'!$BC:$BC)*$H71/100,0)</f>
        <v>0</v>
      </c>
      <c r="BM71" s="16">
        <f ca="1">IFERROR(_xlfn.XLOOKUP($F71,'FCDB 2017 (full)'!$C:$C,'FCDB 2017 (full)'!$BD:$BD)*$H71/100,0)</f>
        <v>0</v>
      </c>
      <c r="BN71" s="16">
        <f ca="1">IFERROR(_xlfn.XLOOKUP($F71,'FCDB 2017 (full)'!$C:$C,'FCDB 2017 (full)'!$BE:$BE)*$H71/100,0)</f>
        <v>0</v>
      </c>
      <c r="BO71" s="16">
        <f ca="1">IFERROR(_xlfn.XLOOKUP($F71,'FCDB 2017 (full)'!$C:$C,'FCDB 2017 (full)'!$BF:$BF)*$H71/100,0)</f>
        <v>0</v>
      </c>
      <c r="BP71" s="16">
        <f ca="1">IFERROR(_xlfn.XLOOKUP($F71,'FCDB 2017 (full)'!$C:$C,'FCDB 2017 (full)'!$BG:$BG)*$H71/100,0)</f>
        <v>0</v>
      </c>
      <c r="BQ71" s="16">
        <f ca="1">IFERROR(_xlfn.XLOOKUP($F71,'FCDB 2017 (full)'!$C:$C,'FCDB 2017 (full)'!$BH:$BH)*$H71/100,0)</f>
        <v>0</v>
      </c>
      <c r="BR71" s="16">
        <f ca="1">IFERROR(_xlfn.XLOOKUP($F71,'FCDB 2017 (full)'!$C:$C,'FCDB 2017 (full)'!$BI:$BI)*$H71/100,0)</f>
        <v>0</v>
      </c>
      <c r="BS71" s="16">
        <f ca="1">IFERROR(_xlfn.XLOOKUP($F71,'FCDB 2017 (full)'!$C:$C,'FCDB 2017 (full)'!$BJ:$BJ)*$H71/100,0)</f>
        <v>0</v>
      </c>
      <c r="BT71" s="16">
        <f ca="1">IFERROR(_xlfn.XLOOKUP($F71,'FCDB 2017 (full)'!$C:$C,'FCDB 2017 (full)'!$BK:$BK)*$H71/100,0)</f>
        <v>0</v>
      </c>
      <c r="BU71" s="16">
        <f ca="1">IFERROR(_xlfn.XLOOKUP($F71,'FCDB 2017 (full)'!$C:$C,'FCDB 2017 (full)'!$BL:$BL)*$H71/100,0)</f>
        <v>0</v>
      </c>
      <c r="BV71" s="16">
        <f ca="1">IFERROR(_xlfn.XLOOKUP($F71,'FCDB 2017 (full)'!$C:$C,'FCDB 2017 (full)'!$BM:$BM)*$H71/100,0)</f>
        <v>0</v>
      </c>
      <c r="BW71" s="16">
        <f ca="1">IFERROR(_xlfn.XLOOKUP($F71,'FCDB 2017 (full)'!$C:$C,'FCDB 2017 (full)'!$BN:$BN)*$H71/100,0)</f>
        <v>0</v>
      </c>
      <c r="BX71" s="16">
        <f ca="1">IFERROR(_xlfn.XLOOKUP($F71,'FCDB 2017 (full)'!$C:$C,'FCDB 2017 (full)'!$BO:$BO)*$H71/100,0)</f>
        <v>0</v>
      </c>
      <c r="BY71" s="16">
        <f ca="1">IFERROR(_xlfn.XLOOKUP($F71,'FCDB 2017 (full)'!$C:$C,'FCDB 2017 (full)'!$BP:$BP)*$H71/100,0)</f>
        <v>0</v>
      </c>
      <c r="BZ71" s="16">
        <f ca="1">IFERROR(_xlfn.XLOOKUP($F71,'FCDB 2017 (full)'!$C:$C,'FCDB 2017 (full)'!$BQ:$BQ)*$H71/100,0)</f>
        <v>0</v>
      </c>
      <c r="CA71" s="16">
        <f ca="1">IFERROR(_xlfn.XLOOKUP($F71,'FCDB 2017 (full)'!$C:$C,'FCDB 2017 (full)'!$BR:$BR)*$H71/100,0)</f>
        <v>0</v>
      </c>
      <c r="CB71" s="16">
        <f ca="1">IFERROR(_xlfn.XLOOKUP($F71,'FCDB 2017 (full)'!$C:$C,'FCDB 2017 (full)'!$BS:$BS)*$H71/100,0)</f>
        <v>0</v>
      </c>
      <c r="CC71" s="16">
        <f ca="1">IFERROR(_xlfn.XLOOKUP($F71,'FCDB 2017 (full)'!$C:$C,'FCDB 2017 (full)'!$BT:$BT)*$H71/100,0)</f>
        <v>0</v>
      </c>
      <c r="CD71" s="16">
        <f ca="1">IFERROR(_xlfn.XLOOKUP($F71,'FCDB 2017 (full)'!$C:$C,'FCDB 2017 (full)'!$BU:$BU)*$H71/100,0)</f>
        <v>0</v>
      </c>
      <c r="CE71" s="16">
        <f ca="1">IFERROR(_xlfn.XLOOKUP($F71,'FCDB 2017 (full)'!$C:$C,'FCDB 2017 (full)'!$BV:$BV)*$H71/100,0)</f>
        <v>0</v>
      </c>
      <c r="CF71" s="16">
        <f ca="1">IFERROR(_xlfn.XLOOKUP($F71,'FCDB 2017 (full)'!$C:$C,'FCDB 2017 (full)'!$BW:$BW)*$H71/100,0)</f>
        <v>0</v>
      </c>
      <c r="CG71" s="16">
        <f ca="1">IFERROR(_xlfn.XLOOKUP($F71,'FCDB 2017 (full)'!$C:$C,'FCDB 2017 (full)'!$BX:$BX)*$H71/100,0)</f>
        <v>0</v>
      </c>
      <c r="CH71" s="16">
        <f ca="1">IFERROR(_xlfn.XLOOKUP($F71,'FCDB 2017 (full)'!$C:$C,'FCDB 2017 (full)'!$BY:$BY)*$H71/100,0)</f>
        <v>0</v>
      </c>
      <c r="CI71" s="16">
        <f ca="1">IFERROR(_xlfn.XLOOKUP($F71,'FCDB 2017 (full)'!$C:$C,'FCDB 2017 (full)'!$BZ:$BZ)*$H71/100,0)</f>
        <v>0</v>
      </c>
      <c r="CJ71" s="16">
        <f ca="1">IFERROR(_xlfn.XLOOKUP($F71,'FCDB 2017 (full)'!$C:$C,'FCDB 2017 (full)'!$CA:$CA)*$H71/100,0)</f>
        <v>0</v>
      </c>
      <c r="CK71" s="16">
        <f ca="1">IFERROR(_xlfn.XLOOKUP($F71,'FCDB 2017 (full)'!$C:$C,'FCDB 2017 (full)'!$CB:$CB)*$H71/100,0)</f>
        <v>0</v>
      </c>
      <c r="CL71" s="16">
        <f ca="1">IFERROR(_xlfn.XLOOKUP($F71,'FCDB 2017 (full)'!$C:$C,'FCDB 2017 (full)'!$CC:$CC)*$H71/100,0)</f>
        <v>0</v>
      </c>
      <c r="CM71" s="16">
        <f ca="1">IFERROR(_xlfn.XLOOKUP($F71,'FCDB 2017 (full)'!$C:$C,'FCDB 2017 (full)'!$CD:$CD)*$H71/100,0)</f>
        <v>0</v>
      </c>
      <c r="CN71" s="16">
        <f ca="1">IFERROR(_xlfn.XLOOKUP($F71,'FCDB 2017 (full)'!$C:$C,'FCDB 2017 (full)'!$CE:$CE)*$H71/100,0)</f>
        <v>0</v>
      </c>
      <c r="CO71" s="16">
        <f ca="1">IFERROR(_xlfn.XLOOKUP($F71,'FCDB 2017 (full)'!$C:$C,'FCDB 2017 (full)'!$CF:$CF)*$H71/100,0)</f>
        <v>0</v>
      </c>
      <c r="CP71" s="16">
        <f ca="1">IFERROR(_xlfn.XLOOKUP($F71,'FCDB 2017 (full)'!$C:$C,'FCDB 2017 (full)'!$CG:$CG)*$H71/100,0)</f>
        <v>0</v>
      </c>
      <c r="CQ71" s="16">
        <f ca="1">IFERROR(_xlfn.XLOOKUP($F71,'FCDB 2017 (full)'!$C:$C,'FCDB 2017 (full)'!$CH:$CH)*$H71/100,0)</f>
        <v>0</v>
      </c>
      <c r="CR71"/>
      <c r="DA71" s="72" t="s">
        <v>980</v>
      </c>
    </row>
    <row r="72" spans="4:105" ht="16.8">
      <c r="D72"/>
      <c r="E72"/>
      <c r="F72" s="11">
        <f>IFERROR(VLOOKUP($D$53,$D:$AE,18,0),0)</f>
        <v>0</v>
      </c>
      <c r="G72" s="7" cm="1">
        <f t="array" ref="G72">IF(F72=0,0,IF(_xlfn.XLOOKUP(F72,$E$53:$AE$53,$E$54:$AE$54)=0,"Nhập ĐV/TV",_xlfn.XLOOKUP(F72,$E$53:$AE$53,$E$54:$AE$54)))</f>
        <v>0</v>
      </c>
      <c r="H72" s="8">
        <f t="shared" si="14"/>
        <v>0</v>
      </c>
      <c r="I72" s="9">
        <f ca="1">IFERROR(_xlfn.XLOOKUP($F72,'FCDB 2017 (full)'!$C:$C,'FCDB 2017 (full)'!$E:$E),0)</f>
        <v>0</v>
      </c>
      <c r="J72" s="10">
        <f t="shared" ca="1" si="15"/>
        <v>0</v>
      </c>
      <c r="K72" s="9">
        <f ca="1">IFERROR(_xlfn.XLOOKUP($F72,'FCDB 2017 (full)'!$C:$C,'FCDB 2017 (full)'!$G:$G),0)</f>
        <v>0</v>
      </c>
      <c r="L72" s="13">
        <f t="shared" si="16"/>
        <v>0</v>
      </c>
      <c r="M72" s="13">
        <f t="shared" si="10"/>
        <v>0</v>
      </c>
      <c r="N72" s="9">
        <f ca="1">IFERROR(_xlfn.XLOOKUP($F72,'FCDB 2017 (full)'!$C:$C,'FCDB 2017 (full)'!$H:$H),0)</f>
        <v>0</v>
      </c>
      <c r="O72" s="14">
        <f t="shared" si="11"/>
        <v>0</v>
      </c>
      <c r="P72" s="14">
        <f t="shared" si="12"/>
        <v>0</v>
      </c>
      <c r="Q72" s="9">
        <f ca="1">IFERROR(_xlfn.XLOOKUP($F72,'FCDB 2017 (full)'!$C:$C,'FCDB 2017 (full)'!$I:$I),0)</f>
        <v>0</v>
      </c>
      <c r="R72" s="15">
        <f t="shared" ca="1" si="13"/>
        <v>0</v>
      </c>
      <c r="S72" s="16">
        <f ca="1">IFERROR(_xlfn.XLOOKUP($F72,'FCDB 2017 (full)'!$C:$C,'FCDB 2017 (full)'!$J:$J)*$H72/100,0)</f>
        <v>0</v>
      </c>
      <c r="T72" s="16">
        <f ca="1">IFERROR(_xlfn.XLOOKUP($F72,'FCDB 2017 (full)'!$C:$C,'FCDB 2017 (full)'!$K:$K)*$H72/100,0)</f>
        <v>0</v>
      </c>
      <c r="U72" s="16">
        <f ca="1">IFERROR(_xlfn.XLOOKUP($F72,'FCDB 2017 (full)'!$C:$C,'FCDB 2017 (full)'!$L:$L)*$H72/100,0)</f>
        <v>0</v>
      </c>
      <c r="V72" s="16">
        <f ca="1">IFERROR(_xlfn.XLOOKUP($F72,'FCDB 2017 (full)'!$C:$C,'FCDB 2017 (full)'!$M:$M)*$H72/100,0)</f>
        <v>0</v>
      </c>
      <c r="W72" s="16">
        <f ca="1">IFERROR(_xlfn.XLOOKUP($F72,'FCDB 2017 (full)'!$C:$C,'FCDB 2017 (full)'!$N:$N)*$H72/100,0)</f>
        <v>0</v>
      </c>
      <c r="X72" s="16">
        <f ca="1">IFERROR(_xlfn.XLOOKUP($F72,'FCDB 2017 (full)'!$C:$C,'FCDB 2017 (full)'!$O:$O)*$H72/100,0)</f>
        <v>0</v>
      </c>
      <c r="Y72" s="16">
        <f ca="1">IFERROR(_xlfn.XLOOKUP($F72,'FCDB 2017 (full)'!$C:$C,'FCDB 2017 (full)'!$P:$P)*$H72/100,0)</f>
        <v>0</v>
      </c>
      <c r="Z72" s="16">
        <f ca="1">IFERROR(_xlfn.XLOOKUP($F72,'FCDB 2017 (full)'!$C:$C,'FCDB 2017 (full)'!$Q:$Q)*$H72/100,0)</f>
        <v>0</v>
      </c>
      <c r="AA72" s="16">
        <f ca="1">IFERROR(_xlfn.XLOOKUP($F72,'FCDB 2017 (full)'!$C:$C,'FCDB 2017 (full)'!$R:$R)*$H72/100,0)</f>
        <v>0</v>
      </c>
      <c r="AB72" s="16">
        <f ca="1">IFERROR(_xlfn.XLOOKUP($F72,'FCDB 2017 (full)'!$C:$C,'FCDB 2017 (full)'!$S:$S)*$H72/100,0)</f>
        <v>0</v>
      </c>
      <c r="AC72" s="16">
        <f ca="1">IFERROR(_xlfn.XLOOKUP($F72,'FCDB 2017 (full)'!$C:$C,'FCDB 2017 (full)'!$T:$T)*$H72/100,0)</f>
        <v>0</v>
      </c>
      <c r="AD72" s="16">
        <f ca="1">IFERROR(_xlfn.XLOOKUP($F72,'FCDB 2017 (full)'!$C:$C,'FCDB 2017 (full)'!$U:$U)*$H72/100,0)</f>
        <v>0</v>
      </c>
      <c r="AE72" s="16">
        <f ca="1">IFERROR(_xlfn.XLOOKUP($F72,'FCDB 2017 (full)'!$C:$C,'FCDB 2017 (full)'!$V:$V)*$H72/100,0)</f>
        <v>0</v>
      </c>
      <c r="AF72" s="16">
        <f ca="1">IFERROR(_xlfn.XLOOKUP($F72,'FCDB 2017 (full)'!$C:$C,'FCDB 2017 (full)'!$W:$W)*$H72/100,0)</f>
        <v>0</v>
      </c>
      <c r="AG72" s="16">
        <f ca="1">IFERROR(_xlfn.XLOOKUP($F72,'FCDB 2017 (full)'!$C:$C,'FCDB 2017 (full)'!$X:$X)*$H72/100,0)</f>
        <v>0</v>
      </c>
      <c r="AH72" s="16">
        <f ca="1">IFERROR(_xlfn.XLOOKUP($F72,'FCDB 2017 (full)'!$C:$C,'FCDB 2017 (full)'!$Y:$Y)*$H72/100,0)</f>
        <v>0</v>
      </c>
      <c r="AI72" s="16">
        <f ca="1">IFERROR(_xlfn.XLOOKUP($F72,'FCDB 2017 (full)'!$C:$C,'FCDB 2017 (full)'!$Z:$Z)*$H72/100,0)</f>
        <v>0</v>
      </c>
      <c r="AJ72" s="16">
        <f ca="1">IFERROR(_xlfn.XLOOKUP($F72,'FCDB 2017 (full)'!$C:$C,'FCDB 2017 (full)'!$AA:$AA)*$H72/100,0)</f>
        <v>0</v>
      </c>
      <c r="AK72" s="16">
        <f ca="1">IFERROR(_xlfn.XLOOKUP($F72,'FCDB 2017 (full)'!$C:$C,'FCDB 2017 (full)'!$AB:$AB)*$H72/100,0)</f>
        <v>0</v>
      </c>
      <c r="AL72" s="16">
        <f ca="1">IFERROR(_xlfn.XLOOKUP($F72,'FCDB 2017 (full)'!$C:$C,'FCDB 2017 (full)'!$AC:$AC)*$H72/100,0)</f>
        <v>0</v>
      </c>
      <c r="AM72" s="16">
        <f ca="1">IFERROR(_xlfn.XLOOKUP($F72,'FCDB 2017 (full)'!$C:$C,'FCDB 2017 (full)'!$AD:$AD)*$H72/100,0)</f>
        <v>0</v>
      </c>
      <c r="AN72" s="16">
        <f ca="1">IFERROR(_xlfn.XLOOKUP($F72,'FCDB 2017 (full)'!$C:$C,'FCDB 2017 (full)'!$AE:$AE)*$H72/100,0)</f>
        <v>0</v>
      </c>
      <c r="AO72" s="16">
        <f ca="1">IFERROR(_xlfn.XLOOKUP($F72,'FCDB 2017 (full)'!$C:$C,'FCDB 2017 (full)'!$AF:$AF)*$H72/100,0)</f>
        <v>0</v>
      </c>
      <c r="AP72" s="16">
        <f ca="1">IFERROR(_xlfn.XLOOKUP($F72,'FCDB 2017 (full)'!$C:$C,'FCDB 2017 (full)'!$AG:$AG)*$H72/100,0)</f>
        <v>0</v>
      </c>
      <c r="AQ72" s="16">
        <f ca="1">IFERROR(_xlfn.XLOOKUP($F72,'FCDB 2017 (full)'!$C:$C,'FCDB 2017 (full)'!$AH:$AH)*$H72/100,0)</f>
        <v>0</v>
      </c>
      <c r="AR72" s="16">
        <f ca="1">IFERROR(_xlfn.XLOOKUP($F72,'FCDB 2017 (full)'!$C:$C,'FCDB 2017 (full)'!$AI:$AI)*$H72/100,0)</f>
        <v>0</v>
      </c>
      <c r="AS72" s="16">
        <f ca="1">IFERROR(_xlfn.XLOOKUP($F72,'FCDB 2017 (full)'!$C:$C,'FCDB 2017 (full)'!$AJ:$AJ)*$H72/100,0)</f>
        <v>0</v>
      </c>
      <c r="AT72" s="16">
        <f ca="1">IFERROR(_xlfn.XLOOKUP($F72,'FCDB 2017 (full)'!$C:$C,'FCDB 2017 (full)'!$AK:$AK)*$H72/100,0)</f>
        <v>0</v>
      </c>
      <c r="AU72" s="16">
        <f ca="1">IFERROR(_xlfn.XLOOKUP($F72,'FCDB 2017 (full)'!$C:$C,'FCDB 2017 (full)'!$AK:$AK)*$H72/100,0)</f>
        <v>0</v>
      </c>
      <c r="AV72" s="16">
        <f ca="1">IFERROR(_xlfn.XLOOKUP($F72,'FCDB 2017 (full)'!$C:$C,'FCDB 2017 (full)'!$AM:$AM)*$H72/100,0)</f>
        <v>0</v>
      </c>
      <c r="AW72" s="16">
        <f ca="1">IFERROR(_xlfn.XLOOKUP($F72,'FCDB 2017 (full)'!$C:$C,'FCDB 2017 (full)'!$AN:$AN)*$H72/100,0)</f>
        <v>0</v>
      </c>
      <c r="AX72" s="16">
        <f ca="1">IFERROR(_xlfn.XLOOKUP($F72,'FCDB 2017 (full)'!$C:$C,'FCDB 2017 (full)'!$AO:$AO)*$H72/100,0)</f>
        <v>0</v>
      </c>
      <c r="AY72" s="16">
        <f ca="1">IFERROR(_xlfn.XLOOKUP($F72,'FCDB 2017 (full)'!$C:$C,'FCDB 2017 (full)'!$AP:$AP)*$H72/100,0)</f>
        <v>0</v>
      </c>
      <c r="AZ72" s="16">
        <f ca="1">IFERROR(_xlfn.XLOOKUP($F72,'FCDB 2017 (full)'!$C:$C,'FCDB 2017 (full)'!$AQ:$AQ)*$H72/100,0)</f>
        <v>0</v>
      </c>
      <c r="BA72" s="16">
        <f ca="1">IFERROR(_xlfn.XLOOKUP($F72,'FCDB 2017 (full)'!$C:$C,'FCDB 2017 (full)'!$AR:$AR)*$H72/100,0)</f>
        <v>0</v>
      </c>
      <c r="BB72" s="16">
        <f ca="1">IFERROR(_xlfn.XLOOKUP($F72,'FCDB 2017 (full)'!$C:$C,'FCDB 2017 (full)'!$AS:$AS)*$H72/100,0)</f>
        <v>0</v>
      </c>
      <c r="BC72" s="16">
        <f ca="1">IFERROR(_xlfn.XLOOKUP($F72,'FCDB 2017 (full)'!$C:$C,'FCDB 2017 (full)'!$AT:$AT)*$H72/100,0)</f>
        <v>0</v>
      </c>
      <c r="BD72" s="16">
        <f ca="1">IFERROR(_xlfn.XLOOKUP($F72,'FCDB 2017 (full)'!$C:$C,'FCDB 2017 (full)'!$AU:$AU)*$H72/100,0)</f>
        <v>0</v>
      </c>
      <c r="BE72" s="16">
        <f ca="1">IFERROR(_xlfn.XLOOKUP($F72,'FCDB 2017 (full)'!$C:$C,'FCDB 2017 (full)'!$AV:$AV)*$H72/100,0)</f>
        <v>0</v>
      </c>
      <c r="BF72" s="16">
        <f ca="1">IFERROR(_xlfn.XLOOKUP($F72,'FCDB 2017 (full)'!$C:$C,'FCDB 2017 (full)'!$AW:$AW)*$H72/100,0)</f>
        <v>0</v>
      </c>
      <c r="BG72" s="16">
        <f ca="1">IFERROR(_xlfn.XLOOKUP($F72,'FCDB 2017 (full)'!$C:$C,'FCDB 2017 (full)'!$AX:$AX)*$H72/100,0)</f>
        <v>0</v>
      </c>
      <c r="BH72" s="16">
        <f ca="1">IFERROR(_xlfn.XLOOKUP($F72,'FCDB 2017 (full)'!$C:$C,'FCDB 2017 (full)'!$AY:$AY)*$H72/100,0)</f>
        <v>0</v>
      </c>
      <c r="BI72" s="16">
        <f ca="1">IFERROR(_xlfn.XLOOKUP($F72,'FCDB 2017 (full)'!$C:$C,'FCDB 2017 (full)'!$AZ:$AZ)*$H72/100,0)</f>
        <v>0</v>
      </c>
      <c r="BJ72" s="16">
        <f ca="1">IFERROR(_xlfn.XLOOKUP($F72,'FCDB 2017 (full)'!$C:$C,'FCDB 2017 (full)'!$BA:$BA)*$H72/100,0)</f>
        <v>0</v>
      </c>
      <c r="BK72" s="16">
        <f ca="1">IFERROR(_xlfn.XLOOKUP($F72,'FCDB 2017 (full)'!$C:$C,'FCDB 2017 (full)'!$BB:$BB)*$H72/100,0)</f>
        <v>0</v>
      </c>
      <c r="BL72" s="16">
        <f ca="1">IFERROR(_xlfn.XLOOKUP($F72,'FCDB 2017 (full)'!$C:$C,'FCDB 2017 (full)'!$BC:$BC)*$H72/100,0)</f>
        <v>0</v>
      </c>
      <c r="BM72" s="16">
        <f ca="1">IFERROR(_xlfn.XLOOKUP($F72,'FCDB 2017 (full)'!$C:$C,'FCDB 2017 (full)'!$BD:$BD)*$H72/100,0)</f>
        <v>0</v>
      </c>
      <c r="BN72" s="16">
        <f ca="1">IFERROR(_xlfn.XLOOKUP($F72,'FCDB 2017 (full)'!$C:$C,'FCDB 2017 (full)'!$BE:$BE)*$H72/100,0)</f>
        <v>0</v>
      </c>
      <c r="BO72" s="16">
        <f ca="1">IFERROR(_xlfn.XLOOKUP($F72,'FCDB 2017 (full)'!$C:$C,'FCDB 2017 (full)'!$BF:$BF)*$H72/100,0)</f>
        <v>0</v>
      </c>
      <c r="BP72" s="16">
        <f ca="1">IFERROR(_xlfn.XLOOKUP($F72,'FCDB 2017 (full)'!$C:$C,'FCDB 2017 (full)'!$BG:$BG)*$H72/100,0)</f>
        <v>0</v>
      </c>
      <c r="BQ72" s="16">
        <f ca="1">IFERROR(_xlfn.XLOOKUP($F72,'FCDB 2017 (full)'!$C:$C,'FCDB 2017 (full)'!$BH:$BH)*$H72/100,0)</f>
        <v>0</v>
      </c>
      <c r="BR72" s="16">
        <f ca="1">IFERROR(_xlfn.XLOOKUP($F72,'FCDB 2017 (full)'!$C:$C,'FCDB 2017 (full)'!$BI:$BI)*$H72/100,0)</f>
        <v>0</v>
      </c>
      <c r="BS72" s="16">
        <f ca="1">IFERROR(_xlfn.XLOOKUP($F72,'FCDB 2017 (full)'!$C:$C,'FCDB 2017 (full)'!$BJ:$BJ)*$H72/100,0)</f>
        <v>0</v>
      </c>
      <c r="BT72" s="16">
        <f ca="1">IFERROR(_xlfn.XLOOKUP($F72,'FCDB 2017 (full)'!$C:$C,'FCDB 2017 (full)'!$BK:$BK)*$H72/100,0)</f>
        <v>0</v>
      </c>
      <c r="BU72" s="16">
        <f ca="1">IFERROR(_xlfn.XLOOKUP($F72,'FCDB 2017 (full)'!$C:$C,'FCDB 2017 (full)'!$BL:$BL)*$H72/100,0)</f>
        <v>0</v>
      </c>
      <c r="BV72" s="16">
        <f ca="1">IFERROR(_xlfn.XLOOKUP($F72,'FCDB 2017 (full)'!$C:$C,'FCDB 2017 (full)'!$BM:$BM)*$H72/100,0)</f>
        <v>0</v>
      </c>
      <c r="BW72" s="16">
        <f ca="1">IFERROR(_xlfn.XLOOKUP($F72,'FCDB 2017 (full)'!$C:$C,'FCDB 2017 (full)'!$BN:$BN)*$H72/100,0)</f>
        <v>0</v>
      </c>
      <c r="BX72" s="16">
        <f ca="1">IFERROR(_xlfn.XLOOKUP($F72,'FCDB 2017 (full)'!$C:$C,'FCDB 2017 (full)'!$BO:$BO)*$H72/100,0)</f>
        <v>0</v>
      </c>
      <c r="BY72" s="16">
        <f ca="1">IFERROR(_xlfn.XLOOKUP($F72,'FCDB 2017 (full)'!$C:$C,'FCDB 2017 (full)'!$BP:$BP)*$H72/100,0)</f>
        <v>0</v>
      </c>
      <c r="BZ72" s="16">
        <f ca="1">IFERROR(_xlfn.XLOOKUP($F72,'FCDB 2017 (full)'!$C:$C,'FCDB 2017 (full)'!$BQ:$BQ)*$H72/100,0)</f>
        <v>0</v>
      </c>
      <c r="CA72" s="16">
        <f ca="1">IFERROR(_xlfn.XLOOKUP($F72,'FCDB 2017 (full)'!$C:$C,'FCDB 2017 (full)'!$BR:$BR)*$H72/100,0)</f>
        <v>0</v>
      </c>
      <c r="CB72" s="16">
        <f ca="1">IFERROR(_xlfn.XLOOKUP($F72,'FCDB 2017 (full)'!$C:$C,'FCDB 2017 (full)'!$BS:$BS)*$H72/100,0)</f>
        <v>0</v>
      </c>
      <c r="CC72" s="16">
        <f ca="1">IFERROR(_xlfn.XLOOKUP($F72,'FCDB 2017 (full)'!$C:$C,'FCDB 2017 (full)'!$BT:$BT)*$H72/100,0)</f>
        <v>0</v>
      </c>
      <c r="CD72" s="16">
        <f ca="1">IFERROR(_xlfn.XLOOKUP($F72,'FCDB 2017 (full)'!$C:$C,'FCDB 2017 (full)'!$BU:$BU)*$H72/100,0)</f>
        <v>0</v>
      </c>
      <c r="CE72" s="16">
        <f ca="1">IFERROR(_xlfn.XLOOKUP($F72,'FCDB 2017 (full)'!$C:$C,'FCDB 2017 (full)'!$BV:$BV)*$H72/100,0)</f>
        <v>0</v>
      </c>
      <c r="CF72" s="16">
        <f ca="1">IFERROR(_xlfn.XLOOKUP($F72,'FCDB 2017 (full)'!$C:$C,'FCDB 2017 (full)'!$BW:$BW)*$H72/100,0)</f>
        <v>0</v>
      </c>
      <c r="CG72" s="16">
        <f ca="1">IFERROR(_xlfn.XLOOKUP($F72,'FCDB 2017 (full)'!$C:$C,'FCDB 2017 (full)'!$BX:$BX)*$H72/100,0)</f>
        <v>0</v>
      </c>
      <c r="CH72" s="16">
        <f ca="1">IFERROR(_xlfn.XLOOKUP($F72,'FCDB 2017 (full)'!$C:$C,'FCDB 2017 (full)'!$BY:$BY)*$H72/100,0)</f>
        <v>0</v>
      </c>
      <c r="CI72" s="16">
        <f ca="1">IFERROR(_xlfn.XLOOKUP($F72,'FCDB 2017 (full)'!$C:$C,'FCDB 2017 (full)'!$BZ:$BZ)*$H72/100,0)</f>
        <v>0</v>
      </c>
      <c r="CJ72" s="16">
        <f ca="1">IFERROR(_xlfn.XLOOKUP($F72,'FCDB 2017 (full)'!$C:$C,'FCDB 2017 (full)'!$CA:$CA)*$H72/100,0)</f>
        <v>0</v>
      </c>
      <c r="CK72" s="16">
        <f ca="1">IFERROR(_xlfn.XLOOKUP($F72,'FCDB 2017 (full)'!$C:$C,'FCDB 2017 (full)'!$CB:$CB)*$H72/100,0)</f>
        <v>0</v>
      </c>
      <c r="CL72" s="16">
        <f ca="1">IFERROR(_xlfn.XLOOKUP($F72,'FCDB 2017 (full)'!$C:$C,'FCDB 2017 (full)'!$CC:$CC)*$H72/100,0)</f>
        <v>0</v>
      </c>
      <c r="CM72" s="16">
        <f ca="1">IFERROR(_xlfn.XLOOKUP($F72,'FCDB 2017 (full)'!$C:$C,'FCDB 2017 (full)'!$CD:$CD)*$H72/100,0)</f>
        <v>0</v>
      </c>
      <c r="CN72" s="16">
        <f ca="1">IFERROR(_xlfn.XLOOKUP($F72,'FCDB 2017 (full)'!$C:$C,'FCDB 2017 (full)'!$CE:$CE)*$H72/100,0)</f>
        <v>0</v>
      </c>
      <c r="CO72" s="16">
        <f ca="1">IFERROR(_xlfn.XLOOKUP($F72,'FCDB 2017 (full)'!$C:$C,'FCDB 2017 (full)'!$CF:$CF)*$H72/100,0)</f>
        <v>0</v>
      </c>
      <c r="CP72" s="16">
        <f ca="1">IFERROR(_xlfn.XLOOKUP($F72,'FCDB 2017 (full)'!$C:$C,'FCDB 2017 (full)'!$CG:$CG)*$H72/100,0)</f>
        <v>0</v>
      </c>
      <c r="CQ72" s="16">
        <f ca="1">IFERROR(_xlfn.XLOOKUP($F72,'FCDB 2017 (full)'!$C:$C,'FCDB 2017 (full)'!$CH:$CH)*$H72/100,0)</f>
        <v>0</v>
      </c>
      <c r="CR72"/>
      <c r="DA72" s="72" t="s">
        <v>980</v>
      </c>
    </row>
    <row r="73" spans="4:105">
      <c r="D73" s="29"/>
      <c r="E73" s="29"/>
      <c r="F73" s="11">
        <f>IFERROR(VLOOKUP($D$53,$D:$AE,19,0),0)</f>
        <v>0</v>
      </c>
      <c r="G73" s="7" cm="1">
        <f t="array" ref="G73">IF(F73=0,0,IF(_xlfn.XLOOKUP(F73,$E$53:$AE$53,$E$54:$AE$54)=0,"Nhập ĐV/TV",_xlfn.XLOOKUP(F73,$E$53:$AE$53,$E$54:$AE$54)))</f>
        <v>0</v>
      </c>
      <c r="H73" s="8">
        <f t="shared" si="14"/>
        <v>0</v>
      </c>
      <c r="I73" s="9">
        <f ca="1">IFERROR(_xlfn.XLOOKUP($F73,'FCDB 2017 (full)'!$C:$C,'FCDB 2017 (full)'!$E:$E),0)</f>
        <v>0</v>
      </c>
      <c r="J73" s="10">
        <f t="shared" ca="1" si="15"/>
        <v>0</v>
      </c>
      <c r="K73" s="9">
        <f ca="1">IFERROR(_xlfn.XLOOKUP($F73,'FCDB 2017 (full)'!$C:$C,'FCDB 2017 (full)'!$G:$G),0)</f>
        <v>0</v>
      </c>
      <c r="L73" s="13">
        <f t="shared" si="16"/>
        <v>0</v>
      </c>
      <c r="M73" s="13">
        <f t="shared" si="10"/>
        <v>0</v>
      </c>
      <c r="N73" s="9">
        <f ca="1">IFERROR(_xlfn.XLOOKUP($F73,'FCDB 2017 (full)'!$C:$C,'FCDB 2017 (full)'!$H:$H),0)</f>
        <v>0</v>
      </c>
      <c r="O73" s="14">
        <f t="shared" si="11"/>
        <v>0</v>
      </c>
      <c r="P73" s="14">
        <f t="shared" si="12"/>
        <v>0</v>
      </c>
      <c r="Q73" s="9">
        <f ca="1">IFERROR(_xlfn.XLOOKUP($F73,'FCDB 2017 (full)'!$C:$C,'FCDB 2017 (full)'!$I:$I),0)</f>
        <v>0</v>
      </c>
      <c r="R73" s="15">
        <f t="shared" ca="1" si="13"/>
        <v>0</v>
      </c>
      <c r="S73" s="16">
        <f ca="1">IFERROR(_xlfn.XLOOKUP($F73,'FCDB 2017 (full)'!$C:$C,'FCDB 2017 (full)'!$J:$J)*$H73/100,0)</f>
        <v>0</v>
      </c>
      <c r="T73" s="16">
        <f ca="1">IFERROR(_xlfn.XLOOKUP($F73,'FCDB 2017 (full)'!$C:$C,'FCDB 2017 (full)'!$K:$K)*$H73/100,0)</f>
        <v>0</v>
      </c>
      <c r="U73" s="16">
        <f ca="1">IFERROR(_xlfn.XLOOKUP($F73,'FCDB 2017 (full)'!$C:$C,'FCDB 2017 (full)'!$L:$L)*$H73/100,0)</f>
        <v>0</v>
      </c>
      <c r="V73" s="16">
        <f ca="1">IFERROR(_xlfn.XLOOKUP($F73,'FCDB 2017 (full)'!$C:$C,'FCDB 2017 (full)'!$M:$M)*$H73/100,0)</f>
        <v>0</v>
      </c>
      <c r="W73" s="16">
        <f ca="1">IFERROR(_xlfn.XLOOKUP($F73,'FCDB 2017 (full)'!$C:$C,'FCDB 2017 (full)'!$N:$N)*$H73/100,0)</f>
        <v>0</v>
      </c>
      <c r="X73" s="16">
        <f ca="1">IFERROR(_xlfn.XLOOKUP($F73,'FCDB 2017 (full)'!$C:$C,'FCDB 2017 (full)'!$O:$O)*$H73/100,0)</f>
        <v>0</v>
      </c>
      <c r="Y73" s="16">
        <f ca="1">IFERROR(_xlfn.XLOOKUP($F73,'FCDB 2017 (full)'!$C:$C,'FCDB 2017 (full)'!$P:$P)*$H73/100,0)</f>
        <v>0</v>
      </c>
      <c r="Z73" s="16">
        <f ca="1">IFERROR(_xlfn.XLOOKUP($F73,'FCDB 2017 (full)'!$C:$C,'FCDB 2017 (full)'!$Q:$Q)*$H73/100,0)</f>
        <v>0</v>
      </c>
      <c r="AA73" s="16">
        <f ca="1">IFERROR(_xlfn.XLOOKUP($F73,'FCDB 2017 (full)'!$C:$C,'FCDB 2017 (full)'!$R:$R)*$H73/100,0)</f>
        <v>0</v>
      </c>
      <c r="AB73" s="16">
        <f ca="1">IFERROR(_xlfn.XLOOKUP($F73,'FCDB 2017 (full)'!$C:$C,'FCDB 2017 (full)'!$S:$S)*$H73/100,0)</f>
        <v>0</v>
      </c>
      <c r="AC73" s="16">
        <f ca="1">IFERROR(_xlfn.XLOOKUP($F73,'FCDB 2017 (full)'!$C:$C,'FCDB 2017 (full)'!$T:$T)*$H73/100,0)</f>
        <v>0</v>
      </c>
      <c r="AD73" s="16">
        <f ca="1">IFERROR(_xlfn.XLOOKUP($F73,'FCDB 2017 (full)'!$C:$C,'FCDB 2017 (full)'!$U:$U)*$H73/100,0)</f>
        <v>0</v>
      </c>
      <c r="AE73" s="16">
        <f ca="1">IFERROR(_xlfn.XLOOKUP($F73,'FCDB 2017 (full)'!$C:$C,'FCDB 2017 (full)'!$V:$V)*$H73/100,0)</f>
        <v>0</v>
      </c>
      <c r="AF73" s="16">
        <f ca="1">IFERROR(_xlfn.XLOOKUP($F73,'FCDB 2017 (full)'!$C:$C,'FCDB 2017 (full)'!$W:$W)*$H73/100,0)</f>
        <v>0</v>
      </c>
      <c r="AG73" s="16">
        <f ca="1">IFERROR(_xlfn.XLOOKUP($F73,'FCDB 2017 (full)'!$C:$C,'FCDB 2017 (full)'!$X:$X)*$H73/100,0)</f>
        <v>0</v>
      </c>
      <c r="AH73" s="16">
        <f ca="1">IFERROR(_xlfn.XLOOKUP($F73,'FCDB 2017 (full)'!$C:$C,'FCDB 2017 (full)'!$Y:$Y)*$H73/100,0)</f>
        <v>0</v>
      </c>
      <c r="AI73" s="16">
        <f ca="1">IFERROR(_xlfn.XLOOKUP($F73,'FCDB 2017 (full)'!$C:$C,'FCDB 2017 (full)'!$Z:$Z)*$H73/100,0)</f>
        <v>0</v>
      </c>
      <c r="AJ73" s="16">
        <f ca="1">IFERROR(_xlfn.XLOOKUP($F73,'FCDB 2017 (full)'!$C:$C,'FCDB 2017 (full)'!$AA:$AA)*$H73/100,0)</f>
        <v>0</v>
      </c>
      <c r="AK73" s="16">
        <f ca="1">IFERROR(_xlfn.XLOOKUP($F73,'FCDB 2017 (full)'!$C:$C,'FCDB 2017 (full)'!$AB:$AB)*$H73/100,0)</f>
        <v>0</v>
      </c>
      <c r="AL73" s="16">
        <f ca="1">IFERROR(_xlfn.XLOOKUP($F73,'FCDB 2017 (full)'!$C:$C,'FCDB 2017 (full)'!$AC:$AC)*$H73/100,0)</f>
        <v>0</v>
      </c>
      <c r="AM73" s="16">
        <f ca="1">IFERROR(_xlfn.XLOOKUP($F73,'FCDB 2017 (full)'!$C:$C,'FCDB 2017 (full)'!$AD:$AD)*$H73/100,0)</f>
        <v>0</v>
      </c>
      <c r="AN73" s="16">
        <f ca="1">IFERROR(_xlfn.XLOOKUP($F73,'FCDB 2017 (full)'!$C:$C,'FCDB 2017 (full)'!$AE:$AE)*$H73/100,0)</f>
        <v>0</v>
      </c>
      <c r="AO73" s="16">
        <f ca="1">IFERROR(_xlfn.XLOOKUP($F73,'FCDB 2017 (full)'!$C:$C,'FCDB 2017 (full)'!$AF:$AF)*$H73/100,0)</f>
        <v>0</v>
      </c>
      <c r="AP73" s="16">
        <f ca="1">IFERROR(_xlfn.XLOOKUP($F73,'FCDB 2017 (full)'!$C:$C,'FCDB 2017 (full)'!$AG:$AG)*$H73/100,0)</f>
        <v>0</v>
      </c>
      <c r="AQ73" s="16">
        <f ca="1">IFERROR(_xlfn.XLOOKUP($F73,'FCDB 2017 (full)'!$C:$C,'FCDB 2017 (full)'!$AH:$AH)*$H73/100,0)</f>
        <v>0</v>
      </c>
      <c r="AR73" s="16">
        <f ca="1">IFERROR(_xlfn.XLOOKUP($F73,'FCDB 2017 (full)'!$C:$C,'FCDB 2017 (full)'!$AI:$AI)*$H73/100,0)</f>
        <v>0</v>
      </c>
      <c r="AS73" s="16">
        <f ca="1">IFERROR(_xlfn.XLOOKUP($F73,'FCDB 2017 (full)'!$C:$C,'FCDB 2017 (full)'!$AJ:$AJ)*$H73/100,0)</f>
        <v>0</v>
      </c>
      <c r="AT73" s="16">
        <f ca="1">IFERROR(_xlfn.XLOOKUP($F73,'FCDB 2017 (full)'!$C:$C,'FCDB 2017 (full)'!$AK:$AK)*$H73/100,0)</f>
        <v>0</v>
      </c>
      <c r="AU73" s="16">
        <f ca="1">IFERROR(_xlfn.XLOOKUP($F73,'FCDB 2017 (full)'!$C:$C,'FCDB 2017 (full)'!$AK:$AK)*$H73/100,0)</f>
        <v>0</v>
      </c>
      <c r="AV73" s="16">
        <f ca="1">IFERROR(_xlfn.XLOOKUP($F73,'FCDB 2017 (full)'!$C:$C,'FCDB 2017 (full)'!$AM:$AM)*$H73/100,0)</f>
        <v>0</v>
      </c>
      <c r="AW73" s="16">
        <f ca="1">IFERROR(_xlfn.XLOOKUP($F73,'FCDB 2017 (full)'!$C:$C,'FCDB 2017 (full)'!$AN:$AN)*$H73/100,0)</f>
        <v>0</v>
      </c>
      <c r="AX73" s="16">
        <f ca="1">IFERROR(_xlfn.XLOOKUP($F73,'FCDB 2017 (full)'!$C:$C,'FCDB 2017 (full)'!$AO:$AO)*$H73/100,0)</f>
        <v>0</v>
      </c>
      <c r="AY73" s="16">
        <f ca="1">IFERROR(_xlfn.XLOOKUP($F73,'FCDB 2017 (full)'!$C:$C,'FCDB 2017 (full)'!$AP:$AP)*$H73/100,0)</f>
        <v>0</v>
      </c>
      <c r="AZ73" s="16">
        <f ca="1">IFERROR(_xlfn.XLOOKUP($F73,'FCDB 2017 (full)'!$C:$C,'FCDB 2017 (full)'!$AQ:$AQ)*$H73/100,0)</f>
        <v>0</v>
      </c>
      <c r="BA73" s="16">
        <f ca="1">IFERROR(_xlfn.XLOOKUP($F73,'FCDB 2017 (full)'!$C:$C,'FCDB 2017 (full)'!$AR:$AR)*$H73/100,0)</f>
        <v>0</v>
      </c>
      <c r="BB73" s="16">
        <f ca="1">IFERROR(_xlfn.XLOOKUP($F73,'FCDB 2017 (full)'!$C:$C,'FCDB 2017 (full)'!$AS:$AS)*$H73/100,0)</f>
        <v>0</v>
      </c>
      <c r="BC73" s="16">
        <f ca="1">IFERROR(_xlfn.XLOOKUP($F73,'FCDB 2017 (full)'!$C:$C,'FCDB 2017 (full)'!$AT:$AT)*$H73/100,0)</f>
        <v>0</v>
      </c>
      <c r="BD73" s="16">
        <f ca="1">IFERROR(_xlfn.XLOOKUP($F73,'FCDB 2017 (full)'!$C:$C,'FCDB 2017 (full)'!$AU:$AU)*$H73/100,0)</f>
        <v>0</v>
      </c>
      <c r="BE73" s="16">
        <f ca="1">IFERROR(_xlfn.XLOOKUP($F73,'FCDB 2017 (full)'!$C:$C,'FCDB 2017 (full)'!$AV:$AV)*$H73/100,0)</f>
        <v>0</v>
      </c>
      <c r="BF73" s="16">
        <f ca="1">IFERROR(_xlfn.XLOOKUP($F73,'FCDB 2017 (full)'!$C:$C,'FCDB 2017 (full)'!$AW:$AW)*$H73/100,0)</f>
        <v>0</v>
      </c>
      <c r="BG73" s="16">
        <f ca="1">IFERROR(_xlfn.XLOOKUP($F73,'FCDB 2017 (full)'!$C:$C,'FCDB 2017 (full)'!$AX:$AX)*$H73/100,0)</f>
        <v>0</v>
      </c>
      <c r="BH73" s="16">
        <f ca="1">IFERROR(_xlfn.XLOOKUP($F73,'FCDB 2017 (full)'!$C:$C,'FCDB 2017 (full)'!$AY:$AY)*$H73/100,0)</f>
        <v>0</v>
      </c>
      <c r="BI73" s="16">
        <f ca="1">IFERROR(_xlfn.XLOOKUP($F73,'FCDB 2017 (full)'!$C:$C,'FCDB 2017 (full)'!$AZ:$AZ)*$H73/100,0)</f>
        <v>0</v>
      </c>
      <c r="BJ73" s="16">
        <f ca="1">IFERROR(_xlfn.XLOOKUP($F73,'FCDB 2017 (full)'!$C:$C,'FCDB 2017 (full)'!$BA:$BA)*$H73/100,0)</f>
        <v>0</v>
      </c>
      <c r="BK73" s="16">
        <f ca="1">IFERROR(_xlfn.XLOOKUP($F73,'FCDB 2017 (full)'!$C:$C,'FCDB 2017 (full)'!$BB:$BB)*$H73/100,0)</f>
        <v>0</v>
      </c>
      <c r="BL73" s="16">
        <f ca="1">IFERROR(_xlfn.XLOOKUP($F73,'FCDB 2017 (full)'!$C:$C,'FCDB 2017 (full)'!$BC:$BC)*$H73/100,0)</f>
        <v>0</v>
      </c>
      <c r="BM73" s="16">
        <f ca="1">IFERROR(_xlfn.XLOOKUP($F73,'FCDB 2017 (full)'!$C:$C,'FCDB 2017 (full)'!$BD:$BD)*$H73/100,0)</f>
        <v>0</v>
      </c>
      <c r="BN73" s="16">
        <f ca="1">IFERROR(_xlfn.XLOOKUP($F73,'FCDB 2017 (full)'!$C:$C,'FCDB 2017 (full)'!$BE:$BE)*$H73/100,0)</f>
        <v>0</v>
      </c>
      <c r="BO73" s="16">
        <f ca="1">IFERROR(_xlfn.XLOOKUP($F73,'FCDB 2017 (full)'!$C:$C,'FCDB 2017 (full)'!$BF:$BF)*$H73/100,0)</f>
        <v>0</v>
      </c>
      <c r="BP73" s="16">
        <f ca="1">IFERROR(_xlfn.XLOOKUP($F73,'FCDB 2017 (full)'!$C:$C,'FCDB 2017 (full)'!$BG:$BG)*$H73/100,0)</f>
        <v>0</v>
      </c>
      <c r="BQ73" s="16">
        <f ca="1">IFERROR(_xlfn.XLOOKUP($F73,'FCDB 2017 (full)'!$C:$C,'FCDB 2017 (full)'!$BH:$BH)*$H73/100,0)</f>
        <v>0</v>
      </c>
      <c r="BR73" s="16">
        <f ca="1">IFERROR(_xlfn.XLOOKUP($F73,'FCDB 2017 (full)'!$C:$C,'FCDB 2017 (full)'!$BI:$BI)*$H73/100,0)</f>
        <v>0</v>
      </c>
      <c r="BS73" s="16">
        <f ca="1">IFERROR(_xlfn.XLOOKUP($F73,'FCDB 2017 (full)'!$C:$C,'FCDB 2017 (full)'!$BJ:$BJ)*$H73/100,0)</f>
        <v>0</v>
      </c>
      <c r="BT73" s="16">
        <f ca="1">IFERROR(_xlfn.XLOOKUP($F73,'FCDB 2017 (full)'!$C:$C,'FCDB 2017 (full)'!$BK:$BK)*$H73/100,0)</f>
        <v>0</v>
      </c>
      <c r="BU73" s="16">
        <f ca="1">IFERROR(_xlfn.XLOOKUP($F73,'FCDB 2017 (full)'!$C:$C,'FCDB 2017 (full)'!$BL:$BL)*$H73/100,0)</f>
        <v>0</v>
      </c>
      <c r="BV73" s="16">
        <f ca="1">IFERROR(_xlfn.XLOOKUP($F73,'FCDB 2017 (full)'!$C:$C,'FCDB 2017 (full)'!$BM:$BM)*$H73/100,0)</f>
        <v>0</v>
      </c>
      <c r="BW73" s="16">
        <f ca="1">IFERROR(_xlfn.XLOOKUP($F73,'FCDB 2017 (full)'!$C:$C,'FCDB 2017 (full)'!$BN:$BN)*$H73/100,0)</f>
        <v>0</v>
      </c>
      <c r="BX73" s="16">
        <f ca="1">IFERROR(_xlfn.XLOOKUP($F73,'FCDB 2017 (full)'!$C:$C,'FCDB 2017 (full)'!$BO:$BO)*$H73/100,0)</f>
        <v>0</v>
      </c>
      <c r="BY73" s="16">
        <f ca="1">IFERROR(_xlfn.XLOOKUP($F73,'FCDB 2017 (full)'!$C:$C,'FCDB 2017 (full)'!$BP:$BP)*$H73/100,0)</f>
        <v>0</v>
      </c>
      <c r="BZ73" s="16">
        <f ca="1">IFERROR(_xlfn.XLOOKUP($F73,'FCDB 2017 (full)'!$C:$C,'FCDB 2017 (full)'!$BQ:$BQ)*$H73/100,0)</f>
        <v>0</v>
      </c>
      <c r="CA73" s="16">
        <f ca="1">IFERROR(_xlfn.XLOOKUP($F73,'FCDB 2017 (full)'!$C:$C,'FCDB 2017 (full)'!$BR:$BR)*$H73/100,0)</f>
        <v>0</v>
      </c>
      <c r="CB73" s="16">
        <f ca="1">IFERROR(_xlfn.XLOOKUP($F73,'FCDB 2017 (full)'!$C:$C,'FCDB 2017 (full)'!$BS:$BS)*$H73/100,0)</f>
        <v>0</v>
      </c>
      <c r="CC73" s="16">
        <f ca="1">IFERROR(_xlfn.XLOOKUP($F73,'FCDB 2017 (full)'!$C:$C,'FCDB 2017 (full)'!$BT:$BT)*$H73/100,0)</f>
        <v>0</v>
      </c>
      <c r="CD73" s="16">
        <f ca="1">IFERROR(_xlfn.XLOOKUP($F73,'FCDB 2017 (full)'!$C:$C,'FCDB 2017 (full)'!$BU:$BU)*$H73/100,0)</f>
        <v>0</v>
      </c>
      <c r="CE73" s="16">
        <f ca="1">IFERROR(_xlfn.XLOOKUP($F73,'FCDB 2017 (full)'!$C:$C,'FCDB 2017 (full)'!$BV:$BV)*$H73/100,0)</f>
        <v>0</v>
      </c>
      <c r="CF73" s="16">
        <f ca="1">IFERROR(_xlfn.XLOOKUP($F73,'FCDB 2017 (full)'!$C:$C,'FCDB 2017 (full)'!$BW:$BW)*$H73/100,0)</f>
        <v>0</v>
      </c>
      <c r="CG73" s="16">
        <f ca="1">IFERROR(_xlfn.XLOOKUP($F73,'FCDB 2017 (full)'!$C:$C,'FCDB 2017 (full)'!$BX:$BX)*$H73/100,0)</f>
        <v>0</v>
      </c>
      <c r="CH73" s="16">
        <f ca="1">IFERROR(_xlfn.XLOOKUP($F73,'FCDB 2017 (full)'!$C:$C,'FCDB 2017 (full)'!$BY:$BY)*$H73/100,0)</f>
        <v>0</v>
      </c>
      <c r="CI73" s="16">
        <f ca="1">IFERROR(_xlfn.XLOOKUP($F73,'FCDB 2017 (full)'!$C:$C,'FCDB 2017 (full)'!$BZ:$BZ)*$H73/100,0)</f>
        <v>0</v>
      </c>
      <c r="CJ73" s="16">
        <f ca="1">IFERROR(_xlfn.XLOOKUP($F73,'FCDB 2017 (full)'!$C:$C,'FCDB 2017 (full)'!$CA:$CA)*$H73/100,0)</f>
        <v>0</v>
      </c>
      <c r="CK73" s="16">
        <f ca="1">IFERROR(_xlfn.XLOOKUP($F73,'FCDB 2017 (full)'!$C:$C,'FCDB 2017 (full)'!$CB:$CB)*$H73/100,0)</f>
        <v>0</v>
      </c>
      <c r="CL73" s="16">
        <f ca="1">IFERROR(_xlfn.XLOOKUP($F73,'FCDB 2017 (full)'!$C:$C,'FCDB 2017 (full)'!$CC:$CC)*$H73/100,0)</f>
        <v>0</v>
      </c>
      <c r="CM73" s="16">
        <f ca="1">IFERROR(_xlfn.XLOOKUP($F73,'FCDB 2017 (full)'!$C:$C,'FCDB 2017 (full)'!$CD:$CD)*$H73/100,0)</f>
        <v>0</v>
      </c>
      <c r="CN73" s="16">
        <f ca="1">IFERROR(_xlfn.XLOOKUP($F73,'FCDB 2017 (full)'!$C:$C,'FCDB 2017 (full)'!$CE:$CE)*$H73/100,0)</f>
        <v>0</v>
      </c>
      <c r="CO73" s="16">
        <f ca="1">IFERROR(_xlfn.XLOOKUP($F73,'FCDB 2017 (full)'!$C:$C,'FCDB 2017 (full)'!$CF:$CF)*$H73/100,0)</f>
        <v>0</v>
      </c>
      <c r="CP73" s="16">
        <f ca="1">IFERROR(_xlfn.XLOOKUP($F73,'FCDB 2017 (full)'!$C:$C,'FCDB 2017 (full)'!$CG:$CG)*$H73/100,0)</f>
        <v>0</v>
      </c>
      <c r="CQ73" s="16">
        <f ca="1">IFERROR(_xlfn.XLOOKUP($F73,'FCDB 2017 (full)'!$C:$C,'FCDB 2017 (full)'!$CH:$CH)*$H73/100,0)</f>
        <v>0</v>
      </c>
      <c r="CR73" s="29"/>
      <c r="DA73" s="72" t="s">
        <v>980</v>
      </c>
    </row>
    <row r="74" spans="4:105">
      <c r="D74" s="29"/>
      <c r="E74" s="29"/>
      <c r="F74" s="11">
        <f>IFERROR(VLOOKUP($D$53,$D:$AE,20,0),0)</f>
        <v>0</v>
      </c>
      <c r="G74" s="7" cm="1">
        <f t="array" ref="G74">IF(F74=0,0,IF(_xlfn.XLOOKUP(F74,$E$53:$AE$53,$E$54:$AE$54)=0,"Nhập ĐV/TV",_xlfn.XLOOKUP(F74,$E$53:$AE$53,$E$54:$AE$54)))</f>
        <v>0</v>
      </c>
      <c r="H74" s="8">
        <f t="shared" si="14"/>
        <v>0</v>
      </c>
      <c r="I74" s="9">
        <f ca="1">IFERROR(_xlfn.XLOOKUP($F74,'FCDB 2017 (full)'!$C:$C,'FCDB 2017 (full)'!$E:$E),0)</f>
        <v>0</v>
      </c>
      <c r="J74" s="10">
        <f t="shared" ca="1" si="15"/>
        <v>0</v>
      </c>
      <c r="K74" s="9">
        <f ca="1">IFERROR(_xlfn.XLOOKUP($F74,'FCDB 2017 (full)'!$C:$C,'FCDB 2017 (full)'!$G:$G),0)</f>
        <v>0</v>
      </c>
      <c r="L74" s="13">
        <f t="shared" si="16"/>
        <v>0</v>
      </c>
      <c r="M74" s="13">
        <f t="shared" si="10"/>
        <v>0</v>
      </c>
      <c r="N74" s="9">
        <f ca="1">IFERROR(_xlfn.XLOOKUP($F74,'FCDB 2017 (full)'!$C:$C,'FCDB 2017 (full)'!$H:$H),0)</f>
        <v>0</v>
      </c>
      <c r="O74" s="14">
        <f t="shared" si="11"/>
        <v>0</v>
      </c>
      <c r="P74" s="14">
        <f t="shared" si="12"/>
        <v>0</v>
      </c>
      <c r="Q74" s="9">
        <f ca="1">IFERROR(_xlfn.XLOOKUP($F74,'FCDB 2017 (full)'!$C:$C,'FCDB 2017 (full)'!$I:$I),0)</f>
        <v>0</v>
      </c>
      <c r="R74" s="15">
        <f t="shared" ca="1" si="13"/>
        <v>0</v>
      </c>
      <c r="S74" s="16">
        <f ca="1">IFERROR(_xlfn.XLOOKUP($F74,'FCDB 2017 (full)'!$C:$C,'FCDB 2017 (full)'!$J:$J)*$H74/100,0)</f>
        <v>0</v>
      </c>
      <c r="T74" s="16">
        <f ca="1">IFERROR(_xlfn.XLOOKUP($F74,'FCDB 2017 (full)'!$C:$C,'FCDB 2017 (full)'!$K:$K)*$H74/100,0)</f>
        <v>0</v>
      </c>
      <c r="U74" s="16">
        <f ca="1">IFERROR(_xlfn.XLOOKUP($F74,'FCDB 2017 (full)'!$C:$C,'FCDB 2017 (full)'!$L:$L)*$H74/100,0)</f>
        <v>0</v>
      </c>
      <c r="V74" s="16">
        <f ca="1">IFERROR(_xlfn.XLOOKUP($F74,'FCDB 2017 (full)'!$C:$C,'FCDB 2017 (full)'!$M:$M)*$H74/100,0)</f>
        <v>0</v>
      </c>
      <c r="W74" s="16">
        <f ca="1">IFERROR(_xlfn.XLOOKUP($F74,'FCDB 2017 (full)'!$C:$C,'FCDB 2017 (full)'!$N:$N)*$H74/100,0)</f>
        <v>0</v>
      </c>
      <c r="X74" s="16">
        <f ca="1">IFERROR(_xlfn.XLOOKUP($F74,'FCDB 2017 (full)'!$C:$C,'FCDB 2017 (full)'!$O:$O)*$H74/100,0)</f>
        <v>0</v>
      </c>
      <c r="Y74" s="16">
        <f ca="1">IFERROR(_xlfn.XLOOKUP($F74,'FCDB 2017 (full)'!$C:$C,'FCDB 2017 (full)'!$P:$P)*$H74/100,0)</f>
        <v>0</v>
      </c>
      <c r="Z74" s="16">
        <f ca="1">IFERROR(_xlfn.XLOOKUP($F74,'FCDB 2017 (full)'!$C:$C,'FCDB 2017 (full)'!$Q:$Q)*$H74/100,0)</f>
        <v>0</v>
      </c>
      <c r="AA74" s="16">
        <f ca="1">IFERROR(_xlfn.XLOOKUP($F74,'FCDB 2017 (full)'!$C:$C,'FCDB 2017 (full)'!$R:$R)*$H74/100,0)</f>
        <v>0</v>
      </c>
      <c r="AB74" s="16">
        <f ca="1">IFERROR(_xlfn.XLOOKUP($F74,'FCDB 2017 (full)'!$C:$C,'FCDB 2017 (full)'!$S:$S)*$H74/100,0)</f>
        <v>0</v>
      </c>
      <c r="AC74" s="16">
        <f ca="1">IFERROR(_xlfn.XLOOKUP($F74,'FCDB 2017 (full)'!$C:$C,'FCDB 2017 (full)'!$T:$T)*$H74/100,0)</f>
        <v>0</v>
      </c>
      <c r="AD74" s="16">
        <f ca="1">IFERROR(_xlfn.XLOOKUP($F74,'FCDB 2017 (full)'!$C:$C,'FCDB 2017 (full)'!$U:$U)*$H74/100,0)</f>
        <v>0</v>
      </c>
      <c r="AE74" s="16">
        <f ca="1">IFERROR(_xlfn.XLOOKUP($F74,'FCDB 2017 (full)'!$C:$C,'FCDB 2017 (full)'!$V:$V)*$H74/100,0)</f>
        <v>0</v>
      </c>
      <c r="AF74" s="16">
        <f ca="1">IFERROR(_xlfn.XLOOKUP($F74,'FCDB 2017 (full)'!$C:$C,'FCDB 2017 (full)'!$W:$W)*$H74/100,0)</f>
        <v>0</v>
      </c>
      <c r="AG74" s="16">
        <f ca="1">IFERROR(_xlfn.XLOOKUP($F74,'FCDB 2017 (full)'!$C:$C,'FCDB 2017 (full)'!$X:$X)*$H74/100,0)</f>
        <v>0</v>
      </c>
      <c r="AH74" s="16">
        <f ca="1">IFERROR(_xlfn.XLOOKUP($F74,'FCDB 2017 (full)'!$C:$C,'FCDB 2017 (full)'!$Y:$Y)*$H74/100,0)</f>
        <v>0</v>
      </c>
      <c r="AI74" s="16">
        <f ca="1">IFERROR(_xlfn.XLOOKUP($F74,'FCDB 2017 (full)'!$C:$C,'FCDB 2017 (full)'!$Z:$Z)*$H74/100,0)</f>
        <v>0</v>
      </c>
      <c r="AJ74" s="16">
        <f ca="1">IFERROR(_xlfn.XLOOKUP($F74,'FCDB 2017 (full)'!$C:$C,'FCDB 2017 (full)'!$AA:$AA)*$H74/100,0)</f>
        <v>0</v>
      </c>
      <c r="AK74" s="16">
        <f ca="1">IFERROR(_xlfn.XLOOKUP($F74,'FCDB 2017 (full)'!$C:$C,'FCDB 2017 (full)'!$AB:$AB)*$H74/100,0)</f>
        <v>0</v>
      </c>
      <c r="AL74" s="16">
        <f ca="1">IFERROR(_xlfn.XLOOKUP($F74,'FCDB 2017 (full)'!$C:$C,'FCDB 2017 (full)'!$AC:$AC)*$H74/100,0)</f>
        <v>0</v>
      </c>
      <c r="AM74" s="16">
        <f ca="1">IFERROR(_xlfn.XLOOKUP($F74,'FCDB 2017 (full)'!$C:$C,'FCDB 2017 (full)'!$AD:$AD)*$H74/100,0)</f>
        <v>0</v>
      </c>
      <c r="AN74" s="16">
        <f ca="1">IFERROR(_xlfn.XLOOKUP($F74,'FCDB 2017 (full)'!$C:$C,'FCDB 2017 (full)'!$AE:$AE)*$H74/100,0)</f>
        <v>0</v>
      </c>
      <c r="AO74" s="16">
        <f ca="1">IFERROR(_xlfn.XLOOKUP($F74,'FCDB 2017 (full)'!$C:$C,'FCDB 2017 (full)'!$AF:$AF)*$H74/100,0)</f>
        <v>0</v>
      </c>
      <c r="AP74" s="16">
        <f ca="1">IFERROR(_xlfn.XLOOKUP($F74,'FCDB 2017 (full)'!$C:$C,'FCDB 2017 (full)'!$AG:$AG)*$H74/100,0)</f>
        <v>0</v>
      </c>
      <c r="AQ74" s="16">
        <f ca="1">IFERROR(_xlfn.XLOOKUP($F74,'FCDB 2017 (full)'!$C:$C,'FCDB 2017 (full)'!$AH:$AH)*$H74/100,0)</f>
        <v>0</v>
      </c>
      <c r="AR74" s="16">
        <f ca="1">IFERROR(_xlfn.XLOOKUP($F74,'FCDB 2017 (full)'!$C:$C,'FCDB 2017 (full)'!$AI:$AI)*$H74/100,0)</f>
        <v>0</v>
      </c>
      <c r="AS74" s="16">
        <f ca="1">IFERROR(_xlfn.XLOOKUP($F74,'FCDB 2017 (full)'!$C:$C,'FCDB 2017 (full)'!$AJ:$AJ)*$H74/100,0)</f>
        <v>0</v>
      </c>
      <c r="AT74" s="16">
        <f ca="1">IFERROR(_xlfn.XLOOKUP($F74,'FCDB 2017 (full)'!$C:$C,'FCDB 2017 (full)'!$AK:$AK)*$H74/100,0)</f>
        <v>0</v>
      </c>
      <c r="AU74" s="16">
        <f ca="1">IFERROR(_xlfn.XLOOKUP($F74,'FCDB 2017 (full)'!$C:$C,'FCDB 2017 (full)'!$AK:$AK)*$H74/100,0)</f>
        <v>0</v>
      </c>
      <c r="AV74" s="16">
        <f ca="1">IFERROR(_xlfn.XLOOKUP($F74,'FCDB 2017 (full)'!$C:$C,'FCDB 2017 (full)'!$AM:$AM)*$H74/100,0)</f>
        <v>0</v>
      </c>
      <c r="AW74" s="16">
        <f ca="1">IFERROR(_xlfn.XLOOKUP($F74,'FCDB 2017 (full)'!$C:$C,'FCDB 2017 (full)'!$AN:$AN)*$H74/100,0)</f>
        <v>0</v>
      </c>
      <c r="AX74" s="16">
        <f ca="1">IFERROR(_xlfn.XLOOKUP($F74,'FCDB 2017 (full)'!$C:$C,'FCDB 2017 (full)'!$AO:$AO)*$H74/100,0)</f>
        <v>0</v>
      </c>
      <c r="AY74" s="16">
        <f ca="1">IFERROR(_xlfn.XLOOKUP($F74,'FCDB 2017 (full)'!$C:$C,'FCDB 2017 (full)'!$AP:$AP)*$H74/100,0)</f>
        <v>0</v>
      </c>
      <c r="AZ74" s="16">
        <f ca="1">IFERROR(_xlfn.XLOOKUP($F74,'FCDB 2017 (full)'!$C:$C,'FCDB 2017 (full)'!$AQ:$AQ)*$H74/100,0)</f>
        <v>0</v>
      </c>
      <c r="BA74" s="16">
        <f ca="1">IFERROR(_xlfn.XLOOKUP($F74,'FCDB 2017 (full)'!$C:$C,'FCDB 2017 (full)'!$AR:$AR)*$H74/100,0)</f>
        <v>0</v>
      </c>
      <c r="BB74" s="16">
        <f ca="1">IFERROR(_xlfn.XLOOKUP($F74,'FCDB 2017 (full)'!$C:$C,'FCDB 2017 (full)'!$AS:$AS)*$H74/100,0)</f>
        <v>0</v>
      </c>
      <c r="BC74" s="16">
        <f ca="1">IFERROR(_xlfn.XLOOKUP($F74,'FCDB 2017 (full)'!$C:$C,'FCDB 2017 (full)'!$AT:$AT)*$H74/100,0)</f>
        <v>0</v>
      </c>
      <c r="BD74" s="16">
        <f ca="1">IFERROR(_xlfn.XLOOKUP($F74,'FCDB 2017 (full)'!$C:$C,'FCDB 2017 (full)'!$AU:$AU)*$H74/100,0)</f>
        <v>0</v>
      </c>
      <c r="BE74" s="16">
        <f ca="1">IFERROR(_xlfn.XLOOKUP($F74,'FCDB 2017 (full)'!$C:$C,'FCDB 2017 (full)'!$AV:$AV)*$H74/100,0)</f>
        <v>0</v>
      </c>
      <c r="BF74" s="16">
        <f ca="1">IFERROR(_xlfn.XLOOKUP($F74,'FCDB 2017 (full)'!$C:$C,'FCDB 2017 (full)'!$AW:$AW)*$H74/100,0)</f>
        <v>0</v>
      </c>
      <c r="BG74" s="16">
        <f ca="1">IFERROR(_xlfn.XLOOKUP($F74,'FCDB 2017 (full)'!$C:$C,'FCDB 2017 (full)'!$AX:$AX)*$H74/100,0)</f>
        <v>0</v>
      </c>
      <c r="BH74" s="16">
        <f ca="1">IFERROR(_xlfn.XLOOKUP($F74,'FCDB 2017 (full)'!$C:$C,'FCDB 2017 (full)'!$AY:$AY)*$H74/100,0)</f>
        <v>0</v>
      </c>
      <c r="BI74" s="16">
        <f ca="1">IFERROR(_xlfn.XLOOKUP($F74,'FCDB 2017 (full)'!$C:$C,'FCDB 2017 (full)'!$AZ:$AZ)*$H74/100,0)</f>
        <v>0</v>
      </c>
      <c r="BJ74" s="16">
        <f ca="1">IFERROR(_xlfn.XLOOKUP($F74,'FCDB 2017 (full)'!$C:$C,'FCDB 2017 (full)'!$BA:$BA)*$H74/100,0)</f>
        <v>0</v>
      </c>
      <c r="BK74" s="16">
        <f ca="1">IFERROR(_xlfn.XLOOKUP($F74,'FCDB 2017 (full)'!$C:$C,'FCDB 2017 (full)'!$BB:$BB)*$H74/100,0)</f>
        <v>0</v>
      </c>
      <c r="BL74" s="16">
        <f ca="1">IFERROR(_xlfn.XLOOKUP($F74,'FCDB 2017 (full)'!$C:$C,'FCDB 2017 (full)'!$BC:$BC)*$H74/100,0)</f>
        <v>0</v>
      </c>
      <c r="BM74" s="16">
        <f ca="1">IFERROR(_xlfn.XLOOKUP($F74,'FCDB 2017 (full)'!$C:$C,'FCDB 2017 (full)'!$BD:$BD)*$H74/100,0)</f>
        <v>0</v>
      </c>
      <c r="BN74" s="16">
        <f ca="1">IFERROR(_xlfn.XLOOKUP($F74,'FCDB 2017 (full)'!$C:$C,'FCDB 2017 (full)'!$BE:$BE)*$H74/100,0)</f>
        <v>0</v>
      </c>
      <c r="BO74" s="16">
        <f ca="1">IFERROR(_xlfn.XLOOKUP($F74,'FCDB 2017 (full)'!$C:$C,'FCDB 2017 (full)'!$BF:$BF)*$H74/100,0)</f>
        <v>0</v>
      </c>
      <c r="BP74" s="16">
        <f ca="1">IFERROR(_xlfn.XLOOKUP($F74,'FCDB 2017 (full)'!$C:$C,'FCDB 2017 (full)'!$BG:$BG)*$H74/100,0)</f>
        <v>0</v>
      </c>
      <c r="BQ74" s="16">
        <f ca="1">IFERROR(_xlfn.XLOOKUP($F74,'FCDB 2017 (full)'!$C:$C,'FCDB 2017 (full)'!$BH:$BH)*$H74/100,0)</f>
        <v>0</v>
      </c>
      <c r="BR74" s="16">
        <f ca="1">IFERROR(_xlfn.XLOOKUP($F74,'FCDB 2017 (full)'!$C:$C,'FCDB 2017 (full)'!$BI:$BI)*$H74/100,0)</f>
        <v>0</v>
      </c>
      <c r="BS74" s="16">
        <f ca="1">IFERROR(_xlfn.XLOOKUP($F74,'FCDB 2017 (full)'!$C:$C,'FCDB 2017 (full)'!$BJ:$BJ)*$H74/100,0)</f>
        <v>0</v>
      </c>
      <c r="BT74" s="16">
        <f ca="1">IFERROR(_xlfn.XLOOKUP($F74,'FCDB 2017 (full)'!$C:$C,'FCDB 2017 (full)'!$BK:$BK)*$H74/100,0)</f>
        <v>0</v>
      </c>
      <c r="BU74" s="16">
        <f ca="1">IFERROR(_xlfn.XLOOKUP($F74,'FCDB 2017 (full)'!$C:$C,'FCDB 2017 (full)'!$BL:$BL)*$H74/100,0)</f>
        <v>0</v>
      </c>
      <c r="BV74" s="16">
        <f ca="1">IFERROR(_xlfn.XLOOKUP($F74,'FCDB 2017 (full)'!$C:$C,'FCDB 2017 (full)'!$BM:$BM)*$H74/100,0)</f>
        <v>0</v>
      </c>
      <c r="BW74" s="16">
        <f ca="1">IFERROR(_xlfn.XLOOKUP($F74,'FCDB 2017 (full)'!$C:$C,'FCDB 2017 (full)'!$BN:$BN)*$H74/100,0)</f>
        <v>0</v>
      </c>
      <c r="BX74" s="16">
        <f ca="1">IFERROR(_xlfn.XLOOKUP($F74,'FCDB 2017 (full)'!$C:$C,'FCDB 2017 (full)'!$BO:$BO)*$H74/100,0)</f>
        <v>0</v>
      </c>
      <c r="BY74" s="16">
        <f ca="1">IFERROR(_xlfn.XLOOKUP($F74,'FCDB 2017 (full)'!$C:$C,'FCDB 2017 (full)'!$BP:$BP)*$H74/100,0)</f>
        <v>0</v>
      </c>
      <c r="BZ74" s="16">
        <f ca="1">IFERROR(_xlfn.XLOOKUP($F74,'FCDB 2017 (full)'!$C:$C,'FCDB 2017 (full)'!$BQ:$BQ)*$H74/100,0)</f>
        <v>0</v>
      </c>
      <c r="CA74" s="16">
        <f ca="1">IFERROR(_xlfn.XLOOKUP($F74,'FCDB 2017 (full)'!$C:$C,'FCDB 2017 (full)'!$BR:$BR)*$H74/100,0)</f>
        <v>0</v>
      </c>
      <c r="CB74" s="16">
        <f ca="1">IFERROR(_xlfn.XLOOKUP($F74,'FCDB 2017 (full)'!$C:$C,'FCDB 2017 (full)'!$BS:$BS)*$H74/100,0)</f>
        <v>0</v>
      </c>
      <c r="CC74" s="16">
        <f ca="1">IFERROR(_xlfn.XLOOKUP($F74,'FCDB 2017 (full)'!$C:$C,'FCDB 2017 (full)'!$BT:$BT)*$H74/100,0)</f>
        <v>0</v>
      </c>
      <c r="CD74" s="16">
        <f ca="1">IFERROR(_xlfn.XLOOKUP($F74,'FCDB 2017 (full)'!$C:$C,'FCDB 2017 (full)'!$BU:$BU)*$H74/100,0)</f>
        <v>0</v>
      </c>
      <c r="CE74" s="16">
        <f ca="1">IFERROR(_xlfn.XLOOKUP($F74,'FCDB 2017 (full)'!$C:$C,'FCDB 2017 (full)'!$BV:$BV)*$H74/100,0)</f>
        <v>0</v>
      </c>
      <c r="CF74" s="16">
        <f ca="1">IFERROR(_xlfn.XLOOKUP($F74,'FCDB 2017 (full)'!$C:$C,'FCDB 2017 (full)'!$BW:$BW)*$H74/100,0)</f>
        <v>0</v>
      </c>
      <c r="CG74" s="16">
        <f ca="1">IFERROR(_xlfn.XLOOKUP($F74,'FCDB 2017 (full)'!$C:$C,'FCDB 2017 (full)'!$BX:$BX)*$H74/100,0)</f>
        <v>0</v>
      </c>
      <c r="CH74" s="16">
        <f ca="1">IFERROR(_xlfn.XLOOKUP($F74,'FCDB 2017 (full)'!$C:$C,'FCDB 2017 (full)'!$BY:$BY)*$H74/100,0)</f>
        <v>0</v>
      </c>
      <c r="CI74" s="16">
        <f ca="1">IFERROR(_xlfn.XLOOKUP($F74,'FCDB 2017 (full)'!$C:$C,'FCDB 2017 (full)'!$BZ:$BZ)*$H74/100,0)</f>
        <v>0</v>
      </c>
      <c r="CJ74" s="16">
        <f ca="1">IFERROR(_xlfn.XLOOKUP($F74,'FCDB 2017 (full)'!$C:$C,'FCDB 2017 (full)'!$CA:$CA)*$H74/100,0)</f>
        <v>0</v>
      </c>
      <c r="CK74" s="16">
        <f ca="1">IFERROR(_xlfn.XLOOKUP($F74,'FCDB 2017 (full)'!$C:$C,'FCDB 2017 (full)'!$CB:$CB)*$H74/100,0)</f>
        <v>0</v>
      </c>
      <c r="CL74" s="16">
        <f ca="1">IFERROR(_xlfn.XLOOKUP($F74,'FCDB 2017 (full)'!$C:$C,'FCDB 2017 (full)'!$CC:$CC)*$H74/100,0)</f>
        <v>0</v>
      </c>
      <c r="CM74" s="16">
        <f ca="1">IFERROR(_xlfn.XLOOKUP($F74,'FCDB 2017 (full)'!$C:$C,'FCDB 2017 (full)'!$CD:$CD)*$H74/100,0)</f>
        <v>0</v>
      </c>
      <c r="CN74" s="16">
        <f ca="1">IFERROR(_xlfn.XLOOKUP($F74,'FCDB 2017 (full)'!$C:$C,'FCDB 2017 (full)'!$CE:$CE)*$H74/100,0)</f>
        <v>0</v>
      </c>
      <c r="CO74" s="16">
        <f ca="1">IFERROR(_xlfn.XLOOKUP($F74,'FCDB 2017 (full)'!$C:$C,'FCDB 2017 (full)'!$CF:$CF)*$H74/100,0)</f>
        <v>0</v>
      </c>
      <c r="CP74" s="16">
        <f ca="1">IFERROR(_xlfn.XLOOKUP($F74,'FCDB 2017 (full)'!$C:$C,'FCDB 2017 (full)'!$CG:$CG)*$H74/100,0)</f>
        <v>0</v>
      </c>
      <c r="CQ74" s="16">
        <f ca="1">IFERROR(_xlfn.XLOOKUP($F74,'FCDB 2017 (full)'!$C:$C,'FCDB 2017 (full)'!$CH:$CH)*$H74/100,0)</f>
        <v>0</v>
      </c>
      <c r="CR74" s="29"/>
      <c r="DA74" s="72" t="s">
        <v>980</v>
      </c>
    </row>
    <row r="75" spans="4:105">
      <c r="D75" s="29"/>
      <c r="E75" s="29"/>
      <c r="F75" s="11">
        <f>IFERROR(VLOOKUP($D$53,$D:$AE,21,0),0)</f>
        <v>0</v>
      </c>
      <c r="G75" s="7" cm="1">
        <f t="array" ref="G75">IF(F75=0,0,IF(_xlfn.XLOOKUP(F75,$E$53:$AE$53,$E$54:$AE$54)=0,"Nhập ĐV/TV",_xlfn.XLOOKUP(F75,$E$53:$AE$53,$E$54:$AE$54)))</f>
        <v>0</v>
      </c>
      <c r="H75" s="8">
        <f t="shared" si="14"/>
        <v>0</v>
      </c>
      <c r="I75" s="9">
        <f ca="1">IFERROR(_xlfn.XLOOKUP($F75,'FCDB 2017 (full)'!$C:$C,'FCDB 2017 (full)'!$E:$E),0)</f>
        <v>0</v>
      </c>
      <c r="J75" s="10">
        <f t="shared" ca="1" si="15"/>
        <v>0</v>
      </c>
      <c r="K75" s="9">
        <f ca="1">IFERROR(_xlfn.XLOOKUP($F75,'FCDB 2017 (full)'!$C:$C,'FCDB 2017 (full)'!$G:$G),0)</f>
        <v>0</v>
      </c>
      <c r="L75" s="13">
        <f t="shared" si="16"/>
        <v>0</v>
      </c>
      <c r="M75" s="13">
        <f t="shared" si="10"/>
        <v>0</v>
      </c>
      <c r="N75" s="9">
        <f ca="1">IFERROR(_xlfn.XLOOKUP($F75,'FCDB 2017 (full)'!$C:$C,'FCDB 2017 (full)'!$H:$H),0)</f>
        <v>0</v>
      </c>
      <c r="O75" s="14">
        <f t="shared" si="11"/>
        <v>0</v>
      </c>
      <c r="P75" s="14">
        <f t="shared" si="12"/>
        <v>0</v>
      </c>
      <c r="Q75" s="9">
        <f ca="1">IFERROR(_xlfn.XLOOKUP($F75,'FCDB 2017 (full)'!$C:$C,'FCDB 2017 (full)'!$I:$I),0)</f>
        <v>0</v>
      </c>
      <c r="R75" s="15">
        <f t="shared" ca="1" si="13"/>
        <v>0</v>
      </c>
      <c r="S75" s="16">
        <f ca="1">IFERROR(_xlfn.XLOOKUP($F75,'FCDB 2017 (full)'!$C:$C,'FCDB 2017 (full)'!$J:$J)*$H75/100,0)</f>
        <v>0</v>
      </c>
      <c r="T75" s="16">
        <f ca="1">IFERROR(_xlfn.XLOOKUP($F75,'FCDB 2017 (full)'!$C:$C,'FCDB 2017 (full)'!$K:$K)*$H75/100,0)</f>
        <v>0</v>
      </c>
      <c r="U75" s="16">
        <f ca="1">IFERROR(_xlfn.XLOOKUP($F75,'FCDB 2017 (full)'!$C:$C,'FCDB 2017 (full)'!$L:$L)*$H75/100,0)</f>
        <v>0</v>
      </c>
      <c r="V75" s="16">
        <f ca="1">IFERROR(_xlfn.XLOOKUP($F75,'FCDB 2017 (full)'!$C:$C,'FCDB 2017 (full)'!$M:$M)*$H75/100,0)</f>
        <v>0</v>
      </c>
      <c r="W75" s="16">
        <f ca="1">IFERROR(_xlfn.XLOOKUP($F75,'FCDB 2017 (full)'!$C:$C,'FCDB 2017 (full)'!$N:$N)*$H75/100,0)</f>
        <v>0</v>
      </c>
      <c r="X75" s="16">
        <f ca="1">IFERROR(_xlfn.XLOOKUP($F75,'FCDB 2017 (full)'!$C:$C,'FCDB 2017 (full)'!$O:$O)*$H75/100,0)</f>
        <v>0</v>
      </c>
      <c r="Y75" s="16">
        <f ca="1">IFERROR(_xlfn.XLOOKUP($F75,'FCDB 2017 (full)'!$C:$C,'FCDB 2017 (full)'!$P:$P)*$H75/100,0)</f>
        <v>0</v>
      </c>
      <c r="Z75" s="16">
        <f ca="1">IFERROR(_xlfn.XLOOKUP($F75,'FCDB 2017 (full)'!$C:$C,'FCDB 2017 (full)'!$Q:$Q)*$H75/100,0)</f>
        <v>0</v>
      </c>
      <c r="AA75" s="16">
        <f ca="1">IFERROR(_xlfn.XLOOKUP($F75,'FCDB 2017 (full)'!$C:$C,'FCDB 2017 (full)'!$R:$R)*$H75/100,0)</f>
        <v>0</v>
      </c>
      <c r="AB75" s="16">
        <f ca="1">IFERROR(_xlfn.XLOOKUP($F75,'FCDB 2017 (full)'!$C:$C,'FCDB 2017 (full)'!$S:$S)*$H75/100,0)</f>
        <v>0</v>
      </c>
      <c r="AC75" s="16">
        <f ca="1">IFERROR(_xlfn.XLOOKUP($F75,'FCDB 2017 (full)'!$C:$C,'FCDB 2017 (full)'!$T:$T)*$H75/100,0)</f>
        <v>0</v>
      </c>
      <c r="AD75" s="16">
        <f ca="1">IFERROR(_xlfn.XLOOKUP($F75,'FCDB 2017 (full)'!$C:$C,'FCDB 2017 (full)'!$U:$U)*$H75/100,0)</f>
        <v>0</v>
      </c>
      <c r="AE75" s="16">
        <f ca="1">IFERROR(_xlfn.XLOOKUP($F75,'FCDB 2017 (full)'!$C:$C,'FCDB 2017 (full)'!$V:$V)*$H75/100,0)</f>
        <v>0</v>
      </c>
      <c r="AF75" s="16">
        <f ca="1">IFERROR(_xlfn.XLOOKUP($F75,'FCDB 2017 (full)'!$C:$C,'FCDB 2017 (full)'!$W:$W)*$H75/100,0)</f>
        <v>0</v>
      </c>
      <c r="AG75" s="16">
        <f ca="1">IFERROR(_xlfn.XLOOKUP($F75,'FCDB 2017 (full)'!$C:$C,'FCDB 2017 (full)'!$X:$X)*$H75/100,0)</f>
        <v>0</v>
      </c>
      <c r="AH75" s="16">
        <f ca="1">IFERROR(_xlfn.XLOOKUP($F75,'FCDB 2017 (full)'!$C:$C,'FCDB 2017 (full)'!$Y:$Y)*$H75/100,0)</f>
        <v>0</v>
      </c>
      <c r="AI75" s="16">
        <f ca="1">IFERROR(_xlfn.XLOOKUP($F75,'FCDB 2017 (full)'!$C:$C,'FCDB 2017 (full)'!$Z:$Z)*$H75/100,0)</f>
        <v>0</v>
      </c>
      <c r="AJ75" s="16">
        <f ca="1">IFERROR(_xlfn.XLOOKUP($F75,'FCDB 2017 (full)'!$C:$C,'FCDB 2017 (full)'!$AA:$AA)*$H75/100,0)</f>
        <v>0</v>
      </c>
      <c r="AK75" s="16">
        <f ca="1">IFERROR(_xlfn.XLOOKUP($F75,'FCDB 2017 (full)'!$C:$C,'FCDB 2017 (full)'!$AB:$AB)*$H75/100,0)</f>
        <v>0</v>
      </c>
      <c r="AL75" s="16">
        <f ca="1">IFERROR(_xlfn.XLOOKUP($F75,'FCDB 2017 (full)'!$C:$C,'FCDB 2017 (full)'!$AC:$AC)*$H75/100,0)</f>
        <v>0</v>
      </c>
      <c r="AM75" s="16">
        <f ca="1">IFERROR(_xlfn.XLOOKUP($F75,'FCDB 2017 (full)'!$C:$C,'FCDB 2017 (full)'!$AD:$AD)*$H75/100,0)</f>
        <v>0</v>
      </c>
      <c r="AN75" s="16">
        <f ca="1">IFERROR(_xlfn.XLOOKUP($F75,'FCDB 2017 (full)'!$C:$C,'FCDB 2017 (full)'!$AE:$AE)*$H75/100,0)</f>
        <v>0</v>
      </c>
      <c r="AO75" s="16">
        <f ca="1">IFERROR(_xlfn.XLOOKUP($F75,'FCDB 2017 (full)'!$C:$C,'FCDB 2017 (full)'!$AF:$AF)*$H75/100,0)</f>
        <v>0</v>
      </c>
      <c r="AP75" s="16">
        <f ca="1">IFERROR(_xlfn.XLOOKUP($F75,'FCDB 2017 (full)'!$C:$C,'FCDB 2017 (full)'!$AG:$AG)*$H75/100,0)</f>
        <v>0</v>
      </c>
      <c r="AQ75" s="16">
        <f ca="1">IFERROR(_xlfn.XLOOKUP($F75,'FCDB 2017 (full)'!$C:$C,'FCDB 2017 (full)'!$AH:$AH)*$H75/100,0)</f>
        <v>0</v>
      </c>
      <c r="AR75" s="16">
        <f ca="1">IFERROR(_xlfn.XLOOKUP($F75,'FCDB 2017 (full)'!$C:$C,'FCDB 2017 (full)'!$AI:$AI)*$H75/100,0)</f>
        <v>0</v>
      </c>
      <c r="AS75" s="16">
        <f ca="1">IFERROR(_xlfn.XLOOKUP($F75,'FCDB 2017 (full)'!$C:$C,'FCDB 2017 (full)'!$AJ:$AJ)*$H75/100,0)</f>
        <v>0</v>
      </c>
      <c r="AT75" s="16">
        <f ca="1">IFERROR(_xlfn.XLOOKUP($F75,'FCDB 2017 (full)'!$C:$C,'FCDB 2017 (full)'!$AK:$AK)*$H75/100,0)</f>
        <v>0</v>
      </c>
      <c r="AU75" s="16">
        <f ca="1">IFERROR(_xlfn.XLOOKUP($F75,'FCDB 2017 (full)'!$C:$C,'FCDB 2017 (full)'!$AK:$AK)*$H75/100,0)</f>
        <v>0</v>
      </c>
      <c r="AV75" s="16">
        <f ca="1">IFERROR(_xlfn.XLOOKUP($F75,'FCDB 2017 (full)'!$C:$C,'FCDB 2017 (full)'!$AM:$AM)*$H75/100,0)</f>
        <v>0</v>
      </c>
      <c r="AW75" s="16">
        <f ca="1">IFERROR(_xlfn.XLOOKUP($F75,'FCDB 2017 (full)'!$C:$C,'FCDB 2017 (full)'!$AN:$AN)*$H75/100,0)</f>
        <v>0</v>
      </c>
      <c r="AX75" s="16">
        <f ca="1">IFERROR(_xlfn.XLOOKUP($F75,'FCDB 2017 (full)'!$C:$C,'FCDB 2017 (full)'!$AO:$AO)*$H75/100,0)</f>
        <v>0</v>
      </c>
      <c r="AY75" s="16">
        <f ca="1">IFERROR(_xlfn.XLOOKUP($F75,'FCDB 2017 (full)'!$C:$C,'FCDB 2017 (full)'!$AP:$AP)*$H75/100,0)</f>
        <v>0</v>
      </c>
      <c r="AZ75" s="16">
        <f ca="1">IFERROR(_xlfn.XLOOKUP($F75,'FCDB 2017 (full)'!$C:$C,'FCDB 2017 (full)'!$AQ:$AQ)*$H75/100,0)</f>
        <v>0</v>
      </c>
      <c r="BA75" s="16">
        <f ca="1">IFERROR(_xlfn.XLOOKUP($F75,'FCDB 2017 (full)'!$C:$C,'FCDB 2017 (full)'!$AR:$AR)*$H75/100,0)</f>
        <v>0</v>
      </c>
      <c r="BB75" s="16">
        <f ca="1">IFERROR(_xlfn.XLOOKUP($F75,'FCDB 2017 (full)'!$C:$C,'FCDB 2017 (full)'!$AS:$AS)*$H75/100,0)</f>
        <v>0</v>
      </c>
      <c r="BC75" s="16">
        <f ca="1">IFERROR(_xlfn.XLOOKUP($F75,'FCDB 2017 (full)'!$C:$C,'FCDB 2017 (full)'!$AT:$AT)*$H75/100,0)</f>
        <v>0</v>
      </c>
      <c r="BD75" s="16">
        <f ca="1">IFERROR(_xlfn.XLOOKUP($F75,'FCDB 2017 (full)'!$C:$C,'FCDB 2017 (full)'!$AU:$AU)*$H75/100,0)</f>
        <v>0</v>
      </c>
      <c r="BE75" s="16">
        <f ca="1">IFERROR(_xlfn.XLOOKUP($F75,'FCDB 2017 (full)'!$C:$C,'FCDB 2017 (full)'!$AV:$AV)*$H75/100,0)</f>
        <v>0</v>
      </c>
      <c r="BF75" s="16">
        <f ca="1">IFERROR(_xlfn.XLOOKUP($F75,'FCDB 2017 (full)'!$C:$C,'FCDB 2017 (full)'!$AW:$AW)*$H75/100,0)</f>
        <v>0</v>
      </c>
      <c r="BG75" s="16">
        <f ca="1">IFERROR(_xlfn.XLOOKUP($F75,'FCDB 2017 (full)'!$C:$C,'FCDB 2017 (full)'!$AX:$AX)*$H75/100,0)</f>
        <v>0</v>
      </c>
      <c r="BH75" s="16">
        <f ca="1">IFERROR(_xlfn.XLOOKUP($F75,'FCDB 2017 (full)'!$C:$C,'FCDB 2017 (full)'!$AY:$AY)*$H75/100,0)</f>
        <v>0</v>
      </c>
      <c r="BI75" s="16">
        <f ca="1">IFERROR(_xlfn.XLOOKUP($F75,'FCDB 2017 (full)'!$C:$C,'FCDB 2017 (full)'!$AZ:$AZ)*$H75/100,0)</f>
        <v>0</v>
      </c>
      <c r="BJ75" s="16">
        <f ca="1">IFERROR(_xlfn.XLOOKUP($F75,'FCDB 2017 (full)'!$C:$C,'FCDB 2017 (full)'!$BA:$BA)*$H75/100,0)</f>
        <v>0</v>
      </c>
      <c r="BK75" s="16">
        <f ca="1">IFERROR(_xlfn.XLOOKUP($F75,'FCDB 2017 (full)'!$C:$C,'FCDB 2017 (full)'!$BB:$BB)*$H75/100,0)</f>
        <v>0</v>
      </c>
      <c r="BL75" s="16">
        <f ca="1">IFERROR(_xlfn.XLOOKUP($F75,'FCDB 2017 (full)'!$C:$C,'FCDB 2017 (full)'!$BC:$BC)*$H75/100,0)</f>
        <v>0</v>
      </c>
      <c r="BM75" s="16">
        <f ca="1">IFERROR(_xlfn.XLOOKUP($F75,'FCDB 2017 (full)'!$C:$C,'FCDB 2017 (full)'!$BD:$BD)*$H75/100,0)</f>
        <v>0</v>
      </c>
      <c r="BN75" s="16">
        <f ca="1">IFERROR(_xlfn.XLOOKUP($F75,'FCDB 2017 (full)'!$C:$C,'FCDB 2017 (full)'!$BE:$BE)*$H75/100,0)</f>
        <v>0</v>
      </c>
      <c r="BO75" s="16">
        <f ca="1">IFERROR(_xlfn.XLOOKUP($F75,'FCDB 2017 (full)'!$C:$C,'FCDB 2017 (full)'!$BF:$BF)*$H75/100,0)</f>
        <v>0</v>
      </c>
      <c r="BP75" s="16">
        <f ca="1">IFERROR(_xlfn.XLOOKUP($F75,'FCDB 2017 (full)'!$C:$C,'FCDB 2017 (full)'!$BG:$BG)*$H75/100,0)</f>
        <v>0</v>
      </c>
      <c r="BQ75" s="16">
        <f ca="1">IFERROR(_xlfn.XLOOKUP($F75,'FCDB 2017 (full)'!$C:$C,'FCDB 2017 (full)'!$BH:$BH)*$H75/100,0)</f>
        <v>0</v>
      </c>
      <c r="BR75" s="16">
        <f ca="1">IFERROR(_xlfn.XLOOKUP($F75,'FCDB 2017 (full)'!$C:$C,'FCDB 2017 (full)'!$BI:$BI)*$H75/100,0)</f>
        <v>0</v>
      </c>
      <c r="BS75" s="16">
        <f ca="1">IFERROR(_xlfn.XLOOKUP($F75,'FCDB 2017 (full)'!$C:$C,'FCDB 2017 (full)'!$BJ:$BJ)*$H75/100,0)</f>
        <v>0</v>
      </c>
      <c r="BT75" s="16">
        <f ca="1">IFERROR(_xlfn.XLOOKUP($F75,'FCDB 2017 (full)'!$C:$C,'FCDB 2017 (full)'!$BK:$BK)*$H75/100,0)</f>
        <v>0</v>
      </c>
      <c r="BU75" s="16">
        <f ca="1">IFERROR(_xlfn.XLOOKUP($F75,'FCDB 2017 (full)'!$C:$C,'FCDB 2017 (full)'!$BL:$BL)*$H75/100,0)</f>
        <v>0</v>
      </c>
      <c r="BV75" s="16">
        <f ca="1">IFERROR(_xlfn.XLOOKUP($F75,'FCDB 2017 (full)'!$C:$C,'FCDB 2017 (full)'!$BM:$BM)*$H75/100,0)</f>
        <v>0</v>
      </c>
      <c r="BW75" s="16">
        <f ca="1">IFERROR(_xlfn.XLOOKUP($F75,'FCDB 2017 (full)'!$C:$C,'FCDB 2017 (full)'!$BN:$BN)*$H75/100,0)</f>
        <v>0</v>
      </c>
      <c r="BX75" s="16">
        <f ca="1">IFERROR(_xlfn.XLOOKUP($F75,'FCDB 2017 (full)'!$C:$C,'FCDB 2017 (full)'!$BO:$BO)*$H75/100,0)</f>
        <v>0</v>
      </c>
      <c r="BY75" s="16">
        <f ca="1">IFERROR(_xlfn.XLOOKUP($F75,'FCDB 2017 (full)'!$C:$C,'FCDB 2017 (full)'!$BP:$BP)*$H75/100,0)</f>
        <v>0</v>
      </c>
      <c r="BZ75" s="16">
        <f ca="1">IFERROR(_xlfn.XLOOKUP($F75,'FCDB 2017 (full)'!$C:$C,'FCDB 2017 (full)'!$BQ:$BQ)*$H75/100,0)</f>
        <v>0</v>
      </c>
      <c r="CA75" s="16">
        <f ca="1">IFERROR(_xlfn.XLOOKUP($F75,'FCDB 2017 (full)'!$C:$C,'FCDB 2017 (full)'!$BR:$BR)*$H75/100,0)</f>
        <v>0</v>
      </c>
      <c r="CB75" s="16">
        <f ca="1">IFERROR(_xlfn.XLOOKUP($F75,'FCDB 2017 (full)'!$C:$C,'FCDB 2017 (full)'!$BS:$BS)*$H75/100,0)</f>
        <v>0</v>
      </c>
      <c r="CC75" s="16">
        <f ca="1">IFERROR(_xlfn.XLOOKUP($F75,'FCDB 2017 (full)'!$C:$C,'FCDB 2017 (full)'!$BT:$BT)*$H75/100,0)</f>
        <v>0</v>
      </c>
      <c r="CD75" s="16">
        <f ca="1">IFERROR(_xlfn.XLOOKUP($F75,'FCDB 2017 (full)'!$C:$C,'FCDB 2017 (full)'!$BU:$BU)*$H75/100,0)</f>
        <v>0</v>
      </c>
      <c r="CE75" s="16">
        <f ca="1">IFERROR(_xlfn.XLOOKUP($F75,'FCDB 2017 (full)'!$C:$C,'FCDB 2017 (full)'!$BV:$BV)*$H75/100,0)</f>
        <v>0</v>
      </c>
      <c r="CF75" s="16">
        <f ca="1">IFERROR(_xlfn.XLOOKUP($F75,'FCDB 2017 (full)'!$C:$C,'FCDB 2017 (full)'!$BW:$BW)*$H75/100,0)</f>
        <v>0</v>
      </c>
      <c r="CG75" s="16">
        <f ca="1">IFERROR(_xlfn.XLOOKUP($F75,'FCDB 2017 (full)'!$C:$C,'FCDB 2017 (full)'!$BX:$BX)*$H75/100,0)</f>
        <v>0</v>
      </c>
      <c r="CH75" s="16">
        <f ca="1">IFERROR(_xlfn.XLOOKUP($F75,'FCDB 2017 (full)'!$C:$C,'FCDB 2017 (full)'!$BY:$BY)*$H75/100,0)</f>
        <v>0</v>
      </c>
      <c r="CI75" s="16">
        <f ca="1">IFERROR(_xlfn.XLOOKUP($F75,'FCDB 2017 (full)'!$C:$C,'FCDB 2017 (full)'!$BZ:$BZ)*$H75/100,0)</f>
        <v>0</v>
      </c>
      <c r="CJ75" s="16">
        <f ca="1">IFERROR(_xlfn.XLOOKUP($F75,'FCDB 2017 (full)'!$C:$C,'FCDB 2017 (full)'!$CA:$CA)*$H75/100,0)</f>
        <v>0</v>
      </c>
      <c r="CK75" s="16">
        <f ca="1">IFERROR(_xlfn.XLOOKUP($F75,'FCDB 2017 (full)'!$C:$C,'FCDB 2017 (full)'!$CB:$CB)*$H75/100,0)</f>
        <v>0</v>
      </c>
      <c r="CL75" s="16">
        <f ca="1">IFERROR(_xlfn.XLOOKUP($F75,'FCDB 2017 (full)'!$C:$C,'FCDB 2017 (full)'!$CC:$CC)*$H75/100,0)</f>
        <v>0</v>
      </c>
      <c r="CM75" s="16">
        <f ca="1">IFERROR(_xlfn.XLOOKUP($F75,'FCDB 2017 (full)'!$C:$C,'FCDB 2017 (full)'!$CD:$CD)*$H75/100,0)</f>
        <v>0</v>
      </c>
      <c r="CN75" s="16">
        <f ca="1">IFERROR(_xlfn.XLOOKUP($F75,'FCDB 2017 (full)'!$C:$C,'FCDB 2017 (full)'!$CE:$CE)*$H75/100,0)</f>
        <v>0</v>
      </c>
      <c r="CO75" s="16">
        <f ca="1">IFERROR(_xlfn.XLOOKUP($F75,'FCDB 2017 (full)'!$C:$C,'FCDB 2017 (full)'!$CF:$CF)*$H75/100,0)</f>
        <v>0</v>
      </c>
      <c r="CP75" s="16">
        <f ca="1">IFERROR(_xlfn.XLOOKUP($F75,'FCDB 2017 (full)'!$C:$C,'FCDB 2017 (full)'!$CG:$CG)*$H75/100,0)</f>
        <v>0</v>
      </c>
      <c r="CQ75" s="16">
        <f ca="1">IFERROR(_xlfn.XLOOKUP($F75,'FCDB 2017 (full)'!$C:$C,'FCDB 2017 (full)'!$CH:$CH)*$H75/100,0)</f>
        <v>0</v>
      </c>
      <c r="CR75" s="29"/>
      <c r="DA75" s="72" t="s">
        <v>980</v>
      </c>
    </row>
    <row r="76" spans="4:105">
      <c r="D76" s="29"/>
      <c r="E76" s="29"/>
      <c r="F76" s="11">
        <f>IFERROR(VLOOKUP($D$53,$D:$AE,22,0),0)</f>
        <v>0</v>
      </c>
      <c r="G76" s="7" cm="1">
        <f t="array" ref="G76">IF(F76=0,0,IF(_xlfn.XLOOKUP(F76,$E$53:$AE$53,$E$54:$AE$54)=0,"Nhập ĐV/TV",_xlfn.XLOOKUP(F76,$E$53:$AE$53,$E$54:$AE$54)))</f>
        <v>0</v>
      </c>
      <c r="H76" s="8">
        <f t="shared" si="14"/>
        <v>0</v>
      </c>
      <c r="I76" s="9">
        <f ca="1">IFERROR(_xlfn.XLOOKUP($F76,'FCDB 2017 (full)'!$C:$C,'FCDB 2017 (full)'!$E:$E),0)</f>
        <v>0</v>
      </c>
      <c r="J76" s="10">
        <f t="shared" ca="1" si="15"/>
        <v>0</v>
      </c>
      <c r="K76" s="9">
        <f ca="1">IFERROR(_xlfn.XLOOKUP($F76,'FCDB 2017 (full)'!$C:$C,'FCDB 2017 (full)'!$G:$G),0)</f>
        <v>0</v>
      </c>
      <c r="L76" s="13">
        <f t="shared" si="16"/>
        <v>0</v>
      </c>
      <c r="M76" s="13">
        <f t="shared" si="10"/>
        <v>0</v>
      </c>
      <c r="N76" s="9">
        <f ca="1">IFERROR(_xlfn.XLOOKUP($F76,'FCDB 2017 (full)'!$C:$C,'FCDB 2017 (full)'!$H:$H),0)</f>
        <v>0</v>
      </c>
      <c r="O76" s="14">
        <f t="shared" si="11"/>
        <v>0</v>
      </c>
      <c r="P76" s="14">
        <f t="shared" si="12"/>
        <v>0</v>
      </c>
      <c r="Q76" s="9">
        <f ca="1">IFERROR(_xlfn.XLOOKUP($F76,'FCDB 2017 (full)'!$C:$C,'FCDB 2017 (full)'!$I:$I),0)</f>
        <v>0</v>
      </c>
      <c r="R76" s="15">
        <f t="shared" ca="1" si="13"/>
        <v>0</v>
      </c>
      <c r="S76" s="16">
        <f ca="1">IFERROR(_xlfn.XLOOKUP($F76,'FCDB 2017 (full)'!$C:$C,'FCDB 2017 (full)'!$J:$J)*$H76/100,0)</f>
        <v>0</v>
      </c>
      <c r="T76" s="16">
        <f ca="1">IFERROR(_xlfn.XLOOKUP($F76,'FCDB 2017 (full)'!$C:$C,'FCDB 2017 (full)'!$K:$K)*$H76/100,0)</f>
        <v>0</v>
      </c>
      <c r="U76" s="16">
        <f ca="1">IFERROR(_xlfn.XLOOKUP($F76,'FCDB 2017 (full)'!$C:$C,'FCDB 2017 (full)'!$L:$L)*$H76/100,0)</f>
        <v>0</v>
      </c>
      <c r="V76" s="16">
        <f ca="1">IFERROR(_xlfn.XLOOKUP($F76,'FCDB 2017 (full)'!$C:$C,'FCDB 2017 (full)'!$M:$M)*$H76/100,0)</f>
        <v>0</v>
      </c>
      <c r="W76" s="16">
        <f ca="1">IFERROR(_xlfn.XLOOKUP($F76,'FCDB 2017 (full)'!$C:$C,'FCDB 2017 (full)'!$N:$N)*$H76/100,0)</f>
        <v>0</v>
      </c>
      <c r="X76" s="16">
        <f ca="1">IFERROR(_xlfn.XLOOKUP($F76,'FCDB 2017 (full)'!$C:$C,'FCDB 2017 (full)'!$O:$O)*$H76/100,0)</f>
        <v>0</v>
      </c>
      <c r="Y76" s="16">
        <f ca="1">IFERROR(_xlfn.XLOOKUP($F76,'FCDB 2017 (full)'!$C:$C,'FCDB 2017 (full)'!$P:$P)*$H76/100,0)</f>
        <v>0</v>
      </c>
      <c r="Z76" s="16">
        <f ca="1">IFERROR(_xlfn.XLOOKUP($F76,'FCDB 2017 (full)'!$C:$C,'FCDB 2017 (full)'!$Q:$Q)*$H76/100,0)</f>
        <v>0</v>
      </c>
      <c r="AA76" s="16">
        <f ca="1">IFERROR(_xlfn.XLOOKUP($F76,'FCDB 2017 (full)'!$C:$C,'FCDB 2017 (full)'!$R:$R)*$H76/100,0)</f>
        <v>0</v>
      </c>
      <c r="AB76" s="16">
        <f ca="1">IFERROR(_xlfn.XLOOKUP($F76,'FCDB 2017 (full)'!$C:$C,'FCDB 2017 (full)'!$S:$S)*$H76/100,0)</f>
        <v>0</v>
      </c>
      <c r="AC76" s="16">
        <f ca="1">IFERROR(_xlfn.XLOOKUP($F76,'FCDB 2017 (full)'!$C:$C,'FCDB 2017 (full)'!$T:$T)*$H76/100,0)</f>
        <v>0</v>
      </c>
      <c r="AD76" s="16">
        <f ca="1">IFERROR(_xlfn.XLOOKUP($F76,'FCDB 2017 (full)'!$C:$C,'FCDB 2017 (full)'!$U:$U)*$H76/100,0)</f>
        <v>0</v>
      </c>
      <c r="AE76" s="16">
        <f ca="1">IFERROR(_xlfn.XLOOKUP($F76,'FCDB 2017 (full)'!$C:$C,'FCDB 2017 (full)'!$V:$V)*$H76/100,0)</f>
        <v>0</v>
      </c>
      <c r="AF76" s="16">
        <f ca="1">IFERROR(_xlfn.XLOOKUP($F76,'FCDB 2017 (full)'!$C:$C,'FCDB 2017 (full)'!$W:$W)*$H76/100,0)</f>
        <v>0</v>
      </c>
      <c r="AG76" s="16">
        <f ca="1">IFERROR(_xlfn.XLOOKUP($F76,'FCDB 2017 (full)'!$C:$C,'FCDB 2017 (full)'!$X:$X)*$H76/100,0)</f>
        <v>0</v>
      </c>
      <c r="AH76" s="16">
        <f ca="1">IFERROR(_xlfn.XLOOKUP($F76,'FCDB 2017 (full)'!$C:$C,'FCDB 2017 (full)'!$Y:$Y)*$H76/100,0)</f>
        <v>0</v>
      </c>
      <c r="AI76" s="16">
        <f ca="1">IFERROR(_xlfn.XLOOKUP($F76,'FCDB 2017 (full)'!$C:$C,'FCDB 2017 (full)'!$Z:$Z)*$H76/100,0)</f>
        <v>0</v>
      </c>
      <c r="AJ76" s="16">
        <f ca="1">IFERROR(_xlfn.XLOOKUP($F76,'FCDB 2017 (full)'!$C:$C,'FCDB 2017 (full)'!$AA:$AA)*$H76/100,0)</f>
        <v>0</v>
      </c>
      <c r="AK76" s="16">
        <f ca="1">IFERROR(_xlfn.XLOOKUP($F76,'FCDB 2017 (full)'!$C:$C,'FCDB 2017 (full)'!$AB:$AB)*$H76/100,0)</f>
        <v>0</v>
      </c>
      <c r="AL76" s="16">
        <f ca="1">IFERROR(_xlfn.XLOOKUP($F76,'FCDB 2017 (full)'!$C:$C,'FCDB 2017 (full)'!$AC:$AC)*$H76/100,0)</f>
        <v>0</v>
      </c>
      <c r="AM76" s="16">
        <f ca="1">IFERROR(_xlfn.XLOOKUP($F76,'FCDB 2017 (full)'!$C:$C,'FCDB 2017 (full)'!$AD:$AD)*$H76/100,0)</f>
        <v>0</v>
      </c>
      <c r="AN76" s="16">
        <f ca="1">IFERROR(_xlfn.XLOOKUP($F76,'FCDB 2017 (full)'!$C:$C,'FCDB 2017 (full)'!$AE:$AE)*$H76/100,0)</f>
        <v>0</v>
      </c>
      <c r="AO76" s="16">
        <f ca="1">IFERROR(_xlfn.XLOOKUP($F76,'FCDB 2017 (full)'!$C:$C,'FCDB 2017 (full)'!$AF:$AF)*$H76/100,0)</f>
        <v>0</v>
      </c>
      <c r="AP76" s="16">
        <f ca="1">IFERROR(_xlfn.XLOOKUP($F76,'FCDB 2017 (full)'!$C:$C,'FCDB 2017 (full)'!$AG:$AG)*$H76/100,0)</f>
        <v>0</v>
      </c>
      <c r="AQ76" s="16">
        <f ca="1">IFERROR(_xlfn.XLOOKUP($F76,'FCDB 2017 (full)'!$C:$C,'FCDB 2017 (full)'!$AH:$AH)*$H76/100,0)</f>
        <v>0</v>
      </c>
      <c r="AR76" s="16">
        <f ca="1">IFERROR(_xlfn.XLOOKUP($F76,'FCDB 2017 (full)'!$C:$C,'FCDB 2017 (full)'!$AI:$AI)*$H76/100,0)</f>
        <v>0</v>
      </c>
      <c r="AS76" s="16">
        <f ca="1">IFERROR(_xlfn.XLOOKUP($F76,'FCDB 2017 (full)'!$C:$C,'FCDB 2017 (full)'!$AJ:$AJ)*$H76/100,0)</f>
        <v>0</v>
      </c>
      <c r="AT76" s="16">
        <f ca="1">IFERROR(_xlfn.XLOOKUP($F76,'FCDB 2017 (full)'!$C:$C,'FCDB 2017 (full)'!$AK:$AK)*$H76/100,0)</f>
        <v>0</v>
      </c>
      <c r="AU76" s="16">
        <f ca="1">IFERROR(_xlfn.XLOOKUP($F76,'FCDB 2017 (full)'!$C:$C,'FCDB 2017 (full)'!$AK:$AK)*$H76/100,0)</f>
        <v>0</v>
      </c>
      <c r="AV76" s="16">
        <f ca="1">IFERROR(_xlfn.XLOOKUP($F76,'FCDB 2017 (full)'!$C:$C,'FCDB 2017 (full)'!$AM:$AM)*$H76/100,0)</f>
        <v>0</v>
      </c>
      <c r="AW76" s="16">
        <f ca="1">IFERROR(_xlfn.XLOOKUP($F76,'FCDB 2017 (full)'!$C:$C,'FCDB 2017 (full)'!$AN:$AN)*$H76/100,0)</f>
        <v>0</v>
      </c>
      <c r="AX76" s="16">
        <f ca="1">IFERROR(_xlfn.XLOOKUP($F76,'FCDB 2017 (full)'!$C:$C,'FCDB 2017 (full)'!$AO:$AO)*$H76/100,0)</f>
        <v>0</v>
      </c>
      <c r="AY76" s="16">
        <f ca="1">IFERROR(_xlfn.XLOOKUP($F76,'FCDB 2017 (full)'!$C:$C,'FCDB 2017 (full)'!$AP:$AP)*$H76/100,0)</f>
        <v>0</v>
      </c>
      <c r="AZ76" s="16">
        <f ca="1">IFERROR(_xlfn.XLOOKUP($F76,'FCDB 2017 (full)'!$C:$C,'FCDB 2017 (full)'!$AQ:$AQ)*$H76/100,0)</f>
        <v>0</v>
      </c>
      <c r="BA76" s="16">
        <f ca="1">IFERROR(_xlfn.XLOOKUP($F76,'FCDB 2017 (full)'!$C:$C,'FCDB 2017 (full)'!$AR:$AR)*$H76/100,0)</f>
        <v>0</v>
      </c>
      <c r="BB76" s="16">
        <f ca="1">IFERROR(_xlfn.XLOOKUP($F76,'FCDB 2017 (full)'!$C:$C,'FCDB 2017 (full)'!$AS:$AS)*$H76/100,0)</f>
        <v>0</v>
      </c>
      <c r="BC76" s="16">
        <f ca="1">IFERROR(_xlfn.XLOOKUP($F76,'FCDB 2017 (full)'!$C:$C,'FCDB 2017 (full)'!$AT:$AT)*$H76/100,0)</f>
        <v>0</v>
      </c>
      <c r="BD76" s="16">
        <f ca="1">IFERROR(_xlfn.XLOOKUP($F76,'FCDB 2017 (full)'!$C:$C,'FCDB 2017 (full)'!$AU:$AU)*$H76/100,0)</f>
        <v>0</v>
      </c>
      <c r="BE76" s="16">
        <f ca="1">IFERROR(_xlfn.XLOOKUP($F76,'FCDB 2017 (full)'!$C:$C,'FCDB 2017 (full)'!$AV:$AV)*$H76/100,0)</f>
        <v>0</v>
      </c>
      <c r="BF76" s="16">
        <f ca="1">IFERROR(_xlfn.XLOOKUP($F76,'FCDB 2017 (full)'!$C:$C,'FCDB 2017 (full)'!$AW:$AW)*$H76/100,0)</f>
        <v>0</v>
      </c>
      <c r="BG76" s="16">
        <f ca="1">IFERROR(_xlfn.XLOOKUP($F76,'FCDB 2017 (full)'!$C:$C,'FCDB 2017 (full)'!$AX:$AX)*$H76/100,0)</f>
        <v>0</v>
      </c>
      <c r="BH76" s="16">
        <f ca="1">IFERROR(_xlfn.XLOOKUP($F76,'FCDB 2017 (full)'!$C:$C,'FCDB 2017 (full)'!$AY:$AY)*$H76/100,0)</f>
        <v>0</v>
      </c>
      <c r="BI76" s="16">
        <f ca="1">IFERROR(_xlfn.XLOOKUP($F76,'FCDB 2017 (full)'!$C:$C,'FCDB 2017 (full)'!$AZ:$AZ)*$H76/100,0)</f>
        <v>0</v>
      </c>
      <c r="BJ76" s="16">
        <f ca="1">IFERROR(_xlfn.XLOOKUP($F76,'FCDB 2017 (full)'!$C:$C,'FCDB 2017 (full)'!$BA:$BA)*$H76/100,0)</f>
        <v>0</v>
      </c>
      <c r="BK76" s="16">
        <f ca="1">IFERROR(_xlfn.XLOOKUP($F76,'FCDB 2017 (full)'!$C:$C,'FCDB 2017 (full)'!$BB:$BB)*$H76/100,0)</f>
        <v>0</v>
      </c>
      <c r="BL76" s="16">
        <f ca="1">IFERROR(_xlfn.XLOOKUP($F76,'FCDB 2017 (full)'!$C:$C,'FCDB 2017 (full)'!$BC:$BC)*$H76/100,0)</f>
        <v>0</v>
      </c>
      <c r="BM76" s="16">
        <f ca="1">IFERROR(_xlfn.XLOOKUP($F76,'FCDB 2017 (full)'!$C:$C,'FCDB 2017 (full)'!$BD:$BD)*$H76/100,0)</f>
        <v>0</v>
      </c>
      <c r="BN76" s="16">
        <f ca="1">IFERROR(_xlfn.XLOOKUP($F76,'FCDB 2017 (full)'!$C:$C,'FCDB 2017 (full)'!$BE:$BE)*$H76/100,0)</f>
        <v>0</v>
      </c>
      <c r="BO76" s="16">
        <f ca="1">IFERROR(_xlfn.XLOOKUP($F76,'FCDB 2017 (full)'!$C:$C,'FCDB 2017 (full)'!$BF:$BF)*$H76/100,0)</f>
        <v>0</v>
      </c>
      <c r="BP76" s="16">
        <f ca="1">IFERROR(_xlfn.XLOOKUP($F76,'FCDB 2017 (full)'!$C:$C,'FCDB 2017 (full)'!$BG:$BG)*$H76/100,0)</f>
        <v>0</v>
      </c>
      <c r="BQ76" s="16">
        <f ca="1">IFERROR(_xlfn.XLOOKUP($F76,'FCDB 2017 (full)'!$C:$C,'FCDB 2017 (full)'!$BH:$BH)*$H76/100,0)</f>
        <v>0</v>
      </c>
      <c r="BR76" s="16">
        <f ca="1">IFERROR(_xlfn.XLOOKUP($F76,'FCDB 2017 (full)'!$C:$C,'FCDB 2017 (full)'!$BI:$BI)*$H76/100,0)</f>
        <v>0</v>
      </c>
      <c r="BS76" s="16">
        <f ca="1">IFERROR(_xlfn.XLOOKUP($F76,'FCDB 2017 (full)'!$C:$C,'FCDB 2017 (full)'!$BJ:$BJ)*$H76/100,0)</f>
        <v>0</v>
      </c>
      <c r="BT76" s="16">
        <f ca="1">IFERROR(_xlfn.XLOOKUP($F76,'FCDB 2017 (full)'!$C:$C,'FCDB 2017 (full)'!$BK:$BK)*$H76/100,0)</f>
        <v>0</v>
      </c>
      <c r="BU76" s="16">
        <f ca="1">IFERROR(_xlfn.XLOOKUP($F76,'FCDB 2017 (full)'!$C:$C,'FCDB 2017 (full)'!$BL:$BL)*$H76/100,0)</f>
        <v>0</v>
      </c>
      <c r="BV76" s="16">
        <f ca="1">IFERROR(_xlfn.XLOOKUP($F76,'FCDB 2017 (full)'!$C:$C,'FCDB 2017 (full)'!$BM:$BM)*$H76/100,0)</f>
        <v>0</v>
      </c>
      <c r="BW76" s="16">
        <f ca="1">IFERROR(_xlfn.XLOOKUP($F76,'FCDB 2017 (full)'!$C:$C,'FCDB 2017 (full)'!$BN:$BN)*$H76/100,0)</f>
        <v>0</v>
      </c>
      <c r="BX76" s="16">
        <f ca="1">IFERROR(_xlfn.XLOOKUP($F76,'FCDB 2017 (full)'!$C:$C,'FCDB 2017 (full)'!$BO:$BO)*$H76/100,0)</f>
        <v>0</v>
      </c>
      <c r="BY76" s="16">
        <f ca="1">IFERROR(_xlfn.XLOOKUP($F76,'FCDB 2017 (full)'!$C:$C,'FCDB 2017 (full)'!$BP:$BP)*$H76/100,0)</f>
        <v>0</v>
      </c>
      <c r="BZ76" s="16">
        <f ca="1">IFERROR(_xlfn.XLOOKUP($F76,'FCDB 2017 (full)'!$C:$C,'FCDB 2017 (full)'!$BQ:$BQ)*$H76/100,0)</f>
        <v>0</v>
      </c>
      <c r="CA76" s="16">
        <f ca="1">IFERROR(_xlfn.XLOOKUP($F76,'FCDB 2017 (full)'!$C:$C,'FCDB 2017 (full)'!$BR:$BR)*$H76/100,0)</f>
        <v>0</v>
      </c>
      <c r="CB76" s="16">
        <f ca="1">IFERROR(_xlfn.XLOOKUP($F76,'FCDB 2017 (full)'!$C:$C,'FCDB 2017 (full)'!$BS:$BS)*$H76/100,0)</f>
        <v>0</v>
      </c>
      <c r="CC76" s="16">
        <f ca="1">IFERROR(_xlfn.XLOOKUP($F76,'FCDB 2017 (full)'!$C:$C,'FCDB 2017 (full)'!$BT:$BT)*$H76/100,0)</f>
        <v>0</v>
      </c>
      <c r="CD76" s="16">
        <f ca="1">IFERROR(_xlfn.XLOOKUP($F76,'FCDB 2017 (full)'!$C:$C,'FCDB 2017 (full)'!$BU:$BU)*$H76/100,0)</f>
        <v>0</v>
      </c>
      <c r="CE76" s="16">
        <f ca="1">IFERROR(_xlfn.XLOOKUP($F76,'FCDB 2017 (full)'!$C:$C,'FCDB 2017 (full)'!$BV:$BV)*$H76/100,0)</f>
        <v>0</v>
      </c>
      <c r="CF76" s="16">
        <f ca="1">IFERROR(_xlfn.XLOOKUP($F76,'FCDB 2017 (full)'!$C:$C,'FCDB 2017 (full)'!$BW:$BW)*$H76/100,0)</f>
        <v>0</v>
      </c>
      <c r="CG76" s="16">
        <f ca="1">IFERROR(_xlfn.XLOOKUP($F76,'FCDB 2017 (full)'!$C:$C,'FCDB 2017 (full)'!$BX:$BX)*$H76/100,0)</f>
        <v>0</v>
      </c>
      <c r="CH76" s="16">
        <f ca="1">IFERROR(_xlfn.XLOOKUP($F76,'FCDB 2017 (full)'!$C:$C,'FCDB 2017 (full)'!$BY:$BY)*$H76/100,0)</f>
        <v>0</v>
      </c>
      <c r="CI76" s="16">
        <f ca="1">IFERROR(_xlfn.XLOOKUP($F76,'FCDB 2017 (full)'!$C:$C,'FCDB 2017 (full)'!$BZ:$BZ)*$H76/100,0)</f>
        <v>0</v>
      </c>
      <c r="CJ76" s="16">
        <f ca="1">IFERROR(_xlfn.XLOOKUP($F76,'FCDB 2017 (full)'!$C:$C,'FCDB 2017 (full)'!$CA:$CA)*$H76/100,0)</f>
        <v>0</v>
      </c>
      <c r="CK76" s="16">
        <f ca="1">IFERROR(_xlfn.XLOOKUP($F76,'FCDB 2017 (full)'!$C:$C,'FCDB 2017 (full)'!$CB:$CB)*$H76/100,0)</f>
        <v>0</v>
      </c>
      <c r="CL76" s="16">
        <f ca="1">IFERROR(_xlfn.XLOOKUP($F76,'FCDB 2017 (full)'!$C:$C,'FCDB 2017 (full)'!$CC:$CC)*$H76/100,0)</f>
        <v>0</v>
      </c>
      <c r="CM76" s="16">
        <f ca="1">IFERROR(_xlfn.XLOOKUP($F76,'FCDB 2017 (full)'!$C:$C,'FCDB 2017 (full)'!$CD:$CD)*$H76/100,0)</f>
        <v>0</v>
      </c>
      <c r="CN76" s="16">
        <f ca="1">IFERROR(_xlfn.XLOOKUP($F76,'FCDB 2017 (full)'!$C:$C,'FCDB 2017 (full)'!$CE:$CE)*$H76/100,0)</f>
        <v>0</v>
      </c>
      <c r="CO76" s="16">
        <f ca="1">IFERROR(_xlfn.XLOOKUP($F76,'FCDB 2017 (full)'!$C:$C,'FCDB 2017 (full)'!$CF:$CF)*$H76/100,0)</f>
        <v>0</v>
      </c>
      <c r="CP76" s="16">
        <f ca="1">IFERROR(_xlfn.XLOOKUP($F76,'FCDB 2017 (full)'!$C:$C,'FCDB 2017 (full)'!$CG:$CG)*$H76/100,0)</f>
        <v>0</v>
      </c>
      <c r="CQ76" s="16">
        <f ca="1">IFERROR(_xlfn.XLOOKUP($F76,'FCDB 2017 (full)'!$C:$C,'FCDB 2017 (full)'!$CH:$CH)*$H76/100,0)</f>
        <v>0</v>
      </c>
      <c r="CR76" s="29"/>
      <c r="DA76" s="72" t="s">
        <v>980</v>
      </c>
    </row>
    <row r="77" spans="4:105">
      <c r="D77" s="29"/>
      <c r="E77" s="29"/>
      <c r="F77" s="11">
        <f>IFERROR(VLOOKUP($D$53,$D:$AE,23,0),0)</f>
        <v>0</v>
      </c>
      <c r="G77" s="7" cm="1">
        <f t="array" ref="G77">IF(F77=0,0,IF(_xlfn.XLOOKUP(F77,$E$53:$AE$53,$E$54:$AE$54)=0,"Nhập ĐV/TV",_xlfn.XLOOKUP(F77,$E$53:$AE$53,$E$54:$AE$54)))</f>
        <v>0</v>
      </c>
      <c r="H77" s="8">
        <f t="shared" si="14"/>
        <v>0</v>
      </c>
      <c r="I77" s="9">
        <f ca="1">IFERROR(_xlfn.XLOOKUP($F77,'FCDB 2017 (full)'!$C:$C,'FCDB 2017 (full)'!$E:$E),0)</f>
        <v>0</v>
      </c>
      <c r="J77" s="10">
        <f t="shared" ca="1" si="15"/>
        <v>0</v>
      </c>
      <c r="K77" s="9">
        <f ca="1">IFERROR(_xlfn.XLOOKUP($F77,'FCDB 2017 (full)'!$C:$C,'FCDB 2017 (full)'!$G:$G),0)</f>
        <v>0</v>
      </c>
      <c r="L77" s="13">
        <f t="shared" si="16"/>
        <v>0</v>
      </c>
      <c r="M77" s="13">
        <f t="shared" si="10"/>
        <v>0</v>
      </c>
      <c r="N77" s="9">
        <f ca="1">IFERROR(_xlfn.XLOOKUP($F77,'FCDB 2017 (full)'!$C:$C,'FCDB 2017 (full)'!$H:$H),0)</f>
        <v>0</v>
      </c>
      <c r="O77" s="14">
        <f t="shared" si="11"/>
        <v>0</v>
      </c>
      <c r="P77" s="14">
        <f t="shared" si="12"/>
        <v>0</v>
      </c>
      <c r="Q77" s="9">
        <f ca="1">IFERROR(_xlfn.XLOOKUP($F77,'FCDB 2017 (full)'!$C:$C,'FCDB 2017 (full)'!$I:$I),0)</f>
        <v>0</v>
      </c>
      <c r="R77" s="15">
        <f t="shared" ca="1" si="13"/>
        <v>0</v>
      </c>
      <c r="S77" s="16">
        <f ca="1">IFERROR(_xlfn.XLOOKUP($F77,'FCDB 2017 (full)'!$C:$C,'FCDB 2017 (full)'!$J:$J)*$H77/100,0)</f>
        <v>0</v>
      </c>
      <c r="T77" s="16">
        <f ca="1">IFERROR(_xlfn.XLOOKUP($F77,'FCDB 2017 (full)'!$C:$C,'FCDB 2017 (full)'!$K:$K)*$H77/100,0)</f>
        <v>0</v>
      </c>
      <c r="U77" s="16">
        <f ca="1">IFERROR(_xlfn.XLOOKUP($F77,'FCDB 2017 (full)'!$C:$C,'FCDB 2017 (full)'!$L:$L)*$H77/100,0)</f>
        <v>0</v>
      </c>
      <c r="V77" s="16">
        <f ca="1">IFERROR(_xlfn.XLOOKUP($F77,'FCDB 2017 (full)'!$C:$C,'FCDB 2017 (full)'!$M:$M)*$H77/100,0)</f>
        <v>0</v>
      </c>
      <c r="W77" s="16">
        <f ca="1">IFERROR(_xlfn.XLOOKUP($F77,'FCDB 2017 (full)'!$C:$C,'FCDB 2017 (full)'!$N:$N)*$H77/100,0)</f>
        <v>0</v>
      </c>
      <c r="X77" s="16">
        <f ca="1">IFERROR(_xlfn.XLOOKUP($F77,'FCDB 2017 (full)'!$C:$C,'FCDB 2017 (full)'!$O:$O)*$H77/100,0)</f>
        <v>0</v>
      </c>
      <c r="Y77" s="16">
        <f ca="1">IFERROR(_xlfn.XLOOKUP($F77,'FCDB 2017 (full)'!$C:$C,'FCDB 2017 (full)'!$P:$P)*$H77/100,0)</f>
        <v>0</v>
      </c>
      <c r="Z77" s="16">
        <f ca="1">IFERROR(_xlfn.XLOOKUP($F77,'FCDB 2017 (full)'!$C:$C,'FCDB 2017 (full)'!$Q:$Q)*$H77/100,0)</f>
        <v>0</v>
      </c>
      <c r="AA77" s="16">
        <f ca="1">IFERROR(_xlfn.XLOOKUP($F77,'FCDB 2017 (full)'!$C:$C,'FCDB 2017 (full)'!$R:$R)*$H77/100,0)</f>
        <v>0</v>
      </c>
      <c r="AB77" s="16">
        <f ca="1">IFERROR(_xlfn.XLOOKUP($F77,'FCDB 2017 (full)'!$C:$C,'FCDB 2017 (full)'!$S:$S)*$H77/100,0)</f>
        <v>0</v>
      </c>
      <c r="AC77" s="16">
        <f ca="1">IFERROR(_xlfn.XLOOKUP($F77,'FCDB 2017 (full)'!$C:$C,'FCDB 2017 (full)'!$T:$T)*$H77/100,0)</f>
        <v>0</v>
      </c>
      <c r="AD77" s="16">
        <f ca="1">IFERROR(_xlfn.XLOOKUP($F77,'FCDB 2017 (full)'!$C:$C,'FCDB 2017 (full)'!$U:$U)*$H77/100,0)</f>
        <v>0</v>
      </c>
      <c r="AE77" s="16">
        <f ca="1">IFERROR(_xlfn.XLOOKUP($F77,'FCDB 2017 (full)'!$C:$C,'FCDB 2017 (full)'!$V:$V)*$H77/100,0)</f>
        <v>0</v>
      </c>
      <c r="AF77" s="16">
        <f ca="1">IFERROR(_xlfn.XLOOKUP($F77,'FCDB 2017 (full)'!$C:$C,'FCDB 2017 (full)'!$W:$W)*$H77/100,0)</f>
        <v>0</v>
      </c>
      <c r="AG77" s="16">
        <f ca="1">IFERROR(_xlfn.XLOOKUP($F77,'FCDB 2017 (full)'!$C:$C,'FCDB 2017 (full)'!$X:$X)*$H77/100,0)</f>
        <v>0</v>
      </c>
      <c r="AH77" s="16">
        <f ca="1">IFERROR(_xlfn.XLOOKUP($F77,'FCDB 2017 (full)'!$C:$C,'FCDB 2017 (full)'!$Y:$Y)*$H77/100,0)</f>
        <v>0</v>
      </c>
      <c r="AI77" s="16">
        <f ca="1">IFERROR(_xlfn.XLOOKUP($F77,'FCDB 2017 (full)'!$C:$C,'FCDB 2017 (full)'!$Z:$Z)*$H77/100,0)</f>
        <v>0</v>
      </c>
      <c r="AJ77" s="16">
        <f ca="1">IFERROR(_xlfn.XLOOKUP($F77,'FCDB 2017 (full)'!$C:$C,'FCDB 2017 (full)'!$AA:$AA)*$H77/100,0)</f>
        <v>0</v>
      </c>
      <c r="AK77" s="16">
        <f ca="1">IFERROR(_xlfn.XLOOKUP($F77,'FCDB 2017 (full)'!$C:$C,'FCDB 2017 (full)'!$AB:$AB)*$H77/100,0)</f>
        <v>0</v>
      </c>
      <c r="AL77" s="16">
        <f ca="1">IFERROR(_xlfn.XLOOKUP($F77,'FCDB 2017 (full)'!$C:$C,'FCDB 2017 (full)'!$AC:$AC)*$H77/100,0)</f>
        <v>0</v>
      </c>
      <c r="AM77" s="16">
        <f ca="1">IFERROR(_xlfn.XLOOKUP($F77,'FCDB 2017 (full)'!$C:$C,'FCDB 2017 (full)'!$AD:$AD)*$H77/100,0)</f>
        <v>0</v>
      </c>
      <c r="AN77" s="16">
        <f ca="1">IFERROR(_xlfn.XLOOKUP($F77,'FCDB 2017 (full)'!$C:$C,'FCDB 2017 (full)'!$AE:$AE)*$H77/100,0)</f>
        <v>0</v>
      </c>
      <c r="AO77" s="16">
        <f ca="1">IFERROR(_xlfn.XLOOKUP($F77,'FCDB 2017 (full)'!$C:$C,'FCDB 2017 (full)'!$AF:$AF)*$H77/100,0)</f>
        <v>0</v>
      </c>
      <c r="AP77" s="16">
        <f ca="1">IFERROR(_xlfn.XLOOKUP($F77,'FCDB 2017 (full)'!$C:$C,'FCDB 2017 (full)'!$AG:$AG)*$H77/100,0)</f>
        <v>0</v>
      </c>
      <c r="AQ77" s="16">
        <f ca="1">IFERROR(_xlfn.XLOOKUP($F77,'FCDB 2017 (full)'!$C:$C,'FCDB 2017 (full)'!$AH:$AH)*$H77/100,0)</f>
        <v>0</v>
      </c>
      <c r="AR77" s="16">
        <f ca="1">IFERROR(_xlfn.XLOOKUP($F77,'FCDB 2017 (full)'!$C:$C,'FCDB 2017 (full)'!$AI:$AI)*$H77/100,0)</f>
        <v>0</v>
      </c>
      <c r="AS77" s="16">
        <f ca="1">IFERROR(_xlfn.XLOOKUP($F77,'FCDB 2017 (full)'!$C:$C,'FCDB 2017 (full)'!$AJ:$AJ)*$H77/100,0)</f>
        <v>0</v>
      </c>
      <c r="AT77" s="16">
        <f ca="1">IFERROR(_xlfn.XLOOKUP($F77,'FCDB 2017 (full)'!$C:$C,'FCDB 2017 (full)'!$AK:$AK)*$H77/100,0)</f>
        <v>0</v>
      </c>
      <c r="AU77" s="16">
        <f ca="1">IFERROR(_xlfn.XLOOKUP($F77,'FCDB 2017 (full)'!$C:$C,'FCDB 2017 (full)'!$AK:$AK)*$H77/100,0)</f>
        <v>0</v>
      </c>
      <c r="AV77" s="16">
        <f ca="1">IFERROR(_xlfn.XLOOKUP($F77,'FCDB 2017 (full)'!$C:$C,'FCDB 2017 (full)'!$AM:$AM)*$H77/100,0)</f>
        <v>0</v>
      </c>
      <c r="AW77" s="16">
        <f ca="1">IFERROR(_xlfn.XLOOKUP($F77,'FCDB 2017 (full)'!$C:$C,'FCDB 2017 (full)'!$AN:$AN)*$H77/100,0)</f>
        <v>0</v>
      </c>
      <c r="AX77" s="16">
        <f ca="1">IFERROR(_xlfn.XLOOKUP($F77,'FCDB 2017 (full)'!$C:$C,'FCDB 2017 (full)'!$AO:$AO)*$H77/100,0)</f>
        <v>0</v>
      </c>
      <c r="AY77" s="16">
        <f ca="1">IFERROR(_xlfn.XLOOKUP($F77,'FCDB 2017 (full)'!$C:$C,'FCDB 2017 (full)'!$AP:$AP)*$H77/100,0)</f>
        <v>0</v>
      </c>
      <c r="AZ77" s="16">
        <f ca="1">IFERROR(_xlfn.XLOOKUP($F77,'FCDB 2017 (full)'!$C:$C,'FCDB 2017 (full)'!$AQ:$AQ)*$H77/100,0)</f>
        <v>0</v>
      </c>
      <c r="BA77" s="16">
        <f ca="1">IFERROR(_xlfn.XLOOKUP($F77,'FCDB 2017 (full)'!$C:$C,'FCDB 2017 (full)'!$AR:$AR)*$H77/100,0)</f>
        <v>0</v>
      </c>
      <c r="BB77" s="16">
        <f ca="1">IFERROR(_xlfn.XLOOKUP($F77,'FCDB 2017 (full)'!$C:$C,'FCDB 2017 (full)'!$AS:$AS)*$H77/100,0)</f>
        <v>0</v>
      </c>
      <c r="BC77" s="16">
        <f ca="1">IFERROR(_xlfn.XLOOKUP($F77,'FCDB 2017 (full)'!$C:$C,'FCDB 2017 (full)'!$AT:$AT)*$H77/100,0)</f>
        <v>0</v>
      </c>
      <c r="BD77" s="16">
        <f ca="1">IFERROR(_xlfn.XLOOKUP($F77,'FCDB 2017 (full)'!$C:$C,'FCDB 2017 (full)'!$AU:$AU)*$H77/100,0)</f>
        <v>0</v>
      </c>
      <c r="BE77" s="16">
        <f ca="1">IFERROR(_xlfn.XLOOKUP($F77,'FCDB 2017 (full)'!$C:$C,'FCDB 2017 (full)'!$AV:$AV)*$H77/100,0)</f>
        <v>0</v>
      </c>
      <c r="BF77" s="16">
        <f ca="1">IFERROR(_xlfn.XLOOKUP($F77,'FCDB 2017 (full)'!$C:$C,'FCDB 2017 (full)'!$AW:$AW)*$H77/100,0)</f>
        <v>0</v>
      </c>
      <c r="BG77" s="16">
        <f ca="1">IFERROR(_xlfn.XLOOKUP($F77,'FCDB 2017 (full)'!$C:$C,'FCDB 2017 (full)'!$AX:$AX)*$H77/100,0)</f>
        <v>0</v>
      </c>
      <c r="BH77" s="16">
        <f ca="1">IFERROR(_xlfn.XLOOKUP($F77,'FCDB 2017 (full)'!$C:$C,'FCDB 2017 (full)'!$AY:$AY)*$H77/100,0)</f>
        <v>0</v>
      </c>
      <c r="BI77" s="16">
        <f ca="1">IFERROR(_xlfn.XLOOKUP($F77,'FCDB 2017 (full)'!$C:$C,'FCDB 2017 (full)'!$AZ:$AZ)*$H77/100,0)</f>
        <v>0</v>
      </c>
      <c r="BJ77" s="16">
        <f ca="1">IFERROR(_xlfn.XLOOKUP($F77,'FCDB 2017 (full)'!$C:$C,'FCDB 2017 (full)'!$BA:$BA)*$H77/100,0)</f>
        <v>0</v>
      </c>
      <c r="BK77" s="16">
        <f ca="1">IFERROR(_xlfn.XLOOKUP($F77,'FCDB 2017 (full)'!$C:$C,'FCDB 2017 (full)'!$BB:$BB)*$H77/100,0)</f>
        <v>0</v>
      </c>
      <c r="BL77" s="16">
        <f ca="1">IFERROR(_xlfn.XLOOKUP($F77,'FCDB 2017 (full)'!$C:$C,'FCDB 2017 (full)'!$BC:$BC)*$H77/100,0)</f>
        <v>0</v>
      </c>
      <c r="BM77" s="16">
        <f ca="1">IFERROR(_xlfn.XLOOKUP($F77,'FCDB 2017 (full)'!$C:$C,'FCDB 2017 (full)'!$BD:$BD)*$H77/100,0)</f>
        <v>0</v>
      </c>
      <c r="BN77" s="16">
        <f ca="1">IFERROR(_xlfn.XLOOKUP($F77,'FCDB 2017 (full)'!$C:$C,'FCDB 2017 (full)'!$BE:$BE)*$H77/100,0)</f>
        <v>0</v>
      </c>
      <c r="BO77" s="16">
        <f ca="1">IFERROR(_xlfn.XLOOKUP($F77,'FCDB 2017 (full)'!$C:$C,'FCDB 2017 (full)'!$BF:$BF)*$H77/100,0)</f>
        <v>0</v>
      </c>
      <c r="BP77" s="16">
        <f ca="1">IFERROR(_xlfn.XLOOKUP($F77,'FCDB 2017 (full)'!$C:$C,'FCDB 2017 (full)'!$BG:$BG)*$H77/100,0)</f>
        <v>0</v>
      </c>
      <c r="BQ77" s="16">
        <f ca="1">IFERROR(_xlfn.XLOOKUP($F77,'FCDB 2017 (full)'!$C:$C,'FCDB 2017 (full)'!$BH:$BH)*$H77/100,0)</f>
        <v>0</v>
      </c>
      <c r="BR77" s="16">
        <f ca="1">IFERROR(_xlfn.XLOOKUP($F77,'FCDB 2017 (full)'!$C:$C,'FCDB 2017 (full)'!$BI:$BI)*$H77/100,0)</f>
        <v>0</v>
      </c>
      <c r="BS77" s="16">
        <f ca="1">IFERROR(_xlfn.XLOOKUP($F77,'FCDB 2017 (full)'!$C:$C,'FCDB 2017 (full)'!$BJ:$BJ)*$H77/100,0)</f>
        <v>0</v>
      </c>
      <c r="BT77" s="16">
        <f ca="1">IFERROR(_xlfn.XLOOKUP($F77,'FCDB 2017 (full)'!$C:$C,'FCDB 2017 (full)'!$BK:$BK)*$H77/100,0)</f>
        <v>0</v>
      </c>
      <c r="BU77" s="16">
        <f ca="1">IFERROR(_xlfn.XLOOKUP($F77,'FCDB 2017 (full)'!$C:$C,'FCDB 2017 (full)'!$BL:$BL)*$H77/100,0)</f>
        <v>0</v>
      </c>
      <c r="BV77" s="16">
        <f ca="1">IFERROR(_xlfn.XLOOKUP($F77,'FCDB 2017 (full)'!$C:$C,'FCDB 2017 (full)'!$BM:$BM)*$H77/100,0)</f>
        <v>0</v>
      </c>
      <c r="BW77" s="16">
        <f ca="1">IFERROR(_xlfn.XLOOKUP($F77,'FCDB 2017 (full)'!$C:$C,'FCDB 2017 (full)'!$BN:$BN)*$H77/100,0)</f>
        <v>0</v>
      </c>
      <c r="BX77" s="16">
        <f ca="1">IFERROR(_xlfn.XLOOKUP($F77,'FCDB 2017 (full)'!$C:$C,'FCDB 2017 (full)'!$BO:$BO)*$H77/100,0)</f>
        <v>0</v>
      </c>
      <c r="BY77" s="16">
        <f ca="1">IFERROR(_xlfn.XLOOKUP($F77,'FCDB 2017 (full)'!$C:$C,'FCDB 2017 (full)'!$BP:$BP)*$H77/100,0)</f>
        <v>0</v>
      </c>
      <c r="BZ77" s="16">
        <f ca="1">IFERROR(_xlfn.XLOOKUP($F77,'FCDB 2017 (full)'!$C:$C,'FCDB 2017 (full)'!$BQ:$BQ)*$H77/100,0)</f>
        <v>0</v>
      </c>
      <c r="CA77" s="16">
        <f ca="1">IFERROR(_xlfn.XLOOKUP($F77,'FCDB 2017 (full)'!$C:$C,'FCDB 2017 (full)'!$BR:$BR)*$H77/100,0)</f>
        <v>0</v>
      </c>
      <c r="CB77" s="16">
        <f ca="1">IFERROR(_xlfn.XLOOKUP($F77,'FCDB 2017 (full)'!$C:$C,'FCDB 2017 (full)'!$BS:$BS)*$H77/100,0)</f>
        <v>0</v>
      </c>
      <c r="CC77" s="16">
        <f ca="1">IFERROR(_xlfn.XLOOKUP($F77,'FCDB 2017 (full)'!$C:$C,'FCDB 2017 (full)'!$BT:$BT)*$H77/100,0)</f>
        <v>0</v>
      </c>
      <c r="CD77" s="16">
        <f ca="1">IFERROR(_xlfn.XLOOKUP($F77,'FCDB 2017 (full)'!$C:$C,'FCDB 2017 (full)'!$BU:$BU)*$H77/100,0)</f>
        <v>0</v>
      </c>
      <c r="CE77" s="16">
        <f ca="1">IFERROR(_xlfn.XLOOKUP($F77,'FCDB 2017 (full)'!$C:$C,'FCDB 2017 (full)'!$BV:$BV)*$H77/100,0)</f>
        <v>0</v>
      </c>
      <c r="CF77" s="16">
        <f ca="1">IFERROR(_xlfn.XLOOKUP($F77,'FCDB 2017 (full)'!$C:$C,'FCDB 2017 (full)'!$BW:$BW)*$H77/100,0)</f>
        <v>0</v>
      </c>
      <c r="CG77" s="16">
        <f ca="1">IFERROR(_xlfn.XLOOKUP($F77,'FCDB 2017 (full)'!$C:$C,'FCDB 2017 (full)'!$BX:$BX)*$H77/100,0)</f>
        <v>0</v>
      </c>
      <c r="CH77" s="16">
        <f ca="1">IFERROR(_xlfn.XLOOKUP($F77,'FCDB 2017 (full)'!$C:$C,'FCDB 2017 (full)'!$BY:$BY)*$H77/100,0)</f>
        <v>0</v>
      </c>
      <c r="CI77" s="16">
        <f ca="1">IFERROR(_xlfn.XLOOKUP($F77,'FCDB 2017 (full)'!$C:$C,'FCDB 2017 (full)'!$BZ:$BZ)*$H77/100,0)</f>
        <v>0</v>
      </c>
      <c r="CJ77" s="16">
        <f ca="1">IFERROR(_xlfn.XLOOKUP($F77,'FCDB 2017 (full)'!$C:$C,'FCDB 2017 (full)'!$CA:$CA)*$H77/100,0)</f>
        <v>0</v>
      </c>
      <c r="CK77" s="16">
        <f ca="1">IFERROR(_xlfn.XLOOKUP($F77,'FCDB 2017 (full)'!$C:$C,'FCDB 2017 (full)'!$CB:$CB)*$H77/100,0)</f>
        <v>0</v>
      </c>
      <c r="CL77" s="16">
        <f ca="1">IFERROR(_xlfn.XLOOKUP($F77,'FCDB 2017 (full)'!$C:$C,'FCDB 2017 (full)'!$CC:$CC)*$H77/100,0)</f>
        <v>0</v>
      </c>
      <c r="CM77" s="16">
        <f ca="1">IFERROR(_xlfn.XLOOKUP($F77,'FCDB 2017 (full)'!$C:$C,'FCDB 2017 (full)'!$CD:$CD)*$H77/100,0)</f>
        <v>0</v>
      </c>
      <c r="CN77" s="16">
        <f ca="1">IFERROR(_xlfn.XLOOKUP($F77,'FCDB 2017 (full)'!$C:$C,'FCDB 2017 (full)'!$CE:$CE)*$H77/100,0)</f>
        <v>0</v>
      </c>
      <c r="CO77" s="16">
        <f ca="1">IFERROR(_xlfn.XLOOKUP($F77,'FCDB 2017 (full)'!$C:$C,'FCDB 2017 (full)'!$CF:$CF)*$H77/100,0)</f>
        <v>0</v>
      </c>
      <c r="CP77" s="16">
        <f ca="1">IFERROR(_xlfn.XLOOKUP($F77,'FCDB 2017 (full)'!$C:$C,'FCDB 2017 (full)'!$CG:$CG)*$H77/100,0)</f>
        <v>0</v>
      </c>
      <c r="CQ77" s="16">
        <f ca="1">IFERROR(_xlfn.XLOOKUP($F77,'FCDB 2017 (full)'!$C:$C,'FCDB 2017 (full)'!$CH:$CH)*$H77/100,0)</f>
        <v>0</v>
      </c>
      <c r="CR77" s="29"/>
      <c r="DA77" s="72" t="s">
        <v>980</v>
      </c>
    </row>
    <row r="78" spans="4:105">
      <c r="D78" s="29"/>
      <c r="E78" s="29"/>
      <c r="F78" s="11">
        <f>IFERROR(VLOOKUP($D$53,$D:$AE,24,0),0)</f>
        <v>0</v>
      </c>
      <c r="G78" s="7" cm="1">
        <f t="array" ref="G78">IF(F78=0,0,IF(_xlfn.XLOOKUP(F78,$E$53:$AE$53,$E$54:$AE$54)=0,"Nhập ĐV/TV",_xlfn.XLOOKUP(F78,$E$53:$AE$53,$E$54:$AE$54)))</f>
        <v>0</v>
      </c>
      <c r="H78" s="8">
        <f t="shared" si="14"/>
        <v>0</v>
      </c>
      <c r="I78" s="9">
        <f ca="1">IFERROR(_xlfn.XLOOKUP($F78,'FCDB 2017 (full)'!$C:$C,'FCDB 2017 (full)'!$E:$E),0)</f>
        <v>0</v>
      </c>
      <c r="J78" s="10">
        <f t="shared" ca="1" si="15"/>
        <v>0</v>
      </c>
      <c r="K78" s="9">
        <f ca="1">IFERROR(_xlfn.XLOOKUP($F78,'FCDB 2017 (full)'!$C:$C,'FCDB 2017 (full)'!$G:$G),0)</f>
        <v>0</v>
      </c>
      <c r="L78" s="13">
        <f t="shared" si="16"/>
        <v>0</v>
      </c>
      <c r="M78" s="13">
        <f t="shared" si="10"/>
        <v>0</v>
      </c>
      <c r="N78" s="9">
        <f ca="1">IFERROR(_xlfn.XLOOKUP($F78,'FCDB 2017 (full)'!$C:$C,'FCDB 2017 (full)'!$H:$H),0)</f>
        <v>0</v>
      </c>
      <c r="O78" s="14">
        <f t="shared" si="11"/>
        <v>0</v>
      </c>
      <c r="P78" s="14">
        <f t="shared" si="12"/>
        <v>0</v>
      </c>
      <c r="Q78" s="9">
        <f ca="1">IFERROR(_xlfn.XLOOKUP($F78,'FCDB 2017 (full)'!$C:$C,'FCDB 2017 (full)'!$I:$I),0)</f>
        <v>0</v>
      </c>
      <c r="R78" s="15">
        <f t="shared" ca="1" si="13"/>
        <v>0</v>
      </c>
      <c r="S78" s="16">
        <f ca="1">IFERROR(_xlfn.XLOOKUP($F78,'FCDB 2017 (full)'!$C:$C,'FCDB 2017 (full)'!$J:$J)*$H78/100,0)</f>
        <v>0</v>
      </c>
      <c r="T78" s="16">
        <f ca="1">IFERROR(_xlfn.XLOOKUP($F78,'FCDB 2017 (full)'!$C:$C,'FCDB 2017 (full)'!$K:$K)*$H78/100,0)</f>
        <v>0</v>
      </c>
      <c r="U78" s="16">
        <f ca="1">IFERROR(_xlfn.XLOOKUP($F78,'FCDB 2017 (full)'!$C:$C,'FCDB 2017 (full)'!$L:$L)*$H78/100,0)</f>
        <v>0</v>
      </c>
      <c r="V78" s="16">
        <f ca="1">IFERROR(_xlfn.XLOOKUP($F78,'FCDB 2017 (full)'!$C:$C,'FCDB 2017 (full)'!$M:$M)*$H78/100,0)</f>
        <v>0</v>
      </c>
      <c r="W78" s="16">
        <f ca="1">IFERROR(_xlfn.XLOOKUP($F78,'FCDB 2017 (full)'!$C:$C,'FCDB 2017 (full)'!$N:$N)*$H78/100,0)</f>
        <v>0</v>
      </c>
      <c r="X78" s="16">
        <f ca="1">IFERROR(_xlfn.XLOOKUP($F78,'FCDB 2017 (full)'!$C:$C,'FCDB 2017 (full)'!$O:$O)*$H78/100,0)</f>
        <v>0</v>
      </c>
      <c r="Y78" s="16">
        <f ca="1">IFERROR(_xlfn.XLOOKUP($F78,'FCDB 2017 (full)'!$C:$C,'FCDB 2017 (full)'!$P:$P)*$H78/100,0)</f>
        <v>0</v>
      </c>
      <c r="Z78" s="16">
        <f ca="1">IFERROR(_xlfn.XLOOKUP($F78,'FCDB 2017 (full)'!$C:$C,'FCDB 2017 (full)'!$Q:$Q)*$H78/100,0)</f>
        <v>0</v>
      </c>
      <c r="AA78" s="16">
        <f ca="1">IFERROR(_xlfn.XLOOKUP($F78,'FCDB 2017 (full)'!$C:$C,'FCDB 2017 (full)'!$R:$R)*$H78/100,0)</f>
        <v>0</v>
      </c>
      <c r="AB78" s="16">
        <f ca="1">IFERROR(_xlfn.XLOOKUP($F78,'FCDB 2017 (full)'!$C:$C,'FCDB 2017 (full)'!$S:$S)*$H78/100,0)</f>
        <v>0</v>
      </c>
      <c r="AC78" s="16">
        <f ca="1">IFERROR(_xlfn.XLOOKUP($F78,'FCDB 2017 (full)'!$C:$C,'FCDB 2017 (full)'!$T:$T)*$H78/100,0)</f>
        <v>0</v>
      </c>
      <c r="AD78" s="16">
        <f ca="1">IFERROR(_xlfn.XLOOKUP($F78,'FCDB 2017 (full)'!$C:$C,'FCDB 2017 (full)'!$U:$U)*$H78/100,0)</f>
        <v>0</v>
      </c>
      <c r="AE78" s="16">
        <f ca="1">IFERROR(_xlfn.XLOOKUP($F78,'FCDB 2017 (full)'!$C:$C,'FCDB 2017 (full)'!$V:$V)*$H78/100,0)</f>
        <v>0</v>
      </c>
      <c r="AF78" s="16">
        <f ca="1">IFERROR(_xlfn.XLOOKUP($F78,'FCDB 2017 (full)'!$C:$C,'FCDB 2017 (full)'!$W:$W)*$H78/100,0)</f>
        <v>0</v>
      </c>
      <c r="AG78" s="16">
        <f ca="1">IFERROR(_xlfn.XLOOKUP($F78,'FCDB 2017 (full)'!$C:$C,'FCDB 2017 (full)'!$X:$X)*$H78/100,0)</f>
        <v>0</v>
      </c>
      <c r="AH78" s="16">
        <f ca="1">IFERROR(_xlfn.XLOOKUP($F78,'FCDB 2017 (full)'!$C:$C,'FCDB 2017 (full)'!$Y:$Y)*$H78/100,0)</f>
        <v>0</v>
      </c>
      <c r="AI78" s="16">
        <f ca="1">IFERROR(_xlfn.XLOOKUP($F78,'FCDB 2017 (full)'!$C:$C,'FCDB 2017 (full)'!$Z:$Z)*$H78/100,0)</f>
        <v>0</v>
      </c>
      <c r="AJ78" s="16">
        <f ca="1">IFERROR(_xlfn.XLOOKUP($F78,'FCDB 2017 (full)'!$C:$C,'FCDB 2017 (full)'!$AA:$AA)*$H78/100,0)</f>
        <v>0</v>
      </c>
      <c r="AK78" s="16">
        <f ca="1">IFERROR(_xlfn.XLOOKUP($F78,'FCDB 2017 (full)'!$C:$C,'FCDB 2017 (full)'!$AB:$AB)*$H78/100,0)</f>
        <v>0</v>
      </c>
      <c r="AL78" s="16">
        <f ca="1">IFERROR(_xlfn.XLOOKUP($F78,'FCDB 2017 (full)'!$C:$C,'FCDB 2017 (full)'!$AC:$AC)*$H78/100,0)</f>
        <v>0</v>
      </c>
      <c r="AM78" s="16">
        <f ca="1">IFERROR(_xlfn.XLOOKUP($F78,'FCDB 2017 (full)'!$C:$C,'FCDB 2017 (full)'!$AD:$AD)*$H78/100,0)</f>
        <v>0</v>
      </c>
      <c r="AN78" s="16">
        <f ca="1">IFERROR(_xlfn.XLOOKUP($F78,'FCDB 2017 (full)'!$C:$C,'FCDB 2017 (full)'!$AE:$AE)*$H78/100,0)</f>
        <v>0</v>
      </c>
      <c r="AO78" s="16">
        <f ca="1">IFERROR(_xlfn.XLOOKUP($F78,'FCDB 2017 (full)'!$C:$C,'FCDB 2017 (full)'!$AF:$AF)*$H78/100,0)</f>
        <v>0</v>
      </c>
      <c r="AP78" s="16">
        <f ca="1">IFERROR(_xlfn.XLOOKUP($F78,'FCDB 2017 (full)'!$C:$C,'FCDB 2017 (full)'!$AG:$AG)*$H78/100,0)</f>
        <v>0</v>
      </c>
      <c r="AQ78" s="16">
        <f ca="1">IFERROR(_xlfn.XLOOKUP($F78,'FCDB 2017 (full)'!$C:$C,'FCDB 2017 (full)'!$AH:$AH)*$H78/100,0)</f>
        <v>0</v>
      </c>
      <c r="AR78" s="16">
        <f ca="1">IFERROR(_xlfn.XLOOKUP($F78,'FCDB 2017 (full)'!$C:$C,'FCDB 2017 (full)'!$AI:$AI)*$H78/100,0)</f>
        <v>0</v>
      </c>
      <c r="AS78" s="16">
        <f ca="1">IFERROR(_xlfn.XLOOKUP($F78,'FCDB 2017 (full)'!$C:$C,'FCDB 2017 (full)'!$AJ:$AJ)*$H78/100,0)</f>
        <v>0</v>
      </c>
      <c r="AT78" s="16">
        <f ca="1">IFERROR(_xlfn.XLOOKUP($F78,'FCDB 2017 (full)'!$C:$C,'FCDB 2017 (full)'!$AK:$AK)*$H78/100,0)</f>
        <v>0</v>
      </c>
      <c r="AU78" s="16">
        <f ca="1">IFERROR(_xlfn.XLOOKUP($F78,'FCDB 2017 (full)'!$C:$C,'FCDB 2017 (full)'!$AK:$AK)*$H78/100,0)</f>
        <v>0</v>
      </c>
      <c r="AV78" s="16">
        <f ca="1">IFERROR(_xlfn.XLOOKUP($F78,'FCDB 2017 (full)'!$C:$C,'FCDB 2017 (full)'!$AM:$AM)*$H78/100,0)</f>
        <v>0</v>
      </c>
      <c r="AW78" s="16">
        <f ca="1">IFERROR(_xlfn.XLOOKUP($F78,'FCDB 2017 (full)'!$C:$C,'FCDB 2017 (full)'!$AN:$AN)*$H78/100,0)</f>
        <v>0</v>
      </c>
      <c r="AX78" s="16">
        <f ca="1">IFERROR(_xlfn.XLOOKUP($F78,'FCDB 2017 (full)'!$C:$C,'FCDB 2017 (full)'!$AO:$AO)*$H78/100,0)</f>
        <v>0</v>
      </c>
      <c r="AY78" s="16">
        <f ca="1">IFERROR(_xlfn.XLOOKUP($F78,'FCDB 2017 (full)'!$C:$C,'FCDB 2017 (full)'!$AP:$AP)*$H78/100,0)</f>
        <v>0</v>
      </c>
      <c r="AZ78" s="16">
        <f ca="1">IFERROR(_xlfn.XLOOKUP($F78,'FCDB 2017 (full)'!$C:$C,'FCDB 2017 (full)'!$AQ:$AQ)*$H78/100,0)</f>
        <v>0</v>
      </c>
      <c r="BA78" s="16">
        <f ca="1">IFERROR(_xlfn.XLOOKUP($F78,'FCDB 2017 (full)'!$C:$C,'FCDB 2017 (full)'!$AR:$AR)*$H78/100,0)</f>
        <v>0</v>
      </c>
      <c r="BB78" s="16">
        <f ca="1">IFERROR(_xlfn.XLOOKUP($F78,'FCDB 2017 (full)'!$C:$C,'FCDB 2017 (full)'!$AS:$AS)*$H78/100,0)</f>
        <v>0</v>
      </c>
      <c r="BC78" s="16">
        <f ca="1">IFERROR(_xlfn.XLOOKUP($F78,'FCDB 2017 (full)'!$C:$C,'FCDB 2017 (full)'!$AT:$AT)*$H78/100,0)</f>
        <v>0</v>
      </c>
      <c r="BD78" s="16">
        <f ca="1">IFERROR(_xlfn.XLOOKUP($F78,'FCDB 2017 (full)'!$C:$C,'FCDB 2017 (full)'!$AU:$AU)*$H78/100,0)</f>
        <v>0</v>
      </c>
      <c r="BE78" s="16">
        <f ca="1">IFERROR(_xlfn.XLOOKUP($F78,'FCDB 2017 (full)'!$C:$C,'FCDB 2017 (full)'!$AV:$AV)*$H78/100,0)</f>
        <v>0</v>
      </c>
      <c r="BF78" s="16">
        <f ca="1">IFERROR(_xlfn.XLOOKUP($F78,'FCDB 2017 (full)'!$C:$C,'FCDB 2017 (full)'!$AW:$AW)*$H78/100,0)</f>
        <v>0</v>
      </c>
      <c r="BG78" s="16">
        <f ca="1">IFERROR(_xlfn.XLOOKUP($F78,'FCDB 2017 (full)'!$C:$C,'FCDB 2017 (full)'!$AX:$AX)*$H78/100,0)</f>
        <v>0</v>
      </c>
      <c r="BH78" s="16">
        <f ca="1">IFERROR(_xlfn.XLOOKUP($F78,'FCDB 2017 (full)'!$C:$C,'FCDB 2017 (full)'!$AY:$AY)*$H78/100,0)</f>
        <v>0</v>
      </c>
      <c r="BI78" s="16">
        <f ca="1">IFERROR(_xlfn.XLOOKUP($F78,'FCDB 2017 (full)'!$C:$C,'FCDB 2017 (full)'!$AZ:$AZ)*$H78/100,0)</f>
        <v>0</v>
      </c>
      <c r="BJ78" s="16">
        <f ca="1">IFERROR(_xlfn.XLOOKUP($F78,'FCDB 2017 (full)'!$C:$C,'FCDB 2017 (full)'!$BA:$BA)*$H78/100,0)</f>
        <v>0</v>
      </c>
      <c r="BK78" s="16">
        <f ca="1">IFERROR(_xlfn.XLOOKUP($F78,'FCDB 2017 (full)'!$C:$C,'FCDB 2017 (full)'!$BB:$BB)*$H78/100,0)</f>
        <v>0</v>
      </c>
      <c r="BL78" s="16">
        <f ca="1">IFERROR(_xlfn.XLOOKUP($F78,'FCDB 2017 (full)'!$C:$C,'FCDB 2017 (full)'!$BC:$BC)*$H78/100,0)</f>
        <v>0</v>
      </c>
      <c r="BM78" s="16">
        <f ca="1">IFERROR(_xlfn.XLOOKUP($F78,'FCDB 2017 (full)'!$C:$C,'FCDB 2017 (full)'!$BD:$BD)*$H78/100,0)</f>
        <v>0</v>
      </c>
      <c r="BN78" s="16">
        <f ca="1">IFERROR(_xlfn.XLOOKUP($F78,'FCDB 2017 (full)'!$C:$C,'FCDB 2017 (full)'!$BE:$BE)*$H78/100,0)</f>
        <v>0</v>
      </c>
      <c r="BO78" s="16">
        <f ca="1">IFERROR(_xlfn.XLOOKUP($F78,'FCDB 2017 (full)'!$C:$C,'FCDB 2017 (full)'!$BF:$BF)*$H78/100,0)</f>
        <v>0</v>
      </c>
      <c r="BP78" s="16">
        <f ca="1">IFERROR(_xlfn.XLOOKUP($F78,'FCDB 2017 (full)'!$C:$C,'FCDB 2017 (full)'!$BG:$BG)*$H78/100,0)</f>
        <v>0</v>
      </c>
      <c r="BQ78" s="16">
        <f ca="1">IFERROR(_xlfn.XLOOKUP($F78,'FCDB 2017 (full)'!$C:$C,'FCDB 2017 (full)'!$BH:$BH)*$H78/100,0)</f>
        <v>0</v>
      </c>
      <c r="BR78" s="16">
        <f ca="1">IFERROR(_xlfn.XLOOKUP($F78,'FCDB 2017 (full)'!$C:$C,'FCDB 2017 (full)'!$BI:$BI)*$H78/100,0)</f>
        <v>0</v>
      </c>
      <c r="BS78" s="16">
        <f ca="1">IFERROR(_xlfn.XLOOKUP($F78,'FCDB 2017 (full)'!$C:$C,'FCDB 2017 (full)'!$BJ:$BJ)*$H78/100,0)</f>
        <v>0</v>
      </c>
      <c r="BT78" s="16">
        <f ca="1">IFERROR(_xlfn.XLOOKUP($F78,'FCDB 2017 (full)'!$C:$C,'FCDB 2017 (full)'!$BK:$BK)*$H78/100,0)</f>
        <v>0</v>
      </c>
      <c r="BU78" s="16">
        <f ca="1">IFERROR(_xlfn.XLOOKUP($F78,'FCDB 2017 (full)'!$C:$C,'FCDB 2017 (full)'!$BL:$BL)*$H78/100,0)</f>
        <v>0</v>
      </c>
      <c r="BV78" s="16">
        <f ca="1">IFERROR(_xlfn.XLOOKUP($F78,'FCDB 2017 (full)'!$C:$C,'FCDB 2017 (full)'!$BM:$BM)*$H78/100,0)</f>
        <v>0</v>
      </c>
      <c r="BW78" s="16">
        <f ca="1">IFERROR(_xlfn.XLOOKUP($F78,'FCDB 2017 (full)'!$C:$C,'FCDB 2017 (full)'!$BN:$BN)*$H78/100,0)</f>
        <v>0</v>
      </c>
      <c r="BX78" s="16">
        <f ca="1">IFERROR(_xlfn.XLOOKUP($F78,'FCDB 2017 (full)'!$C:$C,'FCDB 2017 (full)'!$BO:$BO)*$H78/100,0)</f>
        <v>0</v>
      </c>
      <c r="BY78" s="16">
        <f ca="1">IFERROR(_xlfn.XLOOKUP($F78,'FCDB 2017 (full)'!$C:$C,'FCDB 2017 (full)'!$BP:$BP)*$H78/100,0)</f>
        <v>0</v>
      </c>
      <c r="BZ78" s="16">
        <f ca="1">IFERROR(_xlfn.XLOOKUP($F78,'FCDB 2017 (full)'!$C:$C,'FCDB 2017 (full)'!$BQ:$BQ)*$H78/100,0)</f>
        <v>0</v>
      </c>
      <c r="CA78" s="16">
        <f ca="1">IFERROR(_xlfn.XLOOKUP($F78,'FCDB 2017 (full)'!$C:$C,'FCDB 2017 (full)'!$BR:$BR)*$H78/100,0)</f>
        <v>0</v>
      </c>
      <c r="CB78" s="16">
        <f ca="1">IFERROR(_xlfn.XLOOKUP($F78,'FCDB 2017 (full)'!$C:$C,'FCDB 2017 (full)'!$BS:$BS)*$H78/100,0)</f>
        <v>0</v>
      </c>
      <c r="CC78" s="16">
        <f ca="1">IFERROR(_xlfn.XLOOKUP($F78,'FCDB 2017 (full)'!$C:$C,'FCDB 2017 (full)'!$BT:$BT)*$H78/100,0)</f>
        <v>0</v>
      </c>
      <c r="CD78" s="16">
        <f ca="1">IFERROR(_xlfn.XLOOKUP($F78,'FCDB 2017 (full)'!$C:$C,'FCDB 2017 (full)'!$BU:$BU)*$H78/100,0)</f>
        <v>0</v>
      </c>
      <c r="CE78" s="16">
        <f ca="1">IFERROR(_xlfn.XLOOKUP($F78,'FCDB 2017 (full)'!$C:$C,'FCDB 2017 (full)'!$BV:$BV)*$H78/100,0)</f>
        <v>0</v>
      </c>
      <c r="CF78" s="16">
        <f ca="1">IFERROR(_xlfn.XLOOKUP($F78,'FCDB 2017 (full)'!$C:$C,'FCDB 2017 (full)'!$BW:$BW)*$H78/100,0)</f>
        <v>0</v>
      </c>
      <c r="CG78" s="16">
        <f ca="1">IFERROR(_xlfn.XLOOKUP($F78,'FCDB 2017 (full)'!$C:$C,'FCDB 2017 (full)'!$BX:$BX)*$H78/100,0)</f>
        <v>0</v>
      </c>
      <c r="CH78" s="16">
        <f ca="1">IFERROR(_xlfn.XLOOKUP($F78,'FCDB 2017 (full)'!$C:$C,'FCDB 2017 (full)'!$BY:$BY)*$H78/100,0)</f>
        <v>0</v>
      </c>
      <c r="CI78" s="16">
        <f ca="1">IFERROR(_xlfn.XLOOKUP($F78,'FCDB 2017 (full)'!$C:$C,'FCDB 2017 (full)'!$BZ:$BZ)*$H78/100,0)</f>
        <v>0</v>
      </c>
      <c r="CJ78" s="16">
        <f ca="1">IFERROR(_xlfn.XLOOKUP($F78,'FCDB 2017 (full)'!$C:$C,'FCDB 2017 (full)'!$CA:$CA)*$H78/100,0)</f>
        <v>0</v>
      </c>
      <c r="CK78" s="16">
        <f ca="1">IFERROR(_xlfn.XLOOKUP($F78,'FCDB 2017 (full)'!$C:$C,'FCDB 2017 (full)'!$CB:$CB)*$H78/100,0)</f>
        <v>0</v>
      </c>
      <c r="CL78" s="16">
        <f ca="1">IFERROR(_xlfn.XLOOKUP($F78,'FCDB 2017 (full)'!$C:$C,'FCDB 2017 (full)'!$CC:$CC)*$H78/100,0)</f>
        <v>0</v>
      </c>
      <c r="CM78" s="16">
        <f ca="1">IFERROR(_xlfn.XLOOKUP($F78,'FCDB 2017 (full)'!$C:$C,'FCDB 2017 (full)'!$CD:$CD)*$H78/100,0)</f>
        <v>0</v>
      </c>
      <c r="CN78" s="16">
        <f ca="1">IFERROR(_xlfn.XLOOKUP($F78,'FCDB 2017 (full)'!$C:$C,'FCDB 2017 (full)'!$CE:$CE)*$H78/100,0)</f>
        <v>0</v>
      </c>
      <c r="CO78" s="16">
        <f ca="1">IFERROR(_xlfn.XLOOKUP($F78,'FCDB 2017 (full)'!$C:$C,'FCDB 2017 (full)'!$CF:$CF)*$H78/100,0)</f>
        <v>0</v>
      </c>
      <c r="CP78" s="16">
        <f ca="1">IFERROR(_xlfn.XLOOKUP($F78,'FCDB 2017 (full)'!$C:$C,'FCDB 2017 (full)'!$CG:$CG)*$H78/100,0)</f>
        <v>0</v>
      </c>
      <c r="CQ78" s="16">
        <f ca="1">IFERROR(_xlfn.XLOOKUP($F78,'FCDB 2017 (full)'!$C:$C,'FCDB 2017 (full)'!$CH:$CH)*$H78/100,0)</f>
        <v>0</v>
      </c>
      <c r="CR78" s="29"/>
      <c r="DA78" s="72" t="s">
        <v>980</v>
      </c>
    </row>
    <row r="79" spans="4:105">
      <c r="D79" s="29"/>
      <c r="E79" s="29"/>
      <c r="F79" s="11">
        <f>IFERROR(VLOOKUP($D$53,$D:$AE,25,0),0)</f>
        <v>0</v>
      </c>
      <c r="G79" s="7" cm="1">
        <f t="array" ref="G79">IF(F79=0,0,IF(_xlfn.XLOOKUP(F79,$E$53:$AE$53,$E$54:$AE$54)=0,"Nhập ĐV/TV",_xlfn.XLOOKUP(F79,$E$53:$AE$53,$E$54:$AE$54)))</f>
        <v>0</v>
      </c>
      <c r="H79" s="8">
        <f t="shared" si="14"/>
        <v>0</v>
      </c>
      <c r="I79" s="9">
        <f ca="1">IFERROR(_xlfn.XLOOKUP($F79,'FCDB 2017 (full)'!$C:$C,'FCDB 2017 (full)'!$E:$E),0)</f>
        <v>0</v>
      </c>
      <c r="J79" s="10">
        <f t="shared" ca="1" si="15"/>
        <v>0</v>
      </c>
      <c r="K79" s="9">
        <f ca="1">IFERROR(_xlfn.XLOOKUP($F79,'FCDB 2017 (full)'!$C:$C,'FCDB 2017 (full)'!$G:$G),0)</f>
        <v>0</v>
      </c>
      <c r="L79" s="13">
        <f t="shared" si="16"/>
        <v>0</v>
      </c>
      <c r="M79" s="13">
        <f t="shared" si="10"/>
        <v>0</v>
      </c>
      <c r="N79" s="9">
        <f ca="1">IFERROR(_xlfn.XLOOKUP($F79,'FCDB 2017 (full)'!$C:$C,'FCDB 2017 (full)'!$H:$H),0)</f>
        <v>0</v>
      </c>
      <c r="O79" s="14">
        <f t="shared" si="11"/>
        <v>0</v>
      </c>
      <c r="P79" s="14">
        <f t="shared" si="12"/>
        <v>0</v>
      </c>
      <c r="Q79" s="9">
        <f ca="1">IFERROR(_xlfn.XLOOKUP($F79,'FCDB 2017 (full)'!$C:$C,'FCDB 2017 (full)'!$I:$I),0)</f>
        <v>0</v>
      </c>
      <c r="R79" s="15">
        <f t="shared" ca="1" si="13"/>
        <v>0</v>
      </c>
      <c r="S79" s="16">
        <f ca="1">IFERROR(_xlfn.XLOOKUP($F79,'FCDB 2017 (full)'!$C:$C,'FCDB 2017 (full)'!$J:$J)*$H79/100,0)</f>
        <v>0</v>
      </c>
      <c r="T79" s="16">
        <f ca="1">IFERROR(_xlfn.XLOOKUP($F79,'FCDB 2017 (full)'!$C:$C,'FCDB 2017 (full)'!$K:$K)*$H79/100,0)</f>
        <v>0</v>
      </c>
      <c r="U79" s="16">
        <f ca="1">IFERROR(_xlfn.XLOOKUP($F79,'FCDB 2017 (full)'!$C:$C,'FCDB 2017 (full)'!$L:$L)*$H79/100,0)</f>
        <v>0</v>
      </c>
      <c r="V79" s="16">
        <f ca="1">IFERROR(_xlfn.XLOOKUP($F79,'FCDB 2017 (full)'!$C:$C,'FCDB 2017 (full)'!$M:$M)*$H79/100,0)</f>
        <v>0</v>
      </c>
      <c r="W79" s="16">
        <f ca="1">IFERROR(_xlfn.XLOOKUP($F79,'FCDB 2017 (full)'!$C:$C,'FCDB 2017 (full)'!$N:$N)*$H79/100,0)</f>
        <v>0</v>
      </c>
      <c r="X79" s="16">
        <f ca="1">IFERROR(_xlfn.XLOOKUP($F79,'FCDB 2017 (full)'!$C:$C,'FCDB 2017 (full)'!$O:$O)*$H79/100,0)</f>
        <v>0</v>
      </c>
      <c r="Y79" s="16">
        <f ca="1">IFERROR(_xlfn.XLOOKUP($F79,'FCDB 2017 (full)'!$C:$C,'FCDB 2017 (full)'!$P:$P)*$H79/100,0)</f>
        <v>0</v>
      </c>
      <c r="Z79" s="16">
        <f ca="1">IFERROR(_xlfn.XLOOKUP($F79,'FCDB 2017 (full)'!$C:$C,'FCDB 2017 (full)'!$Q:$Q)*$H79/100,0)</f>
        <v>0</v>
      </c>
      <c r="AA79" s="16">
        <f ca="1">IFERROR(_xlfn.XLOOKUP($F79,'FCDB 2017 (full)'!$C:$C,'FCDB 2017 (full)'!$R:$R)*$H79/100,0)</f>
        <v>0</v>
      </c>
      <c r="AB79" s="16">
        <f ca="1">IFERROR(_xlfn.XLOOKUP($F79,'FCDB 2017 (full)'!$C:$C,'FCDB 2017 (full)'!$S:$S)*$H79/100,0)</f>
        <v>0</v>
      </c>
      <c r="AC79" s="16">
        <f ca="1">IFERROR(_xlfn.XLOOKUP($F79,'FCDB 2017 (full)'!$C:$C,'FCDB 2017 (full)'!$T:$T)*$H79/100,0)</f>
        <v>0</v>
      </c>
      <c r="AD79" s="16">
        <f ca="1">IFERROR(_xlfn.XLOOKUP($F79,'FCDB 2017 (full)'!$C:$C,'FCDB 2017 (full)'!$U:$U)*$H79/100,0)</f>
        <v>0</v>
      </c>
      <c r="AE79" s="16">
        <f ca="1">IFERROR(_xlfn.XLOOKUP($F79,'FCDB 2017 (full)'!$C:$C,'FCDB 2017 (full)'!$V:$V)*$H79/100,0)</f>
        <v>0</v>
      </c>
      <c r="AF79" s="16">
        <f ca="1">IFERROR(_xlfn.XLOOKUP($F79,'FCDB 2017 (full)'!$C:$C,'FCDB 2017 (full)'!$W:$W)*$H79/100,0)</f>
        <v>0</v>
      </c>
      <c r="AG79" s="16">
        <f ca="1">IFERROR(_xlfn.XLOOKUP($F79,'FCDB 2017 (full)'!$C:$C,'FCDB 2017 (full)'!$X:$X)*$H79/100,0)</f>
        <v>0</v>
      </c>
      <c r="AH79" s="16">
        <f ca="1">IFERROR(_xlfn.XLOOKUP($F79,'FCDB 2017 (full)'!$C:$C,'FCDB 2017 (full)'!$Y:$Y)*$H79/100,0)</f>
        <v>0</v>
      </c>
      <c r="AI79" s="16">
        <f ca="1">IFERROR(_xlfn.XLOOKUP($F79,'FCDB 2017 (full)'!$C:$C,'FCDB 2017 (full)'!$Z:$Z)*$H79/100,0)</f>
        <v>0</v>
      </c>
      <c r="AJ79" s="16">
        <f ca="1">IFERROR(_xlfn.XLOOKUP($F79,'FCDB 2017 (full)'!$C:$C,'FCDB 2017 (full)'!$AA:$AA)*$H79/100,0)</f>
        <v>0</v>
      </c>
      <c r="AK79" s="16">
        <f ca="1">IFERROR(_xlfn.XLOOKUP($F79,'FCDB 2017 (full)'!$C:$C,'FCDB 2017 (full)'!$AB:$AB)*$H79/100,0)</f>
        <v>0</v>
      </c>
      <c r="AL79" s="16">
        <f ca="1">IFERROR(_xlfn.XLOOKUP($F79,'FCDB 2017 (full)'!$C:$C,'FCDB 2017 (full)'!$AC:$AC)*$H79/100,0)</f>
        <v>0</v>
      </c>
      <c r="AM79" s="16">
        <f ca="1">IFERROR(_xlfn.XLOOKUP($F79,'FCDB 2017 (full)'!$C:$C,'FCDB 2017 (full)'!$AD:$AD)*$H79/100,0)</f>
        <v>0</v>
      </c>
      <c r="AN79" s="16">
        <f ca="1">IFERROR(_xlfn.XLOOKUP($F79,'FCDB 2017 (full)'!$C:$C,'FCDB 2017 (full)'!$AE:$AE)*$H79/100,0)</f>
        <v>0</v>
      </c>
      <c r="AO79" s="16">
        <f ca="1">IFERROR(_xlfn.XLOOKUP($F79,'FCDB 2017 (full)'!$C:$C,'FCDB 2017 (full)'!$AF:$AF)*$H79/100,0)</f>
        <v>0</v>
      </c>
      <c r="AP79" s="16">
        <f ca="1">IFERROR(_xlfn.XLOOKUP($F79,'FCDB 2017 (full)'!$C:$C,'FCDB 2017 (full)'!$AG:$AG)*$H79/100,0)</f>
        <v>0</v>
      </c>
      <c r="AQ79" s="16">
        <f ca="1">IFERROR(_xlfn.XLOOKUP($F79,'FCDB 2017 (full)'!$C:$C,'FCDB 2017 (full)'!$AH:$AH)*$H79/100,0)</f>
        <v>0</v>
      </c>
      <c r="AR79" s="16">
        <f ca="1">IFERROR(_xlfn.XLOOKUP($F79,'FCDB 2017 (full)'!$C:$C,'FCDB 2017 (full)'!$AI:$AI)*$H79/100,0)</f>
        <v>0</v>
      </c>
      <c r="AS79" s="16">
        <f ca="1">IFERROR(_xlfn.XLOOKUP($F79,'FCDB 2017 (full)'!$C:$C,'FCDB 2017 (full)'!$AJ:$AJ)*$H79/100,0)</f>
        <v>0</v>
      </c>
      <c r="AT79" s="16">
        <f ca="1">IFERROR(_xlfn.XLOOKUP($F79,'FCDB 2017 (full)'!$C:$C,'FCDB 2017 (full)'!$AK:$AK)*$H79/100,0)</f>
        <v>0</v>
      </c>
      <c r="AU79" s="16">
        <f ca="1">IFERROR(_xlfn.XLOOKUP($F79,'FCDB 2017 (full)'!$C:$C,'FCDB 2017 (full)'!$AK:$AK)*$H79/100,0)</f>
        <v>0</v>
      </c>
      <c r="AV79" s="16">
        <f ca="1">IFERROR(_xlfn.XLOOKUP($F79,'FCDB 2017 (full)'!$C:$C,'FCDB 2017 (full)'!$AM:$AM)*$H79/100,0)</f>
        <v>0</v>
      </c>
      <c r="AW79" s="16">
        <f ca="1">IFERROR(_xlfn.XLOOKUP($F79,'FCDB 2017 (full)'!$C:$C,'FCDB 2017 (full)'!$AN:$AN)*$H79/100,0)</f>
        <v>0</v>
      </c>
      <c r="AX79" s="16">
        <f ca="1">IFERROR(_xlfn.XLOOKUP($F79,'FCDB 2017 (full)'!$C:$C,'FCDB 2017 (full)'!$AO:$AO)*$H79/100,0)</f>
        <v>0</v>
      </c>
      <c r="AY79" s="16">
        <f ca="1">IFERROR(_xlfn.XLOOKUP($F79,'FCDB 2017 (full)'!$C:$C,'FCDB 2017 (full)'!$AP:$AP)*$H79/100,0)</f>
        <v>0</v>
      </c>
      <c r="AZ79" s="16">
        <f ca="1">IFERROR(_xlfn.XLOOKUP($F79,'FCDB 2017 (full)'!$C:$C,'FCDB 2017 (full)'!$AQ:$AQ)*$H79/100,0)</f>
        <v>0</v>
      </c>
      <c r="BA79" s="16">
        <f ca="1">IFERROR(_xlfn.XLOOKUP($F79,'FCDB 2017 (full)'!$C:$C,'FCDB 2017 (full)'!$AR:$AR)*$H79/100,0)</f>
        <v>0</v>
      </c>
      <c r="BB79" s="16">
        <f ca="1">IFERROR(_xlfn.XLOOKUP($F79,'FCDB 2017 (full)'!$C:$C,'FCDB 2017 (full)'!$AS:$AS)*$H79/100,0)</f>
        <v>0</v>
      </c>
      <c r="BC79" s="16">
        <f ca="1">IFERROR(_xlfn.XLOOKUP($F79,'FCDB 2017 (full)'!$C:$C,'FCDB 2017 (full)'!$AT:$AT)*$H79/100,0)</f>
        <v>0</v>
      </c>
      <c r="BD79" s="16">
        <f ca="1">IFERROR(_xlfn.XLOOKUP($F79,'FCDB 2017 (full)'!$C:$C,'FCDB 2017 (full)'!$AU:$AU)*$H79/100,0)</f>
        <v>0</v>
      </c>
      <c r="BE79" s="16">
        <f ca="1">IFERROR(_xlfn.XLOOKUP($F79,'FCDB 2017 (full)'!$C:$C,'FCDB 2017 (full)'!$AV:$AV)*$H79/100,0)</f>
        <v>0</v>
      </c>
      <c r="BF79" s="16">
        <f ca="1">IFERROR(_xlfn.XLOOKUP($F79,'FCDB 2017 (full)'!$C:$C,'FCDB 2017 (full)'!$AW:$AW)*$H79/100,0)</f>
        <v>0</v>
      </c>
      <c r="BG79" s="16">
        <f ca="1">IFERROR(_xlfn.XLOOKUP($F79,'FCDB 2017 (full)'!$C:$C,'FCDB 2017 (full)'!$AX:$AX)*$H79/100,0)</f>
        <v>0</v>
      </c>
      <c r="BH79" s="16">
        <f ca="1">IFERROR(_xlfn.XLOOKUP($F79,'FCDB 2017 (full)'!$C:$C,'FCDB 2017 (full)'!$AY:$AY)*$H79/100,0)</f>
        <v>0</v>
      </c>
      <c r="BI79" s="16">
        <f ca="1">IFERROR(_xlfn.XLOOKUP($F79,'FCDB 2017 (full)'!$C:$C,'FCDB 2017 (full)'!$AZ:$AZ)*$H79/100,0)</f>
        <v>0</v>
      </c>
      <c r="BJ79" s="16">
        <f ca="1">IFERROR(_xlfn.XLOOKUP($F79,'FCDB 2017 (full)'!$C:$C,'FCDB 2017 (full)'!$BA:$BA)*$H79/100,0)</f>
        <v>0</v>
      </c>
      <c r="BK79" s="16">
        <f ca="1">IFERROR(_xlfn.XLOOKUP($F79,'FCDB 2017 (full)'!$C:$C,'FCDB 2017 (full)'!$BB:$BB)*$H79/100,0)</f>
        <v>0</v>
      </c>
      <c r="BL79" s="16">
        <f ca="1">IFERROR(_xlfn.XLOOKUP($F79,'FCDB 2017 (full)'!$C:$C,'FCDB 2017 (full)'!$BC:$BC)*$H79/100,0)</f>
        <v>0</v>
      </c>
      <c r="BM79" s="16">
        <f ca="1">IFERROR(_xlfn.XLOOKUP($F79,'FCDB 2017 (full)'!$C:$C,'FCDB 2017 (full)'!$BD:$BD)*$H79/100,0)</f>
        <v>0</v>
      </c>
      <c r="BN79" s="16">
        <f ca="1">IFERROR(_xlfn.XLOOKUP($F79,'FCDB 2017 (full)'!$C:$C,'FCDB 2017 (full)'!$BE:$BE)*$H79/100,0)</f>
        <v>0</v>
      </c>
      <c r="BO79" s="16">
        <f ca="1">IFERROR(_xlfn.XLOOKUP($F79,'FCDB 2017 (full)'!$C:$C,'FCDB 2017 (full)'!$BF:$BF)*$H79/100,0)</f>
        <v>0</v>
      </c>
      <c r="BP79" s="16">
        <f ca="1">IFERROR(_xlfn.XLOOKUP($F79,'FCDB 2017 (full)'!$C:$C,'FCDB 2017 (full)'!$BG:$BG)*$H79/100,0)</f>
        <v>0</v>
      </c>
      <c r="BQ79" s="16">
        <f ca="1">IFERROR(_xlfn.XLOOKUP($F79,'FCDB 2017 (full)'!$C:$C,'FCDB 2017 (full)'!$BH:$BH)*$H79/100,0)</f>
        <v>0</v>
      </c>
      <c r="BR79" s="16">
        <f ca="1">IFERROR(_xlfn.XLOOKUP($F79,'FCDB 2017 (full)'!$C:$C,'FCDB 2017 (full)'!$BI:$BI)*$H79/100,0)</f>
        <v>0</v>
      </c>
      <c r="BS79" s="16">
        <f ca="1">IFERROR(_xlfn.XLOOKUP($F79,'FCDB 2017 (full)'!$C:$C,'FCDB 2017 (full)'!$BJ:$BJ)*$H79/100,0)</f>
        <v>0</v>
      </c>
      <c r="BT79" s="16">
        <f ca="1">IFERROR(_xlfn.XLOOKUP($F79,'FCDB 2017 (full)'!$C:$C,'FCDB 2017 (full)'!$BK:$BK)*$H79/100,0)</f>
        <v>0</v>
      </c>
      <c r="BU79" s="16">
        <f ca="1">IFERROR(_xlfn.XLOOKUP($F79,'FCDB 2017 (full)'!$C:$C,'FCDB 2017 (full)'!$BL:$BL)*$H79/100,0)</f>
        <v>0</v>
      </c>
      <c r="BV79" s="16">
        <f ca="1">IFERROR(_xlfn.XLOOKUP($F79,'FCDB 2017 (full)'!$C:$C,'FCDB 2017 (full)'!$BM:$BM)*$H79/100,0)</f>
        <v>0</v>
      </c>
      <c r="BW79" s="16">
        <f ca="1">IFERROR(_xlfn.XLOOKUP($F79,'FCDB 2017 (full)'!$C:$C,'FCDB 2017 (full)'!$BN:$BN)*$H79/100,0)</f>
        <v>0</v>
      </c>
      <c r="BX79" s="16">
        <f ca="1">IFERROR(_xlfn.XLOOKUP($F79,'FCDB 2017 (full)'!$C:$C,'FCDB 2017 (full)'!$BO:$BO)*$H79/100,0)</f>
        <v>0</v>
      </c>
      <c r="BY79" s="16">
        <f ca="1">IFERROR(_xlfn.XLOOKUP($F79,'FCDB 2017 (full)'!$C:$C,'FCDB 2017 (full)'!$BP:$BP)*$H79/100,0)</f>
        <v>0</v>
      </c>
      <c r="BZ79" s="16">
        <f ca="1">IFERROR(_xlfn.XLOOKUP($F79,'FCDB 2017 (full)'!$C:$C,'FCDB 2017 (full)'!$BQ:$BQ)*$H79/100,0)</f>
        <v>0</v>
      </c>
      <c r="CA79" s="16">
        <f ca="1">IFERROR(_xlfn.XLOOKUP($F79,'FCDB 2017 (full)'!$C:$C,'FCDB 2017 (full)'!$BR:$BR)*$H79/100,0)</f>
        <v>0</v>
      </c>
      <c r="CB79" s="16">
        <f ca="1">IFERROR(_xlfn.XLOOKUP($F79,'FCDB 2017 (full)'!$C:$C,'FCDB 2017 (full)'!$BS:$BS)*$H79/100,0)</f>
        <v>0</v>
      </c>
      <c r="CC79" s="16">
        <f ca="1">IFERROR(_xlfn.XLOOKUP($F79,'FCDB 2017 (full)'!$C:$C,'FCDB 2017 (full)'!$BT:$BT)*$H79/100,0)</f>
        <v>0</v>
      </c>
      <c r="CD79" s="16">
        <f ca="1">IFERROR(_xlfn.XLOOKUP($F79,'FCDB 2017 (full)'!$C:$C,'FCDB 2017 (full)'!$BU:$BU)*$H79/100,0)</f>
        <v>0</v>
      </c>
      <c r="CE79" s="16">
        <f ca="1">IFERROR(_xlfn.XLOOKUP($F79,'FCDB 2017 (full)'!$C:$C,'FCDB 2017 (full)'!$BV:$BV)*$H79/100,0)</f>
        <v>0</v>
      </c>
      <c r="CF79" s="16">
        <f ca="1">IFERROR(_xlfn.XLOOKUP($F79,'FCDB 2017 (full)'!$C:$C,'FCDB 2017 (full)'!$BW:$BW)*$H79/100,0)</f>
        <v>0</v>
      </c>
      <c r="CG79" s="16">
        <f ca="1">IFERROR(_xlfn.XLOOKUP($F79,'FCDB 2017 (full)'!$C:$C,'FCDB 2017 (full)'!$BX:$BX)*$H79/100,0)</f>
        <v>0</v>
      </c>
      <c r="CH79" s="16">
        <f ca="1">IFERROR(_xlfn.XLOOKUP($F79,'FCDB 2017 (full)'!$C:$C,'FCDB 2017 (full)'!$BY:$BY)*$H79/100,0)</f>
        <v>0</v>
      </c>
      <c r="CI79" s="16">
        <f ca="1">IFERROR(_xlfn.XLOOKUP($F79,'FCDB 2017 (full)'!$C:$C,'FCDB 2017 (full)'!$BZ:$BZ)*$H79/100,0)</f>
        <v>0</v>
      </c>
      <c r="CJ79" s="16">
        <f ca="1">IFERROR(_xlfn.XLOOKUP($F79,'FCDB 2017 (full)'!$C:$C,'FCDB 2017 (full)'!$CA:$CA)*$H79/100,0)</f>
        <v>0</v>
      </c>
      <c r="CK79" s="16">
        <f ca="1">IFERROR(_xlfn.XLOOKUP($F79,'FCDB 2017 (full)'!$C:$C,'FCDB 2017 (full)'!$CB:$CB)*$H79/100,0)</f>
        <v>0</v>
      </c>
      <c r="CL79" s="16">
        <f ca="1">IFERROR(_xlfn.XLOOKUP($F79,'FCDB 2017 (full)'!$C:$C,'FCDB 2017 (full)'!$CC:$CC)*$H79/100,0)</f>
        <v>0</v>
      </c>
      <c r="CM79" s="16">
        <f ca="1">IFERROR(_xlfn.XLOOKUP($F79,'FCDB 2017 (full)'!$C:$C,'FCDB 2017 (full)'!$CD:$CD)*$H79/100,0)</f>
        <v>0</v>
      </c>
      <c r="CN79" s="16">
        <f ca="1">IFERROR(_xlfn.XLOOKUP($F79,'FCDB 2017 (full)'!$C:$C,'FCDB 2017 (full)'!$CE:$CE)*$H79/100,0)</f>
        <v>0</v>
      </c>
      <c r="CO79" s="16">
        <f ca="1">IFERROR(_xlfn.XLOOKUP($F79,'FCDB 2017 (full)'!$C:$C,'FCDB 2017 (full)'!$CF:$CF)*$H79/100,0)</f>
        <v>0</v>
      </c>
      <c r="CP79" s="16">
        <f ca="1">IFERROR(_xlfn.XLOOKUP($F79,'FCDB 2017 (full)'!$C:$C,'FCDB 2017 (full)'!$CG:$CG)*$H79/100,0)</f>
        <v>0</v>
      </c>
      <c r="CQ79" s="16">
        <f ca="1">IFERROR(_xlfn.XLOOKUP($F79,'FCDB 2017 (full)'!$C:$C,'FCDB 2017 (full)'!$CH:$CH)*$H79/100,0)</f>
        <v>0</v>
      </c>
      <c r="CR79" s="29"/>
      <c r="DA79" s="72" t="s">
        <v>980</v>
      </c>
    </row>
    <row r="80" spans="4:105">
      <c r="D80" s="29"/>
      <c r="E80" s="29"/>
      <c r="F80" s="11">
        <f>IFERROR(VLOOKUP($D$53,$D:$AE,26,0),0)</f>
        <v>0</v>
      </c>
      <c r="G80" s="7" cm="1">
        <f t="array" ref="G80">IF(F80=0,0,IF(_xlfn.XLOOKUP(F80,$E$53:$AE$53,$E$54:$AE$54)=0,"Nhập ĐV/TV",_xlfn.XLOOKUP(F80,$E$53:$AE$53,$E$54:$AE$54)))</f>
        <v>0</v>
      </c>
      <c r="H80" s="8">
        <f t="shared" si="14"/>
        <v>0</v>
      </c>
      <c r="I80" s="9">
        <f ca="1">IFERROR(_xlfn.XLOOKUP($F80,'FCDB 2017 (full)'!$C:$C,'FCDB 2017 (full)'!$E:$E),0)</f>
        <v>0</v>
      </c>
      <c r="J80" s="10">
        <f t="shared" ca="1" si="15"/>
        <v>0</v>
      </c>
      <c r="K80" s="9">
        <f ca="1">IFERROR(_xlfn.XLOOKUP($F80,'FCDB 2017 (full)'!$C:$C,'FCDB 2017 (full)'!$G:$G),0)</f>
        <v>0</v>
      </c>
      <c r="L80" s="13">
        <f t="shared" si="16"/>
        <v>0</v>
      </c>
      <c r="M80" s="13">
        <f t="shared" si="10"/>
        <v>0</v>
      </c>
      <c r="N80" s="9">
        <f ca="1">IFERROR(_xlfn.XLOOKUP($F80,'FCDB 2017 (full)'!$C:$C,'FCDB 2017 (full)'!$H:$H),0)</f>
        <v>0</v>
      </c>
      <c r="O80" s="14">
        <f t="shared" si="11"/>
        <v>0</v>
      </c>
      <c r="P80" s="14">
        <f t="shared" si="12"/>
        <v>0</v>
      </c>
      <c r="Q80" s="9">
        <f ca="1">IFERROR(_xlfn.XLOOKUP($F80,'FCDB 2017 (full)'!$C:$C,'FCDB 2017 (full)'!$I:$I),0)</f>
        <v>0</v>
      </c>
      <c r="R80" s="15">
        <f t="shared" ca="1" si="13"/>
        <v>0</v>
      </c>
      <c r="S80" s="16">
        <f ca="1">IFERROR(_xlfn.XLOOKUP($F80,'FCDB 2017 (full)'!$C:$C,'FCDB 2017 (full)'!$J:$J)*$H80/100,0)</f>
        <v>0</v>
      </c>
      <c r="T80" s="16">
        <f ca="1">IFERROR(_xlfn.XLOOKUP($F80,'FCDB 2017 (full)'!$C:$C,'FCDB 2017 (full)'!$K:$K)*$H80/100,0)</f>
        <v>0</v>
      </c>
      <c r="U80" s="16">
        <f ca="1">IFERROR(_xlfn.XLOOKUP($F80,'FCDB 2017 (full)'!$C:$C,'FCDB 2017 (full)'!$L:$L)*$H80/100,0)</f>
        <v>0</v>
      </c>
      <c r="V80" s="16">
        <f ca="1">IFERROR(_xlfn.XLOOKUP($F80,'FCDB 2017 (full)'!$C:$C,'FCDB 2017 (full)'!$M:$M)*$H80/100,0)</f>
        <v>0</v>
      </c>
      <c r="W80" s="16">
        <f ca="1">IFERROR(_xlfn.XLOOKUP($F80,'FCDB 2017 (full)'!$C:$C,'FCDB 2017 (full)'!$N:$N)*$H80/100,0)</f>
        <v>0</v>
      </c>
      <c r="X80" s="16">
        <f ca="1">IFERROR(_xlfn.XLOOKUP($F80,'FCDB 2017 (full)'!$C:$C,'FCDB 2017 (full)'!$O:$O)*$H80/100,0)</f>
        <v>0</v>
      </c>
      <c r="Y80" s="16">
        <f ca="1">IFERROR(_xlfn.XLOOKUP($F80,'FCDB 2017 (full)'!$C:$C,'FCDB 2017 (full)'!$P:$P)*$H80/100,0)</f>
        <v>0</v>
      </c>
      <c r="Z80" s="16">
        <f ca="1">IFERROR(_xlfn.XLOOKUP($F80,'FCDB 2017 (full)'!$C:$C,'FCDB 2017 (full)'!$Q:$Q)*$H80/100,0)</f>
        <v>0</v>
      </c>
      <c r="AA80" s="16">
        <f ca="1">IFERROR(_xlfn.XLOOKUP($F80,'FCDB 2017 (full)'!$C:$C,'FCDB 2017 (full)'!$R:$R)*$H80/100,0)</f>
        <v>0</v>
      </c>
      <c r="AB80" s="16">
        <f ca="1">IFERROR(_xlfn.XLOOKUP($F80,'FCDB 2017 (full)'!$C:$C,'FCDB 2017 (full)'!$S:$S)*$H80/100,0)</f>
        <v>0</v>
      </c>
      <c r="AC80" s="16">
        <f ca="1">IFERROR(_xlfn.XLOOKUP($F80,'FCDB 2017 (full)'!$C:$C,'FCDB 2017 (full)'!$T:$T)*$H80/100,0)</f>
        <v>0</v>
      </c>
      <c r="AD80" s="16">
        <f ca="1">IFERROR(_xlfn.XLOOKUP($F80,'FCDB 2017 (full)'!$C:$C,'FCDB 2017 (full)'!$U:$U)*$H80/100,0)</f>
        <v>0</v>
      </c>
      <c r="AE80" s="16">
        <f ca="1">IFERROR(_xlfn.XLOOKUP($F80,'FCDB 2017 (full)'!$C:$C,'FCDB 2017 (full)'!$V:$V)*$H80/100,0)</f>
        <v>0</v>
      </c>
      <c r="AF80" s="16">
        <f ca="1">IFERROR(_xlfn.XLOOKUP($F80,'FCDB 2017 (full)'!$C:$C,'FCDB 2017 (full)'!$W:$W)*$H80/100,0)</f>
        <v>0</v>
      </c>
      <c r="AG80" s="16">
        <f ca="1">IFERROR(_xlfn.XLOOKUP($F80,'FCDB 2017 (full)'!$C:$C,'FCDB 2017 (full)'!$X:$X)*$H80/100,0)</f>
        <v>0</v>
      </c>
      <c r="AH80" s="16">
        <f ca="1">IFERROR(_xlfn.XLOOKUP($F80,'FCDB 2017 (full)'!$C:$C,'FCDB 2017 (full)'!$Y:$Y)*$H80/100,0)</f>
        <v>0</v>
      </c>
      <c r="AI80" s="16">
        <f ca="1">IFERROR(_xlfn.XLOOKUP($F80,'FCDB 2017 (full)'!$C:$C,'FCDB 2017 (full)'!$Z:$Z)*$H80/100,0)</f>
        <v>0</v>
      </c>
      <c r="AJ80" s="16">
        <f ca="1">IFERROR(_xlfn.XLOOKUP($F80,'FCDB 2017 (full)'!$C:$C,'FCDB 2017 (full)'!$AA:$AA)*$H80/100,0)</f>
        <v>0</v>
      </c>
      <c r="AK80" s="16">
        <f ca="1">IFERROR(_xlfn.XLOOKUP($F80,'FCDB 2017 (full)'!$C:$C,'FCDB 2017 (full)'!$AB:$AB)*$H80/100,0)</f>
        <v>0</v>
      </c>
      <c r="AL80" s="16">
        <f ca="1">IFERROR(_xlfn.XLOOKUP($F80,'FCDB 2017 (full)'!$C:$C,'FCDB 2017 (full)'!$AC:$AC)*$H80/100,0)</f>
        <v>0</v>
      </c>
      <c r="AM80" s="16">
        <f ca="1">IFERROR(_xlfn.XLOOKUP($F80,'FCDB 2017 (full)'!$C:$C,'FCDB 2017 (full)'!$AD:$AD)*$H80/100,0)</f>
        <v>0</v>
      </c>
      <c r="AN80" s="16">
        <f ca="1">IFERROR(_xlfn.XLOOKUP($F80,'FCDB 2017 (full)'!$C:$C,'FCDB 2017 (full)'!$AE:$AE)*$H80/100,0)</f>
        <v>0</v>
      </c>
      <c r="AO80" s="16">
        <f ca="1">IFERROR(_xlfn.XLOOKUP($F80,'FCDB 2017 (full)'!$C:$C,'FCDB 2017 (full)'!$AF:$AF)*$H80/100,0)</f>
        <v>0</v>
      </c>
      <c r="AP80" s="16">
        <f ca="1">IFERROR(_xlfn.XLOOKUP($F80,'FCDB 2017 (full)'!$C:$C,'FCDB 2017 (full)'!$AG:$AG)*$H80/100,0)</f>
        <v>0</v>
      </c>
      <c r="AQ80" s="16">
        <f ca="1">IFERROR(_xlfn.XLOOKUP($F80,'FCDB 2017 (full)'!$C:$C,'FCDB 2017 (full)'!$AH:$AH)*$H80/100,0)</f>
        <v>0</v>
      </c>
      <c r="AR80" s="16">
        <f ca="1">IFERROR(_xlfn.XLOOKUP($F80,'FCDB 2017 (full)'!$C:$C,'FCDB 2017 (full)'!$AI:$AI)*$H80/100,0)</f>
        <v>0</v>
      </c>
      <c r="AS80" s="16">
        <f ca="1">IFERROR(_xlfn.XLOOKUP($F80,'FCDB 2017 (full)'!$C:$C,'FCDB 2017 (full)'!$AJ:$AJ)*$H80/100,0)</f>
        <v>0</v>
      </c>
      <c r="AT80" s="16">
        <f ca="1">IFERROR(_xlfn.XLOOKUP($F80,'FCDB 2017 (full)'!$C:$C,'FCDB 2017 (full)'!$AK:$AK)*$H80/100,0)</f>
        <v>0</v>
      </c>
      <c r="AU80" s="16">
        <f ca="1">IFERROR(_xlfn.XLOOKUP($F80,'FCDB 2017 (full)'!$C:$C,'FCDB 2017 (full)'!$AK:$AK)*$H80/100,0)</f>
        <v>0</v>
      </c>
      <c r="AV80" s="16">
        <f ca="1">IFERROR(_xlfn.XLOOKUP($F80,'FCDB 2017 (full)'!$C:$C,'FCDB 2017 (full)'!$AM:$AM)*$H80/100,0)</f>
        <v>0</v>
      </c>
      <c r="AW80" s="16">
        <f ca="1">IFERROR(_xlfn.XLOOKUP($F80,'FCDB 2017 (full)'!$C:$C,'FCDB 2017 (full)'!$AN:$AN)*$H80/100,0)</f>
        <v>0</v>
      </c>
      <c r="AX80" s="16">
        <f ca="1">IFERROR(_xlfn.XLOOKUP($F80,'FCDB 2017 (full)'!$C:$C,'FCDB 2017 (full)'!$AO:$AO)*$H80/100,0)</f>
        <v>0</v>
      </c>
      <c r="AY80" s="16">
        <f ca="1">IFERROR(_xlfn.XLOOKUP($F80,'FCDB 2017 (full)'!$C:$C,'FCDB 2017 (full)'!$AP:$AP)*$H80/100,0)</f>
        <v>0</v>
      </c>
      <c r="AZ80" s="16">
        <f ca="1">IFERROR(_xlfn.XLOOKUP($F80,'FCDB 2017 (full)'!$C:$C,'FCDB 2017 (full)'!$AQ:$AQ)*$H80/100,0)</f>
        <v>0</v>
      </c>
      <c r="BA80" s="16">
        <f ca="1">IFERROR(_xlfn.XLOOKUP($F80,'FCDB 2017 (full)'!$C:$C,'FCDB 2017 (full)'!$AR:$AR)*$H80/100,0)</f>
        <v>0</v>
      </c>
      <c r="BB80" s="16">
        <f ca="1">IFERROR(_xlfn.XLOOKUP($F80,'FCDB 2017 (full)'!$C:$C,'FCDB 2017 (full)'!$AS:$AS)*$H80/100,0)</f>
        <v>0</v>
      </c>
      <c r="BC80" s="16">
        <f ca="1">IFERROR(_xlfn.XLOOKUP($F80,'FCDB 2017 (full)'!$C:$C,'FCDB 2017 (full)'!$AT:$AT)*$H80/100,0)</f>
        <v>0</v>
      </c>
      <c r="BD80" s="16">
        <f ca="1">IFERROR(_xlfn.XLOOKUP($F80,'FCDB 2017 (full)'!$C:$C,'FCDB 2017 (full)'!$AU:$AU)*$H80/100,0)</f>
        <v>0</v>
      </c>
      <c r="BE80" s="16">
        <f ca="1">IFERROR(_xlfn.XLOOKUP($F80,'FCDB 2017 (full)'!$C:$C,'FCDB 2017 (full)'!$AV:$AV)*$H80/100,0)</f>
        <v>0</v>
      </c>
      <c r="BF80" s="16">
        <f ca="1">IFERROR(_xlfn.XLOOKUP($F80,'FCDB 2017 (full)'!$C:$C,'FCDB 2017 (full)'!$AW:$AW)*$H80/100,0)</f>
        <v>0</v>
      </c>
      <c r="BG80" s="16">
        <f ca="1">IFERROR(_xlfn.XLOOKUP($F80,'FCDB 2017 (full)'!$C:$C,'FCDB 2017 (full)'!$AX:$AX)*$H80/100,0)</f>
        <v>0</v>
      </c>
      <c r="BH80" s="16">
        <f ca="1">IFERROR(_xlfn.XLOOKUP($F80,'FCDB 2017 (full)'!$C:$C,'FCDB 2017 (full)'!$AY:$AY)*$H80/100,0)</f>
        <v>0</v>
      </c>
      <c r="BI80" s="16">
        <f ca="1">IFERROR(_xlfn.XLOOKUP($F80,'FCDB 2017 (full)'!$C:$C,'FCDB 2017 (full)'!$AZ:$AZ)*$H80/100,0)</f>
        <v>0</v>
      </c>
      <c r="BJ80" s="16">
        <f ca="1">IFERROR(_xlfn.XLOOKUP($F80,'FCDB 2017 (full)'!$C:$C,'FCDB 2017 (full)'!$BA:$BA)*$H80/100,0)</f>
        <v>0</v>
      </c>
      <c r="BK80" s="16">
        <f ca="1">IFERROR(_xlfn.XLOOKUP($F80,'FCDB 2017 (full)'!$C:$C,'FCDB 2017 (full)'!$BB:$BB)*$H80/100,0)</f>
        <v>0</v>
      </c>
      <c r="BL80" s="16">
        <f ca="1">IFERROR(_xlfn.XLOOKUP($F80,'FCDB 2017 (full)'!$C:$C,'FCDB 2017 (full)'!$BC:$BC)*$H80/100,0)</f>
        <v>0</v>
      </c>
      <c r="BM80" s="16">
        <f ca="1">IFERROR(_xlfn.XLOOKUP($F80,'FCDB 2017 (full)'!$C:$C,'FCDB 2017 (full)'!$BD:$BD)*$H80/100,0)</f>
        <v>0</v>
      </c>
      <c r="BN80" s="16">
        <f ca="1">IFERROR(_xlfn.XLOOKUP($F80,'FCDB 2017 (full)'!$C:$C,'FCDB 2017 (full)'!$BE:$BE)*$H80/100,0)</f>
        <v>0</v>
      </c>
      <c r="BO80" s="16">
        <f ca="1">IFERROR(_xlfn.XLOOKUP($F80,'FCDB 2017 (full)'!$C:$C,'FCDB 2017 (full)'!$BF:$BF)*$H80/100,0)</f>
        <v>0</v>
      </c>
      <c r="BP80" s="16">
        <f ca="1">IFERROR(_xlfn.XLOOKUP($F80,'FCDB 2017 (full)'!$C:$C,'FCDB 2017 (full)'!$BG:$BG)*$H80/100,0)</f>
        <v>0</v>
      </c>
      <c r="BQ80" s="16">
        <f ca="1">IFERROR(_xlfn.XLOOKUP($F80,'FCDB 2017 (full)'!$C:$C,'FCDB 2017 (full)'!$BH:$BH)*$H80/100,0)</f>
        <v>0</v>
      </c>
      <c r="BR80" s="16">
        <f ca="1">IFERROR(_xlfn.XLOOKUP($F80,'FCDB 2017 (full)'!$C:$C,'FCDB 2017 (full)'!$BI:$BI)*$H80/100,0)</f>
        <v>0</v>
      </c>
      <c r="BS80" s="16">
        <f ca="1">IFERROR(_xlfn.XLOOKUP($F80,'FCDB 2017 (full)'!$C:$C,'FCDB 2017 (full)'!$BJ:$BJ)*$H80/100,0)</f>
        <v>0</v>
      </c>
      <c r="BT80" s="16">
        <f ca="1">IFERROR(_xlfn.XLOOKUP($F80,'FCDB 2017 (full)'!$C:$C,'FCDB 2017 (full)'!$BK:$BK)*$H80/100,0)</f>
        <v>0</v>
      </c>
      <c r="BU80" s="16">
        <f ca="1">IFERROR(_xlfn.XLOOKUP($F80,'FCDB 2017 (full)'!$C:$C,'FCDB 2017 (full)'!$BL:$BL)*$H80/100,0)</f>
        <v>0</v>
      </c>
      <c r="BV80" s="16">
        <f ca="1">IFERROR(_xlfn.XLOOKUP($F80,'FCDB 2017 (full)'!$C:$C,'FCDB 2017 (full)'!$BM:$BM)*$H80/100,0)</f>
        <v>0</v>
      </c>
      <c r="BW80" s="16">
        <f ca="1">IFERROR(_xlfn.XLOOKUP($F80,'FCDB 2017 (full)'!$C:$C,'FCDB 2017 (full)'!$BN:$BN)*$H80/100,0)</f>
        <v>0</v>
      </c>
      <c r="BX80" s="16">
        <f ca="1">IFERROR(_xlfn.XLOOKUP($F80,'FCDB 2017 (full)'!$C:$C,'FCDB 2017 (full)'!$BO:$BO)*$H80/100,0)</f>
        <v>0</v>
      </c>
      <c r="BY80" s="16">
        <f ca="1">IFERROR(_xlfn.XLOOKUP($F80,'FCDB 2017 (full)'!$C:$C,'FCDB 2017 (full)'!$BP:$BP)*$H80/100,0)</f>
        <v>0</v>
      </c>
      <c r="BZ80" s="16">
        <f ca="1">IFERROR(_xlfn.XLOOKUP($F80,'FCDB 2017 (full)'!$C:$C,'FCDB 2017 (full)'!$BQ:$BQ)*$H80/100,0)</f>
        <v>0</v>
      </c>
      <c r="CA80" s="16">
        <f ca="1">IFERROR(_xlfn.XLOOKUP($F80,'FCDB 2017 (full)'!$C:$C,'FCDB 2017 (full)'!$BR:$BR)*$H80/100,0)</f>
        <v>0</v>
      </c>
      <c r="CB80" s="16">
        <f ca="1">IFERROR(_xlfn.XLOOKUP($F80,'FCDB 2017 (full)'!$C:$C,'FCDB 2017 (full)'!$BS:$BS)*$H80/100,0)</f>
        <v>0</v>
      </c>
      <c r="CC80" s="16">
        <f ca="1">IFERROR(_xlfn.XLOOKUP($F80,'FCDB 2017 (full)'!$C:$C,'FCDB 2017 (full)'!$BT:$BT)*$H80/100,0)</f>
        <v>0</v>
      </c>
      <c r="CD80" s="16">
        <f ca="1">IFERROR(_xlfn.XLOOKUP($F80,'FCDB 2017 (full)'!$C:$C,'FCDB 2017 (full)'!$BU:$BU)*$H80/100,0)</f>
        <v>0</v>
      </c>
      <c r="CE80" s="16">
        <f ca="1">IFERROR(_xlfn.XLOOKUP($F80,'FCDB 2017 (full)'!$C:$C,'FCDB 2017 (full)'!$BV:$BV)*$H80/100,0)</f>
        <v>0</v>
      </c>
      <c r="CF80" s="16">
        <f ca="1">IFERROR(_xlfn.XLOOKUP($F80,'FCDB 2017 (full)'!$C:$C,'FCDB 2017 (full)'!$BW:$BW)*$H80/100,0)</f>
        <v>0</v>
      </c>
      <c r="CG80" s="16">
        <f ca="1">IFERROR(_xlfn.XLOOKUP($F80,'FCDB 2017 (full)'!$C:$C,'FCDB 2017 (full)'!$BX:$BX)*$H80/100,0)</f>
        <v>0</v>
      </c>
      <c r="CH80" s="16">
        <f ca="1">IFERROR(_xlfn.XLOOKUP($F80,'FCDB 2017 (full)'!$C:$C,'FCDB 2017 (full)'!$BY:$BY)*$H80/100,0)</f>
        <v>0</v>
      </c>
      <c r="CI80" s="16">
        <f ca="1">IFERROR(_xlfn.XLOOKUP($F80,'FCDB 2017 (full)'!$C:$C,'FCDB 2017 (full)'!$BZ:$BZ)*$H80/100,0)</f>
        <v>0</v>
      </c>
      <c r="CJ80" s="16">
        <f ca="1">IFERROR(_xlfn.XLOOKUP($F80,'FCDB 2017 (full)'!$C:$C,'FCDB 2017 (full)'!$CA:$CA)*$H80/100,0)</f>
        <v>0</v>
      </c>
      <c r="CK80" s="16">
        <f ca="1">IFERROR(_xlfn.XLOOKUP($F80,'FCDB 2017 (full)'!$C:$C,'FCDB 2017 (full)'!$CB:$CB)*$H80/100,0)</f>
        <v>0</v>
      </c>
      <c r="CL80" s="16">
        <f ca="1">IFERROR(_xlfn.XLOOKUP($F80,'FCDB 2017 (full)'!$C:$C,'FCDB 2017 (full)'!$CC:$CC)*$H80/100,0)</f>
        <v>0</v>
      </c>
      <c r="CM80" s="16">
        <f ca="1">IFERROR(_xlfn.XLOOKUP($F80,'FCDB 2017 (full)'!$C:$C,'FCDB 2017 (full)'!$CD:$CD)*$H80/100,0)</f>
        <v>0</v>
      </c>
      <c r="CN80" s="16">
        <f ca="1">IFERROR(_xlfn.XLOOKUP($F80,'FCDB 2017 (full)'!$C:$C,'FCDB 2017 (full)'!$CE:$CE)*$H80/100,0)</f>
        <v>0</v>
      </c>
      <c r="CO80" s="16">
        <f ca="1">IFERROR(_xlfn.XLOOKUP($F80,'FCDB 2017 (full)'!$C:$C,'FCDB 2017 (full)'!$CF:$CF)*$H80/100,0)</f>
        <v>0</v>
      </c>
      <c r="CP80" s="16">
        <f ca="1">IFERROR(_xlfn.XLOOKUP($F80,'FCDB 2017 (full)'!$C:$C,'FCDB 2017 (full)'!$CG:$CG)*$H80/100,0)</f>
        <v>0</v>
      </c>
      <c r="CQ80" s="16">
        <f ca="1">IFERROR(_xlfn.XLOOKUP($F80,'FCDB 2017 (full)'!$C:$C,'FCDB 2017 (full)'!$CH:$CH)*$H80/100,0)</f>
        <v>0</v>
      </c>
      <c r="CR80" s="29"/>
      <c r="DA80" s="72" t="s">
        <v>980</v>
      </c>
    </row>
    <row r="81" spans="4:105" s="28" customFormat="1">
      <c r="D81" s="29"/>
      <c r="E81" s="29"/>
      <c r="F81" s="11">
        <f>IFERROR(VLOOKUP($D$53,$D:$AE,27,0),0)</f>
        <v>0</v>
      </c>
      <c r="G81" s="7" cm="1">
        <f t="array" ref="G81">IF(F81=0,0,IF(_xlfn.XLOOKUP(F81,$E$53:$AE$53,$E$54:$AE$54)=0,"Nhập ĐV/TV",_xlfn.XLOOKUP(F81,$E$53:$AE$53,$E$54:$AE$54)))</f>
        <v>0</v>
      </c>
      <c r="H81" s="8">
        <f t="shared" si="14"/>
        <v>0</v>
      </c>
      <c r="I81" s="9">
        <f ca="1">IFERROR(_xlfn.XLOOKUP($F81,'FCDB 2017 (full)'!$C:$C,'FCDB 2017 (full)'!$E:$E),0)</f>
        <v>0</v>
      </c>
      <c r="J81" s="10">
        <f t="shared" ca="1" si="15"/>
        <v>0</v>
      </c>
      <c r="K81" s="9">
        <f ca="1">IFERROR(_xlfn.XLOOKUP($F81,'FCDB 2017 (full)'!$C:$C,'FCDB 2017 (full)'!$G:$G),0)</f>
        <v>0</v>
      </c>
      <c r="L81" s="13">
        <f t="shared" si="16"/>
        <v>0</v>
      </c>
      <c r="M81" s="13">
        <f t="shared" si="10"/>
        <v>0</v>
      </c>
      <c r="N81" s="9">
        <f ca="1">IFERROR(_xlfn.XLOOKUP($F81,'FCDB 2017 (full)'!$C:$C,'FCDB 2017 (full)'!$H:$H),0)</f>
        <v>0</v>
      </c>
      <c r="O81" s="14">
        <f t="shared" si="11"/>
        <v>0</v>
      </c>
      <c r="P81" s="14">
        <f t="shared" si="12"/>
        <v>0</v>
      </c>
      <c r="Q81" s="9">
        <f ca="1">IFERROR(_xlfn.XLOOKUP($F81,'FCDB 2017 (full)'!$C:$C,'FCDB 2017 (full)'!$I:$I),0)</f>
        <v>0</v>
      </c>
      <c r="R81" s="15">
        <f t="shared" ca="1" si="13"/>
        <v>0</v>
      </c>
      <c r="S81" s="16">
        <f ca="1">IFERROR(_xlfn.XLOOKUP($F81,'FCDB 2017 (full)'!$C:$C,'FCDB 2017 (full)'!$J:$J)*$H81/100,0)</f>
        <v>0</v>
      </c>
      <c r="T81" s="16">
        <f ca="1">IFERROR(_xlfn.XLOOKUP($F81,'FCDB 2017 (full)'!$C:$C,'FCDB 2017 (full)'!$K:$K)*$H81/100,0)</f>
        <v>0</v>
      </c>
      <c r="U81" s="16">
        <f ca="1">IFERROR(_xlfn.XLOOKUP($F81,'FCDB 2017 (full)'!$C:$C,'FCDB 2017 (full)'!$L:$L)*$H81/100,0)</f>
        <v>0</v>
      </c>
      <c r="V81" s="16">
        <f ca="1">IFERROR(_xlfn.XLOOKUP($F81,'FCDB 2017 (full)'!$C:$C,'FCDB 2017 (full)'!$M:$M)*$H81/100,0)</f>
        <v>0</v>
      </c>
      <c r="W81" s="16">
        <f ca="1">IFERROR(_xlfn.XLOOKUP($F81,'FCDB 2017 (full)'!$C:$C,'FCDB 2017 (full)'!$N:$N)*$H81/100,0)</f>
        <v>0</v>
      </c>
      <c r="X81" s="16">
        <f ca="1">IFERROR(_xlfn.XLOOKUP($F81,'FCDB 2017 (full)'!$C:$C,'FCDB 2017 (full)'!$O:$O)*$H81/100,0)</f>
        <v>0</v>
      </c>
      <c r="Y81" s="16">
        <f ca="1">IFERROR(_xlfn.XLOOKUP($F81,'FCDB 2017 (full)'!$C:$C,'FCDB 2017 (full)'!$P:$P)*$H81/100,0)</f>
        <v>0</v>
      </c>
      <c r="Z81" s="16">
        <f ca="1">IFERROR(_xlfn.XLOOKUP($F81,'FCDB 2017 (full)'!$C:$C,'FCDB 2017 (full)'!$Q:$Q)*$H81/100,0)</f>
        <v>0</v>
      </c>
      <c r="AA81" s="16">
        <f ca="1">IFERROR(_xlfn.XLOOKUP($F81,'FCDB 2017 (full)'!$C:$C,'FCDB 2017 (full)'!$R:$R)*$H81/100,0)</f>
        <v>0</v>
      </c>
      <c r="AB81" s="16">
        <f ca="1">IFERROR(_xlfn.XLOOKUP($F81,'FCDB 2017 (full)'!$C:$C,'FCDB 2017 (full)'!$S:$S)*$H81/100,0)</f>
        <v>0</v>
      </c>
      <c r="AC81" s="16">
        <f ca="1">IFERROR(_xlfn.XLOOKUP($F81,'FCDB 2017 (full)'!$C:$C,'FCDB 2017 (full)'!$T:$T)*$H81/100,0)</f>
        <v>0</v>
      </c>
      <c r="AD81" s="16">
        <f ca="1">IFERROR(_xlfn.XLOOKUP($F81,'FCDB 2017 (full)'!$C:$C,'FCDB 2017 (full)'!$U:$U)*$H81/100,0)</f>
        <v>0</v>
      </c>
      <c r="AE81" s="16">
        <f ca="1">IFERROR(_xlfn.XLOOKUP($F81,'FCDB 2017 (full)'!$C:$C,'FCDB 2017 (full)'!$V:$V)*$H81/100,0)</f>
        <v>0</v>
      </c>
      <c r="AF81" s="16">
        <f ca="1">IFERROR(_xlfn.XLOOKUP($F81,'FCDB 2017 (full)'!$C:$C,'FCDB 2017 (full)'!$W:$W)*$H81/100,0)</f>
        <v>0</v>
      </c>
      <c r="AG81" s="16">
        <f ca="1">IFERROR(_xlfn.XLOOKUP($F81,'FCDB 2017 (full)'!$C:$C,'FCDB 2017 (full)'!$X:$X)*$H81/100,0)</f>
        <v>0</v>
      </c>
      <c r="AH81" s="16">
        <f ca="1">IFERROR(_xlfn.XLOOKUP($F81,'FCDB 2017 (full)'!$C:$C,'FCDB 2017 (full)'!$Y:$Y)*$H81/100,0)</f>
        <v>0</v>
      </c>
      <c r="AI81" s="16">
        <f ca="1">IFERROR(_xlfn.XLOOKUP($F81,'FCDB 2017 (full)'!$C:$C,'FCDB 2017 (full)'!$Z:$Z)*$H81/100,0)</f>
        <v>0</v>
      </c>
      <c r="AJ81" s="16">
        <f ca="1">IFERROR(_xlfn.XLOOKUP($F81,'FCDB 2017 (full)'!$C:$C,'FCDB 2017 (full)'!$AA:$AA)*$H81/100,0)</f>
        <v>0</v>
      </c>
      <c r="AK81" s="16">
        <f ca="1">IFERROR(_xlfn.XLOOKUP($F81,'FCDB 2017 (full)'!$C:$C,'FCDB 2017 (full)'!$AB:$AB)*$H81/100,0)</f>
        <v>0</v>
      </c>
      <c r="AL81" s="16">
        <f ca="1">IFERROR(_xlfn.XLOOKUP($F81,'FCDB 2017 (full)'!$C:$C,'FCDB 2017 (full)'!$AC:$AC)*$H81/100,0)</f>
        <v>0</v>
      </c>
      <c r="AM81" s="16">
        <f ca="1">IFERROR(_xlfn.XLOOKUP($F81,'FCDB 2017 (full)'!$C:$C,'FCDB 2017 (full)'!$AD:$AD)*$H81/100,0)</f>
        <v>0</v>
      </c>
      <c r="AN81" s="16">
        <f ca="1">IFERROR(_xlfn.XLOOKUP($F81,'FCDB 2017 (full)'!$C:$C,'FCDB 2017 (full)'!$AE:$AE)*$H81/100,0)</f>
        <v>0</v>
      </c>
      <c r="AO81" s="16">
        <f ca="1">IFERROR(_xlfn.XLOOKUP($F81,'FCDB 2017 (full)'!$C:$C,'FCDB 2017 (full)'!$AF:$AF)*$H81/100,0)</f>
        <v>0</v>
      </c>
      <c r="AP81" s="16">
        <f ca="1">IFERROR(_xlfn.XLOOKUP($F81,'FCDB 2017 (full)'!$C:$C,'FCDB 2017 (full)'!$AG:$AG)*$H81/100,0)</f>
        <v>0</v>
      </c>
      <c r="AQ81" s="16">
        <f ca="1">IFERROR(_xlfn.XLOOKUP($F81,'FCDB 2017 (full)'!$C:$C,'FCDB 2017 (full)'!$AH:$AH)*$H81/100,0)</f>
        <v>0</v>
      </c>
      <c r="AR81" s="16">
        <f ca="1">IFERROR(_xlfn.XLOOKUP($F81,'FCDB 2017 (full)'!$C:$C,'FCDB 2017 (full)'!$AI:$AI)*$H81/100,0)</f>
        <v>0</v>
      </c>
      <c r="AS81" s="16">
        <f ca="1">IFERROR(_xlfn.XLOOKUP($F81,'FCDB 2017 (full)'!$C:$C,'FCDB 2017 (full)'!$AJ:$AJ)*$H81/100,0)</f>
        <v>0</v>
      </c>
      <c r="AT81" s="16">
        <f ca="1">IFERROR(_xlfn.XLOOKUP($F81,'FCDB 2017 (full)'!$C:$C,'FCDB 2017 (full)'!$AK:$AK)*$H81/100,0)</f>
        <v>0</v>
      </c>
      <c r="AU81" s="16">
        <f ca="1">IFERROR(_xlfn.XLOOKUP($F81,'FCDB 2017 (full)'!$C:$C,'FCDB 2017 (full)'!$AK:$AK)*$H81/100,0)</f>
        <v>0</v>
      </c>
      <c r="AV81" s="16">
        <f ca="1">IFERROR(_xlfn.XLOOKUP($F81,'FCDB 2017 (full)'!$C:$C,'FCDB 2017 (full)'!$AM:$AM)*$H81/100,0)</f>
        <v>0</v>
      </c>
      <c r="AW81" s="16">
        <f ca="1">IFERROR(_xlfn.XLOOKUP($F81,'FCDB 2017 (full)'!$C:$C,'FCDB 2017 (full)'!$AN:$AN)*$H81/100,0)</f>
        <v>0</v>
      </c>
      <c r="AX81" s="16">
        <f ca="1">IFERROR(_xlfn.XLOOKUP($F81,'FCDB 2017 (full)'!$C:$C,'FCDB 2017 (full)'!$AO:$AO)*$H81/100,0)</f>
        <v>0</v>
      </c>
      <c r="AY81" s="16">
        <f ca="1">IFERROR(_xlfn.XLOOKUP($F81,'FCDB 2017 (full)'!$C:$C,'FCDB 2017 (full)'!$AP:$AP)*$H81/100,0)</f>
        <v>0</v>
      </c>
      <c r="AZ81" s="16">
        <f ca="1">IFERROR(_xlfn.XLOOKUP($F81,'FCDB 2017 (full)'!$C:$C,'FCDB 2017 (full)'!$AQ:$AQ)*$H81/100,0)</f>
        <v>0</v>
      </c>
      <c r="BA81" s="16">
        <f ca="1">IFERROR(_xlfn.XLOOKUP($F81,'FCDB 2017 (full)'!$C:$C,'FCDB 2017 (full)'!$AR:$AR)*$H81/100,0)</f>
        <v>0</v>
      </c>
      <c r="BB81" s="16">
        <f ca="1">IFERROR(_xlfn.XLOOKUP($F81,'FCDB 2017 (full)'!$C:$C,'FCDB 2017 (full)'!$AS:$AS)*$H81/100,0)</f>
        <v>0</v>
      </c>
      <c r="BC81" s="16">
        <f ca="1">IFERROR(_xlfn.XLOOKUP($F81,'FCDB 2017 (full)'!$C:$C,'FCDB 2017 (full)'!$AT:$AT)*$H81/100,0)</f>
        <v>0</v>
      </c>
      <c r="BD81" s="16">
        <f ca="1">IFERROR(_xlfn.XLOOKUP($F81,'FCDB 2017 (full)'!$C:$C,'FCDB 2017 (full)'!$AU:$AU)*$H81/100,0)</f>
        <v>0</v>
      </c>
      <c r="BE81" s="16">
        <f ca="1">IFERROR(_xlfn.XLOOKUP($F81,'FCDB 2017 (full)'!$C:$C,'FCDB 2017 (full)'!$AV:$AV)*$H81/100,0)</f>
        <v>0</v>
      </c>
      <c r="BF81" s="16">
        <f ca="1">IFERROR(_xlfn.XLOOKUP($F81,'FCDB 2017 (full)'!$C:$C,'FCDB 2017 (full)'!$AW:$AW)*$H81/100,0)</f>
        <v>0</v>
      </c>
      <c r="BG81" s="16">
        <f ca="1">IFERROR(_xlfn.XLOOKUP($F81,'FCDB 2017 (full)'!$C:$C,'FCDB 2017 (full)'!$AX:$AX)*$H81/100,0)</f>
        <v>0</v>
      </c>
      <c r="BH81" s="16">
        <f ca="1">IFERROR(_xlfn.XLOOKUP($F81,'FCDB 2017 (full)'!$C:$C,'FCDB 2017 (full)'!$AY:$AY)*$H81/100,0)</f>
        <v>0</v>
      </c>
      <c r="BI81" s="16">
        <f ca="1">IFERROR(_xlfn.XLOOKUP($F81,'FCDB 2017 (full)'!$C:$C,'FCDB 2017 (full)'!$AZ:$AZ)*$H81/100,0)</f>
        <v>0</v>
      </c>
      <c r="BJ81" s="16">
        <f ca="1">IFERROR(_xlfn.XLOOKUP($F81,'FCDB 2017 (full)'!$C:$C,'FCDB 2017 (full)'!$BA:$BA)*$H81/100,0)</f>
        <v>0</v>
      </c>
      <c r="BK81" s="16">
        <f ca="1">IFERROR(_xlfn.XLOOKUP($F81,'FCDB 2017 (full)'!$C:$C,'FCDB 2017 (full)'!$BB:$BB)*$H81/100,0)</f>
        <v>0</v>
      </c>
      <c r="BL81" s="16">
        <f ca="1">IFERROR(_xlfn.XLOOKUP($F81,'FCDB 2017 (full)'!$C:$C,'FCDB 2017 (full)'!$BC:$BC)*$H81/100,0)</f>
        <v>0</v>
      </c>
      <c r="BM81" s="16">
        <f ca="1">IFERROR(_xlfn.XLOOKUP($F81,'FCDB 2017 (full)'!$C:$C,'FCDB 2017 (full)'!$BD:$BD)*$H81/100,0)</f>
        <v>0</v>
      </c>
      <c r="BN81" s="16">
        <f ca="1">IFERROR(_xlfn.XLOOKUP($F81,'FCDB 2017 (full)'!$C:$C,'FCDB 2017 (full)'!$BE:$BE)*$H81/100,0)</f>
        <v>0</v>
      </c>
      <c r="BO81" s="16">
        <f ca="1">IFERROR(_xlfn.XLOOKUP($F81,'FCDB 2017 (full)'!$C:$C,'FCDB 2017 (full)'!$BF:$BF)*$H81/100,0)</f>
        <v>0</v>
      </c>
      <c r="BP81" s="16">
        <f ca="1">IFERROR(_xlfn.XLOOKUP($F81,'FCDB 2017 (full)'!$C:$C,'FCDB 2017 (full)'!$BG:$BG)*$H81/100,0)</f>
        <v>0</v>
      </c>
      <c r="BQ81" s="16">
        <f ca="1">IFERROR(_xlfn.XLOOKUP($F81,'FCDB 2017 (full)'!$C:$C,'FCDB 2017 (full)'!$BH:$BH)*$H81/100,0)</f>
        <v>0</v>
      </c>
      <c r="BR81" s="16">
        <f ca="1">IFERROR(_xlfn.XLOOKUP($F81,'FCDB 2017 (full)'!$C:$C,'FCDB 2017 (full)'!$BI:$BI)*$H81/100,0)</f>
        <v>0</v>
      </c>
      <c r="BS81" s="16">
        <f ca="1">IFERROR(_xlfn.XLOOKUP($F81,'FCDB 2017 (full)'!$C:$C,'FCDB 2017 (full)'!$BJ:$BJ)*$H81/100,0)</f>
        <v>0</v>
      </c>
      <c r="BT81" s="16">
        <f ca="1">IFERROR(_xlfn.XLOOKUP($F81,'FCDB 2017 (full)'!$C:$C,'FCDB 2017 (full)'!$BK:$BK)*$H81/100,0)</f>
        <v>0</v>
      </c>
      <c r="BU81" s="16">
        <f ca="1">IFERROR(_xlfn.XLOOKUP($F81,'FCDB 2017 (full)'!$C:$C,'FCDB 2017 (full)'!$BL:$BL)*$H81/100,0)</f>
        <v>0</v>
      </c>
      <c r="BV81" s="16">
        <f ca="1">IFERROR(_xlfn.XLOOKUP($F81,'FCDB 2017 (full)'!$C:$C,'FCDB 2017 (full)'!$BM:$BM)*$H81/100,0)</f>
        <v>0</v>
      </c>
      <c r="BW81" s="16">
        <f ca="1">IFERROR(_xlfn.XLOOKUP($F81,'FCDB 2017 (full)'!$C:$C,'FCDB 2017 (full)'!$BN:$BN)*$H81/100,0)</f>
        <v>0</v>
      </c>
      <c r="BX81" s="16">
        <f ca="1">IFERROR(_xlfn.XLOOKUP($F81,'FCDB 2017 (full)'!$C:$C,'FCDB 2017 (full)'!$BO:$BO)*$H81/100,0)</f>
        <v>0</v>
      </c>
      <c r="BY81" s="16">
        <f ca="1">IFERROR(_xlfn.XLOOKUP($F81,'FCDB 2017 (full)'!$C:$C,'FCDB 2017 (full)'!$BP:$BP)*$H81/100,0)</f>
        <v>0</v>
      </c>
      <c r="BZ81" s="16">
        <f ca="1">IFERROR(_xlfn.XLOOKUP($F81,'FCDB 2017 (full)'!$C:$C,'FCDB 2017 (full)'!$BQ:$BQ)*$H81/100,0)</f>
        <v>0</v>
      </c>
      <c r="CA81" s="16">
        <f ca="1">IFERROR(_xlfn.XLOOKUP($F81,'FCDB 2017 (full)'!$C:$C,'FCDB 2017 (full)'!$BR:$BR)*$H81/100,0)</f>
        <v>0</v>
      </c>
      <c r="CB81" s="16">
        <f ca="1">IFERROR(_xlfn.XLOOKUP($F81,'FCDB 2017 (full)'!$C:$C,'FCDB 2017 (full)'!$BS:$BS)*$H81/100,0)</f>
        <v>0</v>
      </c>
      <c r="CC81" s="16">
        <f ca="1">IFERROR(_xlfn.XLOOKUP($F81,'FCDB 2017 (full)'!$C:$C,'FCDB 2017 (full)'!$BT:$BT)*$H81/100,0)</f>
        <v>0</v>
      </c>
      <c r="CD81" s="16">
        <f ca="1">IFERROR(_xlfn.XLOOKUP($F81,'FCDB 2017 (full)'!$C:$C,'FCDB 2017 (full)'!$BU:$BU)*$H81/100,0)</f>
        <v>0</v>
      </c>
      <c r="CE81" s="16">
        <f ca="1">IFERROR(_xlfn.XLOOKUP($F81,'FCDB 2017 (full)'!$C:$C,'FCDB 2017 (full)'!$BV:$BV)*$H81/100,0)</f>
        <v>0</v>
      </c>
      <c r="CF81" s="16">
        <f ca="1">IFERROR(_xlfn.XLOOKUP($F81,'FCDB 2017 (full)'!$C:$C,'FCDB 2017 (full)'!$BW:$BW)*$H81/100,0)</f>
        <v>0</v>
      </c>
      <c r="CG81" s="16">
        <f ca="1">IFERROR(_xlfn.XLOOKUP($F81,'FCDB 2017 (full)'!$C:$C,'FCDB 2017 (full)'!$BX:$BX)*$H81/100,0)</f>
        <v>0</v>
      </c>
      <c r="CH81" s="16">
        <f ca="1">IFERROR(_xlfn.XLOOKUP($F81,'FCDB 2017 (full)'!$C:$C,'FCDB 2017 (full)'!$BY:$BY)*$H81/100,0)</f>
        <v>0</v>
      </c>
      <c r="CI81" s="16">
        <f ca="1">IFERROR(_xlfn.XLOOKUP($F81,'FCDB 2017 (full)'!$C:$C,'FCDB 2017 (full)'!$BZ:$BZ)*$H81/100,0)</f>
        <v>0</v>
      </c>
      <c r="CJ81" s="16">
        <f ca="1">IFERROR(_xlfn.XLOOKUP($F81,'FCDB 2017 (full)'!$C:$C,'FCDB 2017 (full)'!$CA:$CA)*$H81/100,0)</f>
        <v>0</v>
      </c>
      <c r="CK81" s="16">
        <f ca="1">IFERROR(_xlfn.XLOOKUP($F81,'FCDB 2017 (full)'!$C:$C,'FCDB 2017 (full)'!$CB:$CB)*$H81/100,0)</f>
        <v>0</v>
      </c>
      <c r="CL81" s="16">
        <f ca="1">IFERROR(_xlfn.XLOOKUP($F81,'FCDB 2017 (full)'!$C:$C,'FCDB 2017 (full)'!$CC:$CC)*$H81/100,0)</f>
        <v>0</v>
      </c>
      <c r="CM81" s="16">
        <f ca="1">IFERROR(_xlfn.XLOOKUP($F81,'FCDB 2017 (full)'!$C:$C,'FCDB 2017 (full)'!$CD:$CD)*$H81/100,0)</f>
        <v>0</v>
      </c>
      <c r="CN81" s="16">
        <f ca="1">IFERROR(_xlfn.XLOOKUP($F81,'FCDB 2017 (full)'!$C:$C,'FCDB 2017 (full)'!$CE:$CE)*$H81/100,0)</f>
        <v>0</v>
      </c>
      <c r="CO81" s="16">
        <f ca="1">IFERROR(_xlfn.XLOOKUP($F81,'FCDB 2017 (full)'!$C:$C,'FCDB 2017 (full)'!$CF:$CF)*$H81/100,0)</f>
        <v>0</v>
      </c>
      <c r="CP81" s="16">
        <f ca="1">IFERROR(_xlfn.XLOOKUP($F81,'FCDB 2017 (full)'!$C:$C,'FCDB 2017 (full)'!$CG:$CG)*$H81/100,0)</f>
        <v>0</v>
      </c>
      <c r="CQ81" s="16">
        <f ca="1">IFERROR(_xlfn.XLOOKUP($F81,'FCDB 2017 (full)'!$C:$C,'FCDB 2017 (full)'!$CH:$CH)*$H81/100,0)</f>
        <v>0</v>
      </c>
      <c r="CR81" s="29"/>
      <c r="DA81" s="72" t="s">
        <v>980</v>
      </c>
    </row>
    <row r="82" spans="4:105" s="28" customFormat="1">
      <c r="D82" s="29"/>
      <c r="E82" s="29"/>
      <c r="F82" s="11">
        <f>IFERROR(VLOOKUP($D$53,$D:$AE,28,0),0)</f>
        <v>0</v>
      </c>
      <c r="G82" s="7" cm="1">
        <f t="array" ref="G82">IF(F82=0,0,IF(_xlfn.XLOOKUP(F82,$E$53:$AE$53,$E$54:$AE$54)=0,"Nhập ĐV/TV",_xlfn.XLOOKUP(F82,$E$53:$AE$53,$E$54:$AE$54)))</f>
        <v>0</v>
      </c>
      <c r="H82" s="8">
        <f t="shared" si="14"/>
        <v>0</v>
      </c>
      <c r="I82" s="9">
        <f ca="1">IFERROR(_xlfn.XLOOKUP($F82,'FCDB 2017 (full)'!$C:$C,'FCDB 2017 (full)'!$E:$E),0)</f>
        <v>0</v>
      </c>
      <c r="J82" s="10">
        <f t="shared" ca="1" si="15"/>
        <v>0</v>
      </c>
      <c r="K82" s="9">
        <f ca="1">IFERROR(_xlfn.XLOOKUP($F82,'FCDB 2017 (full)'!$C:$C,'FCDB 2017 (full)'!$G:$G),0)</f>
        <v>0</v>
      </c>
      <c r="L82" s="13">
        <f t="shared" si="16"/>
        <v>0</v>
      </c>
      <c r="M82" s="13">
        <f t="shared" si="10"/>
        <v>0</v>
      </c>
      <c r="N82" s="9">
        <f ca="1">IFERROR(_xlfn.XLOOKUP($F82,'FCDB 2017 (full)'!$C:$C,'FCDB 2017 (full)'!$H:$H),0)</f>
        <v>0</v>
      </c>
      <c r="O82" s="14">
        <f t="shared" si="11"/>
        <v>0</v>
      </c>
      <c r="P82" s="14">
        <f t="shared" si="12"/>
        <v>0</v>
      </c>
      <c r="Q82" s="9">
        <f ca="1">IFERROR(_xlfn.XLOOKUP($F82,'FCDB 2017 (full)'!$C:$C,'FCDB 2017 (full)'!$I:$I),0)</f>
        <v>0</v>
      </c>
      <c r="R82" s="15">
        <f t="shared" ca="1" si="13"/>
        <v>0</v>
      </c>
      <c r="S82" s="16">
        <f ca="1">IFERROR(_xlfn.XLOOKUP($F82,'FCDB 2017 (full)'!$C:$C,'FCDB 2017 (full)'!$J:$J)*$H82/100,0)</f>
        <v>0</v>
      </c>
      <c r="T82" s="16">
        <f ca="1">IFERROR(_xlfn.XLOOKUP($F82,'FCDB 2017 (full)'!$C:$C,'FCDB 2017 (full)'!$K:$K)*$H82/100,0)</f>
        <v>0</v>
      </c>
      <c r="U82" s="16">
        <f ca="1">IFERROR(_xlfn.XLOOKUP($F82,'FCDB 2017 (full)'!$C:$C,'FCDB 2017 (full)'!$L:$L)*$H82/100,0)</f>
        <v>0</v>
      </c>
      <c r="V82" s="16">
        <f ca="1">IFERROR(_xlfn.XLOOKUP($F82,'FCDB 2017 (full)'!$C:$C,'FCDB 2017 (full)'!$M:$M)*$H82/100,0)</f>
        <v>0</v>
      </c>
      <c r="W82" s="16">
        <f ca="1">IFERROR(_xlfn.XLOOKUP($F82,'FCDB 2017 (full)'!$C:$C,'FCDB 2017 (full)'!$N:$N)*$H82/100,0)</f>
        <v>0</v>
      </c>
      <c r="X82" s="16">
        <f ca="1">IFERROR(_xlfn.XLOOKUP($F82,'FCDB 2017 (full)'!$C:$C,'FCDB 2017 (full)'!$O:$O)*$H82/100,0)</f>
        <v>0</v>
      </c>
      <c r="Y82" s="16">
        <f ca="1">IFERROR(_xlfn.XLOOKUP($F82,'FCDB 2017 (full)'!$C:$C,'FCDB 2017 (full)'!$P:$P)*$H82/100,0)</f>
        <v>0</v>
      </c>
      <c r="Z82" s="16">
        <f ca="1">IFERROR(_xlfn.XLOOKUP($F82,'FCDB 2017 (full)'!$C:$C,'FCDB 2017 (full)'!$Q:$Q)*$H82/100,0)</f>
        <v>0</v>
      </c>
      <c r="AA82" s="16">
        <f ca="1">IFERROR(_xlfn.XLOOKUP($F82,'FCDB 2017 (full)'!$C:$C,'FCDB 2017 (full)'!$R:$R)*$H82/100,0)</f>
        <v>0</v>
      </c>
      <c r="AB82" s="16">
        <f ca="1">IFERROR(_xlfn.XLOOKUP($F82,'FCDB 2017 (full)'!$C:$C,'FCDB 2017 (full)'!$S:$S)*$H82/100,0)</f>
        <v>0</v>
      </c>
      <c r="AC82" s="16">
        <f ca="1">IFERROR(_xlfn.XLOOKUP($F82,'FCDB 2017 (full)'!$C:$C,'FCDB 2017 (full)'!$T:$T)*$H82/100,0)</f>
        <v>0</v>
      </c>
      <c r="AD82" s="16">
        <f ca="1">IFERROR(_xlfn.XLOOKUP($F82,'FCDB 2017 (full)'!$C:$C,'FCDB 2017 (full)'!$U:$U)*$H82/100,0)</f>
        <v>0</v>
      </c>
      <c r="AE82" s="16">
        <f ca="1">IFERROR(_xlfn.XLOOKUP($F82,'FCDB 2017 (full)'!$C:$C,'FCDB 2017 (full)'!$V:$V)*$H82/100,0)</f>
        <v>0</v>
      </c>
      <c r="AF82" s="16">
        <f ca="1">IFERROR(_xlfn.XLOOKUP($F82,'FCDB 2017 (full)'!$C:$C,'FCDB 2017 (full)'!$W:$W)*$H82/100,0)</f>
        <v>0</v>
      </c>
      <c r="AG82" s="16">
        <f ca="1">IFERROR(_xlfn.XLOOKUP($F82,'FCDB 2017 (full)'!$C:$C,'FCDB 2017 (full)'!$X:$X)*$H82/100,0)</f>
        <v>0</v>
      </c>
      <c r="AH82" s="16">
        <f ca="1">IFERROR(_xlfn.XLOOKUP($F82,'FCDB 2017 (full)'!$C:$C,'FCDB 2017 (full)'!$Y:$Y)*$H82/100,0)</f>
        <v>0</v>
      </c>
      <c r="AI82" s="16">
        <f ca="1">IFERROR(_xlfn.XLOOKUP($F82,'FCDB 2017 (full)'!$C:$C,'FCDB 2017 (full)'!$Z:$Z)*$H82/100,0)</f>
        <v>0</v>
      </c>
      <c r="AJ82" s="16">
        <f ca="1">IFERROR(_xlfn.XLOOKUP($F82,'FCDB 2017 (full)'!$C:$C,'FCDB 2017 (full)'!$AA:$AA)*$H82/100,0)</f>
        <v>0</v>
      </c>
      <c r="AK82" s="16">
        <f ca="1">IFERROR(_xlfn.XLOOKUP($F82,'FCDB 2017 (full)'!$C:$C,'FCDB 2017 (full)'!$AB:$AB)*$H82/100,0)</f>
        <v>0</v>
      </c>
      <c r="AL82" s="16">
        <f ca="1">IFERROR(_xlfn.XLOOKUP($F82,'FCDB 2017 (full)'!$C:$C,'FCDB 2017 (full)'!$AC:$AC)*$H82/100,0)</f>
        <v>0</v>
      </c>
      <c r="AM82" s="16">
        <f ca="1">IFERROR(_xlfn.XLOOKUP($F82,'FCDB 2017 (full)'!$C:$C,'FCDB 2017 (full)'!$AD:$AD)*$H82/100,0)</f>
        <v>0</v>
      </c>
      <c r="AN82" s="16">
        <f ca="1">IFERROR(_xlfn.XLOOKUP($F82,'FCDB 2017 (full)'!$C:$C,'FCDB 2017 (full)'!$AE:$AE)*$H82/100,0)</f>
        <v>0</v>
      </c>
      <c r="AO82" s="16">
        <f ca="1">IFERROR(_xlfn.XLOOKUP($F82,'FCDB 2017 (full)'!$C:$C,'FCDB 2017 (full)'!$AF:$AF)*$H82/100,0)</f>
        <v>0</v>
      </c>
      <c r="AP82" s="16">
        <f ca="1">IFERROR(_xlfn.XLOOKUP($F82,'FCDB 2017 (full)'!$C:$C,'FCDB 2017 (full)'!$AG:$AG)*$H82/100,0)</f>
        <v>0</v>
      </c>
      <c r="AQ82" s="16">
        <f ca="1">IFERROR(_xlfn.XLOOKUP($F82,'FCDB 2017 (full)'!$C:$C,'FCDB 2017 (full)'!$AH:$AH)*$H82/100,0)</f>
        <v>0</v>
      </c>
      <c r="AR82" s="16">
        <f ca="1">IFERROR(_xlfn.XLOOKUP($F82,'FCDB 2017 (full)'!$C:$C,'FCDB 2017 (full)'!$AI:$AI)*$H82/100,0)</f>
        <v>0</v>
      </c>
      <c r="AS82" s="16">
        <f ca="1">IFERROR(_xlfn.XLOOKUP($F82,'FCDB 2017 (full)'!$C:$C,'FCDB 2017 (full)'!$AJ:$AJ)*$H82/100,0)</f>
        <v>0</v>
      </c>
      <c r="AT82" s="16">
        <f ca="1">IFERROR(_xlfn.XLOOKUP($F82,'FCDB 2017 (full)'!$C:$C,'FCDB 2017 (full)'!$AK:$AK)*$H82/100,0)</f>
        <v>0</v>
      </c>
      <c r="AU82" s="16">
        <f ca="1">IFERROR(_xlfn.XLOOKUP($F82,'FCDB 2017 (full)'!$C:$C,'FCDB 2017 (full)'!$AK:$AK)*$H82/100,0)</f>
        <v>0</v>
      </c>
      <c r="AV82" s="16">
        <f ca="1">IFERROR(_xlfn.XLOOKUP($F82,'FCDB 2017 (full)'!$C:$C,'FCDB 2017 (full)'!$AM:$AM)*$H82/100,0)</f>
        <v>0</v>
      </c>
      <c r="AW82" s="16">
        <f ca="1">IFERROR(_xlfn.XLOOKUP($F82,'FCDB 2017 (full)'!$C:$C,'FCDB 2017 (full)'!$AN:$AN)*$H82/100,0)</f>
        <v>0</v>
      </c>
      <c r="AX82" s="16">
        <f ca="1">IFERROR(_xlfn.XLOOKUP($F82,'FCDB 2017 (full)'!$C:$C,'FCDB 2017 (full)'!$AO:$AO)*$H82/100,0)</f>
        <v>0</v>
      </c>
      <c r="AY82" s="16">
        <f ca="1">IFERROR(_xlfn.XLOOKUP($F82,'FCDB 2017 (full)'!$C:$C,'FCDB 2017 (full)'!$AP:$AP)*$H82/100,0)</f>
        <v>0</v>
      </c>
      <c r="AZ82" s="16">
        <f ca="1">IFERROR(_xlfn.XLOOKUP($F82,'FCDB 2017 (full)'!$C:$C,'FCDB 2017 (full)'!$AQ:$AQ)*$H82/100,0)</f>
        <v>0</v>
      </c>
      <c r="BA82" s="16">
        <f ca="1">IFERROR(_xlfn.XLOOKUP($F82,'FCDB 2017 (full)'!$C:$C,'FCDB 2017 (full)'!$AR:$AR)*$H82/100,0)</f>
        <v>0</v>
      </c>
      <c r="BB82" s="16">
        <f ca="1">IFERROR(_xlfn.XLOOKUP($F82,'FCDB 2017 (full)'!$C:$C,'FCDB 2017 (full)'!$AS:$AS)*$H82/100,0)</f>
        <v>0</v>
      </c>
      <c r="BC82" s="16">
        <f ca="1">IFERROR(_xlfn.XLOOKUP($F82,'FCDB 2017 (full)'!$C:$C,'FCDB 2017 (full)'!$AT:$AT)*$H82/100,0)</f>
        <v>0</v>
      </c>
      <c r="BD82" s="16">
        <f ca="1">IFERROR(_xlfn.XLOOKUP($F82,'FCDB 2017 (full)'!$C:$C,'FCDB 2017 (full)'!$AU:$AU)*$H82/100,0)</f>
        <v>0</v>
      </c>
      <c r="BE82" s="16">
        <f ca="1">IFERROR(_xlfn.XLOOKUP($F82,'FCDB 2017 (full)'!$C:$C,'FCDB 2017 (full)'!$AV:$AV)*$H82/100,0)</f>
        <v>0</v>
      </c>
      <c r="BF82" s="16">
        <f ca="1">IFERROR(_xlfn.XLOOKUP($F82,'FCDB 2017 (full)'!$C:$C,'FCDB 2017 (full)'!$AW:$AW)*$H82/100,0)</f>
        <v>0</v>
      </c>
      <c r="BG82" s="16">
        <f ca="1">IFERROR(_xlfn.XLOOKUP($F82,'FCDB 2017 (full)'!$C:$C,'FCDB 2017 (full)'!$AX:$AX)*$H82/100,0)</f>
        <v>0</v>
      </c>
      <c r="BH82" s="16">
        <f ca="1">IFERROR(_xlfn.XLOOKUP($F82,'FCDB 2017 (full)'!$C:$C,'FCDB 2017 (full)'!$AY:$AY)*$H82/100,0)</f>
        <v>0</v>
      </c>
      <c r="BI82" s="16">
        <f ca="1">IFERROR(_xlfn.XLOOKUP($F82,'FCDB 2017 (full)'!$C:$C,'FCDB 2017 (full)'!$AZ:$AZ)*$H82/100,0)</f>
        <v>0</v>
      </c>
      <c r="BJ82" s="16">
        <f ca="1">IFERROR(_xlfn.XLOOKUP($F82,'FCDB 2017 (full)'!$C:$C,'FCDB 2017 (full)'!$BA:$BA)*$H82/100,0)</f>
        <v>0</v>
      </c>
      <c r="BK82" s="16">
        <f ca="1">IFERROR(_xlfn.XLOOKUP($F82,'FCDB 2017 (full)'!$C:$C,'FCDB 2017 (full)'!$BB:$BB)*$H82/100,0)</f>
        <v>0</v>
      </c>
      <c r="BL82" s="16">
        <f ca="1">IFERROR(_xlfn.XLOOKUP($F82,'FCDB 2017 (full)'!$C:$C,'FCDB 2017 (full)'!$BC:$BC)*$H82/100,0)</f>
        <v>0</v>
      </c>
      <c r="BM82" s="16">
        <f ca="1">IFERROR(_xlfn.XLOOKUP($F82,'FCDB 2017 (full)'!$C:$C,'FCDB 2017 (full)'!$BD:$BD)*$H82/100,0)</f>
        <v>0</v>
      </c>
      <c r="BN82" s="16">
        <f ca="1">IFERROR(_xlfn.XLOOKUP($F82,'FCDB 2017 (full)'!$C:$C,'FCDB 2017 (full)'!$BE:$BE)*$H82/100,0)</f>
        <v>0</v>
      </c>
      <c r="BO82" s="16">
        <f ca="1">IFERROR(_xlfn.XLOOKUP($F82,'FCDB 2017 (full)'!$C:$C,'FCDB 2017 (full)'!$BF:$BF)*$H82/100,0)</f>
        <v>0</v>
      </c>
      <c r="BP82" s="16">
        <f ca="1">IFERROR(_xlfn.XLOOKUP($F82,'FCDB 2017 (full)'!$C:$C,'FCDB 2017 (full)'!$BG:$BG)*$H82/100,0)</f>
        <v>0</v>
      </c>
      <c r="BQ82" s="16">
        <f ca="1">IFERROR(_xlfn.XLOOKUP($F82,'FCDB 2017 (full)'!$C:$C,'FCDB 2017 (full)'!$BH:$BH)*$H82/100,0)</f>
        <v>0</v>
      </c>
      <c r="BR82" s="16">
        <f ca="1">IFERROR(_xlfn.XLOOKUP($F82,'FCDB 2017 (full)'!$C:$C,'FCDB 2017 (full)'!$BI:$BI)*$H82/100,0)</f>
        <v>0</v>
      </c>
      <c r="BS82" s="16">
        <f ca="1">IFERROR(_xlfn.XLOOKUP($F82,'FCDB 2017 (full)'!$C:$C,'FCDB 2017 (full)'!$BJ:$BJ)*$H82/100,0)</f>
        <v>0</v>
      </c>
      <c r="BT82" s="16">
        <f ca="1">IFERROR(_xlfn.XLOOKUP($F82,'FCDB 2017 (full)'!$C:$C,'FCDB 2017 (full)'!$BK:$BK)*$H82/100,0)</f>
        <v>0</v>
      </c>
      <c r="BU82" s="16">
        <f ca="1">IFERROR(_xlfn.XLOOKUP($F82,'FCDB 2017 (full)'!$C:$C,'FCDB 2017 (full)'!$BL:$BL)*$H82/100,0)</f>
        <v>0</v>
      </c>
      <c r="BV82" s="16">
        <f ca="1">IFERROR(_xlfn.XLOOKUP($F82,'FCDB 2017 (full)'!$C:$C,'FCDB 2017 (full)'!$BM:$BM)*$H82/100,0)</f>
        <v>0</v>
      </c>
      <c r="BW82" s="16">
        <f ca="1">IFERROR(_xlfn.XLOOKUP($F82,'FCDB 2017 (full)'!$C:$C,'FCDB 2017 (full)'!$BN:$BN)*$H82/100,0)</f>
        <v>0</v>
      </c>
      <c r="BX82" s="16">
        <f ca="1">IFERROR(_xlfn.XLOOKUP($F82,'FCDB 2017 (full)'!$C:$C,'FCDB 2017 (full)'!$BO:$BO)*$H82/100,0)</f>
        <v>0</v>
      </c>
      <c r="BY82" s="16">
        <f ca="1">IFERROR(_xlfn.XLOOKUP($F82,'FCDB 2017 (full)'!$C:$C,'FCDB 2017 (full)'!$BP:$BP)*$H82/100,0)</f>
        <v>0</v>
      </c>
      <c r="BZ82" s="16">
        <f ca="1">IFERROR(_xlfn.XLOOKUP($F82,'FCDB 2017 (full)'!$C:$C,'FCDB 2017 (full)'!$BQ:$BQ)*$H82/100,0)</f>
        <v>0</v>
      </c>
      <c r="CA82" s="16">
        <f ca="1">IFERROR(_xlfn.XLOOKUP($F82,'FCDB 2017 (full)'!$C:$C,'FCDB 2017 (full)'!$BR:$BR)*$H82/100,0)</f>
        <v>0</v>
      </c>
      <c r="CB82" s="16">
        <f ca="1">IFERROR(_xlfn.XLOOKUP($F82,'FCDB 2017 (full)'!$C:$C,'FCDB 2017 (full)'!$BS:$BS)*$H82/100,0)</f>
        <v>0</v>
      </c>
      <c r="CC82" s="16">
        <f ca="1">IFERROR(_xlfn.XLOOKUP($F82,'FCDB 2017 (full)'!$C:$C,'FCDB 2017 (full)'!$BT:$BT)*$H82/100,0)</f>
        <v>0</v>
      </c>
      <c r="CD82" s="16">
        <f ca="1">IFERROR(_xlfn.XLOOKUP($F82,'FCDB 2017 (full)'!$C:$C,'FCDB 2017 (full)'!$BU:$BU)*$H82/100,0)</f>
        <v>0</v>
      </c>
      <c r="CE82" s="16">
        <f ca="1">IFERROR(_xlfn.XLOOKUP($F82,'FCDB 2017 (full)'!$C:$C,'FCDB 2017 (full)'!$BV:$BV)*$H82/100,0)</f>
        <v>0</v>
      </c>
      <c r="CF82" s="16">
        <f ca="1">IFERROR(_xlfn.XLOOKUP($F82,'FCDB 2017 (full)'!$C:$C,'FCDB 2017 (full)'!$BW:$BW)*$H82/100,0)</f>
        <v>0</v>
      </c>
      <c r="CG82" s="16">
        <f ca="1">IFERROR(_xlfn.XLOOKUP($F82,'FCDB 2017 (full)'!$C:$C,'FCDB 2017 (full)'!$BX:$BX)*$H82/100,0)</f>
        <v>0</v>
      </c>
      <c r="CH82" s="16">
        <f ca="1">IFERROR(_xlfn.XLOOKUP($F82,'FCDB 2017 (full)'!$C:$C,'FCDB 2017 (full)'!$BY:$BY)*$H82/100,0)</f>
        <v>0</v>
      </c>
      <c r="CI82" s="16">
        <f ca="1">IFERROR(_xlfn.XLOOKUP($F82,'FCDB 2017 (full)'!$C:$C,'FCDB 2017 (full)'!$BZ:$BZ)*$H82/100,0)</f>
        <v>0</v>
      </c>
      <c r="CJ82" s="16">
        <f ca="1">IFERROR(_xlfn.XLOOKUP($F82,'FCDB 2017 (full)'!$C:$C,'FCDB 2017 (full)'!$CA:$CA)*$H82/100,0)</f>
        <v>0</v>
      </c>
      <c r="CK82" s="16">
        <f ca="1">IFERROR(_xlfn.XLOOKUP($F82,'FCDB 2017 (full)'!$C:$C,'FCDB 2017 (full)'!$CB:$CB)*$H82/100,0)</f>
        <v>0</v>
      </c>
      <c r="CL82" s="16">
        <f ca="1">IFERROR(_xlfn.XLOOKUP($F82,'FCDB 2017 (full)'!$C:$C,'FCDB 2017 (full)'!$CC:$CC)*$H82/100,0)</f>
        <v>0</v>
      </c>
      <c r="CM82" s="16">
        <f ca="1">IFERROR(_xlfn.XLOOKUP($F82,'FCDB 2017 (full)'!$C:$C,'FCDB 2017 (full)'!$CD:$CD)*$H82/100,0)</f>
        <v>0</v>
      </c>
      <c r="CN82" s="16">
        <f ca="1">IFERROR(_xlfn.XLOOKUP($F82,'FCDB 2017 (full)'!$C:$C,'FCDB 2017 (full)'!$CE:$CE)*$H82/100,0)</f>
        <v>0</v>
      </c>
      <c r="CO82" s="16">
        <f ca="1">IFERROR(_xlfn.XLOOKUP($F82,'FCDB 2017 (full)'!$C:$C,'FCDB 2017 (full)'!$CF:$CF)*$H82/100,0)</f>
        <v>0</v>
      </c>
      <c r="CP82" s="16">
        <f ca="1">IFERROR(_xlfn.XLOOKUP($F82,'FCDB 2017 (full)'!$C:$C,'FCDB 2017 (full)'!$CG:$CG)*$H82/100,0)</f>
        <v>0</v>
      </c>
      <c r="CQ82" s="16">
        <f ca="1">IFERROR(_xlfn.XLOOKUP($F82,'FCDB 2017 (full)'!$C:$C,'FCDB 2017 (full)'!$CH:$CH)*$H82/100,0)</f>
        <v>0</v>
      </c>
      <c r="CR82" s="29"/>
      <c r="DA82" s="72" t="s">
        <v>980</v>
      </c>
    </row>
    <row r="83" spans="4:105" ht="27.6">
      <c r="D83" s="29"/>
      <c r="E83" s="29"/>
      <c r="F83" s="351" t="s">
        <v>972</v>
      </c>
      <c r="G83" s="351"/>
      <c r="H83" s="351"/>
      <c r="I83" s="18" t="s">
        <v>973</v>
      </c>
      <c r="J83" s="346">
        <f ca="1">SUM(J60:J82)</f>
        <v>0</v>
      </c>
      <c r="K83" s="30"/>
      <c r="L83" s="31" t="e">
        <f ca="1">SUM(L60:L82)</f>
        <v>#NAME?</v>
      </c>
      <c r="M83" s="31" t="e">
        <f ca="1">SUM(M60:M82)</f>
        <v>#NAME?</v>
      </c>
      <c r="N83" s="30"/>
      <c r="O83" s="32" t="e">
        <f ca="1">SUM(O60:O82)</f>
        <v>#NAME?</v>
      </c>
      <c r="P83" s="32" t="e">
        <f ca="1">SUM(P60:P82)</f>
        <v>#NAME?</v>
      </c>
      <c r="Q83" s="30"/>
      <c r="R83" s="349">
        <f ca="1">SUM(R60:R82)</f>
        <v>0</v>
      </c>
      <c r="S83" s="38">
        <f t="shared" ref="S83:CC83" ca="1" si="17">SUM(S60:S82)</f>
        <v>0</v>
      </c>
      <c r="T83" s="38">
        <f t="shared" ca="1" si="17"/>
        <v>0</v>
      </c>
      <c r="U83" s="38">
        <f t="shared" ca="1" si="17"/>
        <v>0</v>
      </c>
      <c r="V83" s="38">
        <f t="shared" ca="1" si="17"/>
        <v>0</v>
      </c>
      <c r="W83" s="38">
        <f t="shared" ca="1" si="17"/>
        <v>0</v>
      </c>
      <c r="X83" s="38">
        <f t="shared" ca="1" si="17"/>
        <v>0</v>
      </c>
      <c r="Y83" s="38">
        <f t="shared" ca="1" si="17"/>
        <v>0</v>
      </c>
      <c r="Z83" s="38">
        <f t="shared" ca="1" si="17"/>
        <v>0</v>
      </c>
      <c r="AA83" s="38">
        <f t="shared" ca="1" si="17"/>
        <v>0</v>
      </c>
      <c r="AB83" s="38">
        <f t="shared" ca="1" si="17"/>
        <v>0</v>
      </c>
      <c r="AC83" s="38">
        <f t="shared" ca="1" si="17"/>
        <v>0</v>
      </c>
      <c r="AD83" s="38">
        <f t="shared" ca="1" si="17"/>
        <v>0</v>
      </c>
      <c r="AE83" s="38">
        <f t="shared" ca="1" si="17"/>
        <v>0</v>
      </c>
      <c r="AF83" s="70">
        <f t="shared" ca="1" si="17"/>
        <v>0</v>
      </c>
      <c r="AG83" s="70">
        <f t="shared" ca="1" si="17"/>
        <v>0</v>
      </c>
      <c r="AH83" s="70">
        <f t="shared" ca="1" si="17"/>
        <v>0</v>
      </c>
      <c r="AI83" s="70">
        <f t="shared" ca="1" si="17"/>
        <v>0</v>
      </c>
      <c r="AJ83" s="70">
        <f t="shared" ca="1" si="17"/>
        <v>0</v>
      </c>
      <c r="AK83" s="70">
        <f t="shared" ca="1" si="17"/>
        <v>0</v>
      </c>
      <c r="AL83" s="70">
        <f t="shared" ca="1" si="17"/>
        <v>0</v>
      </c>
      <c r="AM83" s="70">
        <f t="shared" ca="1" si="17"/>
        <v>0</v>
      </c>
      <c r="AN83" s="70">
        <f t="shared" ca="1" si="17"/>
        <v>0</v>
      </c>
      <c r="AO83" s="70">
        <f t="shared" ca="1" si="17"/>
        <v>0</v>
      </c>
      <c r="AP83" s="70">
        <f t="shared" ca="1" si="17"/>
        <v>0</v>
      </c>
      <c r="AQ83" s="70">
        <f t="shared" ca="1" si="17"/>
        <v>0</v>
      </c>
      <c r="AR83" s="70">
        <f t="shared" ca="1" si="17"/>
        <v>0</v>
      </c>
      <c r="AS83" s="70">
        <f t="shared" ca="1" si="17"/>
        <v>0</v>
      </c>
      <c r="AT83" s="70">
        <f t="shared" ca="1" si="17"/>
        <v>0</v>
      </c>
      <c r="AU83" s="70">
        <f t="shared" ca="1" si="17"/>
        <v>0</v>
      </c>
      <c r="AV83" s="70">
        <f t="shared" ca="1" si="17"/>
        <v>0</v>
      </c>
      <c r="AW83" s="70">
        <f t="shared" ca="1" si="17"/>
        <v>0</v>
      </c>
      <c r="AX83" s="70">
        <f t="shared" ca="1" si="17"/>
        <v>0</v>
      </c>
      <c r="AY83" s="70">
        <f t="shared" ca="1" si="17"/>
        <v>0</v>
      </c>
      <c r="AZ83" s="70">
        <f t="shared" ca="1" si="17"/>
        <v>0</v>
      </c>
      <c r="BA83" s="70">
        <f t="shared" ca="1" si="17"/>
        <v>0</v>
      </c>
      <c r="BB83" s="70">
        <f t="shared" ca="1" si="17"/>
        <v>0</v>
      </c>
      <c r="BC83" s="70">
        <f t="shared" ca="1" si="17"/>
        <v>0</v>
      </c>
      <c r="BD83" s="70">
        <f t="shared" ca="1" si="17"/>
        <v>0</v>
      </c>
      <c r="BE83" s="70">
        <f t="shared" ca="1" si="17"/>
        <v>0</v>
      </c>
      <c r="BF83" s="70">
        <f t="shared" ca="1" si="17"/>
        <v>0</v>
      </c>
      <c r="BG83" s="70">
        <f t="shared" ca="1" si="17"/>
        <v>0</v>
      </c>
      <c r="BH83" s="70">
        <f t="shared" ca="1" si="17"/>
        <v>0</v>
      </c>
      <c r="BI83" s="70">
        <f t="shared" ca="1" si="17"/>
        <v>0</v>
      </c>
      <c r="BJ83" s="70">
        <f t="shared" ca="1" si="17"/>
        <v>0</v>
      </c>
      <c r="BK83" s="70">
        <f t="shared" ca="1" si="17"/>
        <v>0</v>
      </c>
      <c r="BL83" s="70">
        <f t="shared" ca="1" si="17"/>
        <v>0</v>
      </c>
      <c r="BM83" s="70">
        <f t="shared" ca="1" si="17"/>
        <v>0</v>
      </c>
      <c r="BN83" s="70">
        <f t="shared" ca="1" si="17"/>
        <v>0</v>
      </c>
      <c r="BO83" s="70">
        <f t="shared" ca="1" si="17"/>
        <v>0</v>
      </c>
      <c r="BP83" s="70">
        <f t="shared" ca="1" si="17"/>
        <v>0</v>
      </c>
      <c r="BQ83" s="70">
        <f t="shared" ca="1" si="17"/>
        <v>0</v>
      </c>
      <c r="BR83" s="70">
        <f t="shared" ca="1" si="17"/>
        <v>0</v>
      </c>
      <c r="BS83" s="70">
        <f t="shared" ca="1" si="17"/>
        <v>0</v>
      </c>
      <c r="BT83" s="70">
        <f t="shared" ca="1" si="17"/>
        <v>0</v>
      </c>
      <c r="BU83" s="70">
        <f t="shared" ca="1" si="17"/>
        <v>0</v>
      </c>
      <c r="BV83" s="70">
        <f t="shared" ca="1" si="17"/>
        <v>0</v>
      </c>
      <c r="BW83" s="70">
        <f t="shared" ca="1" si="17"/>
        <v>0</v>
      </c>
      <c r="BX83" s="70">
        <f t="shared" ca="1" si="17"/>
        <v>0</v>
      </c>
      <c r="BY83" s="70">
        <f t="shared" ca="1" si="17"/>
        <v>0</v>
      </c>
      <c r="BZ83" s="70">
        <f t="shared" ca="1" si="17"/>
        <v>0</v>
      </c>
      <c r="CA83" s="70">
        <f t="shared" ca="1" si="17"/>
        <v>0</v>
      </c>
      <c r="CB83" s="70">
        <f t="shared" ca="1" si="17"/>
        <v>0</v>
      </c>
      <c r="CC83" s="70">
        <f t="shared" ca="1" si="17"/>
        <v>0</v>
      </c>
      <c r="CD83" s="70">
        <f t="shared" ref="CD83:CQ83" ca="1" si="18">SUM(CD60:CD82)</f>
        <v>0</v>
      </c>
      <c r="CE83" s="70">
        <f t="shared" ca="1" si="18"/>
        <v>0</v>
      </c>
      <c r="CF83" s="70">
        <f t="shared" ca="1" si="18"/>
        <v>0</v>
      </c>
      <c r="CG83" s="70">
        <f t="shared" ca="1" si="18"/>
        <v>0</v>
      </c>
      <c r="CH83" s="70">
        <f t="shared" ca="1" si="18"/>
        <v>0</v>
      </c>
      <c r="CI83" s="70">
        <f t="shared" ca="1" si="18"/>
        <v>0</v>
      </c>
      <c r="CJ83" s="70">
        <f t="shared" ca="1" si="18"/>
        <v>0</v>
      </c>
      <c r="CK83" s="70">
        <f t="shared" ca="1" si="18"/>
        <v>0</v>
      </c>
      <c r="CL83" s="70">
        <f t="shared" ca="1" si="18"/>
        <v>0</v>
      </c>
      <c r="CM83" s="70">
        <f t="shared" ca="1" si="18"/>
        <v>0</v>
      </c>
      <c r="CN83" s="70">
        <f t="shared" ca="1" si="18"/>
        <v>0</v>
      </c>
      <c r="CO83" s="70">
        <f t="shared" ca="1" si="18"/>
        <v>0</v>
      </c>
      <c r="CP83" s="70">
        <f t="shared" ca="1" si="18"/>
        <v>0</v>
      </c>
      <c r="CQ83" s="70">
        <f t="shared" ca="1" si="18"/>
        <v>0</v>
      </c>
      <c r="CR83" s="29"/>
      <c r="DA83" s="72" t="s">
        <v>980</v>
      </c>
    </row>
    <row r="84" spans="4:105" ht="16.8">
      <c r="D84" s="29"/>
      <c r="E84" s="29"/>
      <c r="F84" s="351"/>
      <c r="G84" s="351"/>
      <c r="H84" s="351"/>
      <c r="I84" s="19"/>
      <c r="J84" s="347"/>
      <c r="K84" s="30"/>
      <c r="L84" s="329" t="e">
        <f ca="1">L83+M83</f>
        <v>#NAME?</v>
      </c>
      <c r="M84" s="330"/>
      <c r="N84" s="30"/>
      <c r="O84" s="331" t="e">
        <f ca="1">O83+P83</f>
        <v>#NAME?</v>
      </c>
      <c r="P84" s="332"/>
      <c r="Q84" s="30"/>
      <c r="R84" s="350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29"/>
      <c r="DA84" s="72" t="s">
        <v>980</v>
      </c>
    </row>
    <row r="85" spans="4:105" ht="15.6">
      <c r="D85" s="29"/>
      <c r="E85" s="29"/>
      <c r="F85" s="342" t="s">
        <v>981</v>
      </c>
      <c r="G85" s="23">
        <v>0.95</v>
      </c>
      <c r="H85" s="24" t="s">
        <v>975</v>
      </c>
      <c r="I85" s="19"/>
      <c r="J85" s="22">
        <f t="shared" ref="J85:O85" si="19">J86*0.95</f>
        <v>165.3</v>
      </c>
      <c r="K85" s="12"/>
      <c r="L85" s="333">
        <f t="shared" si="19"/>
        <v>8.2650000000000006</v>
      </c>
      <c r="M85" s="334"/>
      <c r="N85" s="12"/>
      <c r="O85" s="333">
        <f t="shared" si="19"/>
        <v>4.5916666666666703</v>
      </c>
      <c r="P85" s="334"/>
      <c r="Q85" s="12"/>
      <c r="R85" s="22">
        <f>R86*0.95</f>
        <v>22.728750000000002</v>
      </c>
      <c r="S85" s="40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29"/>
      <c r="DA85" s="72" t="s">
        <v>980</v>
      </c>
    </row>
    <row r="86" spans="4:105" ht="15.6">
      <c r="D86" s="29"/>
      <c r="E86" s="29"/>
      <c r="F86" s="341"/>
      <c r="G86" s="23">
        <v>1</v>
      </c>
      <c r="H86" s="24" t="s">
        <v>976</v>
      </c>
      <c r="I86" s="25"/>
      <c r="J86" s="26">
        <f>'Năng lượng_2024'!G52</f>
        <v>174</v>
      </c>
      <c r="K86" s="33"/>
      <c r="L86" s="335">
        <f>'Năng lượng_2024'!G45</f>
        <v>8.6999999999999993</v>
      </c>
      <c r="M86" s="336"/>
      <c r="N86" s="26"/>
      <c r="O86" s="335">
        <f>'Năng lượng_2024'!G48</f>
        <v>4.8333333333333304</v>
      </c>
      <c r="P86" s="336"/>
      <c r="Q86" s="26"/>
      <c r="R86" s="26">
        <f>'Năng lượng_2024'!G51</f>
        <v>23.925000000000001</v>
      </c>
      <c r="S86" s="40"/>
      <c r="T86" s="29"/>
      <c r="U86" s="29"/>
      <c r="V86" s="29"/>
      <c r="X86" s="29"/>
      <c r="Y86" s="29"/>
      <c r="Z86" s="29"/>
      <c r="AA86" s="29"/>
      <c r="AB86" s="29"/>
      <c r="AC86" s="29"/>
      <c r="AD86" s="29"/>
      <c r="AE86" s="29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29"/>
      <c r="DA86" s="72" t="s">
        <v>980</v>
      </c>
    </row>
    <row r="87" spans="4:105">
      <c r="D87" s="29"/>
      <c r="F87" s="337" t="s">
        <v>977</v>
      </c>
      <c r="G87" s="337"/>
      <c r="H87" s="337"/>
      <c r="J87" s="27" t="str">
        <f ca="1">IF(AND(J83&gt;=J85,J83&lt;=J86),"Đạt","Không Đạt")</f>
        <v>Không Đạt</v>
      </c>
      <c r="K87" s="27"/>
      <c r="L87" s="337" t="e">
        <f ca="1">IF(AND(L84&gt;=L85,L84&lt;=L86),"Đạt","Không Đạt")</f>
        <v>#NAME?</v>
      </c>
      <c r="M87" s="337"/>
      <c r="N87" s="27"/>
      <c r="O87" s="337" t="e">
        <f ca="1">IF(AND(O84&gt;=O85,O84&lt;=O86),"Đạt","Không Đạt")</f>
        <v>#NAME?</v>
      </c>
      <c r="P87" s="337"/>
      <c r="Q87" s="27"/>
      <c r="R87" s="27" t="str">
        <f ca="1">IF(AND(R83&gt;=R85,R83&lt;=R86),"Đạt","Không Đạt")</f>
        <v>Không Đạt</v>
      </c>
      <c r="X87" s="29"/>
      <c r="Y87" s="29"/>
      <c r="Z87" s="29"/>
      <c r="AA87" s="29"/>
      <c r="AB87" s="29"/>
      <c r="AC87" s="29"/>
      <c r="AD87" s="29"/>
      <c r="AE87" s="29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29"/>
      <c r="DA87" s="72" t="s">
        <v>980</v>
      </c>
    </row>
    <row r="88" spans="4:105">
      <c r="D88" s="29"/>
      <c r="J88" s="29"/>
      <c r="K88" s="29"/>
      <c r="L88" s="64" t="e">
        <f ca="1">L86-L84</f>
        <v>#NAME?</v>
      </c>
      <c r="M88" s="65"/>
      <c r="N88" s="65"/>
      <c r="O88" s="64" t="e">
        <f ca="1">O86-O84</f>
        <v>#NAME?</v>
      </c>
      <c r="P88" s="65"/>
      <c r="Q88" s="65"/>
      <c r="R88" s="64">
        <f ca="1">R86-R83</f>
        <v>23.925000000000001</v>
      </c>
      <c r="X88" s="29"/>
      <c r="Y88" s="29"/>
      <c r="Z88" s="29"/>
      <c r="AA88" s="29"/>
      <c r="AB88" s="29"/>
      <c r="AC88" s="29"/>
      <c r="AD88" s="29"/>
      <c r="AE88" s="29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29"/>
      <c r="DA88" s="72" t="s">
        <v>980</v>
      </c>
    </row>
    <row r="89" spans="4:105">
      <c r="L89" s="66" t="s">
        <v>978</v>
      </c>
      <c r="M89" s="35">
        <f ca="1">IFERROR(L83/L84,0)</f>
        <v>0</v>
      </c>
      <c r="N89" s="36"/>
      <c r="O89" s="27" t="str">
        <f ca="1">IF(M89&gt;35%,"Thừa",IF(M89&gt;=30%,"Đạt","Thiếu"))</f>
        <v>Thiếu</v>
      </c>
      <c r="DA89" s="72" t="s">
        <v>980</v>
      </c>
    </row>
    <row r="90" spans="4:105">
      <c r="L90" s="66" t="s">
        <v>979</v>
      </c>
      <c r="M90" s="35">
        <f ca="1">IFERROR(O83/O84,0)</f>
        <v>0</v>
      </c>
      <c r="N90" s="36"/>
      <c r="O90" s="27" t="str">
        <f ca="1">IF(M90&gt;60%,"Thừa",IF(M90&gt;=50%,"Đạt","Thiếu"))</f>
        <v>Thiếu</v>
      </c>
      <c r="DA90" s="72" t="s">
        <v>980</v>
      </c>
    </row>
    <row r="91" spans="4:105">
      <c r="DA91" s="72"/>
    </row>
    <row r="92" spans="4:105">
      <c r="L92" s="338" t="e">
        <f ca="1">L84*4/J83</f>
        <v>#NAME?</v>
      </c>
      <c r="M92" s="339"/>
      <c r="N92" s="23"/>
      <c r="O92" s="338" t="e">
        <f ca="1">O84*9/J83</f>
        <v>#NAME?</v>
      </c>
      <c r="P92" s="339"/>
      <c r="Q92" s="23"/>
      <c r="R92" s="23" t="e">
        <f ca="1">R83*4/J83</f>
        <v>#DIV/0!</v>
      </c>
      <c r="S92" s="68" t="e">
        <f ca="1">L92+O92+R92</f>
        <v>#NAME?</v>
      </c>
      <c r="DA92" s="72"/>
    </row>
    <row r="93" spans="4:105">
      <c r="DA93" s="72"/>
    </row>
    <row r="94" spans="4:105" ht="17.399999999999999">
      <c r="D94" s="51"/>
      <c r="E94" s="319" t="s">
        <v>934</v>
      </c>
      <c r="F94" s="320"/>
      <c r="G94" s="320"/>
      <c r="H94" s="320"/>
      <c r="I94" s="53"/>
      <c r="J94" s="321" t="s">
        <v>935</v>
      </c>
      <c r="K94" s="322"/>
      <c r="L94" s="322"/>
      <c r="M94" s="322"/>
      <c r="N94" s="322"/>
      <c r="O94" s="322"/>
      <c r="P94" s="319"/>
      <c r="Q94" s="67"/>
      <c r="R94" s="321" t="s">
        <v>936</v>
      </c>
      <c r="S94" s="322"/>
      <c r="T94" s="319"/>
      <c r="U94" s="321" t="s">
        <v>937</v>
      </c>
      <c r="V94" s="322"/>
      <c r="W94" s="322"/>
      <c r="X94" s="319"/>
      <c r="Y94" s="321" t="s">
        <v>938</v>
      </c>
      <c r="Z94" s="319"/>
      <c r="AA94" s="323" t="s">
        <v>939</v>
      </c>
      <c r="AB94" s="323"/>
      <c r="AC94" s="324" t="s">
        <v>940</v>
      </c>
      <c r="AD94" s="325"/>
      <c r="AE94" s="326"/>
      <c r="DA94" s="72"/>
    </row>
    <row r="95" spans="4:105" ht="20.399999999999999">
      <c r="D95" s="54" t="s">
        <v>941</v>
      </c>
      <c r="E95" s="52" t="s">
        <v>942</v>
      </c>
      <c r="F95" s="53" t="s">
        <v>943</v>
      </c>
      <c r="G95" s="53" t="s">
        <v>944</v>
      </c>
      <c r="H95" s="53" t="s">
        <v>945</v>
      </c>
      <c r="J95" s="53" t="s">
        <v>942</v>
      </c>
      <c r="L95" s="53" t="s">
        <v>943</v>
      </c>
      <c r="M95" s="53" t="s">
        <v>944</v>
      </c>
      <c r="O95" s="53" t="s">
        <v>945</v>
      </c>
      <c r="P95" s="53" t="s">
        <v>946</v>
      </c>
      <c r="R95" s="53" t="s">
        <v>942</v>
      </c>
      <c r="S95" s="53" t="s">
        <v>943</v>
      </c>
      <c r="T95" s="53" t="s">
        <v>944</v>
      </c>
      <c r="U95" s="53" t="s">
        <v>942</v>
      </c>
      <c r="V95" s="53" t="s">
        <v>943</v>
      </c>
      <c r="W95" s="53" t="s">
        <v>944</v>
      </c>
      <c r="X95" s="53" t="s">
        <v>945</v>
      </c>
      <c r="Y95" s="69" t="s">
        <v>942</v>
      </c>
      <c r="Z95" s="69" t="s">
        <v>943</v>
      </c>
      <c r="AA95" s="53" t="s">
        <v>942</v>
      </c>
      <c r="AB95" s="53" t="s">
        <v>943</v>
      </c>
      <c r="AC95" s="69" t="s">
        <v>942</v>
      </c>
      <c r="AD95" s="69" t="s">
        <v>943</v>
      </c>
      <c r="AE95" s="69" t="s">
        <v>944</v>
      </c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28"/>
      <c r="DA95" s="72"/>
    </row>
    <row r="96" spans="4:105" ht="20.399999999999999">
      <c r="D96" s="55" t="s">
        <v>920</v>
      </c>
      <c r="E96" s="56" t="s">
        <v>184</v>
      </c>
      <c r="F96" s="57" t="s">
        <v>219</v>
      </c>
      <c r="G96" s="56"/>
      <c r="H96" s="56"/>
      <c r="J96" s="56" t="s">
        <v>362</v>
      </c>
      <c r="L96" s="56" t="s">
        <v>368</v>
      </c>
      <c r="M96" s="56" t="s">
        <v>277</v>
      </c>
      <c r="O96" s="56" t="s">
        <v>400</v>
      </c>
      <c r="P96" s="56" t="s">
        <v>401</v>
      </c>
      <c r="R96" s="57" t="s">
        <v>408</v>
      </c>
      <c r="S96" s="56"/>
      <c r="T96" s="56"/>
      <c r="U96" s="56" t="s">
        <v>508</v>
      </c>
      <c r="V96" s="56"/>
      <c r="W96" s="56"/>
      <c r="X96" s="56"/>
      <c r="Y96" s="56"/>
      <c r="Z96" s="56"/>
      <c r="AA96" s="56" t="s">
        <v>260</v>
      </c>
      <c r="AB96" s="56"/>
      <c r="AC96" s="56"/>
      <c r="AD96" s="56"/>
      <c r="AE96" s="56"/>
      <c r="DA96" s="72" t="s">
        <v>982</v>
      </c>
    </row>
    <row r="97" spans="4:105" ht="20.399999999999999">
      <c r="D97" s="55" t="s">
        <v>949</v>
      </c>
      <c r="E97" s="57" t="s">
        <v>181</v>
      </c>
      <c r="F97" s="57" t="s">
        <v>181</v>
      </c>
      <c r="G97" s="57"/>
      <c r="H97" s="57"/>
      <c r="J97" s="57" t="s">
        <v>181</v>
      </c>
      <c r="L97" s="57" t="s">
        <v>181</v>
      </c>
      <c r="M97" s="57" t="s">
        <v>181</v>
      </c>
      <c r="O97" s="57" t="s">
        <v>181</v>
      </c>
      <c r="P97" s="57" t="s">
        <v>181</v>
      </c>
      <c r="R97" s="57" t="s">
        <v>181</v>
      </c>
      <c r="S97" s="57"/>
      <c r="T97" s="57"/>
      <c r="U97" s="57" t="s">
        <v>468</v>
      </c>
      <c r="V97" s="57"/>
      <c r="W97" s="57"/>
      <c r="X97" s="57"/>
      <c r="Y97" s="57"/>
      <c r="Z97" s="57"/>
      <c r="AA97" s="57" t="s">
        <v>181</v>
      </c>
      <c r="AB97" s="57"/>
      <c r="AC97" s="57"/>
      <c r="AD97" s="57"/>
      <c r="AE97" s="57"/>
      <c r="DA97" s="72" t="s">
        <v>982</v>
      </c>
    </row>
    <row r="98" spans="4:105" ht="20.399999999999999">
      <c r="D98" s="62" t="s">
        <v>950</v>
      </c>
      <c r="E98" s="59">
        <v>70</v>
      </c>
      <c r="F98" s="59">
        <v>30</v>
      </c>
      <c r="G98" s="59"/>
      <c r="H98" s="59"/>
      <c r="J98" s="59">
        <v>50</v>
      </c>
      <c r="L98" s="59">
        <v>10</v>
      </c>
      <c r="M98" s="59">
        <v>50</v>
      </c>
      <c r="O98" s="59">
        <v>5</v>
      </c>
      <c r="P98" s="59">
        <v>5</v>
      </c>
      <c r="R98" s="59">
        <v>100</v>
      </c>
      <c r="S98" s="59"/>
      <c r="T98" s="59"/>
      <c r="U98" s="59">
        <v>50</v>
      </c>
      <c r="V98" s="59"/>
      <c r="W98" s="59"/>
      <c r="X98" s="59"/>
      <c r="Y98" s="59"/>
      <c r="Z98" s="59"/>
      <c r="AA98" s="59">
        <v>80</v>
      </c>
      <c r="AB98" s="59"/>
      <c r="AC98" s="59"/>
      <c r="AD98" s="59"/>
      <c r="AE98" s="59"/>
      <c r="DA98" s="72" t="s">
        <v>982</v>
      </c>
    </row>
    <row r="99" spans="4:105"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DA99" s="72" t="s">
        <v>982</v>
      </c>
    </row>
    <row r="100" spans="4:105">
      <c r="DA100" s="72" t="s">
        <v>982</v>
      </c>
    </row>
    <row r="101" spans="4:105" ht="27.6">
      <c r="D101" s="74" t="s">
        <v>983</v>
      </c>
      <c r="E101" s="41"/>
      <c r="F101" s="327" t="str">
        <f>D96</f>
        <v>Bữa trưa</v>
      </c>
      <c r="G101" s="327"/>
      <c r="H101" s="343" t="s">
        <v>951</v>
      </c>
      <c r="I101" s="3" t="s">
        <v>952</v>
      </c>
      <c r="J101" s="345" t="s">
        <v>953</v>
      </c>
      <c r="K101" s="3" t="s">
        <v>954</v>
      </c>
      <c r="L101" s="328" t="s">
        <v>955</v>
      </c>
      <c r="M101" s="328"/>
      <c r="N101" s="3" t="s">
        <v>956</v>
      </c>
      <c r="O101" s="328" t="s">
        <v>91</v>
      </c>
      <c r="P101" s="328"/>
      <c r="Q101" s="3" t="s">
        <v>957</v>
      </c>
      <c r="R101" s="348" t="s">
        <v>958</v>
      </c>
      <c r="S101" s="348" t="s">
        <v>959</v>
      </c>
      <c r="T101" s="348" t="s">
        <v>960</v>
      </c>
      <c r="U101" s="348" t="s">
        <v>95</v>
      </c>
      <c r="V101" s="348" t="s">
        <v>961</v>
      </c>
      <c r="W101" s="348" t="s">
        <v>97</v>
      </c>
      <c r="X101" s="348" t="s">
        <v>962</v>
      </c>
      <c r="Y101" s="348" t="s">
        <v>99</v>
      </c>
      <c r="Z101" s="348" t="s">
        <v>100</v>
      </c>
      <c r="AA101" s="348" t="s">
        <v>101</v>
      </c>
      <c r="AB101" s="348" t="s">
        <v>102</v>
      </c>
      <c r="AC101" s="348" t="s">
        <v>103</v>
      </c>
      <c r="AD101" s="348" t="s">
        <v>104</v>
      </c>
      <c r="AE101" s="348" t="s">
        <v>105</v>
      </c>
      <c r="AF101" s="348" t="s">
        <v>963</v>
      </c>
      <c r="AG101" s="348" t="s">
        <v>964</v>
      </c>
      <c r="AH101" s="348" t="s">
        <v>965</v>
      </c>
      <c r="AI101" s="348" t="s">
        <v>966</v>
      </c>
      <c r="AJ101" s="348" t="s">
        <v>110</v>
      </c>
      <c r="AK101" s="348" t="s">
        <v>111</v>
      </c>
      <c r="AL101" s="348" t="s">
        <v>112</v>
      </c>
      <c r="AM101" s="348" t="s">
        <v>967</v>
      </c>
      <c r="AN101" s="348" t="s">
        <v>968</v>
      </c>
      <c r="AO101" s="348" t="s">
        <v>115</v>
      </c>
      <c r="AP101" s="348" t="s">
        <v>116</v>
      </c>
      <c r="AQ101" s="348" t="s">
        <v>117</v>
      </c>
      <c r="AR101" s="348" t="s">
        <v>118</v>
      </c>
      <c r="AS101" s="348" t="s">
        <v>119</v>
      </c>
      <c r="AT101" s="348" t="s">
        <v>120</v>
      </c>
      <c r="AU101" s="348" t="s">
        <v>121</v>
      </c>
      <c r="AV101" s="348" t="s">
        <v>122</v>
      </c>
      <c r="AW101" s="348" t="s">
        <v>123</v>
      </c>
      <c r="AX101" s="348" t="s">
        <v>124</v>
      </c>
      <c r="AY101" s="348" t="s">
        <v>125</v>
      </c>
      <c r="AZ101" s="348" t="s">
        <v>126</v>
      </c>
      <c r="BA101" s="348" t="s">
        <v>969</v>
      </c>
      <c r="BB101" s="348" t="s">
        <v>128</v>
      </c>
      <c r="BC101" s="348" t="s">
        <v>129</v>
      </c>
      <c r="BD101" s="348" t="s">
        <v>130</v>
      </c>
      <c r="BE101" s="348" t="s">
        <v>131</v>
      </c>
      <c r="BF101" s="348" t="s">
        <v>132</v>
      </c>
      <c r="BG101" s="348" t="s">
        <v>133</v>
      </c>
      <c r="BH101" s="348" t="s">
        <v>134</v>
      </c>
      <c r="BI101" s="348" t="s">
        <v>135</v>
      </c>
      <c r="BJ101" s="348" t="s">
        <v>136</v>
      </c>
      <c r="BK101" s="348" t="s">
        <v>137</v>
      </c>
      <c r="BL101" s="348" t="s">
        <v>138</v>
      </c>
      <c r="BM101" s="348" t="s">
        <v>139</v>
      </c>
      <c r="BN101" s="348" t="s">
        <v>140</v>
      </c>
      <c r="BO101" s="348" t="s">
        <v>141</v>
      </c>
      <c r="BP101" s="348" t="s">
        <v>142</v>
      </c>
      <c r="BQ101" s="348" t="s">
        <v>143</v>
      </c>
      <c r="BR101" s="348" t="s">
        <v>144</v>
      </c>
      <c r="BS101" s="348" t="s">
        <v>145</v>
      </c>
      <c r="BT101" s="348" t="s">
        <v>146</v>
      </c>
      <c r="BU101" s="348" t="s">
        <v>147</v>
      </c>
      <c r="BV101" s="348" t="s">
        <v>148</v>
      </c>
      <c r="BW101" s="348" t="s">
        <v>149</v>
      </c>
      <c r="BX101" s="348" t="s">
        <v>150</v>
      </c>
      <c r="BY101" s="348" t="s">
        <v>151</v>
      </c>
      <c r="BZ101" s="348" t="s">
        <v>152</v>
      </c>
      <c r="CA101" s="348" t="s">
        <v>153</v>
      </c>
      <c r="CB101" s="348" t="s">
        <v>154</v>
      </c>
      <c r="CC101" s="348" t="s">
        <v>155</v>
      </c>
      <c r="CD101" s="348" t="s">
        <v>156</v>
      </c>
      <c r="CE101" s="348" t="s">
        <v>157</v>
      </c>
      <c r="CF101" s="348" t="s">
        <v>158</v>
      </c>
      <c r="CG101" s="348" t="s">
        <v>159</v>
      </c>
      <c r="CH101" s="348" t="s">
        <v>160</v>
      </c>
      <c r="CI101" s="348" t="s">
        <v>161</v>
      </c>
      <c r="CJ101" s="348" t="s">
        <v>162</v>
      </c>
      <c r="CK101" s="348" t="s">
        <v>163</v>
      </c>
      <c r="CL101" s="348" t="s">
        <v>164</v>
      </c>
      <c r="CM101" s="348" t="s">
        <v>165</v>
      </c>
      <c r="CN101" s="348" t="s">
        <v>166</v>
      </c>
      <c r="CO101" s="348" t="s">
        <v>167</v>
      </c>
      <c r="CP101" s="348" t="s">
        <v>168</v>
      </c>
      <c r="CQ101" s="348" t="s">
        <v>169</v>
      </c>
      <c r="DA101" s="72" t="s">
        <v>982</v>
      </c>
    </row>
    <row r="102" spans="4:105">
      <c r="E102" s="41"/>
      <c r="F102" s="4" t="s">
        <v>970</v>
      </c>
      <c r="G102" s="4" t="s">
        <v>971</v>
      </c>
      <c r="H102" s="344"/>
      <c r="I102" s="3"/>
      <c r="J102" s="344"/>
      <c r="K102" s="3"/>
      <c r="L102" s="2" t="s">
        <v>468</v>
      </c>
      <c r="M102" s="2" t="s">
        <v>181</v>
      </c>
      <c r="N102" s="3"/>
      <c r="O102" s="2" t="s">
        <v>468</v>
      </c>
      <c r="P102" s="2" t="s">
        <v>181</v>
      </c>
      <c r="Q102" s="3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  <c r="AJ102" s="348"/>
      <c r="AK102" s="348"/>
      <c r="AL102" s="348"/>
      <c r="AM102" s="348"/>
      <c r="AN102" s="348"/>
      <c r="AO102" s="348"/>
      <c r="AP102" s="348"/>
      <c r="AQ102" s="348"/>
      <c r="AR102" s="348"/>
      <c r="AS102" s="348"/>
      <c r="AT102" s="348"/>
      <c r="AU102" s="348"/>
      <c r="AV102" s="348"/>
      <c r="AW102" s="348"/>
      <c r="AX102" s="348"/>
      <c r="AY102" s="348"/>
      <c r="AZ102" s="348"/>
      <c r="BA102" s="348"/>
      <c r="BB102" s="348"/>
      <c r="BC102" s="348"/>
      <c r="BD102" s="348"/>
      <c r="BE102" s="348"/>
      <c r="BF102" s="348"/>
      <c r="BG102" s="348"/>
      <c r="BH102" s="348"/>
      <c r="BI102" s="348"/>
      <c r="BJ102" s="348"/>
      <c r="BK102" s="348"/>
      <c r="BL102" s="348"/>
      <c r="BM102" s="348"/>
      <c r="BN102" s="348"/>
      <c r="BO102" s="348"/>
      <c r="BP102" s="348"/>
      <c r="BQ102" s="348"/>
      <c r="BR102" s="348"/>
      <c r="BS102" s="348"/>
      <c r="BT102" s="348"/>
      <c r="BU102" s="348"/>
      <c r="BV102" s="348"/>
      <c r="BW102" s="348"/>
      <c r="BX102" s="348"/>
      <c r="BY102" s="348"/>
      <c r="BZ102" s="348"/>
      <c r="CA102" s="348"/>
      <c r="CB102" s="348"/>
      <c r="CC102" s="348"/>
      <c r="CD102" s="348"/>
      <c r="CE102" s="348"/>
      <c r="CF102" s="348"/>
      <c r="CG102" s="348"/>
      <c r="CH102" s="348"/>
      <c r="CI102" s="348"/>
      <c r="CJ102" s="348"/>
      <c r="CK102" s="348"/>
      <c r="CL102" s="348"/>
      <c r="CM102" s="348"/>
      <c r="CN102" s="348"/>
      <c r="CO102" s="348"/>
      <c r="CP102" s="348"/>
      <c r="CQ102" s="348"/>
      <c r="DA102" s="72" t="s">
        <v>982</v>
      </c>
    </row>
    <row r="103" spans="4:105">
      <c r="E103" s="41"/>
      <c r="F103" s="11" t="str">
        <f>IFERROR(VLOOKUP($D$96,$D:$AE,2,0),0)</f>
        <v>Gạo tẻ máy</v>
      </c>
      <c r="G103" s="7" t="e" cm="1">
        <f t="array" aca="1" ref="G103" ca="1">IF(F103=0,0,IF(_xlfn.XLOOKUP(F103,$E$96:$AE$96,$E$97:$AE$97)=0,"Nhập ĐV/TV",_xlfn.XLOOKUP(F103,$E$96:$AE$96,$E$97:$AE$97)))</f>
        <v>#NAME?</v>
      </c>
      <c r="H103" s="8">
        <f>IFERROR(INDEX($E$98:$AE$98,MATCH(F103,$E$96:$AE$96,0)),0)</f>
        <v>70</v>
      </c>
      <c r="I103" s="9">
        <f ca="1">IFERROR(_xlfn.XLOOKUP($F103,'FCDB 2017 (full)'!$C:$C,'FCDB 2017 (full)'!$E:$E),0)</f>
        <v>0</v>
      </c>
      <c r="J103" s="10">
        <f t="shared" ref="J103:J125" ca="1" si="20">$H103*I103/100</f>
        <v>0</v>
      </c>
      <c r="K103" s="9">
        <f ca="1">IFERROR(_xlfn.XLOOKUP($F103,'FCDB 2017 (full)'!$C:$C,'FCDB 2017 (full)'!$G:$G),0)</f>
        <v>0</v>
      </c>
      <c r="L103" s="13" t="e">
        <f t="shared" ref="L103:L125" ca="1" si="21">IF($G103=L$15,$H103*$K103/100,0)</f>
        <v>#NAME?</v>
      </c>
      <c r="M103" s="13" t="e">
        <f t="shared" ref="M103:M125" ca="1" si="22">IF($G103=M$15,$H103*$K103/100,0)</f>
        <v>#NAME?</v>
      </c>
      <c r="N103" s="9">
        <f ca="1">IFERROR(_xlfn.XLOOKUP($F103,'FCDB 2017 (full)'!$C:$C,'FCDB 2017 (full)'!$H:$H),0)</f>
        <v>0</v>
      </c>
      <c r="O103" s="14" t="e">
        <f t="shared" ref="O103:O125" ca="1" si="23">IF($G103=O$15,$H103*$N103/100,0)</f>
        <v>#NAME?</v>
      </c>
      <c r="P103" s="14" t="e">
        <f t="shared" ref="P103:P125" ca="1" si="24">IF($G103=P$15,$H103*$N103/100,0)</f>
        <v>#NAME?</v>
      </c>
      <c r="Q103" s="9">
        <f ca="1">IFERROR(_xlfn.XLOOKUP($F103,'FCDB 2017 (full)'!$C:$C,'FCDB 2017 (full)'!$I:$I),0)</f>
        <v>0</v>
      </c>
      <c r="R103" s="15">
        <f t="shared" ref="R103:R125" ca="1" si="25">$H103*Q103/100</f>
        <v>0</v>
      </c>
      <c r="S103" s="16">
        <f ca="1">IFERROR(_xlfn.XLOOKUP($F103,'FCDB 2017 (full)'!$C:$C,'FCDB 2017 (full)'!$J:$J)*$H103/100,0)</f>
        <v>0</v>
      </c>
      <c r="T103" s="16">
        <f ca="1">IFERROR(_xlfn.XLOOKUP($F103,'FCDB 2017 (full)'!$C:$C,'FCDB 2017 (full)'!$K:$K)*$H103/100,0)</f>
        <v>0</v>
      </c>
      <c r="U103" s="16">
        <f ca="1">IFERROR(_xlfn.XLOOKUP($F103,'FCDB 2017 (full)'!$C:$C,'FCDB 2017 (full)'!$L:$L)*$H103/100,0)</f>
        <v>0</v>
      </c>
      <c r="V103" s="16">
        <f ca="1">IFERROR(_xlfn.XLOOKUP($F103,'FCDB 2017 (full)'!$C:$C,'FCDB 2017 (full)'!$M:$M)*$H103/100,0)</f>
        <v>0</v>
      </c>
      <c r="W103" s="16">
        <f ca="1">IFERROR(_xlfn.XLOOKUP($F103,'FCDB 2017 (full)'!$C:$C,'FCDB 2017 (full)'!$N:$N)*$H103/100,0)</f>
        <v>0</v>
      </c>
      <c r="X103" s="16">
        <f ca="1">IFERROR(_xlfn.XLOOKUP($F103,'FCDB 2017 (full)'!$C:$C,'FCDB 2017 (full)'!$O:$O)*$H103/100,0)</f>
        <v>0</v>
      </c>
      <c r="Y103" s="16">
        <f ca="1">IFERROR(_xlfn.XLOOKUP($F103,'FCDB 2017 (full)'!$C:$C,'FCDB 2017 (full)'!$P:$P)*$H103/100,0)</f>
        <v>0</v>
      </c>
      <c r="Z103" s="16">
        <f ca="1">IFERROR(_xlfn.XLOOKUP($F103,'FCDB 2017 (full)'!$C:$C,'FCDB 2017 (full)'!$Q:$Q)*$H103/100,0)</f>
        <v>0</v>
      </c>
      <c r="AA103" s="16">
        <f ca="1">IFERROR(_xlfn.XLOOKUP($F103,'FCDB 2017 (full)'!$C:$C,'FCDB 2017 (full)'!$R:$R)*$H103/100,0)</f>
        <v>0</v>
      </c>
      <c r="AB103" s="16">
        <f ca="1">IFERROR(_xlfn.XLOOKUP($F103,'FCDB 2017 (full)'!$C:$C,'FCDB 2017 (full)'!$S:$S)*$H103/100,0)</f>
        <v>0</v>
      </c>
      <c r="AC103" s="16">
        <f ca="1">IFERROR(_xlfn.XLOOKUP($F103,'FCDB 2017 (full)'!$C:$C,'FCDB 2017 (full)'!$T:$T)*$H103/100,0)</f>
        <v>0</v>
      </c>
      <c r="AD103" s="16">
        <f ca="1">IFERROR(_xlfn.XLOOKUP($F103,'FCDB 2017 (full)'!$C:$C,'FCDB 2017 (full)'!$U:$U)*$H103/100,0)</f>
        <v>0</v>
      </c>
      <c r="AE103" s="16">
        <f ca="1">IFERROR(_xlfn.XLOOKUP($F103,'FCDB 2017 (full)'!$C:$C,'FCDB 2017 (full)'!$V:$V)*$H103/100,0)</f>
        <v>0</v>
      </c>
      <c r="AF103" s="16">
        <f ca="1">IFERROR(_xlfn.XLOOKUP($F103,'FCDB 2017 (full)'!$C:$C,'FCDB 2017 (full)'!$W:$W)*$H103/100,0)</f>
        <v>0</v>
      </c>
      <c r="AG103" s="16">
        <f ca="1">IFERROR(_xlfn.XLOOKUP($F103,'FCDB 2017 (full)'!$C:$C,'FCDB 2017 (full)'!$X:$X)*$H103/100,0)</f>
        <v>0</v>
      </c>
      <c r="AH103" s="16">
        <f ca="1">IFERROR(_xlfn.XLOOKUP($F103,'FCDB 2017 (full)'!$C:$C,'FCDB 2017 (full)'!$Y:$Y)*$H103/100,0)</f>
        <v>0</v>
      </c>
      <c r="AI103" s="16">
        <f ca="1">IFERROR(_xlfn.XLOOKUP($F103,'FCDB 2017 (full)'!$C:$C,'FCDB 2017 (full)'!$Z:$Z)*$H103/100,0)</f>
        <v>0</v>
      </c>
      <c r="AJ103" s="16">
        <f ca="1">IFERROR(_xlfn.XLOOKUP($F103,'FCDB 2017 (full)'!$C:$C,'FCDB 2017 (full)'!$AA:$AA)*$H103/100,0)</f>
        <v>0</v>
      </c>
      <c r="AK103" s="16">
        <f ca="1">IFERROR(_xlfn.XLOOKUP($F103,'FCDB 2017 (full)'!$C:$C,'FCDB 2017 (full)'!$AB:$AB)*$H103/100,0)</f>
        <v>0</v>
      </c>
      <c r="AL103" s="16">
        <f ca="1">IFERROR(_xlfn.XLOOKUP($F103,'FCDB 2017 (full)'!$C:$C,'FCDB 2017 (full)'!$AC:$AC)*$H103/100,0)</f>
        <v>0</v>
      </c>
      <c r="AM103" s="16">
        <f ca="1">IFERROR(_xlfn.XLOOKUP($F103,'FCDB 2017 (full)'!$C:$C,'FCDB 2017 (full)'!$AD:$AD)*$H103/100,0)</f>
        <v>0</v>
      </c>
      <c r="AN103" s="16">
        <f ca="1">IFERROR(_xlfn.XLOOKUP($F103,'FCDB 2017 (full)'!$C:$C,'FCDB 2017 (full)'!$AE:$AE)*$H103/100,0)</f>
        <v>0</v>
      </c>
      <c r="AO103" s="16">
        <f ca="1">IFERROR(_xlfn.XLOOKUP($F103,'FCDB 2017 (full)'!$C:$C,'FCDB 2017 (full)'!$AF:$AF)*$H103/100,0)</f>
        <v>0</v>
      </c>
      <c r="AP103" s="16">
        <f ca="1">IFERROR(_xlfn.XLOOKUP($F103,'FCDB 2017 (full)'!$C:$C,'FCDB 2017 (full)'!$AG:$AG)*$H103/100,0)</f>
        <v>0</v>
      </c>
      <c r="AQ103" s="16">
        <f ca="1">IFERROR(_xlfn.XLOOKUP($F103,'FCDB 2017 (full)'!$C:$C,'FCDB 2017 (full)'!$AH:$AH)*$H103/100,0)</f>
        <v>0</v>
      </c>
      <c r="AR103" s="16">
        <f ca="1">IFERROR(_xlfn.XLOOKUP($F103,'FCDB 2017 (full)'!$C:$C,'FCDB 2017 (full)'!$AI:$AI)*$H103/100,0)</f>
        <v>0</v>
      </c>
      <c r="AS103" s="16">
        <f ca="1">IFERROR(_xlfn.XLOOKUP($F103,'FCDB 2017 (full)'!$C:$C,'FCDB 2017 (full)'!$AJ:$AJ)*$H103/100,0)</f>
        <v>0</v>
      </c>
      <c r="AT103" s="16">
        <f ca="1">IFERROR(_xlfn.XLOOKUP($F103,'FCDB 2017 (full)'!$C:$C,'FCDB 2017 (full)'!$AK:$AK)*$H103/100,0)</f>
        <v>0</v>
      </c>
      <c r="AU103" s="16">
        <f ca="1">IFERROR(_xlfn.XLOOKUP($F103,'FCDB 2017 (full)'!$C:$C,'FCDB 2017 (full)'!$AK:$AK)*$H103/100,0)</f>
        <v>0</v>
      </c>
      <c r="AV103" s="16">
        <f ca="1">IFERROR(_xlfn.XLOOKUP($F103,'FCDB 2017 (full)'!$C:$C,'FCDB 2017 (full)'!$AM:$AM)*$H103/100,0)</f>
        <v>0</v>
      </c>
      <c r="AW103" s="16">
        <f ca="1">IFERROR(_xlfn.XLOOKUP($F103,'FCDB 2017 (full)'!$C:$C,'FCDB 2017 (full)'!$AN:$AN)*$H103/100,0)</f>
        <v>0</v>
      </c>
      <c r="AX103" s="16">
        <f ca="1">IFERROR(_xlfn.XLOOKUP($F103,'FCDB 2017 (full)'!$C:$C,'FCDB 2017 (full)'!$AO:$AO)*$H103/100,0)</f>
        <v>0</v>
      </c>
      <c r="AY103" s="16">
        <f ca="1">IFERROR(_xlfn.XLOOKUP($F103,'FCDB 2017 (full)'!$C:$C,'FCDB 2017 (full)'!$AP:$AP)*$H103/100,0)</f>
        <v>0</v>
      </c>
      <c r="AZ103" s="16">
        <f ca="1">IFERROR(_xlfn.XLOOKUP($F103,'FCDB 2017 (full)'!$C:$C,'FCDB 2017 (full)'!$AQ:$AQ)*$H103/100,0)</f>
        <v>0</v>
      </c>
      <c r="BA103" s="16">
        <f ca="1">IFERROR(_xlfn.XLOOKUP($F103,'FCDB 2017 (full)'!$C:$C,'FCDB 2017 (full)'!$AR:$AR)*$H103/100,0)</f>
        <v>0</v>
      </c>
      <c r="BB103" s="16">
        <f ca="1">IFERROR(_xlfn.XLOOKUP($F103,'FCDB 2017 (full)'!$C:$C,'FCDB 2017 (full)'!$AS:$AS)*$H103/100,0)</f>
        <v>0</v>
      </c>
      <c r="BC103" s="16">
        <f ca="1">IFERROR(_xlfn.XLOOKUP($F103,'FCDB 2017 (full)'!$C:$C,'FCDB 2017 (full)'!$AT:$AT)*$H103/100,0)</f>
        <v>0</v>
      </c>
      <c r="BD103" s="16">
        <f ca="1">IFERROR(_xlfn.XLOOKUP($F103,'FCDB 2017 (full)'!$C:$C,'FCDB 2017 (full)'!$AU:$AU)*$H103/100,0)</f>
        <v>0</v>
      </c>
      <c r="BE103" s="16">
        <f ca="1">IFERROR(_xlfn.XLOOKUP($F103,'FCDB 2017 (full)'!$C:$C,'FCDB 2017 (full)'!$AV:$AV)*$H103/100,0)</f>
        <v>0</v>
      </c>
      <c r="BF103" s="16">
        <f ca="1">IFERROR(_xlfn.XLOOKUP($F103,'FCDB 2017 (full)'!$C:$C,'FCDB 2017 (full)'!$AW:$AW)*$H103/100,0)</f>
        <v>0</v>
      </c>
      <c r="BG103" s="16">
        <f ca="1">IFERROR(_xlfn.XLOOKUP($F103,'FCDB 2017 (full)'!$C:$C,'FCDB 2017 (full)'!$AX:$AX)*$H103/100,0)</f>
        <v>0</v>
      </c>
      <c r="BH103" s="16">
        <f ca="1">IFERROR(_xlfn.XLOOKUP($F103,'FCDB 2017 (full)'!$C:$C,'FCDB 2017 (full)'!$AY:$AY)*$H103/100,0)</f>
        <v>0</v>
      </c>
      <c r="BI103" s="16">
        <f ca="1">IFERROR(_xlfn.XLOOKUP($F103,'FCDB 2017 (full)'!$C:$C,'FCDB 2017 (full)'!$AZ:$AZ)*$H103/100,0)</f>
        <v>0</v>
      </c>
      <c r="BJ103" s="16">
        <f ca="1">IFERROR(_xlfn.XLOOKUP($F103,'FCDB 2017 (full)'!$C:$C,'FCDB 2017 (full)'!$BA:$BA)*$H103/100,0)</f>
        <v>0</v>
      </c>
      <c r="BK103" s="16">
        <f ca="1">IFERROR(_xlfn.XLOOKUP($F103,'FCDB 2017 (full)'!$C:$C,'FCDB 2017 (full)'!$BB:$BB)*$H103/100,0)</f>
        <v>0</v>
      </c>
      <c r="BL103" s="16">
        <f ca="1">IFERROR(_xlfn.XLOOKUP($F103,'FCDB 2017 (full)'!$C:$C,'FCDB 2017 (full)'!$BC:$BC)*$H103/100,0)</f>
        <v>0</v>
      </c>
      <c r="BM103" s="16">
        <f ca="1">IFERROR(_xlfn.XLOOKUP($F103,'FCDB 2017 (full)'!$C:$C,'FCDB 2017 (full)'!$BD:$BD)*$H103/100,0)</f>
        <v>0</v>
      </c>
      <c r="BN103" s="16">
        <f ca="1">IFERROR(_xlfn.XLOOKUP($F103,'FCDB 2017 (full)'!$C:$C,'FCDB 2017 (full)'!$BE:$BE)*$H103/100,0)</f>
        <v>0</v>
      </c>
      <c r="BO103" s="16">
        <f ca="1">IFERROR(_xlfn.XLOOKUP($F103,'FCDB 2017 (full)'!$C:$C,'FCDB 2017 (full)'!$BF:$BF)*$H103/100,0)</f>
        <v>0</v>
      </c>
      <c r="BP103" s="16">
        <f ca="1">IFERROR(_xlfn.XLOOKUP($F103,'FCDB 2017 (full)'!$C:$C,'FCDB 2017 (full)'!$BG:$BG)*$H103/100,0)</f>
        <v>0</v>
      </c>
      <c r="BQ103" s="16">
        <f ca="1">IFERROR(_xlfn.XLOOKUP($F103,'FCDB 2017 (full)'!$C:$C,'FCDB 2017 (full)'!$BH:$BH)*$H103/100,0)</f>
        <v>0</v>
      </c>
      <c r="BR103" s="16">
        <f ca="1">IFERROR(_xlfn.XLOOKUP($F103,'FCDB 2017 (full)'!$C:$C,'FCDB 2017 (full)'!$BI:$BI)*$H103/100,0)</f>
        <v>0</v>
      </c>
      <c r="BS103" s="16">
        <f ca="1">IFERROR(_xlfn.XLOOKUP($F103,'FCDB 2017 (full)'!$C:$C,'FCDB 2017 (full)'!$BJ:$BJ)*$H103/100,0)</f>
        <v>0</v>
      </c>
      <c r="BT103" s="16">
        <f ca="1">IFERROR(_xlfn.XLOOKUP($F103,'FCDB 2017 (full)'!$C:$C,'FCDB 2017 (full)'!$BK:$BK)*$H103/100,0)</f>
        <v>0</v>
      </c>
      <c r="BU103" s="16">
        <f ca="1">IFERROR(_xlfn.XLOOKUP($F103,'FCDB 2017 (full)'!$C:$C,'FCDB 2017 (full)'!$BL:$BL)*$H103/100,0)</f>
        <v>0</v>
      </c>
      <c r="BV103" s="16">
        <f ca="1">IFERROR(_xlfn.XLOOKUP($F103,'FCDB 2017 (full)'!$C:$C,'FCDB 2017 (full)'!$BM:$BM)*$H103/100,0)</f>
        <v>0</v>
      </c>
      <c r="BW103" s="16">
        <f ca="1">IFERROR(_xlfn.XLOOKUP($F103,'FCDB 2017 (full)'!$C:$C,'FCDB 2017 (full)'!$BN:$BN)*$H103/100,0)</f>
        <v>0</v>
      </c>
      <c r="BX103" s="16">
        <f ca="1">IFERROR(_xlfn.XLOOKUP($F103,'FCDB 2017 (full)'!$C:$C,'FCDB 2017 (full)'!$BO:$BO)*$H103/100,0)</f>
        <v>0</v>
      </c>
      <c r="BY103" s="16">
        <f ca="1">IFERROR(_xlfn.XLOOKUP($F103,'FCDB 2017 (full)'!$C:$C,'FCDB 2017 (full)'!$BP:$BP)*$H103/100,0)</f>
        <v>0</v>
      </c>
      <c r="BZ103" s="16">
        <f ca="1">IFERROR(_xlfn.XLOOKUP($F103,'FCDB 2017 (full)'!$C:$C,'FCDB 2017 (full)'!$BQ:$BQ)*$H103/100,0)</f>
        <v>0</v>
      </c>
      <c r="CA103" s="16">
        <f ca="1">IFERROR(_xlfn.XLOOKUP($F103,'FCDB 2017 (full)'!$C:$C,'FCDB 2017 (full)'!$BR:$BR)*$H103/100,0)</f>
        <v>0</v>
      </c>
      <c r="CB103" s="16">
        <f ca="1">IFERROR(_xlfn.XLOOKUP($F103,'FCDB 2017 (full)'!$C:$C,'FCDB 2017 (full)'!$BS:$BS)*$H103/100,0)</f>
        <v>0</v>
      </c>
      <c r="CC103" s="16">
        <f ca="1">IFERROR(_xlfn.XLOOKUP($F103,'FCDB 2017 (full)'!$C:$C,'FCDB 2017 (full)'!$BT:$BT)*$H103/100,0)</f>
        <v>0</v>
      </c>
      <c r="CD103" s="16">
        <f ca="1">IFERROR(_xlfn.XLOOKUP($F103,'FCDB 2017 (full)'!$C:$C,'FCDB 2017 (full)'!$BU:$BU)*$H103/100,0)</f>
        <v>0</v>
      </c>
      <c r="CE103" s="16">
        <f ca="1">IFERROR(_xlfn.XLOOKUP($F103,'FCDB 2017 (full)'!$C:$C,'FCDB 2017 (full)'!$BV:$BV)*$H103/100,0)</f>
        <v>0</v>
      </c>
      <c r="CF103" s="16">
        <f ca="1">IFERROR(_xlfn.XLOOKUP($F103,'FCDB 2017 (full)'!$C:$C,'FCDB 2017 (full)'!$BW:$BW)*$H103/100,0)</f>
        <v>0</v>
      </c>
      <c r="CG103" s="16">
        <f ca="1">IFERROR(_xlfn.XLOOKUP($F103,'FCDB 2017 (full)'!$C:$C,'FCDB 2017 (full)'!$BX:$BX)*$H103/100,0)</f>
        <v>0</v>
      </c>
      <c r="CH103" s="16">
        <f ca="1">IFERROR(_xlfn.XLOOKUP($F103,'FCDB 2017 (full)'!$C:$C,'FCDB 2017 (full)'!$BY:$BY)*$H103/100,0)</f>
        <v>0</v>
      </c>
      <c r="CI103" s="16">
        <f ca="1">IFERROR(_xlfn.XLOOKUP($F103,'FCDB 2017 (full)'!$C:$C,'FCDB 2017 (full)'!$BZ:$BZ)*$H103/100,0)</f>
        <v>0</v>
      </c>
      <c r="CJ103" s="16">
        <f ca="1">IFERROR(_xlfn.XLOOKUP($F103,'FCDB 2017 (full)'!$C:$C,'FCDB 2017 (full)'!$CA:$CA)*$H103/100,0)</f>
        <v>0</v>
      </c>
      <c r="CK103" s="16">
        <f ca="1">IFERROR(_xlfn.XLOOKUP($F103,'FCDB 2017 (full)'!$C:$C,'FCDB 2017 (full)'!$CB:$CB)*$H103/100,0)</f>
        <v>0</v>
      </c>
      <c r="CL103" s="16">
        <f ca="1">IFERROR(_xlfn.XLOOKUP($F103,'FCDB 2017 (full)'!$C:$C,'FCDB 2017 (full)'!$CC:$CC)*$H103/100,0)</f>
        <v>0</v>
      </c>
      <c r="CM103" s="16">
        <f ca="1">IFERROR(_xlfn.XLOOKUP($F103,'FCDB 2017 (full)'!$C:$C,'FCDB 2017 (full)'!$CD:$CD)*$H103/100,0)</f>
        <v>0</v>
      </c>
      <c r="CN103" s="16">
        <f ca="1">IFERROR(_xlfn.XLOOKUP($F103,'FCDB 2017 (full)'!$C:$C,'FCDB 2017 (full)'!$CE:$CE)*$H103/100,0)</f>
        <v>0</v>
      </c>
      <c r="CO103" s="16">
        <f ca="1">IFERROR(_xlfn.XLOOKUP($F103,'FCDB 2017 (full)'!$C:$C,'FCDB 2017 (full)'!$CF:$CF)*$H103/100,0)</f>
        <v>0</v>
      </c>
      <c r="CP103" s="16">
        <f ca="1">IFERROR(_xlfn.XLOOKUP($F103,'FCDB 2017 (full)'!$C:$C,'FCDB 2017 (full)'!$CG:$CG)*$H103/100,0)</f>
        <v>0</v>
      </c>
      <c r="CQ103" s="16">
        <f ca="1">IFERROR(_xlfn.XLOOKUP($F103,'FCDB 2017 (full)'!$C:$C,'FCDB 2017 (full)'!$CH:$CH)*$H103/100,0)</f>
        <v>0</v>
      </c>
      <c r="DA103" s="72" t="s">
        <v>982</v>
      </c>
    </row>
    <row r="104" spans="4:105">
      <c r="E104" s="41"/>
      <c r="F104" s="11" t="str">
        <f>IFERROR(VLOOKUP($D$96,$D:$AE,3,0),0)</f>
        <v>Khoai sọ</v>
      </c>
      <c r="G104" s="7" t="e" cm="1">
        <f t="array" aca="1" ref="G104" ca="1">IF(F104=0,0,IF(_xlfn.XLOOKUP(F104,$E$96:$AE$96,$E$97:$AE$97)=0,"Nhập ĐV/TV",_xlfn.XLOOKUP(F104,$E$96:$AE$96,$E$97:$AE$97)))</f>
        <v>#NAME?</v>
      </c>
      <c r="H104" s="8">
        <f t="shared" ref="H104:H125" si="26">IFERROR(INDEX($E$98:$AE$98,MATCH(F104,$E$96:$AE$96,0)),0)</f>
        <v>30</v>
      </c>
      <c r="I104" s="9">
        <f ca="1">IFERROR(_xlfn.XLOOKUP($F104,'FCDB 2017 (full)'!$C:$C,'FCDB 2017 (full)'!$E:$E),0)</f>
        <v>0</v>
      </c>
      <c r="J104" s="10">
        <f t="shared" ca="1" si="20"/>
        <v>0</v>
      </c>
      <c r="K104" s="9">
        <f ca="1">IFERROR(_xlfn.XLOOKUP($F104,'FCDB 2017 (full)'!$C:$C,'FCDB 2017 (full)'!$G:$G),0)</f>
        <v>0</v>
      </c>
      <c r="L104" s="13" t="e">
        <f t="shared" ca="1" si="21"/>
        <v>#NAME?</v>
      </c>
      <c r="M104" s="13" t="e">
        <f t="shared" ca="1" si="22"/>
        <v>#NAME?</v>
      </c>
      <c r="N104" s="9">
        <f ca="1">IFERROR(_xlfn.XLOOKUP($F104,'FCDB 2017 (full)'!$C:$C,'FCDB 2017 (full)'!$H:$H),0)</f>
        <v>0</v>
      </c>
      <c r="O104" s="14" t="e">
        <f t="shared" ca="1" si="23"/>
        <v>#NAME?</v>
      </c>
      <c r="P104" s="14" t="e">
        <f t="shared" ca="1" si="24"/>
        <v>#NAME?</v>
      </c>
      <c r="Q104" s="9">
        <f ca="1">IFERROR(_xlfn.XLOOKUP($F104,'FCDB 2017 (full)'!$C:$C,'FCDB 2017 (full)'!$I:$I),0)</f>
        <v>0</v>
      </c>
      <c r="R104" s="15">
        <f t="shared" ca="1" si="25"/>
        <v>0</v>
      </c>
      <c r="S104" s="16">
        <f ca="1">IFERROR(_xlfn.XLOOKUP($F104,'FCDB 2017 (full)'!$C:$C,'FCDB 2017 (full)'!$J:$J)*$H104/100,0)</f>
        <v>0</v>
      </c>
      <c r="T104" s="16">
        <f ca="1">IFERROR(_xlfn.XLOOKUP($F104,'FCDB 2017 (full)'!$C:$C,'FCDB 2017 (full)'!$K:$K)*$H104/100,0)</f>
        <v>0</v>
      </c>
      <c r="U104" s="16">
        <f ca="1">IFERROR(_xlfn.XLOOKUP($F104,'FCDB 2017 (full)'!$C:$C,'FCDB 2017 (full)'!$L:$L)*$H104/100,0)</f>
        <v>0</v>
      </c>
      <c r="V104" s="16">
        <f ca="1">IFERROR(_xlfn.XLOOKUP($F104,'FCDB 2017 (full)'!$C:$C,'FCDB 2017 (full)'!$M:$M)*$H104/100,0)</f>
        <v>0</v>
      </c>
      <c r="W104" s="16">
        <f ca="1">IFERROR(_xlfn.XLOOKUP($F104,'FCDB 2017 (full)'!$C:$C,'FCDB 2017 (full)'!$N:$N)*$H104/100,0)</f>
        <v>0</v>
      </c>
      <c r="X104" s="16">
        <f ca="1">IFERROR(_xlfn.XLOOKUP($F104,'FCDB 2017 (full)'!$C:$C,'FCDB 2017 (full)'!$O:$O)*$H104/100,0)</f>
        <v>0</v>
      </c>
      <c r="Y104" s="16">
        <f ca="1">IFERROR(_xlfn.XLOOKUP($F104,'FCDB 2017 (full)'!$C:$C,'FCDB 2017 (full)'!$P:$P)*$H104/100,0)</f>
        <v>0</v>
      </c>
      <c r="Z104" s="16">
        <f ca="1">IFERROR(_xlfn.XLOOKUP($F104,'FCDB 2017 (full)'!$C:$C,'FCDB 2017 (full)'!$Q:$Q)*$H104/100,0)</f>
        <v>0</v>
      </c>
      <c r="AA104" s="16">
        <f ca="1">IFERROR(_xlfn.XLOOKUP($F104,'FCDB 2017 (full)'!$C:$C,'FCDB 2017 (full)'!$R:$R)*$H104/100,0)</f>
        <v>0</v>
      </c>
      <c r="AB104" s="16">
        <f ca="1">IFERROR(_xlfn.XLOOKUP($F104,'FCDB 2017 (full)'!$C:$C,'FCDB 2017 (full)'!$S:$S)*$H104/100,0)</f>
        <v>0</v>
      </c>
      <c r="AC104" s="16">
        <f ca="1">IFERROR(_xlfn.XLOOKUP($F104,'FCDB 2017 (full)'!$C:$C,'FCDB 2017 (full)'!$T:$T)*$H104/100,0)</f>
        <v>0</v>
      </c>
      <c r="AD104" s="16">
        <f ca="1">IFERROR(_xlfn.XLOOKUP($F104,'FCDB 2017 (full)'!$C:$C,'FCDB 2017 (full)'!$U:$U)*$H104/100,0)</f>
        <v>0</v>
      </c>
      <c r="AE104" s="16">
        <f ca="1">IFERROR(_xlfn.XLOOKUP($F104,'FCDB 2017 (full)'!$C:$C,'FCDB 2017 (full)'!$V:$V)*$H104/100,0)</f>
        <v>0</v>
      </c>
      <c r="AF104" s="16">
        <f ca="1">IFERROR(_xlfn.XLOOKUP($F104,'FCDB 2017 (full)'!$C:$C,'FCDB 2017 (full)'!$W:$W)*$H104/100,0)</f>
        <v>0</v>
      </c>
      <c r="AG104" s="16">
        <f ca="1">IFERROR(_xlfn.XLOOKUP($F104,'FCDB 2017 (full)'!$C:$C,'FCDB 2017 (full)'!$X:$X)*$H104/100,0)</f>
        <v>0</v>
      </c>
      <c r="AH104" s="16">
        <f ca="1">IFERROR(_xlfn.XLOOKUP($F104,'FCDB 2017 (full)'!$C:$C,'FCDB 2017 (full)'!$Y:$Y)*$H104/100,0)</f>
        <v>0</v>
      </c>
      <c r="AI104" s="16">
        <f ca="1">IFERROR(_xlfn.XLOOKUP($F104,'FCDB 2017 (full)'!$C:$C,'FCDB 2017 (full)'!$Z:$Z)*$H104/100,0)</f>
        <v>0</v>
      </c>
      <c r="AJ104" s="16">
        <f ca="1">IFERROR(_xlfn.XLOOKUP($F104,'FCDB 2017 (full)'!$C:$C,'FCDB 2017 (full)'!$AA:$AA)*$H104/100,0)</f>
        <v>0</v>
      </c>
      <c r="AK104" s="16">
        <f ca="1">IFERROR(_xlfn.XLOOKUP($F104,'FCDB 2017 (full)'!$C:$C,'FCDB 2017 (full)'!$AB:$AB)*$H104/100,0)</f>
        <v>0</v>
      </c>
      <c r="AL104" s="16">
        <f ca="1">IFERROR(_xlfn.XLOOKUP($F104,'FCDB 2017 (full)'!$C:$C,'FCDB 2017 (full)'!$AC:$AC)*$H104/100,0)</f>
        <v>0</v>
      </c>
      <c r="AM104" s="16">
        <f ca="1">IFERROR(_xlfn.XLOOKUP($F104,'FCDB 2017 (full)'!$C:$C,'FCDB 2017 (full)'!$AD:$AD)*$H104/100,0)</f>
        <v>0</v>
      </c>
      <c r="AN104" s="16">
        <f ca="1">IFERROR(_xlfn.XLOOKUP($F104,'FCDB 2017 (full)'!$C:$C,'FCDB 2017 (full)'!$AE:$AE)*$H104/100,0)</f>
        <v>0</v>
      </c>
      <c r="AO104" s="16">
        <f ca="1">IFERROR(_xlfn.XLOOKUP($F104,'FCDB 2017 (full)'!$C:$C,'FCDB 2017 (full)'!$AF:$AF)*$H104/100,0)</f>
        <v>0</v>
      </c>
      <c r="AP104" s="16">
        <f ca="1">IFERROR(_xlfn.XLOOKUP($F104,'FCDB 2017 (full)'!$C:$C,'FCDB 2017 (full)'!$AG:$AG)*$H104/100,0)</f>
        <v>0</v>
      </c>
      <c r="AQ104" s="16">
        <f ca="1">IFERROR(_xlfn.XLOOKUP($F104,'FCDB 2017 (full)'!$C:$C,'FCDB 2017 (full)'!$AH:$AH)*$H104/100,0)</f>
        <v>0</v>
      </c>
      <c r="AR104" s="16">
        <f ca="1">IFERROR(_xlfn.XLOOKUP($F104,'FCDB 2017 (full)'!$C:$C,'FCDB 2017 (full)'!$AI:$AI)*$H104/100,0)</f>
        <v>0</v>
      </c>
      <c r="AS104" s="16">
        <f ca="1">IFERROR(_xlfn.XLOOKUP($F104,'FCDB 2017 (full)'!$C:$C,'FCDB 2017 (full)'!$AJ:$AJ)*$H104/100,0)</f>
        <v>0</v>
      </c>
      <c r="AT104" s="16">
        <f ca="1">IFERROR(_xlfn.XLOOKUP($F104,'FCDB 2017 (full)'!$C:$C,'FCDB 2017 (full)'!$AK:$AK)*$H104/100,0)</f>
        <v>0</v>
      </c>
      <c r="AU104" s="16">
        <f ca="1">IFERROR(_xlfn.XLOOKUP($F104,'FCDB 2017 (full)'!$C:$C,'FCDB 2017 (full)'!$AK:$AK)*$H104/100,0)</f>
        <v>0</v>
      </c>
      <c r="AV104" s="16">
        <f ca="1">IFERROR(_xlfn.XLOOKUP($F104,'FCDB 2017 (full)'!$C:$C,'FCDB 2017 (full)'!$AM:$AM)*$H104/100,0)</f>
        <v>0</v>
      </c>
      <c r="AW104" s="16">
        <f ca="1">IFERROR(_xlfn.XLOOKUP($F104,'FCDB 2017 (full)'!$C:$C,'FCDB 2017 (full)'!$AN:$AN)*$H104/100,0)</f>
        <v>0</v>
      </c>
      <c r="AX104" s="16">
        <f ca="1">IFERROR(_xlfn.XLOOKUP($F104,'FCDB 2017 (full)'!$C:$C,'FCDB 2017 (full)'!$AO:$AO)*$H104/100,0)</f>
        <v>0</v>
      </c>
      <c r="AY104" s="16">
        <f ca="1">IFERROR(_xlfn.XLOOKUP($F104,'FCDB 2017 (full)'!$C:$C,'FCDB 2017 (full)'!$AP:$AP)*$H104/100,0)</f>
        <v>0</v>
      </c>
      <c r="AZ104" s="16">
        <f ca="1">IFERROR(_xlfn.XLOOKUP($F104,'FCDB 2017 (full)'!$C:$C,'FCDB 2017 (full)'!$AQ:$AQ)*$H104/100,0)</f>
        <v>0</v>
      </c>
      <c r="BA104" s="16">
        <f ca="1">IFERROR(_xlfn.XLOOKUP($F104,'FCDB 2017 (full)'!$C:$C,'FCDB 2017 (full)'!$AR:$AR)*$H104/100,0)</f>
        <v>0</v>
      </c>
      <c r="BB104" s="16">
        <f ca="1">IFERROR(_xlfn.XLOOKUP($F104,'FCDB 2017 (full)'!$C:$C,'FCDB 2017 (full)'!$AS:$AS)*$H104/100,0)</f>
        <v>0</v>
      </c>
      <c r="BC104" s="16">
        <f ca="1">IFERROR(_xlfn.XLOOKUP($F104,'FCDB 2017 (full)'!$C:$C,'FCDB 2017 (full)'!$AT:$AT)*$H104/100,0)</f>
        <v>0</v>
      </c>
      <c r="BD104" s="16">
        <f ca="1">IFERROR(_xlfn.XLOOKUP($F104,'FCDB 2017 (full)'!$C:$C,'FCDB 2017 (full)'!$AU:$AU)*$H104/100,0)</f>
        <v>0</v>
      </c>
      <c r="BE104" s="16">
        <f ca="1">IFERROR(_xlfn.XLOOKUP($F104,'FCDB 2017 (full)'!$C:$C,'FCDB 2017 (full)'!$AV:$AV)*$H104/100,0)</f>
        <v>0</v>
      </c>
      <c r="BF104" s="16">
        <f ca="1">IFERROR(_xlfn.XLOOKUP($F104,'FCDB 2017 (full)'!$C:$C,'FCDB 2017 (full)'!$AW:$AW)*$H104/100,0)</f>
        <v>0</v>
      </c>
      <c r="BG104" s="16">
        <f ca="1">IFERROR(_xlfn.XLOOKUP($F104,'FCDB 2017 (full)'!$C:$C,'FCDB 2017 (full)'!$AX:$AX)*$H104/100,0)</f>
        <v>0</v>
      </c>
      <c r="BH104" s="16">
        <f ca="1">IFERROR(_xlfn.XLOOKUP($F104,'FCDB 2017 (full)'!$C:$C,'FCDB 2017 (full)'!$AY:$AY)*$H104/100,0)</f>
        <v>0</v>
      </c>
      <c r="BI104" s="16">
        <f ca="1">IFERROR(_xlfn.XLOOKUP($F104,'FCDB 2017 (full)'!$C:$C,'FCDB 2017 (full)'!$AZ:$AZ)*$H104/100,0)</f>
        <v>0</v>
      </c>
      <c r="BJ104" s="16">
        <f ca="1">IFERROR(_xlfn.XLOOKUP($F104,'FCDB 2017 (full)'!$C:$C,'FCDB 2017 (full)'!$BA:$BA)*$H104/100,0)</f>
        <v>0</v>
      </c>
      <c r="BK104" s="16">
        <f ca="1">IFERROR(_xlfn.XLOOKUP($F104,'FCDB 2017 (full)'!$C:$C,'FCDB 2017 (full)'!$BB:$BB)*$H104/100,0)</f>
        <v>0</v>
      </c>
      <c r="BL104" s="16">
        <f ca="1">IFERROR(_xlfn.XLOOKUP($F104,'FCDB 2017 (full)'!$C:$C,'FCDB 2017 (full)'!$BC:$BC)*$H104/100,0)</f>
        <v>0</v>
      </c>
      <c r="BM104" s="16">
        <f ca="1">IFERROR(_xlfn.XLOOKUP($F104,'FCDB 2017 (full)'!$C:$C,'FCDB 2017 (full)'!$BD:$BD)*$H104/100,0)</f>
        <v>0</v>
      </c>
      <c r="BN104" s="16">
        <f ca="1">IFERROR(_xlfn.XLOOKUP($F104,'FCDB 2017 (full)'!$C:$C,'FCDB 2017 (full)'!$BE:$BE)*$H104/100,0)</f>
        <v>0</v>
      </c>
      <c r="BO104" s="16">
        <f ca="1">IFERROR(_xlfn.XLOOKUP($F104,'FCDB 2017 (full)'!$C:$C,'FCDB 2017 (full)'!$BF:$BF)*$H104/100,0)</f>
        <v>0</v>
      </c>
      <c r="BP104" s="16">
        <f ca="1">IFERROR(_xlfn.XLOOKUP($F104,'FCDB 2017 (full)'!$C:$C,'FCDB 2017 (full)'!$BG:$BG)*$H104/100,0)</f>
        <v>0</v>
      </c>
      <c r="BQ104" s="16">
        <f ca="1">IFERROR(_xlfn.XLOOKUP($F104,'FCDB 2017 (full)'!$C:$C,'FCDB 2017 (full)'!$BH:$BH)*$H104/100,0)</f>
        <v>0</v>
      </c>
      <c r="BR104" s="16">
        <f ca="1">IFERROR(_xlfn.XLOOKUP($F104,'FCDB 2017 (full)'!$C:$C,'FCDB 2017 (full)'!$BI:$BI)*$H104/100,0)</f>
        <v>0</v>
      </c>
      <c r="BS104" s="16">
        <f ca="1">IFERROR(_xlfn.XLOOKUP($F104,'FCDB 2017 (full)'!$C:$C,'FCDB 2017 (full)'!$BJ:$BJ)*$H104/100,0)</f>
        <v>0</v>
      </c>
      <c r="BT104" s="16">
        <f ca="1">IFERROR(_xlfn.XLOOKUP($F104,'FCDB 2017 (full)'!$C:$C,'FCDB 2017 (full)'!$BK:$BK)*$H104/100,0)</f>
        <v>0</v>
      </c>
      <c r="BU104" s="16">
        <f ca="1">IFERROR(_xlfn.XLOOKUP($F104,'FCDB 2017 (full)'!$C:$C,'FCDB 2017 (full)'!$BL:$BL)*$H104/100,0)</f>
        <v>0</v>
      </c>
      <c r="BV104" s="16">
        <f ca="1">IFERROR(_xlfn.XLOOKUP($F104,'FCDB 2017 (full)'!$C:$C,'FCDB 2017 (full)'!$BM:$BM)*$H104/100,0)</f>
        <v>0</v>
      </c>
      <c r="BW104" s="16">
        <f ca="1">IFERROR(_xlfn.XLOOKUP($F104,'FCDB 2017 (full)'!$C:$C,'FCDB 2017 (full)'!$BN:$BN)*$H104/100,0)</f>
        <v>0</v>
      </c>
      <c r="BX104" s="16">
        <f ca="1">IFERROR(_xlfn.XLOOKUP($F104,'FCDB 2017 (full)'!$C:$C,'FCDB 2017 (full)'!$BO:$BO)*$H104/100,0)</f>
        <v>0</v>
      </c>
      <c r="BY104" s="16">
        <f ca="1">IFERROR(_xlfn.XLOOKUP($F104,'FCDB 2017 (full)'!$C:$C,'FCDB 2017 (full)'!$BP:$BP)*$H104/100,0)</f>
        <v>0</v>
      </c>
      <c r="BZ104" s="16">
        <f ca="1">IFERROR(_xlfn.XLOOKUP($F104,'FCDB 2017 (full)'!$C:$C,'FCDB 2017 (full)'!$BQ:$BQ)*$H104/100,0)</f>
        <v>0</v>
      </c>
      <c r="CA104" s="16">
        <f ca="1">IFERROR(_xlfn.XLOOKUP($F104,'FCDB 2017 (full)'!$C:$C,'FCDB 2017 (full)'!$BR:$BR)*$H104/100,0)</f>
        <v>0</v>
      </c>
      <c r="CB104" s="16">
        <f ca="1">IFERROR(_xlfn.XLOOKUP($F104,'FCDB 2017 (full)'!$C:$C,'FCDB 2017 (full)'!$BS:$BS)*$H104/100,0)</f>
        <v>0</v>
      </c>
      <c r="CC104" s="16">
        <f ca="1">IFERROR(_xlfn.XLOOKUP($F104,'FCDB 2017 (full)'!$C:$C,'FCDB 2017 (full)'!$BT:$BT)*$H104/100,0)</f>
        <v>0</v>
      </c>
      <c r="CD104" s="16">
        <f ca="1">IFERROR(_xlfn.XLOOKUP($F104,'FCDB 2017 (full)'!$C:$C,'FCDB 2017 (full)'!$BU:$BU)*$H104/100,0)</f>
        <v>0</v>
      </c>
      <c r="CE104" s="16">
        <f ca="1">IFERROR(_xlfn.XLOOKUP($F104,'FCDB 2017 (full)'!$C:$C,'FCDB 2017 (full)'!$BV:$BV)*$H104/100,0)</f>
        <v>0</v>
      </c>
      <c r="CF104" s="16">
        <f ca="1">IFERROR(_xlfn.XLOOKUP($F104,'FCDB 2017 (full)'!$C:$C,'FCDB 2017 (full)'!$BW:$BW)*$H104/100,0)</f>
        <v>0</v>
      </c>
      <c r="CG104" s="16">
        <f ca="1">IFERROR(_xlfn.XLOOKUP($F104,'FCDB 2017 (full)'!$C:$C,'FCDB 2017 (full)'!$BX:$BX)*$H104/100,0)</f>
        <v>0</v>
      </c>
      <c r="CH104" s="16">
        <f ca="1">IFERROR(_xlfn.XLOOKUP($F104,'FCDB 2017 (full)'!$C:$C,'FCDB 2017 (full)'!$BY:$BY)*$H104/100,0)</f>
        <v>0</v>
      </c>
      <c r="CI104" s="16">
        <f ca="1">IFERROR(_xlfn.XLOOKUP($F104,'FCDB 2017 (full)'!$C:$C,'FCDB 2017 (full)'!$BZ:$BZ)*$H104/100,0)</f>
        <v>0</v>
      </c>
      <c r="CJ104" s="16">
        <f ca="1">IFERROR(_xlfn.XLOOKUP($F104,'FCDB 2017 (full)'!$C:$C,'FCDB 2017 (full)'!$CA:$CA)*$H104/100,0)</f>
        <v>0</v>
      </c>
      <c r="CK104" s="16">
        <f ca="1">IFERROR(_xlfn.XLOOKUP($F104,'FCDB 2017 (full)'!$C:$C,'FCDB 2017 (full)'!$CB:$CB)*$H104/100,0)</f>
        <v>0</v>
      </c>
      <c r="CL104" s="16">
        <f ca="1">IFERROR(_xlfn.XLOOKUP($F104,'FCDB 2017 (full)'!$C:$C,'FCDB 2017 (full)'!$CC:$CC)*$H104/100,0)</f>
        <v>0</v>
      </c>
      <c r="CM104" s="16">
        <f ca="1">IFERROR(_xlfn.XLOOKUP($F104,'FCDB 2017 (full)'!$C:$C,'FCDB 2017 (full)'!$CD:$CD)*$H104/100,0)</f>
        <v>0</v>
      </c>
      <c r="CN104" s="16">
        <f ca="1">IFERROR(_xlfn.XLOOKUP($F104,'FCDB 2017 (full)'!$C:$C,'FCDB 2017 (full)'!$CE:$CE)*$H104/100,0)</f>
        <v>0</v>
      </c>
      <c r="CO104" s="16">
        <f ca="1">IFERROR(_xlfn.XLOOKUP($F104,'FCDB 2017 (full)'!$C:$C,'FCDB 2017 (full)'!$CF:$CF)*$H104/100,0)</f>
        <v>0</v>
      </c>
      <c r="CP104" s="16">
        <f ca="1">IFERROR(_xlfn.XLOOKUP($F104,'FCDB 2017 (full)'!$C:$C,'FCDB 2017 (full)'!$CG:$CG)*$H104/100,0)</f>
        <v>0</v>
      </c>
      <c r="CQ104" s="16">
        <f ca="1">IFERROR(_xlfn.XLOOKUP($F104,'FCDB 2017 (full)'!$C:$C,'FCDB 2017 (full)'!$CH:$CH)*$H104/100,0)</f>
        <v>0</v>
      </c>
      <c r="DA104" s="72" t="s">
        <v>982</v>
      </c>
    </row>
    <row r="105" spans="4:105">
      <c r="E105" s="41"/>
      <c r="F105" s="11">
        <f>IFERROR(VLOOKUP($D$96,$D:$AE,4,0),0)</f>
        <v>0</v>
      </c>
      <c r="G105" s="7" cm="1">
        <f t="array" ref="G105">IF(F105=0,0,IF(_xlfn.XLOOKUP(F105,$E$96:$AE$96,$E$97:$AE$97)=0,"Nhập ĐV/TV",_xlfn.XLOOKUP(F105,$E$96:$AE$96,$E$97:$AE$97)))</f>
        <v>0</v>
      </c>
      <c r="H105" s="8">
        <f t="shared" si="26"/>
        <v>0</v>
      </c>
      <c r="I105" s="9">
        <f ca="1">IFERROR(_xlfn.XLOOKUP($F105,'FCDB 2017 (full)'!$C:$C,'FCDB 2017 (full)'!$E:$E),0)</f>
        <v>0</v>
      </c>
      <c r="J105" s="10">
        <f t="shared" ca="1" si="20"/>
        <v>0</v>
      </c>
      <c r="K105" s="9">
        <f ca="1">IFERROR(_xlfn.XLOOKUP($F105,'FCDB 2017 (full)'!$C:$C,'FCDB 2017 (full)'!$G:$G),0)</f>
        <v>0</v>
      </c>
      <c r="L105" s="13">
        <f t="shared" si="21"/>
        <v>0</v>
      </c>
      <c r="M105" s="13">
        <f t="shared" si="22"/>
        <v>0</v>
      </c>
      <c r="N105" s="9">
        <f ca="1">IFERROR(_xlfn.XLOOKUP($F105,'FCDB 2017 (full)'!$C:$C,'FCDB 2017 (full)'!$H:$H),0)</f>
        <v>0</v>
      </c>
      <c r="O105" s="14">
        <f t="shared" si="23"/>
        <v>0</v>
      </c>
      <c r="P105" s="14">
        <f t="shared" si="24"/>
        <v>0</v>
      </c>
      <c r="Q105" s="9">
        <f ca="1">IFERROR(_xlfn.XLOOKUP($F105,'FCDB 2017 (full)'!$C:$C,'FCDB 2017 (full)'!$I:$I),0)</f>
        <v>0</v>
      </c>
      <c r="R105" s="15">
        <f t="shared" ca="1" si="25"/>
        <v>0</v>
      </c>
      <c r="S105" s="16">
        <f ca="1">IFERROR(_xlfn.XLOOKUP($F105,'FCDB 2017 (full)'!$C:$C,'FCDB 2017 (full)'!$J:$J)*$H105/100,0)</f>
        <v>0</v>
      </c>
      <c r="T105" s="16">
        <f ca="1">IFERROR(_xlfn.XLOOKUP($F105,'FCDB 2017 (full)'!$C:$C,'FCDB 2017 (full)'!$K:$K)*$H105/100,0)</f>
        <v>0</v>
      </c>
      <c r="U105" s="16">
        <f ca="1">IFERROR(_xlfn.XLOOKUP($F105,'FCDB 2017 (full)'!$C:$C,'FCDB 2017 (full)'!$L:$L)*$H105/100,0)</f>
        <v>0</v>
      </c>
      <c r="V105" s="16">
        <f ca="1">IFERROR(_xlfn.XLOOKUP($F105,'FCDB 2017 (full)'!$C:$C,'FCDB 2017 (full)'!$M:$M)*$H105/100,0)</f>
        <v>0</v>
      </c>
      <c r="W105" s="16">
        <f ca="1">IFERROR(_xlfn.XLOOKUP($F105,'FCDB 2017 (full)'!$C:$C,'FCDB 2017 (full)'!$N:$N)*$H105/100,0)</f>
        <v>0</v>
      </c>
      <c r="X105" s="16">
        <f ca="1">IFERROR(_xlfn.XLOOKUP($F105,'FCDB 2017 (full)'!$C:$C,'FCDB 2017 (full)'!$O:$O)*$H105/100,0)</f>
        <v>0</v>
      </c>
      <c r="Y105" s="16">
        <f ca="1">IFERROR(_xlfn.XLOOKUP($F105,'FCDB 2017 (full)'!$C:$C,'FCDB 2017 (full)'!$P:$P)*$H105/100,0)</f>
        <v>0</v>
      </c>
      <c r="Z105" s="16">
        <f ca="1">IFERROR(_xlfn.XLOOKUP($F105,'FCDB 2017 (full)'!$C:$C,'FCDB 2017 (full)'!$Q:$Q)*$H105/100,0)</f>
        <v>0</v>
      </c>
      <c r="AA105" s="16">
        <f ca="1">IFERROR(_xlfn.XLOOKUP($F105,'FCDB 2017 (full)'!$C:$C,'FCDB 2017 (full)'!$R:$R)*$H105/100,0)</f>
        <v>0</v>
      </c>
      <c r="AB105" s="16">
        <f ca="1">IFERROR(_xlfn.XLOOKUP($F105,'FCDB 2017 (full)'!$C:$C,'FCDB 2017 (full)'!$S:$S)*$H105/100,0)</f>
        <v>0</v>
      </c>
      <c r="AC105" s="16">
        <f ca="1">IFERROR(_xlfn.XLOOKUP($F105,'FCDB 2017 (full)'!$C:$C,'FCDB 2017 (full)'!$T:$T)*$H105/100,0)</f>
        <v>0</v>
      </c>
      <c r="AD105" s="16">
        <f ca="1">IFERROR(_xlfn.XLOOKUP($F105,'FCDB 2017 (full)'!$C:$C,'FCDB 2017 (full)'!$U:$U)*$H105/100,0)</f>
        <v>0</v>
      </c>
      <c r="AE105" s="16">
        <f ca="1">IFERROR(_xlfn.XLOOKUP($F105,'FCDB 2017 (full)'!$C:$C,'FCDB 2017 (full)'!$V:$V)*$H105/100,0)</f>
        <v>0</v>
      </c>
      <c r="AF105" s="16">
        <f ca="1">IFERROR(_xlfn.XLOOKUP($F105,'FCDB 2017 (full)'!$C:$C,'FCDB 2017 (full)'!$W:$W)*$H105/100,0)</f>
        <v>0</v>
      </c>
      <c r="AG105" s="16">
        <f ca="1">IFERROR(_xlfn.XLOOKUP($F105,'FCDB 2017 (full)'!$C:$C,'FCDB 2017 (full)'!$X:$X)*$H105/100,0)</f>
        <v>0</v>
      </c>
      <c r="AH105" s="16">
        <f ca="1">IFERROR(_xlfn.XLOOKUP($F105,'FCDB 2017 (full)'!$C:$C,'FCDB 2017 (full)'!$Y:$Y)*$H105/100,0)</f>
        <v>0</v>
      </c>
      <c r="AI105" s="16">
        <f ca="1">IFERROR(_xlfn.XLOOKUP($F105,'FCDB 2017 (full)'!$C:$C,'FCDB 2017 (full)'!$Z:$Z)*$H105/100,0)</f>
        <v>0</v>
      </c>
      <c r="AJ105" s="16">
        <f ca="1">IFERROR(_xlfn.XLOOKUP($F105,'FCDB 2017 (full)'!$C:$C,'FCDB 2017 (full)'!$AA:$AA)*$H105/100,0)</f>
        <v>0</v>
      </c>
      <c r="AK105" s="16">
        <f ca="1">IFERROR(_xlfn.XLOOKUP($F105,'FCDB 2017 (full)'!$C:$C,'FCDB 2017 (full)'!$AB:$AB)*$H105/100,0)</f>
        <v>0</v>
      </c>
      <c r="AL105" s="16">
        <f ca="1">IFERROR(_xlfn.XLOOKUP($F105,'FCDB 2017 (full)'!$C:$C,'FCDB 2017 (full)'!$AC:$AC)*$H105/100,0)</f>
        <v>0</v>
      </c>
      <c r="AM105" s="16">
        <f ca="1">IFERROR(_xlfn.XLOOKUP($F105,'FCDB 2017 (full)'!$C:$C,'FCDB 2017 (full)'!$AD:$AD)*$H105/100,0)</f>
        <v>0</v>
      </c>
      <c r="AN105" s="16">
        <f ca="1">IFERROR(_xlfn.XLOOKUP($F105,'FCDB 2017 (full)'!$C:$C,'FCDB 2017 (full)'!$AE:$AE)*$H105/100,0)</f>
        <v>0</v>
      </c>
      <c r="AO105" s="16">
        <f ca="1">IFERROR(_xlfn.XLOOKUP($F105,'FCDB 2017 (full)'!$C:$C,'FCDB 2017 (full)'!$AF:$AF)*$H105/100,0)</f>
        <v>0</v>
      </c>
      <c r="AP105" s="16">
        <f ca="1">IFERROR(_xlfn.XLOOKUP($F105,'FCDB 2017 (full)'!$C:$C,'FCDB 2017 (full)'!$AG:$AG)*$H105/100,0)</f>
        <v>0</v>
      </c>
      <c r="AQ105" s="16">
        <f ca="1">IFERROR(_xlfn.XLOOKUP($F105,'FCDB 2017 (full)'!$C:$C,'FCDB 2017 (full)'!$AH:$AH)*$H105/100,0)</f>
        <v>0</v>
      </c>
      <c r="AR105" s="16">
        <f ca="1">IFERROR(_xlfn.XLOOKUP($F105,'FCDB 2017 (full)'!$C:$C,'FCDB 2017 (full)'!$AI:$AI)*$H105/100,0)</f>
        <v>0</v>
      </c>
      <c r="AS105" s="16">
        <f ca="1">IFERROR(_xlfn.XLOOKUP($F105,'FCDB 2017 (full)'!$C:$C,'FCDB 2017 (full)'!$AJ:$AJ)*$H105/100,0)</f>
        <v>0</v>
      </c>
      <c r="AT105" s="16">
        <f ca="1">IFERROR(_xlfn.XLOOKUP($F105,'FCDB 2017 (full)'!$C:$C,'FCDB 2017 (full)'!$AK:$AK)*$H105/100,0)</f>
        <v>0</v>
      </c>
      <c r="AU105" s="16">
        <f ca="1">IFERROR(_xlfn.XLOOKUP($F105,'FCDB 2017 (full)'!$C:$C,'FCDB 2017 (full)'!$AK:$AK)*$H105/100,0)</f>
        <v>0</v>
      </c>
      <c r="AV105" s="16">
        <f ca="1">IFERROR(_xlfn.XLOOKUP($F105,'FCDB 2017 (full)'!$C:$C,'FCDB 2017 (full)'!$AM:$AM)*$H105/100,0)</f>
        <v>0</v>
      </c>
      <c r="AW105" s="16">
        <f ca="1">IFERROR(_xlfn.XLOOKUP($F105,'FCDB 2017 (full)'!$C:$C,'FCDB 2017 (full)'!$AN:$AN)*$H105/100,0)</f>
        <v>0</v>
      </c>
      <c r="AX105" s="16">
        <f ca="1">IFERROR(_xlfn.XLOOKUP($F105,'FCDB 2017 (full)'!$C:$C,'FCDB 2017 (full)'!$AO:$AO)*$H105/100,0)</f>
        <v>0</v>
      </c>
      <c r="AY105" s="16">
        <f ca="1">IFERROR(_xlfn.XLOOKUP($F105,'FCDB 2017 (full)'!$C:$C,'FCDB 2017 (full)'!$AP:$AP)*$H105/100,0)</f>
        <v>0</v>
      </c>
      <c r="AZ105" s="16">
        <f ca="1">IFERROR(_xlfn.XLOOKUP($F105,'FCDB 2017 (full)'!$C:$C,'FCDB 2017 (full)'!$AQ:$AQ)*$H105/100,0)</f>
        <v>0</v>
      </c>
      <c r="BA105" s="16">
        <f ca="1">IFERROR(_xlfn.XLOOKUP($F105,'FCDB 2017 (full)'!$C:$C,'FCDB 2017 (full)'!$AR:$AR)*$H105/100,0)</f>
        <v>0</v>
      </c>
      <c r="BB105" s="16">
        <f ca="1">IFERROR(_xlfn.XLOOKUP($F105,'FCDB 2017 (full)'!$C:$C,'FCDB 2017 (full)'!$AS:$AS)*$H105/100,0)</f>
        <v>0</v>
      </c>
      <c r="BC105" s="16">
        <f ca="1">IFERROR(_xlfn.XLOOKUP($F105,'FCDB 2017 (full)'!$C:$C,'FCDB 2017 (full)'!$AT:$AT)*$H105/100,0)</f>
        <v>0</v>
      </c>
      <c r="BD105" s="16">
        <f ca="1">IFERROR(_xlfn.XLOOKUP($F105,'FCDB 2017 (full)'!$C:$C,'FCDB 2017 (full)'!$AU:$AU)*$H105/100,0)</f>
        <v>0</v>
      </c>
      <c r="BE105" s="16">
        <f ca="1">IFERROR(_xlfn.XLOOKUP($F105,'FCDB 2017 (full)'!$C:$C,'FCDB 2017 (full)'!$AV:$AV)*$H105/100,0)</f>
        <v>0</v>
      </c>
      <c r="BF105" s="16">
        <f ca="1">IFERROR(_xlfn.XLOOKUP($F105,'FCDB 2017 (full)'!$C:$C,'FCDB 2017 (full)'!$AW:$AW)*$H105/100,0)</f>
        <v>0</v>
      </c>
      <c r="BG105" s="16">
        <f ca="1">IFERROR(_xlfn.XLOOKUP($F105,'FCDB 2017 (full)'!$C:$C,'FCDB 2017 (full)'!$AX:$AX)*$H105/100,0)</f>
        <v>0</v>
      </c>
      <c r="BH105" s="16">
        <f ca="1">IFERROR(_xlfn.XLOOKUP($F105,'FCDB 2017 (full)'!$C:$C,'FCDB 2017 (full)'!$AY:$AY)*$H105/100,0)</f>
        <v>0</v>
      </c>
      <c r="BI105" s="16">
        <f ca="1">IFERROR(_xlfn.XLOOKUP($F105,'FCDB 2017 (full)'!$C:$C,'FCDB 2017 (full)'!$AZ:$AZ)*$H105/100,0)</f>
        <v>0</v>
      </c>
      <c r="BJ105" s="16">
        <f ca="1">IFERROR(_xlfn.XLOOKUP($F105,'FCDB 2017 (full)'!$C:$C,'FCDB 2017 (full)'!$BA:$BA)*$H105/100,0)</f>
        <v>0</v>
      </c>
      <c r="BK105" s="16">
        <f ca="1">IFERROR(_xlfn.XLOOKUP($F105,'FCDB 2017 (full)'!$C:$C,'FCDB 2017 (full)'!$BB:$BB)*$H105/100,0)</f>
        <v>0</v>
      </c>
      <c r="BL105" s="16">
        <f ca="1">IFERROR(_xlfn.XLOOKUP($F105,'FCDB 2017 (full)'!$C:$C,'FCDB 2017 (full)'!$BC:$BC)*$H105/100,0)</f>
        <v>0</v>
      </c>
      <c r="BM105" s="16">
        <f ca="1">IFERROR(_xlfn.XLOOKUP($F105,'FCDB 2017 (full)'!$C:$C,'FCDB 2017 (full)'!$BD:$BD)*$H105/100,0)</f>
        <v>0</v>
      </c>
      <c r="BN105" s="16">
        <f ca="1">IFERROR(_xlfn.XLOOKUP($F105,'FCDB 2017 (full)'!$C:$C,'FCDB 2017 (full)'!$BE:$BE)*$H105/100,0)</f>
        <v>0</v>
      </c>
      <c r="BO105" s="16">
        <f ca="1">IFERROR(_xlfn.XLOOKUP($F105,'FCDB 2017 (full)'!$C:$C,'FCDB 2017 (full)'!$BF:$BF)*$H105/100,0)</f>
        <v>0</v>
      </c>
      <c r="BP105" s="16">
        <f ca="1">IFERROR(_xlfn.XLOOKUP($F105,'FCDB 2017 (full)'!$C:$C,'FCDB 2017 (full)'!$BG:$BG)*$H105/100,0)</f>
        <v>0</v>
      </c>
      <c r="BQ105" s="16">
        <f ca="1">IFERROR(_xlfn.XLOOKUP($F105,'FCDB 2017 (full)'!$C:$C,'FCDB 2017 (full)'!$BH:$BH)*$H105/100,0)</f>
        <v>0</v>
      </c>
      <c r="BR105" s="16">
        <f ca="1">IFERROR(_xlfn.XLOOKUP($F105,'FCDB 2017 (full)'!$C:$C,'FCDB 2017 (full)'!$BI:$BI)*$H105/100,0)</f>
        <v>0</v>
      </c>
      <c r="BS105" s="16">
        <f ca="1">IFERROR(_xlfn.XLOOKUP($F105,'FCDB 2017 (full)'!$C:$C,'FCDB 2017 (full)'!$BJ:$BJ)*$H105/100,0)</f>
        <v>0</v>
      </c>
      <c r="BT105" s="16">
        <f ca="1">IFERROR(_xlfn.XLOOKUP($F105,'FCDB 2017 (full)'!$C:$C,'FCDB 2017 (full)'!$BK:$BK)*$H105/100,0)</f>
        <v>0</v>
      </c>
      <c r="BU105" s="16">
        <f ca="1">IFERROR(_xlfn.XLOOKUP($F105,'FCDB 2017 (full)'!$C:$C,'FCDB 2017 (full)'!$BL:$BL)*$H105/100,0)</f>
        <v>0</v>
      </c>
      <c r="BV105" s="16">
        <f ca="1">IFERROR(_xlfn.XLOOKUP($F105,'FCDB 2017 (full)'!$C:$C,'FCDB 2017 (full)'!$BM:$BM)*$H105/100,0)</f>
        <v>0</v>
      </c>
      <c r="BW105" s="16">
        <f ca="1">IFERROR(_xlfn.XLOOKUP($F105,'FCDB 2017 (full)'!$C:$C,'FCDB 2017 (full)'!$BN:$BN)*$H105/100,0)</f>
        <v>0</v>
      </c>
      <c r="BX105" s="16">
        <f ca="1">IFERROR(_xlfn.XLOOKUP($F105,'FCDB 2017 (full)'!$C:$C,'FCDB 2017 (full)'!$BO:$BO)*$H105/100,0)</f>
        <v>0</v>
      </c>
      <c r="BY105" s="16">
        <f ca="1">IFERROR(_xlfn.XLOOKUP($F105,'FCDB 2017 (full)'!$C:$C,'FCDB 2017 (full)'!$BP:$BP)*$H105/100,0)</f>
        <v>0</v>
      </c>
      <c r="BZ105" s="16">
        <f ca="1">IFERROR(_xlfn.XLOOKUP($F105,'FCDB 2017 (full)'!$C:$C,'FCDB 2017 (full)'!$BQ:$BQ)*$H105/100,0)</f>
        <v>0</v>
      </c>
      <c r="CA105" s="16">
        <f ca="1">IFERROR(_xlfn.XLOOKUP($F105,'FCDB 2017 (full)'!$C:$C,'FCDB 2017 (full)'!$BR:$BR)*$H105/100,0)</f>
        <v>0</v>
      </c>
      <c r="CB105" s="16">
        <f ca="1">IFERROR(_xlfn.XLOOKUP($F105,'FCDB 2017 (full)'!$C:$C,'FCDB 2017 (full)'!$BS:$BS)*$H105/100,0)</f>
        <v>0</v>
      </c>
      <c r="CC105" s="16">
        <f ca="1">IFERROR(_xlfn.XLOOKUP($F105,'FCDB 2017 (full)'!$C:$C,'FCDB 2017 (full)'!$BT:$BT)*$H105/100,0)</f>
        <v>0</v>
      </c>
      <c r="CD105" s="16">
        <f ca="1">IFERROR(_xlfn.XLOOKUP($F105,'FCDB 2017 (full)'!$C:$C,'FCDB 2017 (full)'!$BU:$BU)*$H105/100,0)</f>
        <v>0</v>
      </c>
      <c r="CE105" s="16">
        <f ca="1">IFERROR(_xlfn.XLOOKUP($F105,'FCDB 2017 (full)'!$C:$C,'FCDB 2017 (full)'!$BV:$BV)*$H105/100,0)</f>
        <v>0</v>
      </c>
      <c r="CF105" s="16">
        <f ca="1">IFERROR(_xlfn.XLOOKUP($F105,'FCDB 2017 (full)'!$C:$C,'FCDB 2017 (full)'!$BW:$BW)*$H105/100,0)</f>
        <v>0</v>
      </c>
      <c r="CG105" s="16">
        <f ca="1">IFERROR(_xlfn.XLOOKUP($F105,'FCDB 2017 (full)'!$C:$C,'FCDB 2017 (full)'!$BX:$BX)*$H105/100,0)</f>
        <v>0</v>
      </c>
      <c r="CH105" s="16">
        <f ca="1">IFERROR(_xlfn.XLOOKUP($F105,'FCDB 2017 (full)'!$C:$C,'FCDB 2017 (full)'!$BY:$BY)*$H105/100,0)</f>
        <v>0</v>
      </c>
      <c r="CI105" s="16">
        <f ca="1">IFERROR(_xlfn.XLOOKUP($F105,'FCDB 2017 (full)'!$C:$C,'FCDB 2017 (full)'!$BZ:$BZ)*$H105/100,0)</f>
        <v>0</v>
      </c>
      <c r="CJ105" s="16">
        <f ca="1">IFERROR(_xlfn.XLOOKUP($F105,'FCDB 2017 (full)'!$C:$C,'FCDB 2017 (full)'!$CA:$CA)*$H105/100,0)</f>
        <v>0</v>
      </c>
      <c r="CK105" s="16">
        <f ca="1">IFERROR(_xlfn.XLOOKUP($F105,'FCDB 2017 (full)'!$C:$C,'FCDB 2017 (full)'!$CB:$CB)*$H105/100,0)</f>
        <v>0</v>
      </c>
      <c r="CL105" s="16">
        <f ca="1">IFERROR(_xlfn.XLOOKUP($F105,'FCDB 2017 (full)'!$C:$C,'FCDB 2017 (full)'!$CC:$CC)*$H105/100,0)</f>
        <v>0</v>
      </c>
      <c r="CM105" s="16">
        <f ca="1">IFERROR(_xlfn.XLOOKUP($F105,'FCDB 2017 (full)'!$C:$C,'FCDB 2017 (full)'!$CD:$CD)*$H105/100,0)</f>
        <v>0</v>
      </c>
      <c r="CN105" s="16">
        <f ca="1">IFERROR(_xlfn.XLOOKUP($F105,'FCDB 2017 (full)'!$C:$C,'FCDB 2017 (full)'!$CE:$CE)*$H105/100,0)</f>
        <v>0</v>
      </c>
      <c r="CO105" s="16">
        <f ca="1">IFERROR(_xlfn.XLOOKUP($F105,'FCDB 2017 (full)'!$C:$C,'FCDB 2017 (full)'!$CF:$CF)*$H105/100,0)</f>
        <v>0</v>
      </c>
      <c r="CP105" s="16">
        <f ca="1">IFERROR(_xlfn.XLOOKUP($F105,'FCDB 2017 (full)'!$C:$C,'FCDB 2017 (full)'!$CG:$CG)*$H105/100,0)</f>
        <v>0</v>
      </c>
      <c r="CQ105" s="16">
        <f ca="1">IFERROR(_xlfn.XLOOKUP($F105,'FCDB 2017 (full)'!$C:$C,'FCDB 2017 (full)'!$CH:$CH)*$H105/100,0)</f>
        <v>0</v>
      </c>
      <c r="DA105" s="72" t="s">
        <v>982</v>
      </c>
    </row>
    <row r="106" spans="4:105">
      <c r="E106" s="41"/>
      <c r="F106" s="11">
        <f>IFERROR(VLOOKUP($D$96,$D:$AE,5,0),0)</f>
        <v>0</v>
      </c>
      <c r="G106" s="7" cm="1">
        <f t="array" ref="G106">IF(F106=0,0,IF(_xlfn.XLOOKUP(F106,$E$96:$AE$96,$E$97:$AE$97)=0,"Nhập ĐV/TV",_xlfn.XLOOKUP(F106,$E$96:$AE$96,$E$97:$AE$97)))</f>
        <v>0</v>
      </c>
      <c r="H106" s="8">
        <f t="shared" si="26"/>
        <v>0</v>
      </c>
      <c r="I106" s="9">
        <f ca="1">IFERROR(_xlfn.XLOOKUP($F106,'FCDB 2017 (full)'!$C:$C,'FCDB 2017 (full)'!$E:$E),0)</f>
        <v>0</v>
      </c>
      <c r="J106" s="10">
        <f t="shared" ca="1" si="20"/>
        <v>0</v>
      </c>
      <c r="K106" s="9">
        <f ca="1">IFERROR(_xlfn.XLOOKUP($F106,'FCDB 2017 (full)'!$C:$C,'FCDB 2017 (full)'!$G:$G),0)</f>
        <v>0</v>
      </c>
      <c r="L106" s="13">
        <f t="shared" si="21"/>
        <v>0</v>
      </c>
      <c r="M106" s="13">
        <f t="shared" si="22"/>
        <v>0</v>
      </c>
      <c r="N106" s="9">
        <f ca="1">IFERROR(_xlfn.XLOOKUP($F106,'FCDB 2017 (full)'!$C:$C,'FCDB 2017 (full)'!$H:$H),0)</f>
        <v>0</v>
      </c>
      <c r="O106" s="14">
        <f t="shared" si="23"/>
        <v>0</v>
      </c>
      <c r="P106" s="14">
        <f t="shared" si="24"/>
        <v>0</v>
      </c>
      <c r="Q106" s="9">
        <f ca="1">IFERROR(_xlfn.XLOOKUP($F106,'FCDB 2017 (full)'!$C:$C,'FCDB 2017 (full)'!$I:$I),0)</f>
        <v>0</v>
      </c>
      <c r="R106" s="15">
        <f t="shared" ca="1" si="25"/>
        <v>0</v>
      </c>
      <c r="S106" s="16">
        <f ca="1">IFERROR(_xlfn.XLOOKUP($F106,'FCDB 2017 (full)'!$C:$C,'FCDB 2017 (full)'!$J:$J)*$H106/100,0)</f>
        <v>0</v>
      </c>
      <c r="T106" s="16">
        <f ca="1">IFERROR(_xlfn.XLOOKUP($F106,'FCDB 2017 (full)'!$C:$C,'FCDB 2017 (full)'!$K:$K)*$H106/100,0)</f>
        <v>0</v>
      </c>
      <c r="U106" s="16">
        <f ca="1">IFERROR(_xlfn.XLOOKUP($F106,'FCDB 2017 (full)'!$C:$C,'FCDB 2017 (full)'!$L:$L)*$H106/100,0)</f>
        <v>0</v>
      </c>
      <c r="V106" s="16">
        <f ca="1">IFERROR(_xlfn.XLOOKUP($F106,'FCDB 2017 (full)'!$C:$C,'FCDB 2017 (full)'!$M:$M)*$H106/100,0)</f>
        <v>0</v>
      </c>
      <c r="W106" s="16">
        <f ca="1">IFERROR(_xlfn.XLOOKUP($F106,'FCDB 2017 (full)'!$C:$C,'FCDB 2017 (full)'!$N:$N)*$H106/100,0)</f>
        <v>0</v>
      </c>
      <c r="X106" s="16">
        <f ca="1">IFERROR(_xlfn.XLOOKUP($F106,'FCDB 2017 (full)'!$C:$C,'FCDB 2017 (full)'!$O:$O)*$H106/100,0)</f>
        <v>0</v>
      </c>
      <c r="Y106" s="16">
        <f ca="1">IFERROR(_xlfn.XLOOKUP($F106,'FCDB 2017 (full)'!$C:$C,'FCDB 2017 (full)'!$P:$P)*$H106/100,0)</f>
        <v>0</v>
      </c>
      <c r="Z106" s="16">
        <f ca="1">IFERROR(_xlfn.XLOOKUP($F106,'FCDB 2017 (full)'!$C:$C,'FCDB 2017 (full)'!$Q:$Q)*$H106/100,0)</f>
        <v>0</v>
      </c>
      <c r="AA106" s="16">
        <f ca="1">IFERROR(_xlfn.XLOOKUP($F106,'FCDB 2017 (full)'!$C:$C,'FCDB 2017 (full)'!$R:$R)*$H106/100,0)</f>
        <v>0</v>
      </c>
      <c r="AB106" s="16">
        <f ca="1">IFERROR(_xlfn.XLOOKUP($F106,'FCDB 2017 (full)'!$C:$C,'FCDB 2017 (full)'!$S:$S)*$H106/100,0)</f>
        <v>0</v>
      </c>
      <c r="AC106" s="16">
        <f ca="1">IFERROR(_xlfn.XLOOKUP($F106,'FCDB 2017 (full)'!$C:$C,'FCDB 2017 (full)'!$T:$T)*$H106/100,0)</f>
        <v>0</v>
      </c>
      <c r="AD106" s="16">
        <f ca="1">IFERROR(_xlfn.XLOOKUP($F106,'FCDB 2017 (full)'!$C:$C,'FCDB 2017 (full)'!$U:$U)*$H106/100,0)</f>
        <v>0</v>
      </c>
      <c r="AE106" s="16">
        <f ca="1">IFERROR(_xlfn.XLOOKUP($F106,'FCDB 2017 (full)'!$C:$C,'FCDB 2017 (full)'!$V:$V)*$H106/100,0)</f>
        <v>0</v>
      </c>
      <c r="AF106" s="16">
        <f ca="1">IFERROR(_xlfn.XLOOKUP($F106,'FCDB 2017 (full)'!$C:$C,'FCDB 2017 (full)'!$W:$W)*$H106/100,0)</f>
        <v>0</v>
      </c>
      <c r="AG106" s="16">
        <f ca="1">IFERROR(_xlfn.XLOOKUP($F106,'FCDB 2017 (full)'!$C:$C,'FCDB 2017 (full)'!$X:$X)*$H106/100,0)</f>
        <v>0</v>
      </c>
      <c r="AH106" s="16">
        <f ca="1">IFERROR(_xlfn.XLOOKUP($F106,'FCDB 2017 (full)'!$C:$C,'FCDB 2017 (full)'!$Y:$Y)*$H106/100,0)</f>
        <v>0</v>
      </c>
      <c r="AI106" s="16">
        <f ca="1">IFERROR(_xlfn.XLOOKUP($F106,'FCDB 2017 (full)'!$C:$C,'FCDB 2017 (full)'!$Z:$Z)*$H106/100,0)</f>
        <v>0</v>
      </c>
      <c r="AJ106" s="16">
        <f ca="1">IFERROR(_xlfn.XLOOKUP($F106,'FCDB 2017 (full)'!$C:$C,'FCDB 2017 (full)'!$AA:$AA)*$H106/100,0)</f>
        <v>0</v>
      </c>
      <c r="AK106" s="16">
        <f ca="1">IFERROR(_xlfn.XLOOKUP($F106,'FCDB 2017 (full)'!$C:$C,'FCDB 2017 (full)'!$AB:$AB)*$H106/100,0)</f>
        <v>0</v>
      </c>
      <c r="AL106" s="16">
        <f ca="1">IFERROR(_xlfn.XLOOKUP($F106,'FCDB 2017 (full)'!$C:$C,'FCDB 2017 (full)'!$AC:$AC)*$H106/100,0)</f>
        <v>0</v>
      </c>
      <c r="AM106" s="16">
        <f ca="1">IFERROR(_xlfn.XLOOKUP($F106,'FCDB 2017 (full)'!$C:$C,'FCDB 2017 (full)'!$AD:$AD)*$H106/100,0)</f>
        <v>0</v>
      </c>
      <c r="AN106" s="16">
        <f ca="1">IFERROR(_xlfn.XLOOKUP($F106,'FCDB 2017 (full)'!$C:$C,'FCDB 2017 (full)'!$AE:$AE)*$H106/100,0)</f>
        <v>0</v>
      </c>
      <c r="AO106" s="16">
        <f ca="1">IFERROR(_xlfn.XLOOKUP($F106,'FCDB 2017 (full)'!$C:$C,'FCDB 2017 (full)'!$AF:$AF)*$H106/100,0)</f>
        <v>0</v>
      </c>
      <c r="AP106" s="16">
        <f ca="1">IFERROR(_xlfn.XLOOKUP($F106,'FCDB 2017 (full)'!$C:$C,'FCDB 2017 (full)'!$AG:$AG)*$H106/100,0)</f>
        <v>0</v>
      </c>
      <c r="AQ106" s="16">
        <f ca="1">IFERROR(_xlfn.XLOOKUP($F106,'FCDB 2017 (full)'!$C:$C,'FCDB 2017 (full)'!$AH:$AH)*$H106/100,0)</f>
        <v>0</v>
      </c>
      <c r="AR106" s="16">
        <f ca="1">IFERROR(_xlfn.XLOOKUP($F106,'FCDB 2017 (full)'!$C:$C,'FCDB 2017 (full)'!$AI:$AI)*$H106/100,0)</f>
        <v>0</v>
      </c>
      <c r="AS106" s="16">
        <f ca="1">IFERROR(_xlfn.XLOOKUP($F106,'FCDB 2017 (full)'!$C:$C,'FCDB 2017 (full)'!$AJ:$AJ)*$H106/100,0)</f>
        <v>0</v>
      </c>
      <c r="AT106" s="16">
        <f ca="1">IFERROR(_xlfn.XLOOKUP($F106,'FCDB 2017 (full)'!$C:$C,'FCDB 2017 (full)'!$AK:$AK)*$H106/100,0)</f>
        <v>0</v>
      </c>
      <c r="AU106" s="16">
        <f ca="1">IFERROR(_xlfn.XLOOKUP($F106,'FCDB 2017 (full)'!$C:$C,'FCDB 2017 (full)'!$AK:$AK)*$H106/100,0)</f>
        <v>0</v>
      </c>
      <c r="AV106" s="16">
        <f ca="1">IFERROR(_xlfn.XLOOKUP($F106,'FCDB 2017 (full)'!$C:$C,'FCDB 2017 (full)'!$AM:$AM)*$H106/100,0)</f>
        <v>0</v>
      </c>
      <c r="AW106" s="16">
        <f ca="1">IFERROR(_xlfn.XLOOKUP($F106,'FCDB 2017 (full)'!$C:$C,'FCDB 2017 (full)'!$AN:$AN)*$H106/100,0)</f>
        <v>0</v>
      </c>
      <c r="AX106" s="16">
        <f ca="1">IFERROR(_xlfn.XLOOKUP($F106,'FCDB 2017 (full)'!$C:$C,'FCDB 2017 (full)'!$AO:$AO)*$H106/100,0)</f>
        <v>0</v>
      </c>
      <c r="AY106" s="16">
        <f ca="1">IFERROR(_xlfn.XLOOKUP($F106,'FCDB 2017 (full)'!$C:$C,'FCDB 2017 (full)'!$AP:$AP)*$H106/100,0)</f>
        <v>0</v>
      </c>
      <c r="AZ106" s="16">
        <f ca="1">IFERROR(_xlfn.XLOOKUP($F106,'FCDB 2017 (full)'!$C:$C,'FCDB 2017 (full)'!$AQ:$AQ)*$H106/100,0)</f>
        <v>0</v>
      </c>
      <c r="BA106" s="16">
        <f ca="1">IFERROR(_xlfn.XLOOKUP($F106,'FCDB 2017 (full)'!$C:$C,'FCDB 2017 (full)'!$AR:$AR)*$H106/100,0)</f>
        <v>0</v>
      </c>
      <c r="BB106" s="16">
        <f ca="1">IFERROR(_xlfn.XLOOKUP($F106,'FCDB 2017 (full)'!$C:$C,'FCDB 2017 (full)'!$AS:$AS)*$H106/100,0)</f>
        <v>0</v>
      </c>
      <c r="BC106" s="16">
        <f ca="1">IFERROR(_xlfn.XLOOKUP($F106,'FCDB 2017 (full)'!$C:$C,'FCDB 2017 (full)'!$AT:$AT)*$H106/100,0)</f>
        <v>0</v>
      </c>
      <c r="BD106" s="16">
        <f ca="1">IFERROR(_xlfn.XLOOKUP($F106,'FCDB 2017 (full)'!$C:$C,'FCDB 2017 (full)'!$AU:$AU)*$H106/100,0)</f>
        <v>0</v>
      </c>
      <c r="BE106" s="16">
        <f ca="1">IFERROR(_xlfn.XLOOKUP($F106,'FCDB 2017 (full)'!$C:$C,'FCDB 2017 (full)'!$AV:$AV)*$H106/100,0)</f>
        <v>0</v>
      </c>
      <c r="BF106" s="16">
        <f ca="1">IFERROR(_xlfn.XLOOKUP($F106,'FCDB 2017 (full)'!$C:$C,'FCDB 2017 (full)'!$AW:$AW)*$H106/100,0)</f>
        <v>0</v>
      </c>
      <c r="BG106" s="16">
        <f ca="1">IFERROR(_xlfn.XLOOKUP($F106,'FCDB 2017 (full)'!$C:$C,'FCDB 2017 (full)'!$AX:$AX)*$H106/100,0)</f>
        <v>0</v>
      </c>
      <c r="BH106" s="16">
        <f ca="1">IFERROR(_xlfn.XLOOKUP($F106,'FCDB 2017 (full)'!$C:$C,'FCDB 2017 (full)'!$AY:$AY)*$H106/100,0)</f>
        <v>0</v>
      </c>
      <c r="BI106" s="16">
        <f ca="1">IFERROR(_xlfn.XLOOKUP($F106,'FCDB 2017 (full)'!$C:$C,'FCDB 2017 (full)'!$AZ:$AZ)*$H106/100,0)</f>
        <v>0</v>
      </c>
      <c r="BJ106" s="16">
        <f ca="1">IFERROR(_xlfn.XLOOKUP($F106,'FCDB 2017 (full)'!$C:$C,'FCDB 2017 (full)'!$BA:$BA)*$H106/100,0)</f>
        <v>0</v>
      </c>
      <c r="BK106" s="16">
        <f ca="1">IFERROR(_xlfn.XLOOKUP($F106,'FCDB 2017 (full)'!$C:$C,'FCDB 2017 (full)'!$BB:$BB)*$H106/100,0)</f>
        <v>0</v>
      </c>
      <c r="BL106" s="16">
        <f ca="1">IFERROR(_xlfn.XLOOKUP($F106,'FCDB 2017 (full)'!$C:$C,'FCDB 2017 (full)'!$BC:$BC)*$H106/100,0)</f>
        <v>0</v>
      </c>
      <c r="BM106" s="16">
        <f ca="1">IFERROR(_xlfn.XLOOKUP($F106,'FCDB 2017 (full)'!$C:$C,'FCDB 2017 (full)'!$BD:$BD)*$H106/100,0)</f>
        <v>0</v>
      </c>
      <c r="BN106" s="16">
        <f ca="1">IFERROR(_xlfn.XLOOKUP($F106,'FCDB 2017 (full)'!$C:$C,'FCDB 2017 (full)'!$BE:$BE)*$H106/100,0)</f>
        <v>0</v>
      </c>
      <c r="BO106" s="16">
        <f ca="1">IFERROR(_xlfn.XLOOKUP($F106,'FCDB 2017 (full)'!$C:$C,'FCDB 2017 (full)'!$BF:$BF)*$H106/100,0)</f>
        <v>0</v>
      </c>
      <c r="BP106" s="16">
        <f ca="1">IFERROR(_xlfn.XLOOKUP($F106,'FCDB 2017 (full)'!$C:$C,'FCDB 2017 (full)'!$BG:$BG)*$H106/100,0)</f>
        <v>0</v>
      </c>
      <c r="BQ106" s="16">
        <f ca="1">IFERROR(_xlfn.XLOOKUP($F106,'FCDB 2017 (full)'!$C:$C,'FCDB 2017 (full)'!$BH:$BH)*$H106/100,0)</f>
        <v>0</v>
      </c>
      <c r="BR106" s="16">
        <f ca="1">IFERROR(_xlfn.XLOOKUP($F106,'FCDB 2017 (full)'!$C:$C,'FCDB 2017 (full)'!$BI:$BI)*$H106/100,0)</f>
        <v>0</v>
      </c>
      <c r="BS106" s="16">
        <f ca="1">IFERROR(_xlfn.XLOOKUP($F106,'FCDB 2017 (full)'!$C:$C,'FCDB 2017 (full)'!$BJ:$BJ)*$H106/100,0)</f>
        <v>0</v>
      </c>
      <c r="BT106" s="16">
        <f ca="1">IFERROR(_xlfn.XLOOKUP($F106,'FCDB 2017 (full)'!$C:$C,'FCDB 2017 (full)'!$BK:$BK)*$H106/100,0)</f>
        <v>0</v>
      </c>
      <c r="BU106" s="16">
        <f ca="1">IFERROR(_xlfn.XLOOKUP($F106,'FCDB 2017 (full)'!$C:$C,'FCDB 2017 (full)'!$BL:$BL)*$H106/100,0)</f>
        <v>0</v>
      </c>
      <c r="BV106" s="16">
        <f ca="1">IFERROR(_xlfn.XLOOKUP($F106,'FCDB 2017 (full)'!$C:$C,'FCDB 2017 (full)'!$BM:$BM)*$H106/100,0)</f>
        <v>0</v>
      </c>
      <c r="BW106" s="16">
        <f ca="1">IFERROR(_xlfn.XLOOKUP($F106,'FCDB 2017 (full)'!$C:$C,'FCDB 2017 (full)'!$BN:$BN)*$H106/100,0)</f>
        <v>0</v>
      </c>
      <c r="BX106" s="16">
        <f ca="1">IFERROR(_xlfn.XLOOKUP($F106,'FCDB 2017 (full)'!$C:$C,'FCDB 2017 (full)'!$BO:$BO)*$H106/100,0)</f>
        <v>0</v>
      </c>
      <c r="BY106" s="16">
        <f ca="1">IFERROR(_xlfn.XLOOKUP($F106,'FCDB 2017 (full)'!$C:$C,'FCDB 2017 (full)'!$BP:$BP)*$H106/100,0)</f>
        <v>0</v>
      </c>
      <c r="BZ106" s="16">
        <f ca="1">IFERROR(_xlfn.XLOOKUP($F106,'FCDB 2017 (full)'!$C:$C,'FCDB 2017 (full)'!$BQ:$BQ)*$H106/100,0)</f>
        <v>0</v>
      </c>
      <c r="CA106" s="16">
        <f ca="1">IFERROR(_xlfn.XLOOKUP($F106,'FCDB 2017 (full)'!$C:$C,'FCDB 2017 (full)'!$BR:$BR)*$H106/100,0)</f>
        <v>0</v>
      </c>
      <c r="CB106" s="16">
        <f ca="1">IFERROR(_xlfn.XLOOKUP($F106,'FCDB 2017 (full)'!$C:$C,'FCDB 2017 (full)'!$BS:$BS)*$H106/100,0)</f>
        <v>0</v>
      </c>
      <c r="CC106" s="16">
        <f ca="1">IFERROR(_xlfn.XLOOKUP($F106,'FCDB 2017 (full)'!$C:$C,'FCDB 2017 (full)'!$BT:$BT)*$H106/100,0)</f>
        <v>0</v>
      </c>
      <c r="CD106" s="16">
        <f ca="1">IFERROR(_xlfn.XLOOKUP($F106,'FCDB 2017 (full)'!$C:$C,'FCDB 2017 (full)'!$BU:$BU)*$H106/100,0)</f>
        <v>0</v>
      </c>
      <c r="CE106" s="16">
        <f ca="1">IFERROR(_xlfn.XLOOKUP($F106,'FCDB 2017 (full)'!$C:$C,'FCDB 2017 (full)'!$BV:$BV)*$H106/100,0)</f>
        <v>0</v>
      </c>
      <c r="CF106" s="16">
        <f ca="1">IFERROR(_xlfn.XLOOKUP($F106,'FCDB 2017 (full)'!$C:$C,'FCDB 2017 (full)'!$BW:$BW)*$H106/100,0)</f>
        <v>0</v>
      </c>
      <c r="CG106" s="16">
        <f ca="1">IFERROR(_xlfn.XLOOKUP($F106,'FCDB 2017 (full)'!$C:$C,'FCDB 2017 (full)'!$BX:$BX)*$H106/100,0)</f>
        <v>0</v>
      </c>
      <c r="CH106" s="16">
        <f ca="1">IFERROR(_xlfn.XLOOKUP($F106,'FCDB 2017 (full)'!$C:$C,'FCDB 2017 (full)'!$BY:$BY)*$H106/100,0)</f>
        <v>0</v>
      </c>
      <c r="CI106" s="16">
        <f ca="1">IFERROR(_xlfn.XLOOKUP($F106,'FCDB 2017 (full)'!$C:$C,'FCDB 2017 (full)'!$BZ:$BZ)*$H106/100,0)</f>
        <v>0</v>
      </c>
      <c r="CJ106" s="16">
        <f ca="1">IFERROR(_xlfn.XLOOKUP($F106,'FCDB 2017 (full)'!$C:$C,'FCDB 2017 (full)'!$CA:$CA)*$H106/100,0)</f>
        <v>0</v>
      </c>
      <c r="CK106" s="16">
        <f ca="1">IFERROR(_xlfn.XLOOKUP($F106,'FCDB 2017 (full)'!$C:$C,'FCDB 2017 (full)'!$CB:$CB)*$H106/100,0)</f>
        <v>0</v>
      </c>
      <c r="CL106" s="16">
        <f ca="1">IFERROR(_xlfn.XLOOKUP($F106,'FCDB 2017 (full)'!$C:$C,'FCDB 2017 (full)'!$CC:$CC)*$H106/100,0)</f>
        <v>0</v>
      </c>
      <c r="CM106" s="16">
        <f ca="1">IFERROR(_xlfn.XLOOKUP($F106,'FCDB 2017 (full)'!$C:$C,'FCDB 2017 (full)'!$CD:$CD)*$H106/100,0)</f>
        <v>0</v>
      </c>
      <c r="CN106" s="16">
        <f ca="1">IFERROR(_xlfn.XLOOKUP($F106,'FCDB 2017 (full)'!$C:$C,'FCDB 2017 (full)'!$CE:$CE)*$H106/100,0)</f>
        <v>0</v>
      </c>
      <c r="CO106" s="16">
        <f ca="1">IFERROR(_xlfn.XLOOKUP($F106,'FCDB 2017 (full)'!$C:$C,'FCDB 2017 (full)'!$CF:$CF)*$H106/100,0)</f>
        <v>0</v>
      </c>
      <c r="CP106" s="16">
        <f ca="1">IFERROR(_xlfn.XLOOKUP($F106,'FCDB 2017 (full)'!$C:$C,'FCDB 2017 (full)'!$CG:$CG)*$H106/100,0)</f>
        <v>0</v>
      </c>
      <c r="CQ106" s="16">
        <f ca="1">IFERROR(_xlfn.XLOOKUP($F106,'FCDB 2017 (full)'!$C:$C,'FCDB 2017 (full)'!$CH:$CH)*$H106/100,0)</f>
        <v>0</v>
      </c>
      <c r="DA106" s="72" t="s">
        <v>982</v>
      </c>
    </row>
    <row r="107" spans="4:105">
      <c r="E107" s="41"/>
      <c r="F107" s="11" t="str">
        <f>IFERROR(VLOOKUP($D$96,$D:$AE,7,0),0)</f>
        <v>Rau rút</v>
      </c>
      <c r="G107" s="7" t="e" cm="1">
        <f t="array" aca="1" ref="G107" ca="1">IF(F107=0,0,IF(_xlfn.XLOOKUP(F107,$E$96:$AE$96,$E$97:$AE$97)=0,"Nhập ĐV/TV",_xlfn.XLOOKUP(F107,$E$96:$AE$96,$E$97:$AE$97)))</f>
        <v>#NAME?</v>
      </c>
      <c r="H107" s="8">
        <f t="shared" si="26"/>
        <v>50</v>
      </c>
      <c r="I107" s="9">
        <f ca="1">IFERROR(_xlfn.XLOOKUP($F107,'FCDB 2017 (full)'!$C:$C,'FCDB 2017 (full)'!$E:$E),0)</f>
        <v>0</v>
      </c>
      <c r="J107" s="10">
        <f t="shared" ca="1" si="20"/>
        <v>0</v>
      </c>
      <c r="K107" s="9">
        <f ca="1">IFERROR(_xlfn.XLOOKUP($F107,'FCDB 2017 (full)'!$C:$C,'FCDB 2017 (full)'!$G:$G),0)</f>
        <v>0</v>
      </c>
      <c r="L107" s="13" t="e">
        <f t="shared" ca="1" si="21"/>
        <v>#NAME?</v>
      </c>
      <c r="M107" s="13" t="e">
        <f t="shared" ca="1" si="22"/>
        <v>#NAME?</v>
      </c>
      <c r="N107" s="9">
        <f ca="1">IFERROR(_xlfn.XLOOKUP($F107,'FCDB 2017 (full)'!$C:$C,'FCDB 2017 (full)'!$H:$H),0)</f>
        <v>0</v>
      </c>
      <c r="O107" s="14" t="e">
        <f t="shared" ca="1" si="23"/>
        <v>#NAME?</v>
      </c>
      <c r="P107" s="14" t="e">
        <f t="shared" ca="1" si="24"/>
        <v>#NAME?</v>
      </c>
      <c r="Q107" s="9">
        <f ca="1">IFERROR(_xlfn.XLOOKUP($F107,'FCDB 2017 (full)'!$C:$C,'FCDB 2017 (full)'!$I:$I),0)</f>
        <v>0</v>
      </c>
      <c r="R107" s="15">
        <f t="shared" ca="1" si="25"/>
        <v>0</v>
      </c>
      <c r="S107" s="16">
        <f ca="1">IFERROR(_xlfn.XLOOKUP($F107,'FCDB 2017 (full)'!$C:$C,'FCDB 2017 (full)'!$J:$J)*$H107/100,0)</f>
        <v>0</v>
      </c>
      <c r="T107" s="16">
        <f ca="1">IFERROR(_xlfn.XLOOKUP($F107,'FCDB 2017 (full)'!$C:$C,'FCDB 2017 (full)'!$K:$K)*$H107/100,0)</f>
        <v>0</v>
      </c>
      <c r="U107" s="16">
        <f ca="1">IFERROR(_xlfn.XLOOKUP($F107,'FCDB 2017 (full)'!$C:$C,'FCDB 2017 (full)'!$L:$L)*$H107/100,0)</f>
        <v>0</v>
      </c>
      <c r="V107" s="16">
        <f ca="1">IFERROR(_xlfn.XLOOKUP($F107,'FCDB 2017 (full)'!$C:$C,'FCDB 2017 (full)'!$M:$M)*$H107/100,0)</f>
        <v>0</v>
      </c>
      <c r="W107" s="16">
        <f ca="1">IFERROR(_xlfn.XLOOKUP($F107,'FCDB 2017 (full)'!$C:$C,'FCDB 2017 (full)'!$N:$N)*$H107/100,0)</f>
        <v>0</v>
      </c>
      <c r="X107" s="16">
        <f ca="1">IFERROR(_xlfn.XLOOKUP($F107,'FCDB 2017 (full)'!$C:$C,'FCDB 2017 (full)'!$O:$O)*$H107/100,0)</f>
        <v>0</v>
      </c>
      <c r="Y107" s="16">
        <f ca="1">IFERROR(_xlfn.XLOOKUP($F107,'FCDB 2017 (full)'!$C:$C,'FCDB 2017 (full)'!$P:$P)*$H107/100,0)</f>
        <v>0</v>
      </c>
      <c r="Z107" s="16">
        <f ca="1">IFERROR(_xlfn.XLOOKUP($F107,'FCDB 2017 (full)'!$C:$C,'FCDB 2017 (full)'!$Q:$Q)*$H107/100,0)</f>
        <v>0</v>
      </c>
      <c r="AA107" s="16">
        <f ca="1">IFERROR(_xlfn.XLOOKUP($F107,'FCDB 2017 (full)'!$C:$C,'FCDB 2017 (full)'!$R:$R)*$H107/100,0)</f>
        <v>0</v>
      </c>
      <c r="AB107" s="16">
        <f ca="1">IFERROR(_xlfn.XLOOKUP($F107,'FCDB 2017 (full)'!$C:$C,'FCDB 2017 (full)'!$S:$S)*$H107/100,0)</f>
        <v>0</v>
      </c>
      <c r="AC107" s="16">
        <f ca="1">IFERROR(_xlfn.XLOOKUP($F107,'FCDB 2017 (full)'!$C:$C,'FCDB 2017 (full)'!$T:$T)*$H107/100,0)</f>
        <v>0</v>
      </c>
      <c r="AD107" s="16">
        <f ca="1">IFERROR(_xlfn.XLOOKUP($F107,'FCDB 2017 (full)'!$C:$C,'FCDB 2017 (full)'!$U:$U)*$H107/100,0)</f>
        <v>0</v>
      </c>
      <c r="AE107" s="16">
        <f ca="1">IFERROR(_xlfn.XLOOKUP($F107,'FCDB 2017 (full)'!$C:$C,'FCDB 2017 (full)'!$V:$V)*$H107/100,0)</f>
        <v>0</v>
      </c>
      <c r="AF107" s="16">
        <f ca="1">IFERROR(_xlfn.XLOOKUP($F107,'FCDB 2017 (full)'!$C:$C,'FCDB 2017 (full)'!$W:$W)*$H107/100,0)</f>
        <v>0</v>
      </c>
      <c r="AG107" s="16">
        <f ca="1">IFERROR(_xlfn.XLOOKUP($F107,'FCDB 2017 (full)'!$C:$C,'FCDB 2017 (full)'!$X:$X)*$H107/100,0)</f>
        <v>0</v>
      </c>
      <c r="AH107" s="16">
        <f ca="1">IFERROR(_xlfn.XLOOKUP($F107,'FCDB 2017 (full)'!$C:$C,'FCDB 2017 (full)'!$Y:$Y)*$H107/100,0)</f>
        <v>0</v>
      </c>
      <c r="AI107" s="16">
        <f ca="1">IFERROR(_xlfn.XLOOKUP($F107,'FCDB 2017 (full)'!$C:$C,'FCDB 2017 (full)'!$Z:$Z)*$H107/100,0)</f>
        <v>0</v>
      </c>
      <c r="AJ107" s="16">
        <f ca="1">IFERROR(_xlfn.XLOOKUP($F107,'FCDB 2017 (full)'!$C:$C,'FCDB 2017 (full)'!$AA:$AA)*$H107/100,0)</f>
        <v>0</v>
      </c>
      <c r="AK107" s="16">
        <f ca="1">IFERROR(_xlfn.XLOOKUP($F107,'FCDB 2017 (full)'!$C:$C,'FCDB 2017 (full)'!$AB:$AB)*$H107/100,0)</f>
        <v>0</v>
      </c>
      <c r="AL107" s="16">
        <f ca="1">IFERROR(_xlfn.XLOOKUP($F107,'FCDB 2017 (full)'!$C:$C,'FCDB 2017 (full)'!$AC:$AC)*$H107/100,0)</f>
        <v>0</v>
      </c>
      <c r="AM107" s="16">
        <f ca="1">IFERROR(_xlfn.XLOOKUP($F107,'FCDB 2017 (full)'!$C:$C,'FCDB 2017 (full)'!$AD:$AD)*$H107/100,0)</f>
        <v>0</v>
      </c>
      <c r="AN107" s="16">
        <f ca="1">IFERROR(_xlfn.XLOOKUP($F107,'FCDB 2017 (full)'!$C:$C,'FCDB 2017 (full)'!$AE:$AE)*$H107/100,0)</f>
        <v>0</v>
      </c>
      <c r="AO107" s="16">
        <f ca="1">IFERROR(_xlfn.XLOOKUP($F107,'FCDB 2017 (full)'!$C:$C,'FCDB 2017 (full)'!$AF:$AF)*$H107/100,0)</f>
        <v>0</v>
      </c>
      <c r="AP107" s="16">
        <f ca="1">IFERROR(_xlfn.XLOOKUP($F107,'FCDB 2017 (full)'!$C:$C,'FCDB 2017 (full)'!$AG:$AG)*$H107/100,0)</f>
        <v>0</v>
      </c>
      <c r="AQ107" s="16">
        <f ca="1">IFERROR(_xlfn.XLOOKUP($F107,'FCDB 2017 (full)'!$C:$C,'FCDB 2017 (full)'!$AH:$AH)*$H107/100,0)</f>
        <v>0</v>
      </c>
      <c r="AR107" s="16">
        <f ca="1">IFERROR(_xlfn.XLOOKUP($F107,'FCDB 2017 (full)'!$C:$C,'FCDB 2017 (full)'!$AI:$AI)*$H107/100,0)</f>
        <v>0</v>
      </c>
      <c r="AS107" s="16">
        <f ca="1">IFERROR(_xlfn.XLOOKUP($F107,'FCDB 2017 (full)'!$C:$C,'FCDB 2017 (full)'!$AJ:$AJ)*$H107/100,0)</f>
        <v>0</v>
      </c>
      <c r="AT107" s="16">
        <f ca="1">IFERROR(_xlfn.XLOOKUP($F107,'FCDB 2017 (full)'!$C:$C,'FCDB 2017 (full)'!$AK:$AK)*$H107/100,0)</f>
        <v>0</v>
      </c>
      <c r="AU107" s="16">
        <f ca="1">IFERROR(_xlfn.XLOOKUP($F107,'FCDB 2017 (full)'!$C:$C,'FCDB 2017 (full)'!$AK:$AK)*$H107/100,0)</f>
        <v>0</v>
      </c>
      <c r="AV107" s="16">
        <f ca="1">IFERROR(_xlfn.XLOOKUP($F107,'FCDB 2017 (full)'!$C:$C,'FCDB 2017 (full)'!$AM:$AM)*$H107/100,0)</f>
        <v>0</v>
      </c>
      <c r="AW107" s="16">
        <f ca="1">IFERROR(_xlfn.XLOOKUP($F107,'FCDB 2017 (full)'!$C:$C,'FCDB 2017 (full)'!$AN:$AN)*$H107/100,0)</f>
        <v>0</v>
      </c>
      <c r="AX107" s="16">
        <f ca="1">IFERROR(_xlfn.XLOOKUP($F107,'FCDB 2017 (full)'!$C:$C,'FCDB 2017 (full)'!$AO:$AO)*$H107/100,0)</f>
        <v>0</v>
      </c>
      <c r="AY107" s="16">
        <f ca="1">IFERROR(_xlfn.XLOOKUP($F107,'FCDB 2017 (full)'!$C:$C,'FCDB 2017 (full)'!$AP:$AP)*$H107/100,0)</f>
        <v>0</v>
      </c>
      <c r="AZ107" s="16">
        <f ca="1">IFERROR(_xlfn.XLOOKUP($F107,'FCDB 2017 (full)'!$C:$C,'FCDB 2017 (full)'!$AQ:$AQ)*$H107/100,0)</f>
        <v>0</v>
      </c>
      <c r="BA107" s="16">
        <f ca="1">IFERROR(_xlfn.XLOOKUP($F107,'FCDB 2017 (full)'!$C:$C,'FCDB 2017 (full)'!$AR:$AR)*$H107/100,0)</f>
        <v>0</v>
      </c>
      <c r="BB107" s="16">
        <f ca="1">IFERROR(_xlfn.XLOOKUP($F107,'FCDB 2017 (full)'!$C:$C,'FCDB 2017 (full)'!$AS:$AS)*$H107/100,0)</f>
        <v>0</v>
      </c>
      <c r="BC107" s="16">
        <f ca="1">IFERROR(_xlfn.XLOOKUP($F107,'FCDB 2017 (full)'!$C:$C,'FCDB 2017 (full)'!$AT:$AT)*$H107/100,0)</f>
        <v>0</v>
      </c>
      <c r="BD107" s="16">
        <f ca="1">IFERROR(_xlfn.XLOOKUP($F107,'FCDB 2017 (full)'!$C:$C,'FCDB 2017 (full)'!$AU:$AU)*$H107/100,0)</f>
        <v>0</v>
      </c>
      <c r="BE107" s="16">
        <f ca="1">IFERROR(_xlfn.XLOOKUP($F107,'FCDB 2017 (full)'!$C:$C,'FCDB 2017 (full)'!$AV:$AV)*$H107/100,0)</f>
        <v>0</v>
      </c>
      <c r="BF107" s="16">
        <f ca="1">IFERROR(_xlfn.XLOOKUP($F107,'FCDB 2017 (full)'!$C:$C,'FCDB 2017 (full)'!$AW:$AW)*$H107/100,0)</f>
        <v>0</v>
      </c>
      <c r="BG107" s="16">
        <f ca="1">IFERROR(_xlfn.XLOOKUP($F107,'FCDB 2017 (full)'!$C:$C,'FCDB 2017 (full)'!$AX:$AX)*$H107/100,0)</f>
        <v>0</v>
      </c>
      <c r="BH107" s="16">
        <f ca="1">IFERROR(_xlfn.XLOOKUP($F107,'FCDB 2017 (full)'!$C:$C,'FCDB 2017 (full)'!$AY:$AY)*$H107/100,0)</f>
        <v>0</v>
      </c>
      <c r="BI107" s="16">
        <f ca="1">IFERROR(_xlfn.XLOOKUP($F107,'FCDB 2017 (full)'!$C:$C,'FCDB 2017 (full)'!$AZ:$AZ)*$H107/100,0)</f>
        <v>0</v>
      </c>
      <c r="BJ107" s="16">
        <f ca="1">IFERROR(_xlfn.XLOOKUP($F107,'FCDB 2017 (full)'!$C:$C,'FCDB 2017 (full)'!$BA:$BA)*$H107/100,0)</f>
        <v>0</v>
      </c>
      <c r="BK107" s="16">
        <f ca="1">IFERROR(_xlfn.XLOOKUP($F107,'FCDB 2017 (full)'!$C:$C,'FCDB 2017 (full)'!$BB:$BB)*$H107/100,0)</f>
        <v>0</v>
      </c>
      <c r="BL107" s="16">
        <f ca="1">IFERROR(_xlfn.XLOOKUP($F107,'FCDB 2017 (full)'!$C:$C,'FCDB 2017 (full)'!$BC:$BC)*$H107/100,0)</f>
        <v>0</v>
      </c>
      <c r="BM107" s="16">
        <f ca="1">IFERROR(_xlfn.XLOOKUP($F107,'FCDB 2017 (full)'!$C:$C,'FCDB 2017 (full)'!$BD:$BD)*$H107/100,0)</f>
        <v>0</v>
      </c>
      <c r="BN107" s="16">
        <f ca="1">IFERROR(_xlfn.XLOOKUP($F107,'FCDB 2017 (full)'!$C:$C,'FCDB 2017 (full)'!$BE:$BE)*$H107/100,0)</f>
        <v>0</v>
      </c>
      <c r="BO107" s="16">
        <f ca="1">IFERROR(_xlfn.XLOOKUP($F107,'FCDB 2017 (full)'!$C:$C,'FCDB 2017 (full)'!$BF:$BF)*$H107/100,0)</f>
        <v>0</v>
      </c>
      <c r="BP107" s="16">
        <f ca="1">IFERROR(_xlfn.XLOOKUP($F107,'FCDB 2017 (full)'!$C:$C,'FCDB 2017 (full)'!$BG:$BG)*$H107/100,0)</f>
        <v>0</v>
      </c>
      <c r="BQ107" s="16">
        <f ca="1">IFERROR(_xlfn.XLOOKUP($F107,'FCDB 2017 (full)'!$C:$C,'FCDB 2017 (full)'!$BH:$BH)*$H107/100,0)</f>
        <v>0</v>
      </c>
      <c r="BR107" s="16">
        <f ca="1">IFERROR(_xlfn.XLOOKUP($F107,'FCDB 2017 (full)'!$C:$C,'FCDB 2017 (full)'!$BI:$BI)*$H107/100,0)</f>
        <v>0</v>
      </c>
      <c r="BS107" s="16">
        <f ca="1">IFERROR(_xlfn.XLOOKUP($F107,'FCDB 2017 (full)'!$C:$C,'FCDB 2017 (full)'!$BJ:$BJ)*$H107/100,0)</f>
        <v>0</v>
      </c>
      <c r="BT107" s="16">
        <f ca="1">IFERROR(_xlfn.XLOOKUP($F107,'FCDB 2017 (full)'!$C:$C,'FCDB 2017 (full)'!$BK:$BK)*$H107/100,0)</f>
        <v>0</v>
      </c>
      <c r="BU107" s="16">
        <f ca="1">IFERROR(_xlfn.XLOOKUP($F107,'FCDB 2017 (full)'!$C:$C,'FCDB 2017 (full)'!$BL:$BL)*$H107/100,0)</f>
        <v>0</v>
      </c>
      <c r="BV107" s="16">
        <f ca="1">IFERROR(_xlfn.XLOOKUP($F107,'FCDB 2017 (full)'!$C:$C,'FCDB 2017 (full)'!$BM:$BM)*$H107/100,0)</f>
        <v>0</v>
      </c>
      <c r="BW107" s="16">
        <f ca="1">IFERROR(_xlfn.XLOOKUP($F107,'FCDB 2017 (full)'!$C:$C,'FCDB 2017 (full)'!$BN:$BN)*$H107/100,0)</f>
        <v>0</v>
      </c>
      <c r="BX107" s="16">
        <f ca="1">IFERROR(_xlfn.XLOOKUP($F107,'FCDB 2017 (full)'!$C:$C,'FCDB 2017 (full)'!$BO:$BO)*$H107/100,0)</f>
        <v>0</v>
      </c>
      <c r="BY107" s="16">
        <f ca="1">IFERROR(_xlfn.XLOOKUP($F107,'FCDB 2017 (full)'!$C:$C,'FCDB 2017 (full)'!$BP:$BP)*$H107/100,0)</f>
        <v>0</v>
      </c>
      <c r="BZ107" s="16">
        <f ca="1">IFERROR(_xlfn.XLOOKUP($F107,'FCDB 2017 (full)'!$C:$C,'FCDB 2017 (full)'!$BQ:$BQ)*$H107/100,0)</f>
        <v>0</v>
      </c>
      <c r="CA107" s="16">
        <f ca="1">IFERROR(_xlfn.XLOOKUP($F107,'FCDB 2017 (full)'!$C:$C,'FCDB 2017 (full)'!$BR:$BR)*$H107/100,0)</f>
        <v>0</v>
      </c>
      <c r="CB107" s="16">
        <f ca="1">IFERROR(_xlfn.XLOOKUP($F107,'FCDB 2017 (full)'!$C:$C,'FCDB 2017 (full)'!$BS:$BS)*$H107/100,0)</f>
        <v>0</v>
      </c>
      <c r="CC107" s="16">
        <f ca="1">IFERROR(_xlfn.XLOOKUP($F107,'FCDB 2017 (full)'!$C:$C,'FCDB 2017 (full)'!$BT:$BT)*$H107/100,0)</f>
        <v>0</v>
      </c>
      <c r="CD107" s="16">
        <f ca="1">IFERROR(_xlfn.XLOOKUP($F107,'FCDB 2017 (full)'!$C:$C,'FCDB 2017 (full)'!$BU:$BU)*$H107/100,0)</f>
        <v>0</v>
      </c>
      <c r="CE107" s="16">
        <f ca="1">IFERROR(_xlfn.XLOOKUP($F107,'FCDB 2017 (full)'!$C:$C,'FCDB 2017 (full)'!$BV:$BV)*$H107/100,0)</f>
        <v>0</v>
      </c>
      <c r="CF107" s="16">
        <f ca="1">IFERROR(_xlfn.XLOOKUP($F107,'FCDB 2017 (full)'!$C:$C,'FCDB 2017 (full)'!$BW:$BW)*$H107/100,0)</f>
        <v>0</v>
      </c>
      <c r="CG107" s="16">
        <f ca="1">IFERROR(_xlfn.XLOOKUP($F107,'FCDB 2017 (full)'!$C:$C,'FCDB 2017 (full)'!$BX:$BX)*$H107/100,0)</f>
        <v>0</v>
      </c>
      <c r="CH107" s="16">
        <f ca="1">IFERROR(_xlfn.XLOOKUP($F107,'FCDB 2017 (full)'!$C:$C,'FCDB 2017 (full)'!$BY:$BY)*$H107/100,0)</f>
        <v>0</v>
      </c>
      <c r="CI107" s="16">
        <f ca="1">IFERROR(_xlfn.XLOOKUP($F107,'FCDB 2017 (full)'!$C:$C,'FCDB 2017 (full)'!$BZ:$BZ)*$H107/100,0)</f>
        <v>0</v>
      </c>
      <c r="CJ107" s="16">
        <f ca="1">IFERROR(_xlfn.XLOOKUP($F107,'FCDB 2017 (full)'!$C:$C,'FCDB 2017 (full)'!$CA:$CA)*$H107/100,0)</f>
        <v>0</v>
      </c>
      <c r="CK107" s="16">
        <f ca="1">IFERROR(_xlfn.XLOOKUP($F107,'FCDB 2017 (full)'!$C:$C,'FCDB 2017 (full)'!$CB:$CB)*$H107/100,0)</f>
        <v>0</v>
      </c>
      <c r="CL107" s="16">
        <f ca="1">IFERROR(_xlfn.XLOOKUP($F107,'FCDB 2017 (full)'!$C:$C,'FCDB 2017 (full)'!$CC:$CC)*$H107/100,0)</f>
        <v>0</v>
      </c>
      <c r="CM107" s="16">
        <f ca="1">IFERROR(_xlfn.XLOOKUP($F107,'FCDB 2017 (full)'!$C:$C,'FCDB 2017 (full)'!$CD:$CD)*$H107/100,0)</f>
        <v>0</v>
      </c>
      <c r="CN107" s="16">
        <f ca="1">IFERROR(_xlfn.XLOOKUP($F107,'FCDB 2017 (full)'!$C:$C,'FCDB 2017 (full)'!$CE:$CE)*$H107/100,0)</f>
        <v>0</v>
      </c>
      <c r="CO107" s="16">
        <f ca="1">IFERROR(_xlfn.XLOOKUP($F107,'FCDB 2017 (full)'!$C:$C,'FCDB 2017 (full)'!$CF:$CF)*$H107/100,0)</f>
        <v>0</v>
      </c>
      <c r="CP107" s="16">
        <f ca="1">IFERROR(_xlfn.XLOOKUP($F107,'FCDB 2017 (full)'!$C:$C,'FCDB 2017 (full)'!$CG:$CG)*$H107/100,0)</f>
        <v>0</v>
      </c>
      <c r="CQ107" s="16">
        <f ca="1">IFERROR(_xlfn.XLOOKUP($F107,'FCDB 2017 (full)'!$C:$C,'FCDB 2017 (full)'!$CH:$CH)*$H107/100,0)</f>
        <v>0</v>
      </c>
      <c r="DA107" s="72" t="s">
        <v>982</v>
      </c>
    </row>
    <row r="108" spans="4:105" ht="16.8">
      <c r="D108"/>
      <c r="E108"/>
      <c r="F108" s="11" t="str">
        <f>IFERROR(VLOOKUP($D$96,$D:$AE,9,0),0)</f>
        <v>Sấu xanh</v>
      </c>
      <c r="G108" s="7" t="e" cm="1">
        <f t="array" aca="1" ref="G108" ca="1">IF(F108=0,0,IF(_xlfn.XLOOKUP(F108,$E$96:$AE$96,$E$97:$AE$97)=0,"Nhập ĐV/TV",_xlfn.XLOOKUP(F108,$E$96:$AE$96,$E$97:$AE$97)))</f>
        <v>#NAME?</v>
      </c>
      <c r="H108" s="8">
        <f t="shared" si="26"/>
        <v>10</v>
      </c>
      <c r="I108" s="9">
        <f ca="1">IFERROR(_xlfn.XLOOKUP($F108,'FCDB 2017 (full)'!$C:$C,'FCDB 2017 (full)'!$E:$E),0)</f>
        <v>0</v>
      </c>
      <c r="J108" s="10">
        <f t="shared" ca="1" si="20"/>
        <v>0</v>
      </c>
      <c r="K108" s="9">
        <f ca="1">IFERROR(_xlfn.XLOOKUP($F108,'FCDB 2017 (full)'!$C:$C,'FCDB 2017 (full)'!$G:$G),0)</f>
        <v>0</v>
      </c>
      <c r="L108" s="13" t="e">
        <f t="shared" ca="1" si="21"/>
        <v>#NAME?</v>
      </c>
      <c r="M108" s="13" t="e">
        <f t="shared" ca="1" si="22"/>
        <v>#NAME?</v>
      </c>
      <c r="N108" s="9">
        <f ca="1">IFERROR(_xlfn.XLOOKUP($F108,'FCDB 2017 (full)'!$C:$C,'FCDB 2017 (full)'!$H:$H),0)</f>
        <v>0</v>
      </c>
      <c r="O108" s="14" t="e">
        <f t="shared" ca="1" si="23"/>
        <v>#NAME?</v>
      </c>
      <c r="P108" s="14" t="e">
        <f t="shared" ca="1" si="24"/>
        <v>#NAME?</v>
      </c>
      <c r="Q108" s="9">
        <f ca="1">IFERROR(_xlfn.XLOOKUP($F108,'FCDB 2017 (full)'!$C:$C,'FCDB 2017 (full)'!$I:$I),0)</f>
        <v>0</v>
      </c>
      <c r="R108" s="15">
        <f t="shared" ca="1" si="25"/>
        <v>0</v>
      </c>
      <c r="S108" s="16">
        <f ca="1">IFERROR(_xlfn.XLOOKUP($F108,'FCDB 2017 (full)'!$C:$C,'FCDB 2017 (full)'!$J:$J)*$H108/100,0)</f>
        <v>0</v>
      </c>
      <c r="T108" s="16">
        <f ca="1">IFERROR(_xlfn.XLOOKUP($F108,'FCDB 2017 (full)'!$C:$C,'FCDB 2017 (full)'!$K:$K)*$H108/100,0)</f>
        <v>0</v>
      </c>
      <c r="U108" s="16">
        <f ca="1">IFERROR(_xlfn.XLOOKUP($F108,'FCDB 2017 (full)'!$C:$C,'FCDB 2017 (full)'!$L:$L)*$H108/100,0)</f>
        <v>0</v>
      </c>
      <c r="V108" s="16">
        <f ca="1">IFERROR(_xlfn.XLOOKUP($F108,'FCDB 2017 (full)'!$C:$C,'FCDB 2017 (full)'!$M:$M)*$H108/100,0)</f>
        <v>0</v>
      </c>
      <c r="W108" s="16">
        <f ca="1">IFERROR(_xlfn.XLOOKUP($F108,'FCDB 2017 (full)'!$C:$C,'FCDB 2017 (full)'!$N:$N)*$H108/100,0)</f>
        <v>0</v>
      </c>
      <c r="X108" s="16">
        <f ca="1">IFERROR(_xlfn.XLOOKUP($F108,'FCDB 2017 (full)'!$C:$C,'FCDB 2017 (full)'!$O:$O)*$H108/100,0)</f>
        <v>0</v>
      </c>
      <c r="Y108" s="16">
        <f ca="1">IFERROR(_xlfn.XLOOKUP($F108,'FCDB 2017 (full)'!$C:$C,'FCDB 2017 (full)'!$P:$P)*$H108/100,0)</f>
        <v>0</v>
      </c>
      <c r="Z108" s="16">
        <f ca="1">IFERROR(_xlfn.XLOOKUP($F108,'FCDB 2017 (full)'!$C:$C,'FCDB 2017 (full)'!$Q:$Q)*$H108/100,0)</f>
        <v>0</v>
      </c>
      <c r="AA108" s="16">
        <f ca="1">IFERROR(_xlfn.XLOOKUP($F108,'FCDB 2017 (full)'!$C:$C,'FCDB 2017 (full)'!$R:$R)*$H108/100,0)</f>
        <v>0</v>
      </c>
      <c r="AB108" s="16">
        <f ca="1">IFERROR(_xlfn.XLOOKUP($F108,'FCDB 2017 (full)'!$C:$C,'FCDB 2017 (full)'!$S:$S)*$H108/100,0)</f>
        <v>0</v>
      </c>
      <c r="AC108" s="16">
        <f ca="1">IFERROR(_xlfn.XLOOKUP($F108,'FCDB 2017 (full)'!$C:$C,'FCDB 2017 (full)'!$T:$T)*$H108/100,0)</f>
        <v>0</v>
      </c>
      <c r="AD108" s="16">
        <f ca="1">IFERROR(_xlfn.XLOOKUP($F108,'FCDB 2017 (full)'!$C:$C,'FCDB 2017 (full)'!$U:$U)*$H108/100,0)</f>
        <v>0</v>
      </c>
      <c r="AE108" s="16">
        <f ca="1">IFERROR(_xlfn.XLOOKUP($F108,'FCDB 2017 (full)'!$C:$C,'FCDB 2017 (full)'!$V:$V)*$H108/100,0)</f>
        <v>0</v>
      </c>
      <c r="AF108" s="16">
        <f ca="1">IFERROR(_xlfn.XLOOKUP($F108,'FCDB 2017 (full)'!$C:$C,'FCDB 2017 (full)'!$W:$W)*$H108/100,0)</f>
        <v>0</v>
      </c>
      <c r="AG108" s="16">
        <f ca="1">IFERROR(_xlfn.XLOOKUP($F108,'FCDB 2017 (full)'!$C:$C,'FCDB 2017 (full)'!$X:$X)*$H108/100,0)</f>
        <v>0</v>
      </c>
      <c r="AH108" s="16">
        <f ca="1">IFERROR(_xlfn.XLOOKUP($F108,'FCDB 2017 (full)'!$C:$C,'FCDB 2017 (full)'!$Y:$Y)*$H108/100,0)</f>
        <v>0</v>
      </c>
      <c r="AI108" s="16">
        <f ca="1">IFERROR(_xlfn.XLOOKUP($F108,'FCDB 2017 (full)'!$C:$C,'FCDB 2017 (full)'!$Z:$Z)*$H108/100,0)</f>
        <v>0</v>
      </c>
      <c r="AJ108" s="16">
        <f ca="1">IFERROR(_xlfn.XLOOKUP($F108,'FCDB 2017 (full)'!$C:$C,'FCDB 2017 (full)'!$AA:$AA)*$H108/100,0)</f>
        <v>0</v>
      </c>
      <c r="AK108" s="16">
        <f ca="1">IFERROR(_xlfn.XLOOKUP($F108,'FCDB 2017 (full)'!$C:$C,'FCDB 2017 (full)'!$AB:$AB)*$H108/100,0)</f>
        <v>0</v>
      </c>
      <c r="AL108" s="16">
        <f ca="1">IFERROR(_xlfn.XLOOKUP($F108,'FCDB 2017 (full)'!$C:$C,'FCDB 2017 (full)'!$AC:$AC)*$H108/100,0)</f>
        <v>0</v>
      </c>
      <c r="AM108" s="16">
        <f ca="1">IFERROR(_xlfn.XLOOKUP($F108,'FCDB 2017 (full)'!$C:$C,'FCDB 2017 (full)'!$AD:$AD)*$H108/100,0)</f>
        <v>0</v>
      </c>
      <c r="AN108" s="16">
        <f ca="1">IFERROR(_xlfn.XLOOKUP($F108,'FCDB 2017 (full)'!$C:$C,'FCDB 2017 (full)'!$AE:$AE)*$H108/100,0)</f>
        <v>0</v>
      </c>
      <c r="AO108" s="16">
        <f ca="1">IFERROR(_xlfn.XLOOKUP($F108,'FCDB 2017 (full)'!$C:$C,'FCDB 2017 (full)'!$AF:$AF)*$H108/100,0)</f>
        <v>0</v>
      </c>
      <c r="AP108" s="16">
        <f ca="1">IFERROR(_xlfn.XLOOKUP($F108,'FCDB 2017 (full)'!$C:$C,'FCDB 2017 (full)'!$AG:$AG)*$H108/100,0)</f>
        <v>0</v>
      </c>
      <c r="AQ108" s="16">
        <f ca="1">IFERROR(_xlfn.XLOOKUP($F108,'FCDB 2017 (full)'!$C:$C,'FCDB 2017 (full)'!$AH:$AH)*$H108/100,0)</f>
        <v>0</v>
      </c>
      <c r="AR108" s="16">
        <f ca="1">IFERROR(_xlfn.XLOOKUP($F108,'FCDB 2017 (full)'!$C:$C,'FCDB 2017 (full)'!$AI:$AI)*$H108/100,0)</f>
        <v>0</v>
      </c>
      <c r="AS108" s="16">
        <f ca="1">IFERROR(_xlfn.XLOOKUP($F108,'FCDB 2017 (full)'!$C:$C,'FCDB 2017 (full)'!$AJ:$AJ)*$H108/100,0)</f>
        <v>0</v>
      </c>
      <c r="AT108" s="16">
        <f ca="1">IFERROR(_xlfn.XLOOKUP($F108,'FCDB 2017 (full)'!$C:$C,'FCDB 2017 (full)'!$AK:$AK)*$H108/100,0)</f>
        <v>0</v>
      </c>
      <c r="AU108" s="16">
        <f ca="1">IFERROR(_xlfn.XLOOKUP($F108,'FCDB 2017 (full)'!$C:$C,'FCDB 2017 (full)'!$AK:$AK)*$H108/100,0)</f>
        <v>0</v>
      </c>
      <c r="AV108" s="16">
        <f ca="1">IFERROR(_xlfn.XLOOKUP($F108,'FCDB 2017 (full)'!$C:$C,'FCDB 2017 (full)'!$AM:$AM)*$H108/100,0)</f>
        <v>0</v>
      </c>
      <c r="AW108" s="16">
        <f ca="1">IFERROR(_xlfn.XLOOKUP($F108,'FCDB 2017 (full)'!$C:$C,'FCDB 2017 (full)'!$AN:$AN)*$H108/100,0)</f>
        <v>0</v>
      </c>
      <c r="AX108" s="16">
        <f ca="1">IFERROR(_xlfn.XLOOKUP($F108,'FCDB 2017 (full)'!$C:$C,'FCDB 2017 (full)'!$AO:$AO)*$H108/100,0)</f>
        <v>0</v>
      </c>
      <c r="AY108" s="16">
        <f ca="1">IFERROR(_xlfn.XLOOKUP($F108,'FCDB 2017 (full)'!$C:$C,'FCDB 2017 (full)'!$AP:$AP)*$H108/100,0)</f>
        <v>0</v>
      </c>
      <c r="AZ108" s="16">
        <f ca="1">IFERROR(_xlfn.XLOOKUP($F108,'FCDB 2017 (full)'!$C:$C,'FCDB 2017 (full)'!$AQ:$AQ)*$H108/100,0)</f>
        <v>0</v>
      </c>
      <c r="BA108" s="16">
        <f ca="1">IFERROR(_xlfn.XLOOKUP($F108,'FCDB 2017 (full)'!$C:$C,'FCDB 2017 (full)'!$AR:$AR)*$H108/100,0)</f>
        <v>0</v>
      </c>
      <c r="BB108" s="16">
        <f ca="1">IFERROR(_xlfn.XLOOKUP($F108,'FCDB 2017 (full)'!$C:$C,'FCDB 2017 (full)'!$AS:$AS)*$H108/100,0)</f>
        <v>0</v>
      </c>
      <c r="BC108" s="16">
        <f ca="1">IFERROR(_xlfn.XLOOKUP($F108,'FCDB 2017 (full)'!$C:$C,'FCDB 2017 (full)'!$AT:$AT)*$H108/100,0)</f>
        <v>0</v>
      </c>
      <c r="BD108" s="16">
        <f ca="1">IFERROR(_xlfn.XLOOKUP($F108,'FCDB 2017 (full)'!$C:$C,'FCDB 2017 (full)'!$AU:$AU)*$H108/100,0)</f>
        <v>0</v>
      </c>
      <c r="BE108" s="16">
        <f ca="1">IFERROR(_xlfn.XLOOKUP($F108,'FCDB 2017 (full)'!$C:$C,'FCDB 2017 (full)'!$AV:$AV)*$H108/100,0)</f>
        <v>0</v>
      </c>
      <c r="BF108" s="16">
        <f ca="1">IFERROR(_xlfn.XLOOKUP($F108,'FCDB 2017 (full)'!$C:$C,'FCDB 2017 (full)'!$AW:$AW)*$H108/100,0)</f>
        <v>0</v>
      </c>
      <c r="BG108" s="16">
        <f ca="1">IFERROR(_xlfn.XLOOKUP($F108,'FCDB 2017 (full)'!$C:$C,'FCDB 2017 (full)'!$AX:$AX)*$H108/100,0)</f>
        <v>0</v>
      </c>
      <c r="BH108" s="16">
        <f ca="1">IFERROR(_xlfn.XLOOKUP($F108,'FCDB 2017 (full)'!$C:$C,'FCDB 2017 (full)'!$AY:$AY)*$H108/100,0)</f>
        <v>0</v>
      </c>
      <c r="BI108" s="16">
        <f ca="1">IFERROR(_xlfn.XLOOKUP($F108,'FCDB 2017 (full)'!$C:$C,'FCDB 2017 (full)'!$AZ:$AZ)*$H108/100,0)</f>
        <v>0</v>
      </c>
      <c r="BJ108" s="16">
        <f ca="1">IFERROR(_xlfn.XLOOKUP($F108,'FCDB 2017 (full)'!$C:$C,'FCDB 2017 (full)'!$BA:$BA)*$H108/100,0)</f>
        <v>0</v>
      </c>
      <c r="BK108" s="16">
        <f ca="1">IFERROR(_xlfn.XLOOKUP($F108,'FCDB 2017 (full)'!$C:$C,'FCDB 2017 (full)'!$BB:$BB)*$H108/100,0)</f>
        <v>0</v>
      </c>
      <c r="BL108" s="16">
        <f ca="1">IFERROR(_xlfn.XLOOKUP($F108,'FCDB 2017 (full)'!$C:$C,'FCDB 2017 (full)'!$BC:$BC)*$H108/100,0)</f>
        <v>0</v>
      </c>
      <c r="BM108" s="16">
        <f ca="1">IFERROR(_xlfn.XLOOKUP($F108,'FCDB 2017 (full)'!$C:$C,'FCDB 2017 (full)'!$BD:$BD)*$H108/100,0)</f>
        <v>0</v>
      </c>
      <c r="BN108" s="16">
        <f ca="1">IFERROR(_xlfn.XLOOKUP($F108,'FCDB 2017 (full)'!$C:$C,'FCDB 2017 (full)'!$BE:$BE)*$H108/100,0)</f>
        <v>0</v>
      </c>
      <c r="BO108" s="16">
        <f ca="1">IFERROR(_xlfn.XLOOKUP($F108,'FCDB 2017 (full)'!$C:$C,'FCDB 2017 (full)'!$BF:$BF)*$H108/100,0)</f>
        <v>0</v>
      </c>
      <c r="BP108" s="16">
        <f ca="1">IFERROR(_xlfn.XLOOKUP($F108,'FCDB 2017 (full)'!$C:$C,'FCDB 2017 (full)'!$BG:$BG)*$H108/100,0)</f>
        <v>0</v>
      </c>
      <c r="BQ108" s="16">
        <f ca="1">IFERROR(_xlfn.XLOOKUP($F108,'FCDB 2017 (full)'!$C:$C,'FCDB 2017 (full)'!$BH:$BH)*$H108/100,0)</f>
        <v>0</v>
      </c>
      <c r="BR108" s="16">
        <f ca="1">IFERROR(_xlfn.XLOOKUP($F108,'FCDB 2017 (full)'!$C:$C,'FCDB 2017 (full)'!$BI:$BI)*$H108/100,0)</f>
        <v>0</v>
      </c>
      <c r="BS108" s="16">
        <f ca="1">IFERROR(_xlfn.XLOOKUP($F108,'FCDB 2017 (full)'!$C:$C,'FCDB 2017 (full)'!$BJ:$BJ)*$H108/100,0)</f>
        <v>0</v>
      </c>
      <c r="BT108" s="16">
        <f ca="1">IFERROR(_xlfn.XLOOKUP($F108,'FCDB 2017 (full)'!$C:$C,'FCDB 2017 (full)'!$BK:$BK)*$H108/100,0)</f>
        <v>0</v>
      </c>
      <c r="BU108" s="16">
        <f ca="1">IFERROR(_xlfn.XLOOKUP($F108,'FCDB 2017 (full)'!$C:$C,'FCDB 2017 (full)'!$BL:$BL)*$H108/100,0)</f>
        <v>0</v>
      </c>
      <c r="BV108" s="16">
        <f ca="1">IFERROR(_xlfn.XLOOKUP($F108,'FCDB 2017 (full)'!$C:$C,'FCDB 2017 (full)'!$BM:$BM)*$H108/100,0)</f>
        <v>0</v>
      </c>
      <c r="BW108" s="16">
        <f ca="1">IFERROR(_xlfn.XLOOKUP($F108,'FCDB 2017 (full)'!$C:$C,'FCDB 2017 (full)'!$BN:$BN)*$H108/100,0)</f>
        <v>0</v>
      </c>
      <c r="BX108" s="16">
        <f ca="1">IFERROR(_xlfn.XLOOKUP($F108,'FCDB 2017 (full)'!$C:$C,'FCDB 2017 (full)'!$BO:$BO)*$H108/100,0)</f>
        <v>0</v>
      </c>
      <c r="BY108" s="16">
        <f ca="1">IFERROR(_xlfn.XLOOKUP($F108,'FCDB 2017 (full)'!$C:$C,'FCDB 2017 (full)'!$BP:$BP)*$H108/100,0)</f>
        <v>0</v>
      </c>
      <c r="BZ108" s="16">
        <f ca="1">IFERROR(_xlfn.XLOOKUP($F108,'FCDB 2017 (full)'!$C:$C,'FCDB 2017 (full)'!$BQ:$BQ)*$H108/100,0)</f>
        <v>0</v>
      </c>
      <c r="CA108" s="16">
        <f ca="1">IFERROR(_xlfn.XLOOKUP($F108,'FCDB 2017 (full)'!$C:$C,'FCDB 2017 (full)'!$BR:$BR)*$H108/100,0)</f>
        <v>0</v>
      </c>
      <c r="CB108" s="16">
        <f ca="1">IFERROR(_xlfn.XLOOKUP($F108,'FCDB 2017 (full)'!$C:$C,'FCDB 2017 (full)'!$BS:$BS)*$H108/100,0)</f>
        <v>0</v>
      </c>
      <c r="CC108" s="16">
        <f ca="1">IFERROR(_xlfn.XLOOKUP($F108,'FCDB 2017 (full)'!$C:$C,'FCDB 2017 (full)'!$BT:$BT)*$H108/100,0)</f>
        <v>0</v>
      </c>
      <c r="CD108" s="16">
        <f ca="1">IFERROR(_xlfn.XLOOKUP($F108,'FCDB 2017 (full)'!$C:$C,'FCDB 2017 (full)'!$BU:$BU)*$H108/100,0)</f>
        <v>0</v>
      </c>
      <c r="CE108" s="16">
        <f ca="1">IFERROR(_xlfn.XLOOKUP($F108,'FCDB 2017 (full)'!$C:$C,'FCDB 2017 (full)'!$BV:$BV)*$H108/100,0)</f>
        <v>0</v>
      </c>
      <c r="CF108" s="16">
        <f ca="1">IFERROR(_xlfn.XLOOKUP($F108,'FCDB 2017 (full)'!$C:$C,'FCDB 2017 (full)'!$BW:$BW)*$H108/100,0)</f>
        <v>0</v>
      </c>
      <c r="CG108" s="16">
        <f ca="1">IFERROR(_xlfn.XLOOKUP($F108,'FCDB 2017 (full)'!$C:$C,'FCDB 2017 (full)'!$BX:$BX)*$H108/100,0)</f>
        <v>0</v>
      </c>
      <c r="CH108" s="16">
        <f ca="1">IFERROR(_xlfn.XLOOKUP($F108,'FCDB 2017 (full)'!$C:$C,'FCDB 2017 (full)'!$BY:$BY)*$H108/100,0)</f>
        <v>0</v>
      </c>
      <c r="CI108" s="16">
        <f ca="1">IFERROR(_xlfn.XLOOKUP($F108,'FCDB 2017 (full)'!$C:$C,'FCDB 2017 (full)'!$BZ:$BZ)*$H108/100,0)</f>
        <v>0</v>
      </c>
      <c r="CJ108" s="16">
        <f ca="1">IFERROR(_xlfn.XLOOKUP($F108,'FCDB 2017 (full)'!$C:$C,'FCDB 2017 (full)'!$CA:$CA)*$H108/100,0)</f>
        <v>0</v>
      </c>
      <c r="CK108" s="16">
        <f ca="1">IFERROR(_xlfn.XLOOKUP($F108,'FCDB 2017 (full)'!$C:$C,'FCDB 2017 (full)'!$CB:$CB)*$H108/100,0)</f>
        <v>0</v>
      </c>
      <c r="CL108" s="16">
        <f ca="1">IFERROR(_xlfn.XLOOKUP($F108,'FCDB 2017 (full)'!$C:$C,'FCDB 2017 (full)'!$CC:$CC)*$H108/100,0)</f>
        <v>0</v>
      </c>
      <c r="CM108" s="16">
        <f ca="1">IFERROR(_xlfn.XLOOKUP($F108,'FCDB 2017 (full)'!$C:$C,'FCDB 2017 (full)'!$CD:$CD)*$H108/100,0)</f>
        <v>0</v>
      </c>
      <c r="CN108" s="16">
        <f ca="1">IFERROR(_xlfn.XLOOKUP($F108,'FCDB 2017 (full)'!$C:$C,'FCDB 2017 (full)'!$CE:$CE)*$H108/100,0)</f>
        <v>0</v>
      </c>
      <c r="CO108" s="16">
        <f ca="1">IFERROR(_xlfn.XLOOKUP($F108,'FCDB 2017 (full)'!$C:$C,'FCDB 2017 (full)'!$CF:$CF)*$H108/100,0)</f>
        <v>0</v>
      </c>
      <c r="CP108" s="16">
        <f ca="1">IFERROR(_xlfn.XLOOKUP($F108,'FCDB 2017 (full)'!$C:$C,'FCDB 2017 (full)'!$CG:$CG)*$H108/100,0)</f>
        <v>0</v>
      </c>
      <c r="CQ108" s="16">
        <f ca="1">IFERROR(_xlfn.XLOOKUP($F108,'FCDB 2017 (full)'!$C:$C,'FCDB 2017 (full)'!$CH:$CH)*$H108/100,0)</f>
        <v>0</v>
      </c>
      <c r="CR108"/>
      <c r="DA108" s="72" t="s">
        <v>982</v>
      </c>
    </row>
    <row r="109" spans="4:105" ht="16.8">
      <c r="D109"/>
      <c r="E109"/>
      <c r="F109" s="11" t="str">
        <f>IFERROR(VLOOKUP($D$96,$D:$AE,10,0),0)</f>
        <v>Cà chua</v>
      </c>
      <c r="G109" s="7" t="e" cm="1">
        <f t="array" aca="1" ref="G109" ca="1">IF(F109=0,0,IF(_xlfn.XLOOKUP(F109,$E$96:$AE$96,$E$97:$AE$97)=0,"Nhập ĐV/TV",_xlfn.XLOOKUP(F109,$E$96:$AE$96,$E$97:$AE$97)))</f>
        <v>#NAME?</v>
      </c>
      <c r="H109" s="8">
        <f t="shared" si="26"/>
        <v>50</v>
      </c>
      <c r="I109" s="9">
        <f ca="1">IFERROR(_xlfn.XLOOKUP($F109,'FCDB 2017 (full)'!$C:$C,'FCDB 2017 (full)'!$E:$E),0)</f>
        <v>0</v>
      </c>
      <c r="J109" s="10">
        <f t="shared" ca="1" si="20"/>
        <v>0</v>
      </c>
      <c r="K109" s="9">
        <f ca="1">IFERROR(_xlfn.XLOOKUP($F109,'FCDB 2017 (full)'!$C:$C,'FCDB 2017 (full)'!$G:$G),0)</f>
        <v>0</v>
      </c>
      <c r="L109" s="13" t="e">
        <f t="shared" ca="1" si="21"/>
        <v>#NAME?</v>
      </c>
      <c r="M109" s="13" t="e">
        <f t="shared" ca="1" si="22"/>
        <v>#NAME?</v>
      </c>
      <c r="N109" s="9">
        <f ca="1">IFERROR(_xlfn.XLOOKUP($F109,'FCDB 2017 (full)'!$C:$C,'FCDB 2017 (full)'!$H:$H),0)</f>
        <v>0</v>
      </c>
      <c r="O109" s="14" t="e">
        <f t="shared" ca="1" si="23"/>
        <v>#NAME?</v>
      </c>
      <c r="P109" s="14" t="e">
        <f t="shared" ca="1" si="24"/>
        <v>#NAME?</v>
      </c>
      <c r="Q109" s="9">
        <f ca="1">IFERROR(_xlfn.XLOOKUP($F109,'FCDB 2017 (full)'!$C:$C,'FCDB 2017 (full)'!$I:$I),0)</f>
        <v>0</v>
      </c>
      <c r="R109" s="15">
        <f t="shared" ca="1" si="25"/>
        <v>0</v>
      </c>
      <c r="S109" s="16">
        <f ca="1">IFERROR(_xlfn.XLOOKUP($F109,'FCDB 2017 (full)'!$C:$C,'FCDB 2017 (full)'!$J:$J)*$H109/100,0)</f>
        <v>0</v>
      </c>
      <c r="T109" s="16">
        <f ca="1">IFERROR(_xlfn.XLOOKUP($F109,'FCDB 2017 (full)'!$C:$C,'FCDB 2017 (full)'!$K:$K)*$H109/100,0)</f>
        <v>0</v>
      </c>
      <c r="U109" s="16">
        <f ca="1">IFERROR(_xlfn.XLOOKUP($F109,'FCDB 2017 (full)'!$C:$C,'FCDB 2017 (full)'!$L:$L)*$H109/100,0)</f>
        <v>0</v>
      </c>
      <c r="V109" s="16">
        <f ca="1">IFERROR(_xlfn.XLOOKUP($F109,'FCDB 2017 (full)'!$C:$C,'FCDB 2017 (full)'!$M:$M)*$H109/100,0)</f>
        <v>0</v>
      </c>
      <c r="W109" s="16">
        <f ca="1">IFERROR(_xlfn.XLOOKUP($F109,'FCDB 2017 (full)'!$C:$C,'FCDB 2017 (full)'!$N:$N)*$H109/100,0)</f>
        <v>0</v>
      </c>
      <c r="X109" s="16">
        <f ca="1">IFERROR(_xlfn.XLOOKUP($F109,'FCDB 2017 (full)'!$C:$C,'FCDB 2017 (full)'!$O:$O)*$H109/100,0)</f>
        <v>0</v>
      </c>
      <c r="Y109" s="16">
        <f ca="1">IFERROR(_xlfn.XLOOKUP($F109,'FCDB 2017 (full)'!$C:$C,'FCDB 2017 (full)'!$P:$P)*$H109/100,0)</f>
        <v>0</v>
      </c>
      <c r="Z109" s="16">
        <f ca="1">IFERROR(_xlfn.XLOOKUP($F109,'FCDB 2017 (full)'!$C:$C,'FCDB 2017 (full)'!$Q:$Q)*$H109/100,0)</f>
        <v>0</v>
      </c>
      <c r="AA109" s="16">
        <f ca="1">IFERROR(_xlfn.XLOOKUP($F109,'FCDB 2017 (full)'!$C:$C,'FCDB 2017 (full)'!$R:$R)*$H109/100,0)</f>
        <v>0</v>
      </c>
      <c r="AB109" s="16">
        <f ca="1">IFERROR(_xlfn.XLOOKUP($F109,'FCDB 2017 (full)'!$C:$C,'FCDB 2017 (full)'!$S:$S)*$H109/100,0)</f>
        <v>0</v>
      </c>
      <c r="AC109" s="16">
        <f ca="1">IFERROR(_xlfn.XLOOKUP($F109,'FCDB 2017 (full)'!$C:$C,'FCDB 2017 (full)'!$T:$T)*$H109/100,0)</f>
        <v>0</v>
      </c>
      <c r="AD109" s="16">
        <f ca="1">IFERROR(_xlfn.XLOOKUP($F109,'FCDB 2017 (full)'!$C:$C,'FCDB 2017 (full)'!$U:$U)*$H109/100,0)</f>
        <v>0</v>
      </c>
      <c r="AE109" s="16">
        <f ca="1">IFERROR(_xlfn.XLOOKUP($F109,'FCDB 2017 (full)'!$C:$C,'FCDB 2017 (full)'!$V:$V)*$H109/100,0)</f>
        <v>0</v>
      </c>
      <c r="AF109" s="16">
        <f ca="1">IFERROR(_xlfn.XLOOKUP($F109,'FCDB 2017 (full)'!$C:$C,'FCDB 2017 (full)'!$W:$W)*$H109/100,0)</f>
        <v>0</v>
      </c>
      <c r="AG109" s="16">
        <f ca="1">IFERROR(_xlfn.XLOOKUP($F109,'FCDB 2017 (full)'!$C:$C,'FCDB 2017 (full)'!$X:$X)*$H109/100,0)</f>
        <v>0</v>
      </c>
      <c r="AH109" s="16">
        <f ca="1">IFERROR(_xlfn.XLOOKUP($F109,'FCDB 2017 (full)'!$C:$C,'FCDB 2017 (full)'!$Y:$Y)*$H109/100,0)</f>
        <v>0</v>
      </c>
      <c r="AI109" s="16">
        <f ca="1">IFERROR(_xlfn.XLOOKUP($F109,'FCDB 2017 (full)'!$C:$C,'FCDB 2017 (full)'!$Z:$Z)*$H109/100,0)</f>
        <v>0</v>
      </c>
      <c r="AJ109" s="16">
        <f ca="1">IFERROR(_xlfn.XLOOKUP($F109,'FCDB 2017 (full)'!$C:$C,'FCDB 2017 (full)'!$AA:$AA)*$H109/100,0)</f>
        <v>0</v>
      </c>
      <c r="AK109" s="16">
        <f ca="1">IFERROR(_xlfn.XLOOKUP($F109,'FCDB 2017 (full)'!$C:$C,'FCDB 2017 (full)'!$AB:$AB)*$H109/100,0)</f>
        <v>0</v>
      </c>
      <c r="AL109" s="16">
        <f ca="1">IFERROR(_xlfn.XLOOKUP($F109,'FCDB 2017 (full)'!$C:$C,'FCDB 2017 (full)'!$AC:$AC)*$H109/100,0)</f>
        <v>0</v>
      </c>
      <c r="AM109" s="16">
        <f ca="1">IFERROR(_xlfn.XLOOKUP($F109,'FCDB 2017 (full)'!$C:$C,'FCDB 2017 (full)'!$AD:$AD)*$H109/100,0)</f>
        <v>0</v>
      </c>
      <c r="AN109" s="16">
        <f ca="1">IFERROR(_xlfn.XLOOKUP($F109,'FCDB 2017 (full)'!$C:$C,'FCDB 2017 (full)'!$AE:$AE)*$H109/100,0)</f>
        <v>0</v>
      </c>
      <c r="AO109" s="16">
        <f ca="1">IFERROR(_xlfn.XLOOKUP($F109,'FCDB 2017 (full)'!$C:$C,'FCDB 2017 (full)'!$AF:$AF)*$H109/100,0)</f>
        <v>0</v>
      </c>
      <c r="AP109" s="16">
        <f ca="1">IFERROR(_xlfn.XLOOKUP($F109,'FCDB 2017 (full)'!$C:$C,'FCDB 2017 (full)'!$AG:$AG)*$H109/100,0)</f>
        <v>0</v>
      </c>
      <c r="AQ109" s="16">
        <f ca="1">IFERROR(_xlfn.XLOOKUP($F109,'FCDB 2017 (full)'!$C:$C,'FCDB 2017 (full)'!$AH:$AH)*$H109/100,0)</f>
        <v>0</v>
      </c>
      <c r="AR109" s="16">
        <f ca="1">IFERROR(_xlfn.XLOOKUP($F109,'FCDB 2017 (full)'!$C:$C,'FCDB 2017 (full)'!$AI:$AI)*$H109/100,0)</f>
        <v>0</v>
      </c>
      <c r="AS109" s="16">
        <f ca="1">IFERROR(_xlfn.XLOOKUP($F109,'FCDB 2017 (full)'!$C:$C,'FCDB 2017 (full)'!$AJ:$AJ)*$H109/100,0)</f>
        <v>0</v>
      </c>
      <c r="AT109" s="16">
        <f ca="1">IFERROR(_xlfn.XLOOKUP($F109,'FCDB 2017 (full)'!$C:$C,'FCDB 2017 (full)'!$AK:$AK)*$H109/100,0)</f>
        <v>0</v>
      </c>
      <c r="AU109" s="16">
        <f ca="1">IFERROR(_xlfn.XLOOKUP($F109,'FCDB 2017 (full)'!$C:$C,'FCDB 2017 (full)'!$AK:$AK)*$H109/100,0)</f>
        <v>0</v>
      </c>
      <c r="AV109" s="16">
        <f ca="1">IFERROR(_xlfn.XLOOKUP($F109,'FCDB 2017 (full)'!$C:$C,'FCDB 2017 (full)'!$AM:$AM)*$H109/100,0)</f>
        <v>0</v>
      </c>
      <c r="AW109" s="16">
        <f ca="1">IFERROR(_xlfn.XLOOKUP($F109,'FCDB 2017 (full)'!$C:$C,'FCDB 2017 (full)'!$AN:$AN)*$H109/100,0)</f>
        <v>0</v>
      </c>
      <c r="AX109" s="16">
        <f ca="1">IFERROR(_xlfn.XLOOKUP($F109,'FCDB 2017 (full)'!$C:$C,'FCDB 2017 (full)'!$AO:$AO)*$H109/100,0)</f>
        <v>0</v>
      </c>
      <c r="AY109" s="16">
        <f ca="1">IFERROR(_xlfn.XLOOKUP($F109,'FCDB 2017 (full)'!$C:$C,'FCDB 2017 (full)'!$AP:$AP)*$H109/100,0)</f>
        <v>0</v>
      </c>
      <c r="AZ109" s="16">
        <f ca="1">IFERROR(_xlfn.XLOOKUP($F109,'FCDB 2017 (full)'!$C:$C,'FCDB 2017 (full)'!$AQ:$AQ)*$H109/100,0)</f>
        <v>0</v>
      </c>
      <c r="BA109" s="16">
        <f ca="1">IFERROR(_xlfn.XLOOKUP($F109,'FCDB 2017 (full)'!$C:$C,'FCDB 2017 (full)'!$AR:$AR)*$H109/100,0)</f>
        <v>0</v>
      </c>
      <c r="BB109" s="16">
        <f ca="1">IFERROR(_xlfn.XLOOKUP($F109,'FCDB 2017 (full)'!$C:$C,'FCDB 2017 (full)'!$AS:$AS)*$H109/100,0)</f>
        <v>0</v>
      </c>
      <c r="BC109" s="16">
        <f ca="1">IFERROR(_xlfn.XLOOKUP($F109,'FCDB 2017 (full)'!$C:$C,'FCDB 2017 (full)'!$AT:$AT)*$H109/100,0)</f>
        <v>0</v>
      </c>
      <c r="BD109" s="16">
        <f ca="1">IFERROR(_xlfn.XLOOKUP($F109,'FCDB 2017 (full)'!$C:$C,'FCDB 2017 (full)'!$AU:$AU)*$H109/100,0)</f>
        <v>0</v>
      </c>
      <c r="BE109" s="16">
        <f ca="1">IFERROR(_xlfn.XLOOKUP($F109,'FCDB 2017 (full)'!$C:$C,'FCDB 2017 (full)'!$AV:$AV)*$H109/100,0)</f>
        <v>0</v>
      </c>
      <c r="BF109" s="16">
        <f ca="1">IFERROR(_xlfn.XLOOKUP($F109,'FCDB 2017 (full)'!$C:$C,'FCDB 2017 (full)'!$AW:$AW)*$H109/100,0)</f>
        <v>0</v>
      </c>
      <c r="BG109" s="16">
        <f ca="1">IFERROR(_xlfn.XLOOKUP($F109,'FCDB 2017 (full)'!$C:$C,'FCDB 2017 (full)'!$AX:$AX)*$H109/100,0)</f>
        <v>0</v>
      </c>
      <c r="BH109" s="16">
        <f ca="1">IFERROR(_xlfn.XLOOKUP($F109,'FCDB 2017 (full)'!$C:$C,'FCDB 2017 (full)'!$AY:$AY)*$H109/100,0)</f>
        <v>0</v>
      </c>
      <c r="BI109" s="16">
        <f ca="1">IFERROR(_xlfn.XLOOKUP($F109,'FCDB 2017 (full)'!$C:$C,'FCDB 2017 (full)'!$AZ:$AZ)*$H109/100,0)</f>
        <v>0</v>
      </c>
      <c r="BJ109" s="16">
        <f ca="1">IFERROR(_xlfn.XLOOKUP($F109,'FCDB 2017 (full)'!$C:$C,'FCDB 2017 (full)'!$BA:$BA)*$H109/100,0)</f>
        <v>0</v>
      </c>
      <c r="BK109" s="16">
        <f ca="1">IFERROR(_xlfn.XLOOKUP($F109,'FCDB 2017 (full)'!$C:$C,'FCDB 2017 (full)'!$BB:$BB)*$H109/100,0)</f>
        <v>0</v>
      </c>
      <c r="BL109" s="16">
        <f ca="1">IFERROR(_xlfn.XLOOKUP($F109,'FCDB 2017 (full)'!$C:$C,'FCDB 2017 (full)'!$BC:$BC)*$H109/100,0)</f>
        <v>0</v>
      </c>
      <c r="BM109" s="16">
        <f ca="1">IFERROR(_xlfn.XLOOKUP($F109,'FCDB 2017 (full)'!$C:$C,'FCDB 2017 (full)'!$BD:$BD)*$H109/100,0)</f>
        <v>0</v>
      </c>
      <c r="BN109" s="16">
        <f ca="1">IFERROR(_xlfn.XLOOKUP($F109,'FCDB 2017 (full)'!$C:$C,'FCDB 2017 (full)'!$BE:$BE)*$H109/100,0)</f>
        <v>0</v>
      </c>
      <c r="BO109" s="16">
        <f ca="1">IFERROR(_xlfn.XLOOKUP($F109,'FCDB 2017 (full)'!$C:$C,'FCDB 2017 (full)'!$BF:$BF)*$H109/100,0)</f>
        <v>0</v>
      </c>
      <c r="BP109" s="16">
        <f ca="1">IFERROR(_xlfn.XLOOKUP($F109,'FCDB 2017 (full)'!$C:$C,'FCDB 2017 (full)'!$BG:$BG)*$H109/100,0)</f>
        <v>0</v>
      </c>
      <c r="BQ109" s="16">
        <f ca="1">IFERROR(_xlfn.XLOOKUP($F109,'FCDB 2017 (full)'!$C:$C,'FCDB 2017 (full)'!$BH:$BH)*$H109/100,0)</f>
        <v>0</v>
      </c>
      <c r="BR109" s="16">
        <f ca="1">IFERROR(_xlfn.XLOOKUP($F109,'FCDB 2017 (full)'!$C:$C,'FCDB 2017 (full)'!$BI:$BI)*$H109/100,0)</f>
        <v>0</v>
      </c>
      <c r="BS109" s="16">
        <f ca="1">IFERROR(_xlfn.XLOOKUP($F109,'FCDB 2017 (full)'!$C:$C,'FCDB 2017 (full)'!$BJ:$BJ)*$H109/100,0)</f>
        <v>0</v>
      </c>
      <c r="BT109" s="16">
        <f ca="1">IFERROR(_xlfn.XLOOKUP($F109,'FCDB 2017 (full)'!$C:$C,'FCDB 2017 (full)'!$BK:$BK)*$H109/100,0)</f>
        <v>0</v>
      </c>
      <c r="BU109" s="16">
        <f ca="1">IFERROR(_xlfn.XLOOKUP($F109,'FCDB 2017 (full)'!$C:$C,'FCDB 2017 (full)'!$BL:$BL)*$H109/100,0)</f>
        <v>0</v>
      </c>
      <c r="BV109" s="16">
        <f ca="1">IFERROR(_xlfn.XLOOKUP($F109,'FCDB 2017 (full)'!$C:$C,'FCDB 2017 (full)'!$BM:$BM)*$H109/100,0)</f>
        <v>0</v>
      </c>
      <c r="BW109" s="16">
        <f ca="1">IFERROR(_xlfn.XLOOKUP($F109,'FCDB 2017 (full)'!$C:$C,'FCDB 2017 (full)'!$BN:$BN)*$H109/100,0)</f>
        <v>0</v>
      </c>
      <c r="BX109" s="16">
        <f ca="1">IFERROR(_xlfn.XLOOKUP($F109,'FCDB 2017 (full)'!$C:$C,'FCDB 2017 (full)'!$BO:$BO)*$H109/100,0)</f>
        <v>0</v>
      </c>
      <c r="BY109" s="16">
        <f ca="1">IFERROR(_xlfn.XLOOKUP($F109,'FCDB 2017 (full)'!$C:$C,'FCDB 2017 (full)'!$BP:$BP)*$H109/100,0)</f>
        <v>0</v>
      </c>
      <c r="BZ109" s="16">
        <f ca="1">IFERROR(_xlfn.XLOOKUP($F109,'FCDB 2017 (full)'!$C:$C,'FCDB 2017 (full)'!$BQ:$BQ)*$H109/100,0)</f>
        <v>0</v>
      </c>
      <c r="CA109" s="16">
        <f ca="1">IFERROR(_xlfn.XLOOKUP($F109,'FCDB 2017 (full)'!$C:$C,'FCDB 2017 (full)'!$BR:$BR)*$H109/100,0)</f>
        <v>0</v>
      </c>
      <c r="CB109" s="16">
        <f ca="1">IFERROR(_xlfn.XLOOKUP($F109,'FCDB 2017 (full)'!$C:$C,'FCDB 2017 (full)'!$BS:$BS)*$H109/100,0)</f>
        <v>0</v>
      </c>
      <c r="CC109" s="16">
        <f ca="1">IFERROR(_xlfn.XLOOKUP($F109,'FCDB 2017 (full)'!$C:$C,'FCDB 2017 (full)'!$BT:$BT)*$H109/100,0)</f>
        <v>0</v>
      </c>
      <c r="CD109" s="16">
        <f ca="1">IFERROR(_xlfn.XLOOKUP($F109,'FCDB 2017 (full)'!$C:$C,'FCDB 2017 (full)'!$BU:$BU)*$H109/100,0)</f>
        <v>0</v>
      </c>
      <c r="CE109" s="16">
        <f ca="1">IFERROR(_xlfn.XLOOKUP($F109,'FCDB 2017 (full)'!$C:$C,'FCDB 2017 (full)'!$BV:$BV)*$H109/100,0)</f>
        <v>0</v>
      </c>
      <c r="CF109" s="16">
        <f ca="1">IFERROR(_xlfn.XLOOKUP($F109,'FCDB 2017 (full)'!$C:$C,'FCDB 2017 (full)'!$BW:$BW)*$H109/100,0)</f>
        <v>0</v>
      </c>
      <c r="CG109" s="16">
        <f ca="1">IFERROR(_xlfn.XLOOKUP($F109,'FCDB 2017 (full)'!$C:$C,'FCDB 2017 (full)'!$BX:$BX)*$H109/100,0)</f>
        <v>0</v>
      </c>
      <c r="CH109" s="16">
        <f ca="1">IFERROR(_xlfn.XLOOKUP($F109,'FCDB 2017 (full)'!$C:$C,'FCDB 2017 (full)'!$BY:$BY)*$H109/100,0)</f>
        <v>0</v>
      </c>
      <c r="CI109" s="16">
        <f ca="1">IFERROR(_xlfn.XLOOKUP($F109,'FCDB 2017 (full)'!$C:$C,'FCDB 2017 (full)'!$BZ:$BZ)*$H109/100,0)</f>
        <v>0</v>
      </c>
      <c r="CJ109" s="16">
        <f ca="1">IFERROR(_xlfn.XLOOKUP($F109,'FCDB 2017 (full)'!$C:$C,'FCDB 2017 (full)'!$CA:$CA)*$H109/100,0)</f>
        <v>0</v>
      </c>
      <c r="CK109" s="16">
        <f ca="1">IFERROR(_xlfn.XLOOKUP($F109,'FCDB 2017 (full)'!$C:$C,'FCDB 2017 (full)'!$CB:$CB)*$H109/100,0)</f>
        <v>0</v>
      </c>
      <c r="CL109" s="16">
        <f ca="1">IFERROR(_xlfn.XLOOKUP($F109,'FCDB 2017 (full)'!$C:$C,'FCDB 2017 (full)'!$CC:$CC)*$H109/100,0)</f>
        <v>0</v>
      </c>
      <c r="CM109" s="16">
        <f ca="1">IFERROR(_xlfn.XLOOKUP($F109,'FCDB 2017 (full)'!$C:$C,'FCDB 2017 (full)'!$CD:$CD)*$H109/100,0)</f>
        <v>0</v>
      </c>
      <c r="CN109" s="16">
        <f ca="1">IFERROR(_xlfn.XLOOKUP($F109,'FCDB 2017 (full)'!$C:$C,'FCDB 2017 (full)'!$CE:$CE)*$H109/100,0)</f>
        <v>0</v>
      </c>
      <c r="CO109" s="16">
        <f ca="1">IFERROR(_xlfn.XLOOKUP($F109,'FCDB 2017 (full)'!$C:$C,'FCDB 2017 (full)'!$CF:$CF)*$H109/100,0)</f>
        <v>0</v>
      </c>
      <c r="CP109" s="16">
        <f ca="1">IFERROR(_xlfn.XLOOKUP($F109,'FCDB 2017 (full)'!$C:$C,'FCDB 2017 (full)'!$CG:$CG)*$H109/100,0)</f>
        <v>0</v>
      </c>
      <c r="CQ109" s="16">
        <f ca="1">IFERROR(_xlfn.XLOOKUP($F109,'FCDB 2017 (full)'!$C:$C,'FCDB 2017 (full)'!$CH:$CH)*$H109/100,0)</f>
        <v>0</v>
      </c>
      <c r="CR109"/>
      <c r="DA109" s="72" t="s">
        <v>982</v>
      </c>
    </row>
    <row r="110" spans="4:105" ht="16.8">
      <c r="D110"/>
      <c r="E110"/>
      <c r="F110" s="11" t="str">
        <f>IFERROR(VLOOKUP($D$96,$D:$AE,12,0),0)</f>
        <v>Mộc nhĩ</v>
      </c>
      <c r="G110" s="7" t="e" cm="1">
        <f t="array" aca="1" ref="G110" ca="1">IF(F110=0,0,IF(_xlfn.XLOOKUP(F110,$E$96:$AE$96,$E$97:$AE$97)=0,"Nhập ĐV/TV",_xlfn.XLOOKUP(F110,$E$96:$AE$96,$E$97:$AE$97)))</f>
        <v>#NAME?</v>
      </c>
      <c r="H110" s="8">
        <f t="shared" si="26"/>
        <v>5</v>
      </c>
      <c r="I110" s="9">
        <f ca="1">IFERROR(_xlfn.XLOOKUP($F110,'FCDB 2017 (full)'!$C:$C,'FCDB 2017 (full)'!$E:$E),0)</f>
        <v>0</v>
      </c>
      <c r="J110" s="10">
        <f t="shared" ca="1" si="20"/>
        <v>0</v>
      </c>
      <c r="K110" s="9">
        <f ca="1">IFERROR(_xlfn.XLOOKUP($F110,'FCDB 2017 (full)'!$C:$C,'FCDB 2017 (full)'!$G:$G),0)</f>
        <v>0</v>
      </c>
      <c r="L110" s="13" t="e">
        <f t="shared" ca="1" si="21"/>
        <v>#NAME?</v>
      </c>
      <c r="M110" s="13" t="e">
        <f t="shared" ca="1" si="22"/>
        <v>#NAME?</v>
      </c>
      <c r="N110" s="9">
        <f ca="1">IFERROR(_xlfn.XLOOKUP($F110,'FCDB 2017 (full)'!$C:$C,'FCDB 2017 (full)'!$H:$H),0)</f>
        <v>0</v>
      </c>
      <c r="O110" s="14" t="e">
        <f t="shared" ca="1" si="23"/>
        <v>#NAME?</v>
      </c>
      <c r="P110" s="14" t="e">
        <f t="shared" ca="1" si="24"/>
        <v>#NAME?</v>
      </c>
      <c r="Q110" s="9">
        <f ca="1">IFERROR(_xlfn.XLOOKUP($F110,'FCDB 2017 (full)'!$C:$C,'FCDB 2017 (full)'!$I:$I),0)</f>
        <v>0</v>
      </c>
      <c r="R110" s="15">
        <f t="shared" ca="1" si="25"/>
        <v>0</v>
      </c>
      <c r="S110" s="16">
        <f ca="1">IFERROR(_xlfn.XLOOKUP($F110,'FCDB 2017 (full)'!$C:$C,'FCDB 2017 (full)'!$J:$J)*$H110/100,0)</f>
        <v>0</v>
      </c>
      <c r="T110" s="16">
        <f ca="1">IFERROR(_xlfn.XLOOKUP($F110,'FCDB 2017 (full)'!$C:$C,'FCDB 2017 (full)'!$K:$K)*$H110/100,0)</f>
        <v>0</v>
      </c>
      <c r="U110" s="16">
        <f ca="1">IFERROR(_xlfn.XLOOKUP($F110,'FCDB 2017 (full)'!$C:$C,'FCDB 2017 (full)'!$L:$L)*$H110/100,0)</f>
        <v>0</v>
      </c>
      <c r="V110" s="16">
        <f ca="1">IFERROR(_xlfn.XLOOKUP($F110,'FCDB 2017 (full)'!$C:$C,'FCDB 2017 (full)'!$M:$M)*$H110/100,0)</f>
        <v>0</v>
      </c>
      <c r="W110" s="16">
        <f ca="1">IFERROR(_xlfn.XLOOKUP($F110,'FCDB 2017 (full)'!$C:$C,'FCDB 2017 (full)'!$N:$N)*$H110/100,0)</f>
        <v>0</v>
      </c>
      <c r="X110" s="16">
        <f ca="1">IFERROR(_xlfn.XLOOKUP($F110,'FCDB 2017 (full)'!$C:$C,'FCDB 2017 (full)'!$O:$O)*$H110/100,0)</f>
        <v>0</v>
      </c>
      <c r="Y110" s="16">
        <f ca="1">IFERROR(_xlfn.XLOOKUP($F110,'FCDB 2017 (full)'!$C:$C,'FCDB 2017 (full)'!$P:$P)*$H110/100,0)</f>
        <v>0</v>
      </c>
      <c r="Z110" s="16">
        <f ca="1">IFERROR(_xlfn.XLOOKUP($F110,'FCDB 2017 (full)'!$C:$C,'FCDB 2017 (full)'!$Q:$Q)*$H110/100,0)</f>
        <v>0</v>
      </c>
      <c r="AA110" s="16">
        <f ca="1">IFERROR(_xlfn.XLOOKUP($F110,'FCDB 2017 (full)'!$C:$C,'FCDB 2017 (full)'!$R:$R)*$H110/100,0)</f>
        <v>0</v>
      </c>
      <c r="AB110" s="16">
        <f ca="1">IFERROR(_xlfn.XLOOKUP($F110,'FCDB 2017 (full)'!$C:$C,'FCDB 2017 (full)'!$S:$S)*$H110/100,0)</f>
        <v>0</v>
      </c>
      <c r="AC110" s="16">
        <f ca="1">IFERROR(_xlfn.XLOOKUP($F110,'FCDB 2017 (full)'!$C:$C,'FCDB 2017 (full)'!$T:$T)*$H110/100,0)</f>
        <v>0</v>
      </c>
      <c r="AD110" s="16">
        <f ca="1">IFERROR(_xlfn.XLOOKUP($F110,'FCDB 2017 (full)'!$C:$C,'FCDB 2017 (full)'!$U:$U)*$H110/100,0)</f>
        <v>0</v>
      </c>
      <c r="AE110" s="16">
        <f ca="1">IFERROR(_xlfn.XLOOKUP($F110,'FCDB 2017 (full)'!$C:$C,'FCDB 2017 (full)'!$V:$V)*$H110/100,0)</f>
        <v>0</v>
      </c>
      <c r="AF110" s="16">
        <f ca="1">IFERROR(_xlfn.XLOOKUP($F110,'FCDB 2017 (full)'!$C:$C,'FCDB 2017 (full)'!$W:$W)*$H110/100,0)</f>
        <v>0</v>
      </c>
      <c r="AG110" s="16">
        <f ca="1">IFERROR(_xlfn.XLOOKUP($F110,'FCDB 2017 (full)'!$C:$C,'FCDB 2017 (full)'!$X:$X)*$H110/100,0)</f>
        <v>0</v>
      </c>
      <c r="AH110" s="16">
        <f ca="1">IFERROR(_xlfn.XLOOKUP($F110,'FCDB 2017 (full)'!$C:$C,'FCDB 2017 (full)'!$Y:$Y)*$H110/100,0)</f>
        <v>0</v>
      </c>
      <c r="AI110" s="16">
        <f ca="1">IFERROR(_xlfn.XLOOKUP($F110,'FCDB 2017 (full)'!$C:$C,'FCDB 2017 (full)'!$Z:$Z)*$H110/100,0)</f>
        <v>0</v>
      </c>
      <c r="AJ110" s="16">
        <f ca="1">IFERROR(_xlfn.XLOOKUP($F110,'FCDB 2017 (full)'!$C:$C,'FCDB 2017 (full)'!$AA:$AA)*$H110/100,0)</f>
        <v>0</v>
      </c>
      <c r="AK110" s="16">
        <f ca="1">IFERROR(_xlfn.XLOOKUP($F110,'FCDB 2017 (full)'!$C:$C,'FCDB 2017 (full)'!$AB:$AB)*$H110/100,0)</f>
        <v>0</v>
      </c>
      <c r="AL110" s="16">
        <f ca="1">IFERROR(_xlfn.XLOOKUP($F110,'FCDB 2017 (full)'!$C:$C,'FCDB 2017 (full)'!$AC:$AC)*$H110/100,0)</f>
        <v>0</v>
      </c>
      <c r="AM110" s="16">
        <f ca="1">IFERROR(_xlfn.XLOOKUP($F110,'FCDB 2017 (full)'!$C:$C,'FCDB 2017 (full)'!$AD:$AD)*$H110/100,0)</f>
        <v>0</v>
      </c>
      <c r="AN110" s="16">
        <f ca="1">IFERROR(_xlfn.XLOOKUP($F110,'FCDB 2017 (full)'!$C:$C,'FCDB 2017 (full)'!$AE:$AE)*$H110/100,0)</f>
        <v>0</v>
      </c>
      <c r="AO110" s="16">
        <f ca="1">IFERROR(_xlfn.XLOOKUP($F110,'FCDB 2017 (full)'!$C:$C,'FCDB 2017 (full)'!$AF:$AF)*$H110/100,0)</f>
        <v>0</v>
      </c>
      <c r="AP110" s="16">
        <f ca="1">IFERROR(_xlfn.XLOOKUP($F110,'FCDB 2017 (full)'!$C:$C,'FCDB 2017 (full)'!$AG:$AG)*$H110/100,0)</f>
        <v>0</v>
      </c>
      <c r="AQ110" s="16">
        <f ca="1">IFERROR(_xlfn.XLOOKUP($F110,'FCDB 2017 (full)'!$C:$C,'FCDB 2017 (full)'!$AH:$AH)*$H110/100,0)</f>
        <v>0</v>
      </c>
      <c r="AR110" s="16">
        <f ca="1">IFERROR(_xlfn.XLOOKUP($F110,'FCDB 2017 (full)'!$C:$C,'FCDB 2017 (full)'!$AI:$AI)*$H110/100,0)</f>
        <v>0</v>
      </c>
      <c r="AS110" s="16">
        <f ca="1">IFERROR(_xlfn.XLOOKUP($F110,'FCDB 2017 (full)'!$C:$C,'FCDB 2017 (full)'!$AJ:$AJ)*$H110/100,0)</f>
        <v>0</v>
      </c>
      <c r="AT110" s="16">
        <f ca="1">IFERROR(_xlfn.XLOOKUP($F110,'FCDB 2017 (full)'!$C:$C,'FCDB 2017 (full)'!$AK:$AK)*$H110/100,0)</f>
        <v>0</v>
      </c>
      <c r="AU110" s="16">
        <f ca="1">IFERROR(_xlfn.XLOOKUP($F110,'FCDB 2017 (full)'!$C:$C,'FCDB 2017 (full)'!$AK:$AK)*$H110/100,0)</f>
        <v>0</v>
      </c>
      <c r="AV110" s="16">
        <f ca="1">IFERROR(_xlfn.XLOOKUP($F110,'FCDB 2017 (full)'!$C:$C,'FCDB 2017 (full)'!$AM:$AM)*$H110/100,0)</f>
        <v>0</v>
      </c>
      <c r="AW110" s="16">
        <f ca="1">IFERROR(_xlfn.XLOOKUP($F110,'FCDB 2017 (full)'!$C:$C,'FCDB 2017 (full)'!$AN:$AN)*$H110/100,0)</f>
        <v>0</v>
      </c>
      <c r="AX110" s="16">
        <f ca="1">IFERROR(_xlfn.XLOOKUP($F110,'FCDB 2017 (full)'!$C:$C,'FCDB 2017 (full)'!$AO:$AO)*$H110/100,0)</f>
        <v>0</v>
      </c>
      <c r="AY110" s="16">
        <f ca="1">IFERROR(_xlfn.XLOOKUP($F110,'FCDB 2017 (full)'!$C:$C,'FCDB 2017 (full)'!$AP:$AP)*$H110/100,0)</f>
        <v>0</v>
      </c>
      <c r="AZ110" s="16">
        <f ca="1">IFERROR(_xlfn.XLOOKUP($F110,'FCDB 2017 (full)'!$C:$C,'FCDB 2017 (full)'!$AQ:$AQ)*$H110/100,0)</f>
        <v>0</v>
      </c>
      <c r="BA110" s="16">
        <f ca="1">IFERROR(_xlfn.XLOOKUP($F110,'FCDB 2017 (full)'!$C:$C,'FCDB 2017 (full)'!$AR:$AR)*$H110/100,0)</f>
        <v>0</v>
      </c>
      <c r="BB110" s="16">
        <f ca="1">IFERROR(_xlfn.XLOOKUP($F110,'FCDB 2017 (full)'!$C:$C,'FCDB 2017 (full)'!$AS:$AS)*$H110/100,0)</f>
        <v>0</v>
      </c>
      <c r="BC110" s="16">
        <f ca="1">IFERROR(_xlfn.XLOOKUP($F110,'FCDB 2017 (full)'!$C:$C,'FCDB 2017 (full)'!$AT:$AT)*$H110/100,0)</f>
        <v>0</v>
      </c>
      <c r="BD110" s="16">
        <f ca="1">IFERROR(_xlfn.XLOOKUP($F110,'FCDB 2017 (full)'!$C:$C,'FCDB 2017 (full)'!$AU:$AU)*$H110/100,0)</f>
        <v>0</v>
      </c>
      <c r="BE110" s="16">
        <f ca="1">IFERROR(_xlfn.XLOOKUP($F110,'FCDB 2017 (full)'!$C:$C,'FCDB 2017 (full)'!$AV:$AV)*$H110/100,0)</f>
        <v>0</v>
      </c>
      <c r="BF110" s="16">
        <f ca="1">IFERROR(_xlfn.XLOOKUP($F110,'FCDB 2017 (full)'!$C:$C,'FCDB 2017 (full)'!$AW:$AW)*$H110/100,0)</f>
        <v>0</v>
      </c>
      <c r="BG110" s="16">
        <f ca="1">IFERROR(_xlfn.XLOOKUP($F110,'FCDB 2017 (full)'!$C:$C,'FCDB 2017 (full)'!$AX:$AX)*$H110/100,0)</f>
        <v>0</v>
      </c>
      <c r="BH110" s="16">
        <f ca="1">IFERROR(_xlfn.XLOOKUP($F110,'FCDB 2017 (full)'!$C:$C,'FCDB 2017 (full)'!$AY:$AY)*$H110/100,0)</f>
        <v>0</v>
      </c>
      <c r="BI110" s="16">
        <f ca="1">IFERROR(_xlfn.XLOOKUP($F110,'FCDB 2017 (full)'!$C:$C,'FCDB 2017 (full)'!$AZ:$AZ)*$H110/100,0)</f>
        <v>0</v>
      </c>
      <c r="BJ110" s="16">
        <f ca="1">IFERROR(_xlfn.XLOOKUP($F110,'FCDB 2017 (full)'!$C:$C,'FCDB 2017 (full)'!$BA:$BA)*$H110/100,0)</f>
        <v>0</v>
      </c>
      <c r="BK110" s="16">
        <f ca="1">IFERROR(_xlfn.XLOOKUP($F110,'FCDB 2017 (full)'!$C:$C,'FCDB 2017 (full)'!$BB:$BB)*$H110/100,0)</f>
        <v>0</v>
      </c>
      <c r="BL110" s="16">
        <f ca="1">IFERROR(_xlfn.XLOOKUP($F110,'FCDB 2017 (full)'!$C:$C,'FCDB 2017 (full)'!$BC:$BC)*$H110/100,0)</f>
        <v>0</v>
      </c>
      <c r="BM110" s="16">
        <f ca="1">IFERROR(_xlfn.XLOOKUP($F110,'FCDB 2017 (full)'!$C:$C,'FCDB 2017 (full)'!$BD:$BD)*$H110/100,0)</f>
        <v>0</v>
      </c>
      <c r="BN110" s="16">
        <f ca="1">IFERROR(_xlfn.XLOOKUP($F110,'FCDB 2017 (full)'!$C:$C,'FCDB 2017 (full)'!$BE:$BE)*$H110/100,0)</f>
        <v>0</v>
      </c>
      <c r="BO110" s="16">
        <f ca="1">IFERROR(_xlfn.XLOOKUP($F110,'FCDB 2017 (full)'!$C:$C,'FCDB 2017 (full)'!$BF:$BF)*$H110/100,0)</f>
        <v>0</v>
      </c>
      <c r="BP110" s="16">
        <f ca="1">IFERROR(_xlfn.XLOOKUP($F110,'FCDB 2017 (full)'!$C:$C,'FCDB 2017 (full)'!$BG:$BG)*$H110/100,0)</f>
        <v>0</v>
      </c>
      <c r="BQ110" s="16">
        <f ca="1">IFERROR(_xlfn.XLOOKUP($F110,'FCDB 2017 (full)'!$C:$C,'FCDB 2017 (full)'!$BH:$BH)*$H110/100,0)</f>
        <v>0</v>
      </c>
      <c r="BR110" s="16">
        <f ca="1">IFERROR(_xlfn.XLOOKUP($F110,'FCDB 2017 (full)'!$C:$C,'FCDB 2017 (full)'!$BI:$BI)*$H110/100,0)</f>
        <v>0</v>
      </c>
      <c r="BS110" s="16">
        <f ca="1">IFERROR(_xlfn.XLOOKUP($F110,'FCDB 2017 (full)'!$C:$C,'FCDB 2017 (full)'!$BJ:$BJ)*$H110/100,0)</f>
        <v>0</v>
      </c>
      <c r="BT110" s="16">
        <f ca="1">IFERROR(_xlfn.XLOOKUP($F110,'FCDB 2017 (full)'!$C:$C,'FCDB 2017 (full)'!$BK:$BK)*$H110/100,0)</f>
        <v>0</v>
      </c>
      <c r="BU110" s="16">
        <f ca="1">IFERROR(_xlfn.XLOOKUP($F110,'FCDB 2017 (full)'!$C:$C,'FCDB 2017 (full)'!$BL:$BL)*$H110/100,0)</f>
        <v>0</v>
      </c>
      <c r="BV110" s="16">
        <f ca="1">IFERROR(_xlfn.XLOOKUP($F110,'FCDB 2017 (full)'!$C:$C,'FCDB 2017 (full)'!$BM:$BM)*$H110/100,0)</f>
        <v>0</v>
      </c>
      <c r="BW110" s="16">
        <f ca="1">IFERROR(_xlfn.XLOOKUP($F110,'FCDB 2017 (full)'!$C:$C,'FCDB 2017 (full)'!$BN:$BN)*$H110/100,0)</f>
        <v>0</v>
      </c>
      <c r="BX110" s="16">
        <f ca="1">IFERROR(_xlfn.XLOOKUP($F110,'FCDB 2017 (full)'!$C:$C,'FCDB 2017 (full)'!$BO:$BO)*$H110/100,0)</f>
        <v>0</v>
      </c>
      <c r="BY110" s="16">
        <f ca="1">IFERROR(_xlfn.XLOOKUP($F110,'FCDB 2017 (full)'!$C:$C,'FCDB 2017 (full)'!$BP:$BP)*$H110/100,0)</f>
        <v>0</v>
      </c>
      <c r="BZ110" s="16">
        <f ca="1">IFERROR(_xlfn.XLOOKUP($F110,'FCDB 2017 (full)'!$C:$C,'FCDB 2017 (full)'!$BQ:$BQ)*$H110/100,0)</f>
        <v>0</v>
      </c>
      <c r="CA110" s="16">
        <f ca="1">IFERROR(_xlfn.XLOOKUP($F110,'FCDB 2017 (full)'!$C:$C,'FCDB 2017 (full)'!$BR:$BR)*$H110/100,0)</f>
        <v>0</v>
      </c>
      <c r="CB110" s="16">
        <f ca="1">IFERROR(_xlfn.XLOOKUP($F110,'FCDB 2017 (full)'!$C:$C,'FCDB 2017 (full)'!$BS:$BS)*$H110/100,0)</f>
        <v>0</v>
      </c>
      <c r="CC110" s="16">
        <f ca="1">IFERROR(_xlfn.XLOOKUP($F110,'FCDB 2017 (full)'!$C:$C,'FCDB 2017 (full)'!$BT:$BT)*$H110/100,0)</f>
        <v>0</v>
      </c>
      <c r="CD110" s="16">
        <f ca="1">IFERROR(_xlfn.XLOOKUP($F110,'FCDB 2017 (full)'!$C:$C,'FCDB 2017 (full)'!$BU:$BU)*$H110/100,0)</f>
        <v>0</v>
      </c>
      <c r="CE110" s="16">
        <f ca="1">IFERROR(_xlfn.XLOOKUP($F110,'FCDB 2017 (full)'!$C:$C,'FCDB 2017 (full)'!$BV:$BV)*$H110/100,0)</f>
        <v>0</v>
      </c>
      <c r="CF110" s="16">
        <f ca="1">IFERROR(_xlfn.XLOOKUP($F110,'FCDB 2017 (full)'!$C:$C,'FCDB 2017 (full)'!$BW:$BW)*$H110/100,0)</f>
        <v>0</v>
      </c>
      <c r="CG110" s="16">
        <f ca="1">IFERROR(_xlfn.XLOOKUP($F110,'FCDB 2017 (full)'!$C:$C,'FCDB 2017 (full)'!$BX:$BX)*$H110/100,0)</f>
        <v>0</v>
      </c>
      <c r="CH110" s="16">
        <f ca="1">IFERROR(_xlfn.XLOOKUP($F110,'FCDB 2017 (full)'!$C:$C,'FCDB 2017 (full)'!$BY:$BY)*$H110/100,0)</f>
        <v>0</v>
      </c>
      <c r="CI110" s="16">
        <f ca="1">IFERROR(_xlfn.XLOOKUP($F110,'FCDB 2017 (full)'!$C:$C,'FCDB 2017 (full)'!$BZ:$BZ)*$H110/100,0)</f>
        <v>0</v>
      </c>
      <c r="CJ110" s="16">
        <f ca="1">IFERROR(_xlfn.XLOOKUP($F110,'FCDB 2017 (full)'!$C:$C,'FCDB 2017 (full)'!$CA:$CA)*$H110/100,0)</f>
        <v>0</v>
      </c>
      <c r="CK110" s="16">
        <f ca="1">IFERROR(_xlfn.XLOOKUP($F110,'FCDB 2017 (full)'!$C:$C,'FCDB 2017 (full)'!$CB:$CB)*$H110/100,0)</f>
        <v>0</v>
      </c>
      <c r="CL110" s="16">
        <f ca="1">IFERROR(_xlfn.XLOOKUP($F110,'FCDB 2017 (full)'!$C:$C,'FCDB 2017 (full)'!$CC:$CC)*$H110/100,0)</f>
        <v>0</v>
      </c>
      <c r="CM110" s="16">
        <f ca="1">IFERROR(_xlfn.XLOOKUP($F110,'FCDB 2017 (full)'!$C:$C,'FCDB 2017 (full)'!$CD:$CD)*$H110/100,0)</f>
        <v>0</v>
      </c>
      <c r="CN110" s="16">
        <f ca="1">IFERROR(_xlfn.XLOOKUP($F110,'FCDB 2017 (full)'!$C:$C,'FCDB 2017 (full)'!$CE:$CE)*$H110/100,0)</f>
        <v>0</v>
      </c>
      <c r="CO110" s="16">
        <f ca="1">IFERROR(_xlfn.XLOOKUP($F110,'FCDB 2017 (full)'!$C:$C,'FCDB 2017 (full)'!$CF:$CF)*$H110/100,0)</f>
        <v>0</v>
      </c>
      <c r="CP110" s="16">
        <f ca="1">IFERROR(_xlfn.XLOOKUP($F110,'FCDB 2017 (full)'!$C:$C,'FCDB 2017 (full)'!$CG:$CG)*$H110/100,0)</f>
        <v>0</v>
      </c>
      <c r="CQ110" s="16">
        <f ca="1">IFERROR(_xlfn.XLOOKUP($F110,'FCDB 2017 (full)'!$C:$C,'FCDB 2017 (full)'!$CH:$CH)*$H110/100,0)</f>
        <v>0</v>
      </c>
      <c r="CR110"/>
      <c r="DA110" s="72" t="s">
        <v>982</v>
      </c>
    </row>
    <row r="111" spans="4:105" ht="16.8">
      <c r="D111"/>
      <c r="E111"/>
      <c r="F111" s="11" t="str">
        <f>IFERROR(VLOOKUP($D$96,$D:$AE,13,0),0)</f>
        <v>Nấm hương khô</v>
      </c>
      <c r="G111" s="7" t="e" cm="1">
        <f t="array" aca="1" ref="G111" ca="1">IF(F111=0,0,IF(_xlfn.XLOOKUP(F111,$E$96:$AE$96,$E$97:$AE$97)=0,"Nhập ĐV/TV",_xlfn.XLOOKUP(F111,$E$96:$AE$96,$E$97:$AE$97)))</f>
        <v>#NAME?</v>
      </c>
      <c r="H111" s="8">
        <f t="shared" si="26"/>
        <v>5</v>
      </c>
      <c r="I111" s="9">
        <f ca="1">IFERROR(_xlfn.XLOOKUP($F111,'FCDB 2017 (full)'!$C:$C,'FCDB 2017 (full)'!$E:$E),0)</f>
        <v>0</v>
      </c>
      <c r="J111" s="10">
        <f t="shared" ca="1" si="20"/>
        <v>0</v>
      </c>
      <c r="K111" s="9">
        <f ca="1">IFERROR(_xlfn.XLOOKUP($F111,'FCDB 2017 (full)'!$C:$C,'FCDB 2017 (full)'!$G:$G),0)</f>
        <v>0</v>
      </c>
      <c r="L111" s="13" t="e">
        <f t="shared" ca="1" si="21"/>
        <v>#NAME?</v>
      </c>
      <c r="M111" s="13" t="e">
        <f t="shared" ca="1" si="22"/>
        <v>#NAME?</v>
      </c>
      <c r="N111" s="9">
        <f ca="1">IFERROR(_xlfn.XLOOKUP($F111,'FCDB 2017 (full)'!$C:$C,'FCDB 2017 (full)'!$H:$H),0)</f>
        <v>0</v>
      </c>
      <c r="O111" s="14" t="e">
        <f t="shared" ca="1" si="23"/>
        <v>#NAME?</v>
      </c>
      <c r="P111" s="14" t="e">
        <f t="shared" ca="1" si="24"/>
        <v>#NAME?</v>
      </c>
      <c r="Q111" s="9">
        <f ca="1">IFERROR(_xlfn.XLOOKUP($F111,'FCDB 2017 (full)'!$C:$C,'FCDB 2017 (full)'!$I:$I),0)</f>
        <v>0</v>
      </c>
      <c r="R111" s="15">
        <f t="shared" ca="1" si="25"/>
        <v>0</v>
      </c>
      <c r="S111" s="16">
        <f ca="1">IFERROR(_xlfn.XLOOKUP($F111,'FCDB 2017 (full)'!$C:$C,'FCDB 2017 (full)'!$J:$J)*$H111/100,0)</f>
        <v>0</v>
      </c>
      <c r="T111" s="16">
        <f ca="1">IFERROR(_xlfn.XLOOKUP($F111,'FCDB 2017 (full)'!$C:$C,'FCDB 2017 (full)'!$K:$K)*$H111/100,0)</f>
        <v>0</v>
      </c>
      <c r="U111" s="16">
        <f ca="1">IFERROR(_xlfn.XLOOKUP($F111,'FCDB 2017 (full)'!$C:$C,'FCDB 2017 (full)'!$L:$L)*$H111/100,0)</f>
        <v>0</v>
      </c>
      <c r="V111" s="16">
        <f ca="1">IFERROR(_xlfn.XLOOKUP($F111,'FCDB 2017 (full)'!$C:$C,'FCDB 2017 (full)'!$M:$M)*$H111/100,0)</f>
        <v>0</v>
      </c>
      <c r="W111" s="16">
        <f ca="1">IFERROR(_xlfn.XLOOKUP($F111,'FCDB 2017 (full)'!$C:$C,'FCDB 2017 (full)'!$N:$N)*$H111/100,0)</f>
        <v>0</v>
      </c>
      <c r="X111" s="16">
        <f ca="1">IFERROR(_xlfn.XLOOKUP($F111,'FCDB 2017 (full)'!$C:$C,'FCDB 2017 (full)'!$O:$O)*$H111/100,0)</f>
        <v>0</v>
      </c>
      <c r="Y111" s="16">
        <f ca="1">IFERROR(_xlfn.XLOOKUP($F111,'FCDB 2017 (full)'!$C:$C,'FCDB 2017 (full)'!$P:$P)*$H111/100,0)</f>
        <v>0</v>
      </c>
      <c r="Z111" s="16">
        <f ca="1">IFERROR(_xlfn.XLOOKUP($F111,'FCDB 2017 (full)'!$C:$C,'FCDB 2017 (full)'!$Q:$Q)*$H111/100,0)</f>
        <v>0</v>
      </c>
      <c r="AA111" s="16">
        <f ca="1">IFERROR(_xlfn.XLOOKUP($F111,'FCDB 2017 (full)'!$C:$C,'FCDB 2017 (full)'!$R:$R)*$H111/100,0)</f>
        <v>0</v>
      </c>
      <c r="AB111" s="16">
        <f ca="1">IFERROR(_xlfn.XLOOKUP($F111,'FCDB 2017 (full)'!$C:$C,'FCDB 2017 (full)'!$S:$S)*$H111/100,0)</f>
        <v>0</v>
      </c>
      <c r="AC111" s="16">
        <f ca="1">IFERROR(_xlfn.XLOOKUP($F111,'FCDB 2017 (full)'!$C:$C,'FCDB 2017 (full)'!$T:$T)*$H111/100,0)</f>
        <v>0</v>
      </c>
      <c r="AD111" s="16">
        <f ca="1">IFERROR(_xlfn.XLOOKUP($F111,'FCDB 2017 (full)'!$C:$C,'FCDB 2017 (full)'!$U:$U)*$H111/100,0)</f>
        <v>0</v>
      </c>
      <c r="AE111" s="16">
        <f ca="1">IFERROR(_xlfn.XLOOKUP($F111,'FCDB 2017 (full)'!$C:$C,'FCDB 2017 (full)'!$V:$V)*$H111/100,0)</f>
        <v>0</v>
      </c>
      <c r="AF111" s="16">
        <f ca="1">IFERROR(_xlfn.XLOOKUP($F111,'FCDB 2017 (full)'!$C:$C,'FCDB 2017 (full)'!$W:$W)*$H111/100,0)</f>
        <v>0</v>
      </c>
      <c r="AG111" s="16">
        <f ca="1">IFERROR(_xlfn.XLOOKUP($F111,'FCDB 2017 (full)'!$C:$C,'FCDB 2017 (full)'!$X:$X)*$H111/100,0)</f>
        <v>0</v>
      </c>
      <c r="AH111" s="16">
        <f ca="1">IFERROR(_xlfn.XLOOKUP($F111,'FCDB 2017 (full)'!$C:$C,'FCDB 2017 (full)'!$Y:$Y)*$H111/100,0)</f>
        <v>0</v>
      </c>
      <c r="AI111" s="16">
        <f ca="1">IFERROR(_xlfn.XLOOKUP($F111,'FCDB 2017 (full)'!$C:$C,'FCDB 2017 (full)'!$Z:$Z)*$H111/100,0)</f>
        <v>0</v>
      </c>
      <c r="AJ111" s="16">
        <f ca="1">IFERROR(_xlfn.XLOOKUP($F111,'FCDB 2017 (full)'!$C:$C,'FCDB 2017 (full)'!$AA:$AA)*$H111/100,0)</f>
        <v>0</v>
      </c>
      <c r="AK111" s="16">
        <f ca="1">IFERROR(_xlfn.XLOOKUP($F111,'FCDB 2017 (full)'!$C:$C,'FCDB 2017 (full)'!$AB:$AB)*$H111/100,0)</f>
        <v>0</v>
      </c>
      <c r="AL111" s="16">
        <f ca="1">IFERROR(_xlfn.XLOOKUP($F111,'FCDB 2017 (full)'!$C:$C,'FCDB 2017 (full)'!$AC:$AC)*$H111/100,0)</f>
        <v>0</v>
      </c>
      <c r="AM111" s="16">
        <f ca="1">IFERROR(_xlfn.XLOOKUP($F111,'FCDB 2017 (full)'!$C:$C,'FCDB 2017 (full)'!$AD:$AD)*$H111/100,0)</f>
        <v>0</v>
      </c>
      <c r="AN111" s="16">
        <f ca="1">IFERROR(_xlfn.XLOOKUP($F111,'FCDB 2017 (full)'!$C:$C,'FCDB 2017 (full)'!$AE:$AE)*$H111/100,0)</f>
        <v>0</v>
      </c>
      <c r="AO111" s="16">
        <f ca="1">IFERROR(_xlfn.XLOOKUP($F111,'FCDB 2017 (full)'!$C:$C,'FCDB 2017 (full)'!$AF:$AF)*$H111/100,0)</f>
        <v>0</v>
      </c>
      <c r="AP111" s="16">
        <f ca="1">IFERROR(_xlfn.XLOOKUP($F111,'FCDB 2017 (full)'!$C:$C,'FCDB 2017 (full)'!$AG:$AG)*$H111/100,0)</f>
        <v>0</v>
      </c>
      <c r="AQ111" s="16">
        <f ca="1">IFERROR(_xlfn.XLOOKUP($F111,'FCDB 2017 (full)'!$C:$C,'FCDB 2017 (full)'!$AH:$AH)*$H111/100,0)</f>
        <v>0</v>
      </c>
      <c r="AR111" s="16">
        <f ca="1">IFERROR(_xlfn.XLOOKUP($F111,'FCDB 2017 (full)'!$C:$C,'FCDB 2017 (full)'!$AI:$AI)*$H111/100,0)</f>
        <v>0</v>
      </c>
      <c r="AS111" s="16">
        <f ca="1">IFERROR(_xlfn.XLOOKUP($F111,'FCDB 2017 (full)'!$C:$C,'FCDB 2017 (full)'!$AJ:$AJ)*$H111/100,0)</f>
        <v>0</v>
      </c>
      <c r="AT111" s="16">
        <f ca="1">IFERROR(_xlfn.XLOOKUP($F111,'FCDB 2017 (full)'!$C:$C,'FCDB 2017 (full)'!$AK:$AK)*$H111/100,0)</f>
        <v>0</v>
      </c>
      <c r="AU111" s="16">
        <f ca="1">IFERROR(_xlfn.XLOOKUP($F111,'FCDB 2017 (full)'!$C:$C,'FCDB 2017 (full)'!$AK:$AK)*$H111/100,0)</f>
        <v>0</v>
      </c>
      <c r="AV111" s="16">
        <f ca="1">IFERROR(_xlfn.XLOOKUP($F111,'FCDB 2017 (full)'!$C:$C,'FCDB 2017 (full)'!$AM:$AM)*$H111/100,0)</f>
        <v>0</v>
      </c>
      <c r="AW111" s="16">
        <f ca="1">IFERROR(_xlfn.XLOOKUP($F111,'FCDB 2017 (full)'!$C:$C,'FCDB 2017 (full)'!$AN:$AN)*$H111/100,0)</f>
        <v>0</v>
      </c>
      <c r="AX111" s="16">
        <f ca="1">IFERROR(_xlfn.XLOOKUP($F111,'FCDB 2017 (full)'!$C:$C,'FCDB 2017 (full)'!$AO:$AO)*$H111/100,0)</f>
        <v>0</v>
      </c>
      <c r="AY111" s="16">
        <f ca="1">IFERROR(_xlfn.XLOOKUP($F111,'FCDB 2017 (full)'!$C:$C,'FCDB 2017 (full)'!$AP:$AP)*$H111/100,0)</f>
        <v>0</v>
      </c>
      <c r="AZ111" s="16">
        <f ca="1">IFERROR(_xlfn.XLOOKUP($F111,'FCDB 2017 (full)'!$C:$C,'FCDB 2017 (full)'!$AQ:$AQ)*$H111/100,0)</f>
        <v>0</v>
      </c>
      <c r="BA111" s="16">
        <f ca="1">IFERROR(_xlfn.XLOOKUP($F111,'FCDB 2017 (full)'!$C:$C,'FCDB 2017 (full)'!$AR:$AR)*$H111/100,0)</f>
        <v>0</v>
      </c>
      <c r="BB111" s="16">
        <f ca="1">IFERROR(_xlfn.XLOOKUP($F111,'FCDB 2017 (full)'!$C:$C,'FCDB 2017 (full)'!$AS:$AS)*$H111/100,0)</f>
        <v>0</v>
      </c>
      <c r="BC111" s="16">
        <f ca="1">IFERROR(_xlfn.XLOOKUP($F111,'FCDB 2017 (full)'!$C:$C,'FCDB 2017 (full)'!$AT:$AT)*$H111/100,0)</f>
        <v>0</v>
      </c>
      <c r="BD111" s="16">
        <f ca="1">IFERROR(_xlfn.XLOOKUP($F111,'FCDB 2017 (full)'!$C:$C,'FCDB 2017 (full)'!$AU:$AU)*$H111/100,0)</f>
        <v>0</v>
      </c>
      <c r="BE111" s="16">
        <f ca="1">IFERROR(_xlfn.XLOOKUP($F111,'FCDB 2017 (full)'!$C:$C,'FCDB 2017 (full)'!$AV:$AV)*$H111/100,0)</f>
        <v>0</v>
      </c>
      <c r="BF111" s="16">
        <f ca="1">IFERROR(_xlfn.XLOOKUP($F111,'FCDB 2017 (full)'!$C:$C,'FCDB 2017 (full)'!$AW:$AW)*$H111/100,0)</f>
        <v>0</v>
      </c>
      <c r="BG111" s="16">
        <f ca="1">IFERROR(_xlfn.XLOOKUP($F111,'FCDB 2017 (full)'!$C:$C,'FCDB 2017 (full)'!$AX:$AX)*$H111/100,0)</f>
        <v>0</v>
      </c>
      <c r="BH111" s="16">
        <f ca="1">IFERROR(_xlfn.XLOOKUP($F111,'FCDB 2017 (full)'!$C:$C,'FCDB 2017 (full)'!$AY:$AY)*$H111/100,0)</f>
        <v>0</v>
      </c>
      <c r="BI111" s="16">
        <f ca="1">IFERROR(_xlfn.XLOOKUP($F111,'FCDB 2017 (full)'!$C:$C,'FCDB 2017 (full)'!$AZ:$AZ)*$H111/100,0)</f>
        <v>0</v>
      </c>
      <c r="BJ111" s="16">
        <f ca="1">IFERROR(_xlfn.XLOOKUP($F111,'FCDB 2017 (full)'!$C:$C,'FCDB 2017 (full)'!$BA:$BA)*$H111/100,0)</f>
        <v>0</v>
      </c>
      <c r="BK111" s="16">
        <f ca="1">IFERROR(_xlfn.XLOOKUP($F111,'FCDB 2017 (full)'!$C:$C,'FCDB 2017 (full)'!$BB:$BB)*$H111/100,0)</f>
        <v>0</v>
      </c>
      <c r="BL111" s="16">
        <f ca="1">IFERROR(_xlfn.XLOOKUP($F111,'FCDB 2017 (full)'!$C:$C,'FCDB 2017 (full)'!$BC:$BC)*$H111/100,0)</f>
        <v>0</v>
      </c>
      <c r="BM111" s="16">
        <f ca="1">IFERROR(_xlfn.XLOOKUP($F111,'FCDB 2017 (full)'!$C:$C,'FCDB 2017 (full)'!$BD:$BD)*$H111/100,0)</f>
        <v>0</v>
      </c>
      <c r="BN111" s="16">
        <f ca="1">IFERROR(_xlfn.XLOOKUP($F111,'FCDB 2017 (full)'!$C:$C,'FCDB 2017 (full)'!$BE:$BE)*$H111/100,0)</f>
        <v>0</v>
      </c>
      <c r="BO111" s="16">
        <f ca="1">IFERROR(_xlfn.XLOOKUP($F111,'FCDB 2017 (full)'!$C:$C,'FCDB 2017 (full)'!$BF:$BF)*$H111/100,0)</f>
        <v>0</v>
      </c>
      <c r="BP111" s="16">
        <f ca="1">IFERROR(_xlfn.XLOOKUP($F111,'FCDB 2017 (full)'!$C:$C,'FCDB 2017 (full)'!$BG:$BG)*$H111/100,0)</f>
        <v>0</v>
      </c>
      <c r="BQ111" s="16">
        <f ca="1">IFERROR(_xlfn.XLOOKUP($F111,'FCDB 2017 (full)'!$C:$C,'FCDB 2017 (full)'!$BH:$BH)*$H111/100,0)</f>
        <v>0</v>
      </c>
      <c r="BR111" s="16">
        <f ca="1">IFERROR(_xlfn.XLOOKUP($F111,'FCDB 2017 (full)'!$C:$C,'FCDB 2017 (full)'!$BI:$BI)*$H111/100,0)</f>
        <v>0</v>
      </c>
      <c r="BS111" s="16">
        <f ca="1">IFERROR(_xlfn.XLOOKUP($F111,'FCDB 2017 (full)'!$C:$C,'FCDB 2017 (full)'!$BJ:$BJ)*$H111/100,0)</f>
        <v>0</v>
      </c>
      <c r="BT111" s="16">
        <f ca="1">IFERROR(_xlfn.XLOOKUP($F111,'FCDB 2017 (full)'!$C:$C,'FCDB 2017 (full)'!$BK:$BK)*$H111/100,0)</f>
        <v>0</v>
      </c>
      <c r="BU111" s="16">
        <f ca="1">IFERROR(_xlfn.XLOOKUP($F111,'FCDB 2017 (full)'!$C:$C,'FCDB 2017 (full)'!$BL:$BL)*$H111/100,0)</f>
        <v>0</v>
      </c>
      <c r="BV111" s="16">
        <f ca="1">IFERROR(_xlfn.XLOOKUP($F111,'FCDB 2017 (full)'!$C:$C,'FCDB 2017 (full)'!$BM:$BM)*$H111/100,0)</f>
        <v>0</v>
      </c>
      <c r="BW111" s="16">
        <f ca="1">IFERROR(_xlfn.XLOOKUP($F111,'FCDB 2017 (full)'!$C:$C,'FCDB 2017 (full)'!$BN:$BN)*$H111/100,0)</f>
        <v>0</v>
      </c>
      <c r="BX111" s="16">
        <f ca="1">IFERROR(_xlfn.XLOOKUP($F111,'FCDB 2017 (full)'!$C:$C,'FCDB 2017 (full)'!$BO:$BO)*$H111/100,0)</f>
        <v>0</v>
      </c>
      <c r="BY111" s="16">
        <f ca="1">IFERROR(_xlfn.XLOOKUP($F111,'FCDB 2017 (full)'!$C:$C,'FCDB 2017 (full)'!$BP:$BP)*$H111/100,0)</f>
        <v>0</v>
      </c>
      <c r="BZ111" s="16">
        <f ca="1">IFERROR(_xlfn.XLOOKUP($F111,'FCDB 2017 (full)'!$C:$C,'FCDB 2017 (full)'!$BQ:$BQ)*$H111/100,0)</f>
        <v>0</v>
      </c>
      <c r="CA111" s="16">
        <f ca="1">IFERROR(_xlfn.XLOOKUP($F111,'FCDB 2017 (full)'!$C:$C,'FCDB 2017 (full)'!$BR:$BR)*$H111/100,0)</f>
        <v>0</v>
      </c>
      <c r="CB111" s="16">
        <f ca="1">IFERROR(_xlfn.XLOOKUP($F111,'FCDB 2017 (full)'!$C:$C,'FCDB 2017 (full)'!$BS:$BS)*$H111/100,0)</f>
        <v>0</v>
      </c>
      <c r="CC111" s="16">
        <f ca="1">IFERROR(_xlfn.XLOOKUP($F111,'FCDB 2017 (full)'!$C:$C,'FCDB 2017 (full)'!$BT:$BT)*$H111/100,0)</f>
        <v>0</v>
      </c>
      <c r="CD111" s="16">
        <f ca="1">IFERROR(_xlfn.XLOOKUP($F111,'FCDB 2017 (full)'!$C:$C,'FCDB 2017 (full)'!$BU:$BU)*$H111/100,0)</f>
        <v>0</v>
      </c>
      <c r="CE111" s="16">
        <f ca="1">IFERROR(_xlfn.XLOOKUP($F111,'FCDB 2017 (full)'!$C:$C,'FCDB 2017 (full)'!$BV:$BV)*$H111/100,0)</f>
        <v>0</v>
      </c>
      <c r="CF111" s="16">
        <f ca="1">IFERROR(_xlfn.XLOOKUP($F111,'FCDB 2017 (full)'!$C:$C,'FCDB 2017 (full)'!$BW:$BW)*$H111/100,0)</f>
        <v>0</v>
      </c>
      <c r="CG111" s="16">
        <f ca="1">IFERROR(_xlfn.XLOOKUP($F111,'FCDB 2017 (full)'!$C:$C,'FCDB 2017 (full)'!$BX:$BX)*$H111/100,0)</f>
        <v>0</v>
      </c>
      <c r="CH111" s="16">
        <f ca="1">IFERROR(_xlfn.XLOOKUP($F111,'FCDB 2017 (full)'!$C:$C,'FCDB 2017 (full)'!$BY:$BY)*$H111/100,0)</f>
        <v>0</v>
      </c>
      <c r="CI111" s="16">
        <f ca="1">IFERROR(_xlfn.XLOOKUP($F111,'FCDB 2017 (full)'!$C:$C,'FCDB 2017 (full)'!$BZ:$BZ)*$H111/100,0)</f>
        <v>0</v>
      </c>
      <c r="CJ111" s="16">
        <f ca="1">IFERROR(_xlfn.XLOOKUP($F111,'FCDB 2017 (full)'!$C:$C,'FCDB 2017 (full)'!$CA:$CA)*$H111/100,0)</f>
        <v>0</v>
      </c>
      <c r="CK111" s="16">
        <f ca="1">IFERROR(_xlfn.XLOOKUP($F111,'FCDB 2017 (full)'!$C:$C,'FCDB 2017 (full)'!$CB:$CB)*$H111/100,0)</f>
        <v>0</v>
      </c>
      <c r="CL111" s="16">
        <f ca="1">IFERROR(_xlfn.XLOOKUP($F111,'FCDB 2017 (full)'!$C:$C,'FCDB 2017 (full)'!$CC:$CC)*$H111/100,0)</f>
        <v>0</v>
      </c>
      <c r="CM111" s="16">
        <f ca="1">IFERROR(_xlfn.XLOOKUP($F111,'FCDB 2017 (full)'!$C:$C,'FCDB 2017 (full)'!$CD:$CD)*$H111/100,0)</f>
        <v>0</v>
      </c>
      <c r="CN111" s="16">
        <f ca="1">IFERROR(_xlfn.XLOOKUP($F111,'FCDB 2017 (full)'!$C:$C,'FCDB 2017 (full)'!$CE:$CE)*$H111/100,0)</f>
        <v>0</v>
      </c>
      <c r="CO111" s="16">
        <f ca="1">IFERROR(_xlfn.XLOOKUP($F111,'FCDB 2017 (full)'!$C:$C,'FCDB 2017 (full)'!$CF:$CF)*$H111/100,0)</f>
        <v>0</v>
      </c>
      <c r="CP111" s="16">
        <f ca="1">IFERROR(_xlfn.XLOOKUP($F111,'FCDB 2017 (full)'!$C:$C,'FCDB 2017 (full)'!$CG:$CG)*$H111/100,0)</f>
        <v>0</v>
      </c>
      <c r="CQ111" s="16">
        <f ca="1">IFERROR(_xlfn.XLOOKUP($F111,'FCDB 2017 (full)'!$C:$C,'FCDB 2017 (full)'!$CH:$CH)*$H111/100,0)</f>
        <v>0</v>
      </c>
      <c r="CR111"/>
      <c r="DA111" s="72" t="s">
        <v>982</v>
      </c>
    </row>
    <row r="112" spans="4:105" ht="16.8">
      <c r="D112"/>
      <c r="E112"/>
      <c r="F112" s="11" t="str">
        <f>IFERROR(VLOOKUP($D$96,$D:$AE,15,0),0)</f>
        <v>Bưởi</v>
      </c>
      <c r="G112" s="7" t="e" cm="1">
        <f t="array" aca="1" ref="G112" ca="1">IF(F112=0,0,IF(_xlfn.XLOOKUP(F112,$E$96:$AE$96,$E$97:$AE$97)=0,"Nhập ĐV/TV",_xlfn.XLOOKUP(F112,$E$96:$AE$96,$E$97:$AE$97)))</f>
        <v>#NAME?</v>
      </c>
      <c r="H112" s="8">
        <f t="shared" si="26"/>
        <v>100</v>
      </c>
      <c r="I112" s="9">
        <f ca="1">IFERROR(_xlfn.XLOOKUP($F112,'FCDB 2017 (full)'!$C:$C,'FCDB 2017 (full)'!$E:$E),0)</f>
        <v>0</v>
      </c>
      <c r="J112" s="10">
        <f t="shared" ca="1" si="20"/>
        <v>0</v>
      </c>
      <c r="K112" s="9">
        <f ca="1">IFERROR(_xlfn.XLOOKUP($F112,'FCDB 2017 (full)'!$C:$C,'FCDB 2017 (full)'!$G:$G),0)</f>
        <v>0</v>
      </c>
      <c r="L112" s="13" t="e">
        <f t="shared" ca="1" si="21"/>
        <v>#NAME?</v>
      </c>
      <c r="M112" s="13" t="e">
        <f t="shared" ca="1" si="22"/>
        <v>#NAME?</v>
      </c>
      <c r="N112" s="9">
        <f ca="1">IFERROR(_xlfn.XLOOKUP($F112,'FCDB 2017 (full)'!$C:$C,'FCDB 2017 (full)'!$H:$H),0)</f>
        <v>0</v>
      </c>
      <c r="O112" s="14" t="e">
        <f t="shared" ca="1" si="23"/>
        <v>#NAME?</v>
      </c>
      <c r="P112" s="14" t="e">
        <f t="shared" ca="1" si="24"/>
        <v>#NAME?</v>
      </c>
      <c r="Q112" s="9">
        <f ca="1">IFERROR(_xlfn.XLOOKUP($F112,'FCDB 2017 (full)'!$C:$C,'FCDB 2017 (full)'!$I:$I),0)</f>
        <v>0</v>
      </c>
      <c r="R112" s="15">
        <f t="shared" ca="1" si="25"/>
        <v>0</v>
      </c>
      <c r="S112" s="16">
        <f ca="1">IFERROR(_xlfn.XLOOKUP($F112,'FCDB 2017 (full)'!$C:$C,'FCDB 2017 (full)'!$J:$J)*$H112/100,0)</f>
        <v>0</v>
      </c>
      <c r="T112" s="16">
        <f ca="1">IFERROR(_xlfn.XLOOKUP($F112,'FCDB 2017 (full)'!$C:$C,'FCDB 2017 (full)'!$K:$K)*$H112/100,0)</f>
        <v>0</v>
      </c>
      <c r="U112" s="16">
        <f ca="1">IFERROR(_xlfn.XLOOKUP($F112,'FCDB 2017 (full)'!$C:$C,'FCDB 2017 (full)'!$L:$L)*$H112/100,0)</f>
        <v>0</v>
      </c>
      <c r="V112" s="16">
        <f ca="1">IFERROR(_xlfn.XLOOKUP($F112,'FCDB 2017 (full)'!$C:$C,'FCDB 2017 (full)'!$M:$M)*$H112/100,0)</f>
        <v>0</v>
      </c>
      <c r="W112" s="16">
        <f ca="1">IFERROR(_xlfn.XLOOKUP($F112,'FCDB 2017 (full)'!$C:$C,'FCDB 2017 (full)'!$N:$N)*$H112/100,0)</f>
        <v>0</v>
      </c>
      <c r="X112" s="16">
        <f ca="1">IFERROR(_xlfn.XLOOKUP($F112,'FCDB 2017 (full)'!$C:$C,'FCDB 2017 (full)'!$O:$O)*$H112/100,0)</f>
        <v>0</v>
      </c>
      <c r="Y112" s="16">
        <f ca="1">IFERROR(_xlfn.XLOOKUP($F112,'FCDB 2017 (full)'!$C:$C,'FCDB 2017 (full)'!$P:$P)*$H112/100,0)</f>
        <v>0</v>
      </c>
      <c r="Z112" s="16">
        <f ca="1">IFERROR(_xlfn.XLOOKUP($F112,'FCDB 2017 (full)'!$C:$C,'FCDB 2017 (full)'!$Q:$Q)*$H112/100,0)</f>
        <v>0</v>
      </c>
      <c r="AA112" s="16">
        <f ca="1">IFERROR(_xlfn.XLOOKUP($F112,'FCDB 2017 (full)'!$C:$C,'FCDB 2017 (full)'!$R:$R)*$H112/100,0)</f>
        <v>0</v>
      </c>
      <c r="AB112" s="16">
        <f ca="1">IFERROR(_xlfn.XLOOKUP($F112,'FCDB 2017 (full)'!$C:$C,'FCDB 2017 (full)'!$S:$S)*$H112/100,0)</f>
        <v>0</v>
      </c>
      <c r="AC112" s="16">
        <f ca="1">IFERROR(_xlfn.XLOOKUP($F112,'FCDB 2017 (full)'!$C:$C,'FCDB 2017 (full)'!$T:$T)*$H112/100,0)</f>
        <v>0</v>
      </c>
      <c r="AD112" s="16">
        <f ca="1">IFERROR(_xlfn.XLOOKUP($F112,'FCDB 2017 (full)'!$C:$C,'FCDB 2017 (full)'!$U:$U)*$H112/100,0)</f>
        <v>0</v>
      </c>
      <c r="AE112" s="16">
        <f ca="1">IFERROR(_xlfn.XLOOKUP($F112,'FCDB 2017 (full)'!$C:$C,'FCDB 2017 (full)'!$V:$V)*$H112/100,0)</f>
        <v>0</v>
      </c>
      <c r="AF112" s="16">
        <f ca="1">IFERROR(_xlfn.XLOOKUP($F112,'FCDB 2017 (full)'!$C:$C,'FCDB 2017 (full)'!$W:$W)*$H112/100,0)</f>
        <v>0</v>
      </c>
      <c r="AG112" s="16">
        <f ca="1">IFERROR(_xlfn.XLOOKUP($F112,'FCDB 2017 (full)'!$C:$C,'FCDB 2017 (full)'!$X:$X)*$H112/100,0)</f>
        <v>0</v>
      </c>
      <c r="AH112" s="16">
        <f ca="1">IFERROR(_xlfn.XLOOKUP($F112,'FCDB 2017 (full)'!$C:$C,'FCDB 2017 (full)'!$Y:$Y)*$H112/100,0)</f>
        <v>0</v>
      </c>
      <c r="AI112" s="16">
        <f ca="1">IFERROR(_xlfn.XLOOKUP($F112,'FCDB 2017 (full)'!$C:$C,'FCDB 2017 (full)'!$Z:$Z)*$H112/100,0)</f>
        <v>0</v>
      </c>
      <c r="AJ112" s="16">
        <f ca="1">IFERROR(_xlfn.XLOOKUP($F112,'FCDB 2017 (full)'!$C:$C,'FCDB 2017 (full)'!$AA:$AA)*$H112/100,0)</f>
        <v>0</v>
      </c>
      <c r="AK112" s="16">
        <f ca="1">IFERROR(_xlfn.XLOOKUP($F112,'FCDB 2017 (full)'!$C:$C,'FCDB 2017 (full)'!$AB:$AB)*$H112/100,0)</f>
        <v>0</v>
      </c>
      <c r="AL112" s="16">
        <f ca="1">IFERROR(_xlfn.XLOOKUP($F112,'FCDB 2017 (full)'!$C:$C,'FCDB 2017 (full)'!$AC:$AC)*$H112/100,0)</f>
        <v>0</v>
      </c>
      <c r="AM112" s="16">
        <f ca="1">IFERROR(_xlfn.XLOOKUP($F112,'FCDB 2017 (full)'!$C:$C,'FCDB 2017 (full)'!$AD:$AD)*$H112/100,0)</f>
        <v>0</v>
      </c>
      <c r="AN112" s="16">
        <f ca="1">IFERROR(_xlfn.XLOOKUP($F112,'FCDB 2017 (full)'!$C:$C,'FCDB 2017 (full)'!$AE:$AE)*$H112/100,0)</f>
        <v>0</v>
      </c>
      <c r="AO112" s="16">
        <f ca="1">IFERROR(_xlfn.XLOOKUP($F112,'FCDB 2017 (full)'!$C:$C,'FCDB 2017 (full)'!$AF:$AF)*$H112/100,0)</f>
        <v>0</v>
      </c>
      <c r="AP112" s="16">
        <f ca="1">IFERROR(_xlfn.XLOOKUP($F112,'FCDB 2017 (full)'!$C:$C,'FCDB 2017 (full)'!$AG:$AG)*$H112/100,0)</f>
        <v>0</v>
      </c>
      <c r="AQ112" s="16">
        <f ca="1">IFERROR(_xlfn.XLOOKUP($F112,'FCDB 2017 (full)'!$C:$C,'FCDB 2017 (full)'!$AH:$AH)*$H112/100,0)</f>
        <v>0</v>
      </c>
      <c r="AR112" s="16">
        <f ca="1">IFERROR(_xlfn.XLOOKUP($F112,'FCDB 2017 (full)'!$C:$C,'FCDB 2017 (full)'!$AI:$AI)*$H112/100,0)</f>
        <v>0</v>
      </c>
      <c r="AS112" s="16">
        <f ca="1">IFERROR(_xlfn.XLOOKUP($F112,'FCDB 2017 (full)'!$C:$C,'FCDB 2017 (full)'!$AJ:$AJ)*$H112/100,0)</f>
        <v>0</v>
      </c>
      <c r="AT112" s="16">
        <f ca="1">IFERROR(_xlfn.XLOOKUP($F112,'FCDB 2017 (full)'!$C:$C,'FCDB 2017 (full)'!$AK:$AK)*$H112/100,0)</f>
        <v>0</v>
      </c>
      <c r="AU112" s="16">
        <f ca="1">IFERROR(_xlfn.XLOOKUP($F112,'FCDB 2017 (full)'!$C:$C,'FCDB 2017 (full)'!$AK:$AK)*$H112/100,0)</f>
        <v>0</v>
      </c>
      <c r="AV112" s="16">
        <f ca="1">IFERROR(_xlfn.XLOOKUP($F112,'FCDB 2017 (full)'!$C:$C,'FCDB 2017 (full)'!$AM:$AM)*$H112/100,0)</f>
        <v>0</v>
      </c>
      <c r="AW112" s="16">
        <f ca="1">IFERROR(_xlfn.XLOOKUP($F112,'FCDB 2017 (full)'!$C:$C,'FCDB 2017 (full)'!$AN:$AN)*$H112/100,0)</f>
        <v>0</v>
      </c>
      <c r="AX112" s="16">
        <f ca="1">IFERROR(_xlfn.XLOOKUP($F112,'FCDB 2017 (full)'!$C:$C,'FCDB 2017 (full)'!$AO:$AO)*$H112/100,0)</f>
        <v>0</v>
      </c>
      <c r="AY112" s="16">
        <f ca="1">IFERROR(_xlfn.XLOOKUP($F112,'FCDB 2017 (full)'!$C:$C,'FCDB 2017 (full)'!$AP:$AP)*$H112/100,0)</f>
        <v>0</v>
      </c>
      <c r="AZ112" s="16">
        <f ca="1">IFERROR(_xlfn.XLOOKUP($F112,'FCDB 2017 (full)'!$C:$C,'FCDB 2017 (full)'!$AQ:$AQ)*$H112/100,0)</f>
        <v>0</v>
      </c>
      <c r="BA112" s="16">
        <f ca="1">IFERROR(_xlfn.XLOOKUP($F112,'FCDB 2017 (full)'!$C:$C,'FCDB 2017 (full)'!$AR:$AR)*$H112/100,0)</f>
        <v>0</v>
      </c>
      <c r="BB112" s="16">
        <f ca="1">IFERROR(_xlfn.XLOOKUP($F112,'FCDB 2017 (full)'!$C:$C,'FCDB 2017 (full)'!$AS:$AS)*$H112/100,0)</f>
        <v>0</v>
      </c>
      <c r="BC112" s="16">
        <f ca="1">IFERROR(_xlfn.XLOOKUP($F112,'FCDB 2017 (full)'!$C:$C,'FCDB 2017 (full)'!$AT:$AT)*$H112/100,0)</f>
        <v>0</v>
      </c>
      <c r="BD112" s="16">
        <f ca="1">IFERROR(_xlfn.XLOOKUP($F112,'FCDB 2017 (full)'!$C:$C,'FCDB 2017 (full)'!$AU:$AU)*$H112/100,0)</f>
        <v>0</v>
      </c>
      <c r="BE112" s="16">
        <f ca="1">IFERROR(_xlfn.XLOOKUP($F112,'FCDB 2017 (full)'!$C:$C,'FCDB 2017 (full)'!$AV:$AV)*$H112/100,0)</f>
        <v>0</v>
      </c>
      <c r="BF112" s="16">
        <f ca="1">IFERROR(_xlfn.XLOOKUP($F112,'FCDB 2017 (full)'!$C:$C,'FCDB 2017 (full)'!$AW:$AW)*$H112/100,0)</f>
        <v>0</v>
      </c>
      <c r="BG112" s="16">
        <f ca="1">IFERROR(_xlfn.XLOOKUP($F112,'FCDB 2017 (full)'!$C:$C,'FCDB 2017 (full)'!$AX:$AX)*$H112/100,0)</f>
        <v>0</v>
      </c>
      <c r="BH112" s="16">
        <f ca="1">IFERROR(_xlfn.XLOOKUP($F112,'FCDB 2017 (full)'!$C:$C,'FCDB 2017 (full)'!$AY:$AY)*$H112/100,0)</f>
        <v>0</v>
      </c>
      <c r="BI112" s="16">
        <f ca="1">IFERROR(_xlfn.XLOOKUP($F112,'FCDB 2017 (full)'!$C:$C,'FCDB 2017 (full)'!$AZ:$AZ)*$H112/100,0)</f>
        <v>0</v>
      </c>
      <c r="BJ112" s="16">
        <f ca="1">IFERROR(_xlfn.XLOOKUP($F112,'FCDB 2017 (full)'!$C:$C,'FCDB 2017 (full)'!$BA:$BA)*$H112/100,0)</f>
        <v>0</v>
      </c>
      <c r="BK112" s="16">
        <f ca="1">IFERROR(_xlfn.XLOOKUP($F112,'FCDB 2017 (full)'!$C:$C,'FCDB 2017 (full)'!$BB:$BB)*$H112/100,0)</f>
        <v>0</v>
      </c>
      <c r="BL112" s="16">
        <f ca="1">IFERROR(_xlfn.XLOOKUP($F112,'FCDB 2017 (full)'!$C:$C,'FCDB 2017 (full)'!$BC:$BC)*$H112/100,0)</f>
        <v>0</v>
      </c>
      <c r="BM112" s="16">
        <f ca="1">IFERROR(_xlfn.XLOOKUP($F112,'FCDB 2017 (full)'!$C:$C,'FCDB 2017 (full)'!$BD:$BD)*$H112/100,0)</f>
        <v>0</v>
      </c>
      <c r="BN112" s="16">
        <f ca="1">IFERROR(_xlfn.XLOOKUP($F112,'FCDB 2017 (full)'!$C:$C,'FCDB 2017 (full)'!$BE:$BE)*$H112/100,0)</f>
        <v>0</v>
      </c>
      <c r="BO112" s="16">
        <f ca="1">IFERROR(_xlfn.XLOOKUP($F112,'FCDB 2017 (full)'!$C:$C,'FCDB 2017 (full)'!$BF:$BF)*$H112/100,0)</f>
        <v>0</v>
      </c>
      <c r="BP112" s="16">
        <f ca="1">IFERROR(_xlfn.XLOOKUP($F112,'FCDB 2017 (full)'!$C:$C,'FCDB 2017 (full)'!$BG:$BG)*$H112/100,0)</f>
        <v>0</v>
      </c>
      <c r="BQ112" s="16">
        <f ca="1">IFERROR(_xlfn.XLOOKUP($F112,'FCDB 2017 (full)'!$C:$C,'FCDB 2017 (full)'!$BH:$BH)*$H112/100,0)</f>
        <v>0</v>
      </c>
      <c r="BR112" s="16">
        <f ca="1">IFERROR(_xlfn.XLOOKUP($F112,'FCDB 2017 (full)'!$C:$C,'FCDB 2017 (full)'!$BI:$BI)*$H112/100,0)</f>
        <v>0</v>
      </c>
      <c r="BS112" s="16">
        <f ca="1">IFERROR(_xlfn.XLOOKUP($F112,'FCDB 2017 (full)'!$C:$C,'FCDB 2017 (full)'!$BJ:$BJ)*$H112/100,0)</f>
        <v>0</v>
      </c>
      <c r="BT112" s="16">
        <f ca="1">IFERROR(_xlfn.XLOOKUP($F112,'FCDB 2017 (full)'!$C:$C,'FCDB 2017 (full)'!$BK:$BK)*$H112/100,0)</f>
        <v>0</v>
      </c>
      <c r="BU112" s="16">
        <f ca="1">IFERROR(_xlfn.XLOOKUP($F112,'FCDB 2017 (full)'!$C:$C,'FCDB 2017 (full)'!$BL:$BL)*$H112/100,0)</f>
        <v>0</v>
      </c>
      <c r="BV112" s="16">
        <f ca="1">IFERROR(_xlfn.XLOOKUP($F112,'FCDB 2017 (full)'!$C:$C,'FCDB 2017 (full)'!$BM:$BM)*$H112/100,0)</f>
        <v>0</v>
      </c>
      <c r="BW112" s="16">
        <f ca="1">IFERROR(_xlfn.XLOOKUP($F112,'FCDB 2017 (full)'!$C:$C,'FCDB 2017 (full)'!$BN:$BN)*$H112/100,0)</f>
        <v>0</v>
      </c>
      <c r="BX112" s="16">
        <f ca="1">IFERROR(_xlfn.XLOOKUP($F112,'FCDB 2017 (full)'!$C:$C,'FCDB 2017 (full)'!$BO:$BO)*$H112/100,0)</f>
        <v>0</v>
      </c>
      <c r="BY112" s="16">
        <f ca="1">IFERROR(_xlfn.XLOOKUP($F112,'FCDB 2017 (full)'!$C:$C,'FCDB 2017 (full)'!$BP:$BP)*$H112/100,0)</f>
        <v>0</v>
      </c>
      <c r="BZ112" s="16">
        <f ca="1">IFERROR(_xlfn.XLOOKUP($F112,'FCDB 2017 (full)'!$C:$C,'FCDB 2017 (full)'!$BQ:$BQ)*$H112/100,0)</f>
        <v>0</v>
      </c>
      <c r="CA112" s="16">
        <f ca="1">IFERROR(_xlfn.XLOOKUP($F112,'FCDB 2017 (full)'!$C:$C,'FCDB 2017 (full)'!$BR:$BR)*$H112/100,0)</f>
        <v>0</v>
      </c>
      <c r="CB112" s="16">
        <f ca="1">IFERROR(_xlfn.XLOOKUP($F112,'FCDB 2017 (full)'!$C:$C,'FCDB 2017 (full)'!$BS:$BS)*$H112/100,0)</f>
        <v>0</v>
      </c>
      <c r="CC112" s="16">
        <f ca="1">IFERROR(_xlfn.XLOOKUP($F112,'FCDB 2017 (full)'!$C:$C,'FCDB 2017 (full)'!$BT:$BT)*$H112/100,0)</f>
        <v>0</v>
      </c>
      <c r="CD112" s="16">
        <f ca="1">IFERROR(_xlfn.XLOOKUP($F112,'FCDB 2017 (full)'!$C:$C,'FCDB 2017 (full)'!$BU:$BU)*$H112/100,0)</f>
        <v>0</v>
      </c>
      <c r="CE112" s="16">
        <f ca="1">IFERROR(_xlfn.XLOOKUP($F112,'FCDB 2017 (full)'!$C:$C,'FCDB 2017 (full)'!$BV:$BV)*$H112/100,0)</f>
        <v>0</v>
      </c>
      <c r="CF112" s="16">
        <f ca="1">IFERROR(_xlfn.XLOOKUP($F112,'FCDB 2017 (full)'!$C:$C,'FCDB 2017 (full)'!$BW:$BW)*$H112/100,0)</f>
        <v>0</v>
      </c>
      <c r="CG112" s="16">
        <f ca="1">IFERROR(_xlfn.XLOOKUP($F112,'FCDB 2017 (full)'!$C:$C,'FCDB 2017 (full)'!$BX:$BX)*$H112/100,0)</f>
        <v>0</v>
      </c>
      <c r="CH112" s="16">
        <f ca="1">IFERROR(_xlfn.XLOOKUP($F112,'FCDB 2017 (full)'!$C:$C,'FCDB 2017 (full)'!$BY:$BY)*$H112/100,0)</f>
        <v>0</v>
      </c>
      <c r="CI112" s="16">
        <f ca="1">IFERROR(_xlfn.XLOOKUP($F112,'FCDB 2017 (full)'!$C:$C,'FCDB 2017 (full)'!$BZ:$BZ)*$H112/100,0)</f>
        <v>0</v>
      </c>
      <c r="CJ112" s="16">
        <f ca="1">IFERROR(_xlfn.XLOOKUP($F112,'FCDB 2017 (full)'!$C:$C,'FCDB 2017 (full)'!$CA:$CA)*$H112/100,0)</f>
        <v>0</v>
      </c>
      <c r="CK112" s="16">
        <f ca="1">IFERROR(_xlfn.XLOOKUP($F112,'FCDB 2017 (full)'!$C:$C,'FCDB 2017 (full)'!$CB:$CB)*$H112/100,0)</f>
        <v>0</v>
      </c>
      <c r="CL112" s="16">
        <f ca="1">IFERROR(_xlfn.XLOOKUP($F112,'FCDB 2017 (full)'!$C:$C,'FCDB 2017 (full)'!$CC:$CC)*$H112/100,0)</f>
        <v>0</v>
      </c>
      <c r="CM112" s="16">
        <f ca="1">IFERROR(_xlfn.XLOOKUP($F112,'FCDB 2017 (full)'!$C:$C,'FCDB 2017 (full)'!$CD:$CD)*$H112/100,0)</f>
        <v>0</v>
      </c>
      <c r="CN112" s="16">
        <f ca="1">IFERROR(_xlfn.XLOOKUP($F112,'FCDB 2017 (full)'!$C:$C,'FCDB 2017 (full)'!$CE:$CE)*$H112/100,0)</f>
        <v>0</v>
      </c>
      <c r="CO112" s="16">
        <f ca="1">IFERROR(_xlfn.XLOOKUP($F112,'FCDB 2017 (full)'!$C:$C,'FCDB 2017 (full)'!$CF:$CF)*$H112/100,0)</f>
        <v>0</v>
      </c>
      <c r="CP112" s="16">
        <f ca="1">IFERROR(_xlfn.XLOOKUP($F112,'FCDB 2017 (full)'!$C:$C,'FCDB 2017 (full)'!$CG:$CG)*$H112/100,0)</f>
        <v>0</v>
      </c>
      <c r="CQ112" s="16">
        <f ca="1">IFERROR(_xlfn.XLOOKUP($F112,'FCDB 2017 (full)'!$C:$C,'FCDB 2017 (full)'!$CH:$CH)*$H112/100,0)</f>
        <v>0</v>
      </c>
      <c r="CR112"/>
      <c r="DA112" s="72" t="s">
        <v>982</v>
      </c>
    </row>
    <row r="113" spans="4:105" ht="16.8">
      <c r="D113"/>
      <c r="E113"/>
      <c r="F113" s="11">
        <f>IFERROR(VLOOKUP($D$96,$D:$AE,16,0),0)</f>
        <v>0</v>
      </c>
      <c r="G113" s="7" cm="1">
        <f t="array" ref="G113">IF(F113=0,0,IF(_xlfn.XLOOKUP(F113,$E$96:$AE$96,$E$97:$AE$97)=0,"Nhập ĐV/TV",_xlfn.XLOOKUP(F113,$E$96:$AE$96,$E$97:$AE$97)))</f>
        <v>0</v>
      </c>
      <c r="H113" s="8">
        <f t="shared" si="26"/>
        <v>0</v>
      </c>
      <c r="I113" s="9">
        <f ca="1">IFERROR(_xlfn.XLOOKUP($F113,'FCDB 2017 (full)'!$C:$C,'FCDB 2017 (full)'!$E:$E),0)</f>
        <v>0</v>
      </c>
      <c r="J113" s="10">
        <f t="shared" ca="1" si="20"/>
        <v>0</v>
      </c>
      <c r="K113" s="9">
        <f ca="1">IFERROR(_xlfn.XLOOKUP($F113,'FCDB 2017 (full)'!$C:$C,'FCDB 2017 (full)'!$G:$G),0)</f>
        <v>0</v>
      </c>
      <c r="L113" s="13">
        <f t="shared" si="21"/>
        <v>0</v>
      </c>
      <c r="M113" s="13">
        <f t="shared" si="22"/>
        <v>0</v>
      </c>
      <c r="N113" s="9">
        <f ca="1">IFERROR(_xlfn.XLOOKUP($F113,'FCDB 2017 (full)'!$C:$C,'FCDB 2017 (full)'!$H:$H),0)</f>
        <v>0</v>
      </c>
      <c r="O113" s="14">
        <f t="shared" si="23"/>
        <v>0</v>
      </c>
      <c r="P113" s="14">
        <f t="shared" si="24"/>
        <v>0</v>
      </c>
      <c r="Q113" s="9">
        <f ca="1">IFERROR(_xlfn.XLOOKUP($F113,'FCDB 2017 (full)'!$C:$C,'FCDB 2017 (full)'!$I:$I),0)</f>
        <v>0</v>
      </c>
      <c r="R113" s="15">
        <f t="shared" ca="1" si="25"/>
        <v>0</v>
      </c>
      <c r="S113" s="16">
        <f ca="1">IFERROR(_xlfn.XLOOKUP($F113,'FCDB 2017 (full)'!$C:$C,'FCDB 2017 (full)'!$J:$J)*$H113/100,0)</f>
        <v>0</v>
      </c>
      <c r="T113" s="16">
        <f ca="1">IFERROR(_xlfn.XLOOKUP($F113,'FCDB 2017 (full)'!$C:$C,'FCDB 2017 (full)'!$K:$K)*$H113/100,0)</f>
        <v>0</v>
      </c>
      <c r="U113" s="16">
        <f ca="1">IFERROR(_xlfn.XLOOKUP($F113,'FCDB 2017 (full)'!$C:$C,'FCDB 2017 (full)'!$L:$L)*$H113/100,0)</f>
        <v>0</v>
      </c>
      <c r="V113" s="16">
        <f ca="1">IFERROR(_xlfn.XLOOKUP($F113,'FCDB 2017 (full)'!$C:$C,'FCDB 2017 (full)'!$M:$M)*$H113/100,0)</f>
        <v>0</v>
      </c>
      <c r="W113" s="16">
        <f ca="1">IFERROR(_xlfn.XLOOKUP($F113,'FCDB 2017 (full)'!$C:$C,'FCDB 2017 (full)'!$N:$N)*$H113/100,0)</f>
        <v>0</v>
      </c>
      <c r="X113" s="16">
        <f ca="1">IFERROR(_xlfn.XLOOKUP($F113,'FCDB 2017 (full)'!$C:$C,'FCDB 2017 (full)'!$O:$O)*$H113/100,0)</f>
        <v>0</v>
      </c>
      <c r="Y113" s="16">
        <f ca="1">IFERROR(_xlfn.XLOOKUP($F113,'FCDB 2017 (full)'!$C:$C,'FCDB 2017 (full)'!$P:$P)*$H113/100,0)</f>
        <v>0</v>
      </c>
      <c r="Z113" s="16">
        <f ca="1">IFERROR(_xlfn.XLOOKUP($F113,'FCDB 2017 (full)'!$C:$C,'FCDB 2017 (full)'!$Q:$Q)*$H113/100,0)</f>
        <v>0</v>
      </c>
      <c r="AA113" s="16">
        <f ca="1">IFERROR(_xlfn.XLOOKUP($F113,'FCDB 2017 (full)'!$C:$C,'FCDB 2017 (full)'!$R:$R)*$H113/100,0)</f>
        <v>0</v>
      </c>
      <c r="AB113" s="16">
        <f ca="1">IFERROR(_xlfn.XLOOKUP($F113,'FCDB 2017 (full)'!$C:$C,'FCDB 2017 (full)'!$S:$S)*$H113/100,0)</f>
        <v>0</v>
      </c>
      <c r="AC113" s="16">
        <f ca="1">IFERROR(_xlfn.XLOOKUP($F113,'FCDB 2017 (full)'!$C:$C,'FCDB 2017 (full)'!$T:$T)*$H113/100,0)</f>
        <v>0</v>
      </c>
      <c r="AD113" s="16">
        <f ca="1">IFERROR(_xlfn.XLOOKUP($F113,'FCDB 2017 (full)'!$C:$C,'FCDB 2017 (full)'!$U:$U)*$H113/100,0)</f>
        <v>0</v>
      </c>
      <c r="AE113" s="16">
        <f ca="1">IFERROR(_xlfn.XLOOKUP($F113,'FCDB 2017 (full)'!$C:$C,'FCDB 2017 (full)'!$V:$V)*$H113/100,0)</f>
        <v>0</v>
      </c>
      <c r="AF113" s="16">
        <f ca="1">IFERROR(_xlfn.XLOOKUP($F113,'FCDB 2017 (full)'!$C:$C,'FCDB 2017 (full)'!$W:$W)*$H113/100,0)</f>
        <v>0</v>
      </c>
      <c r="AG113" s="16">
        <f ca="1">IFERROR(_xlfn.XLOOKUP($F113,'FCDB 2017 (full)'!$C:$C,'FCDB 2017 (full)'!$X:$X)*$H113/100,0)</f>
        <v>0</v>
      </c>
      <c r="AH113" s="16">
        <f ca="1">IFERROR(_xlfn.XLOOKUP($F113,'FCDB 2017 (full)'!$C:$C,'FCDB 2017 (full)'!$Y:$Y)*$H113/100,0)</f>
        <v>0</v>
      </c>
      <c r="AI113" s="16">
        <f ca="1">IFERROR(_xlfn.XLOOKUP($F113,'FCDB 2017 (full)'!$C:$C,'FCDB 2017 (full)'!$Z:$Z)*$H113/100,0)</f>
        <v>0</v>
      </c>
      <c r="AJ113" s="16">
        <f ca="1">IFERROR(_xlfn.XLOOKUP($F113,'FCDB 2017 (full)'!$C:$C,'FCDB 2017 (full)'!$AA:$AA)*$H113/100,0)</f>
        <v>0</v>
      </c>
      <c r="AK113" s="16">
        <f ca="1">IFERROR(_xlfn.XLOOKUP($F113,'FCDB 2017 (full)'!$C:$C,'FCDB 2017 (full)'!$AB:$AB)*$H113/100,0)</f>
        <v>0</v>
      </c>
      <c r="AL113" s="16">
        <f ca="1">IFERROR(_xlfn.XLOOKUP($F113,'FCDB 2017 (full)'!$C:$C,'FCDB 2017 (full)'!$AC:$AC)*$H113/100,0)</f>
        <v>0</v>
      </c>
      <c r="AM113" s="16">
        <f ca="1">IFERROR(_xlfn.XLOOKUP($F113,'FCDB 2017 (full)'!$C:$C,'FCDB 2017 (full)'!$AD:$AD)*$H113/100,0)</f>
        <v>0</v>
      </c>
      <c r="AN113" s="16">
        <f ca="1">IFERROR(_xlfn.XLOOKUP($F113,'FCDB 2017 (full)'!$C:$C,'FCDB 2017 (full)'!$AE:$AE)*$H113/100,0)</f>
        <v>0</v>
      </c>
      <c r="AO113" s="16">
        <f ca="1">IFERROR(_xlfn.XLOOKUP($F113,'FCDB 2017 (full)'!$C:$C,'FCDB 2017 (full)'!$AF:$AF)*$H113/100,0)</f>
        <v>0</v>
      </c>
      <c r="AP113" s="16">
        <f ca="1">IFERROR(_xlfn.XLOOKUP($F113,'FCDB 2017 (full)'!$C:$C,'FCDB 2017 (full)'!$AG:$AG)*$H113/100,0)</f>
        <v>0</v>
      </c>
      <c r="AQ113" s="16">
        <f ca="1">IFERROR(_xlfn.XLOOKUP($F113,'FCDB 2017 (full)'!$C:$C,'FCDB 2017 (full)'!$AH:$AH)*$H113/100,0)</f>
        <v>0</v>
      </c>
      <c r="AR113" s="16">
        <f ca="1">IFERROR(_xlfn.XLOOKUP($F113,'FCDB 2017 (full)'!$C:$C,'FCDB 2017 (full)'!$AI:$AI)*$H113/100,0)</f>
        <v>0</v>
      </c>
      <c r="AS113" s="16">
        <f ca="1">IFERROR(_xlfn.XLOOKUP($F113,'FCDB 2017 (full)'!$C:$C,'FCDB 2017 (full)'!$AJ:$AJ)*$H113/100,0)</f>
        <v>0</v>
      </c>
      <c r="AT113" s="16">
        <f ca="1">IFERROR(_xlfn.XLOOKUP($F113,'FCDB 2017 (full)'!$C:$C,'FCDB 2017 (full)'!$AK:$AK)*$H113/100,0)</f>
        <v>0</v>
      </c>
      <c r="AU113" s="16">
        <f ca="1">IFERROR(_xlfn.XLOOKUP($F113,'FCDB 2017 (full)'!$C:$C,'FCDB 2017 (full)'!$AK:$AK)*$H113/100,0)</f>
        <v>0</v>
      </c>
      <c r="AV113" s="16">
        <f ca="1">IFERROR(_xlfn.XLOOKUP($F113,'FCDB 2017 (full)'!$C:$C,'FCDB 2017 (full)'!$AM:$AM)*$H113/100,0)</f>
        <v>0</v>
      </c>
      <c r="AW113" s="16">
        <f ca="1">IFERROR(_xlfn.XLOOKUP($F113,'FCDB 2017 (full)'!$C:$C,'FCDB 2017 (full)'!$AN:$AN)*$H113/100,0)</f>
        <v>0</v>
      </c>
      <c r="AX113" s="16">
        <f ca="1">IFERROR(_xlfn.XLOOKUP($F113,'FCDB 2017 (full)'!$C:$C,'FCDB 2017 (full)'!$AO:$AO)*$H113/100,0)</f>
        <v>0</v>
      </c>
      <c r="AY113" s="16">
        <f ca="1">IFERROR(_xlfn.XLOOKUP($F113,'FCDB 2017 (full)'!$C:$C,'FCDB 2017 (full)'!$AP:$AP)*$H113/100,0)</f>
        <v>0</v>
      </c>
      <c r="AZ113" s="16">
        <f ca="1">IFERROR(_xlfn.XLOOKUP($F113,'FCDB 2017 (full)'!$C:$C,'FCDB 2017 (full)'!$AQ:$AQ)*$H113/100,0)</f>
        <v>0</v>
      </c>
      <c r="BA113" s="16">
        <f ca="1">IFERROR(_xlfn.XLOOKUP($F113,'FCDB 2017 (full)'!$C:$C,'FCDB 2017 (full)'!$AR:$AR)*$H113/100,0)</f>
        <v>0</v>
      </c>
      <c r="BB113" s="16">
        <f ca="1">IFERROR(_xlfn.XLOOKUP($F113,'FCDB 2017 (full)'!$C:$C,'FCDB 2017 (full)'!$AS:$AS)*$H113/100,0)</f>
        <v>0</v>
      </c>
      <c r="BC113" s="16">
        <f ca="1">IFERROR(_xlfn.XLOOKUP($F113,'FCDB 2017 (full)'!$C:$C,'FCDB 2017 (full)'!$AT:$AT)*$H113/100,0)</f>
        <v>0</v>
      </c>
      <c r="BD113" s="16">
        <f ca="1">IFERROR(_xlfn.XLOOKUP($F113,'FCDB 2017 (full)'!$C:$C,'FCDB 2017 (full)'!$AU:$AU)*$H113/100,0)</f>
        <v>0</v>
      </c>
      <c r="BE113" s="16">
        <f ca="1">IFERROR(_xlfn.XLOOKUP($F113,'FCDB 2017 (full)'!$C:$C,'FCDB 2017 (full)'!$AV:$AV)*$H113/100,0)</f>
        <v>0</v>
      </c>
      <c r="BF113" s="16">
        <f ca="1">IFERROR(_xlfn.XLOOKUP($F113,'FCDB 2017 (full)'!$C:$C,'FCDB 2017 (full)'!$AW:$AW)*$H113/100,0)</f>
        <v>0</v>
      </c>
      <c r="BG113" s="16">
        <f ca="1">IFERROR(_xlfn.XLOOKUP($F113,'FCDB 2017 (full)'!$C:$C,'FCDB 2017 (full)'!$AX:$AX)*$H113/100,0)</f>
        <v>0</v>
      </c>
      <c r="BH113" s="16">
        <f ca="1">IFERROR(_xlfn.XLOOKUP($F113,'FCDB 2017 (full)'!$C:$C,'FCDB 2017 (full)'!$AY:$AY)*$H113/100,0)</f>
        <v>0</v>
      </c>
      <c r="BI113" s="16">
        <f ca="1">IFERROR(_xlfn.XLOOKUP($F113,'FCDB 2017 (full)'!$C:$C,'FCDB 2017 (full)'!$AZ:$AZ)*$H113/100,0)</f>
        <v>0</v>
      </c>
      <c r="BJ113" s="16">
        <f ca="1">IFERROR(_xlfn.XLOOKUP($F113,'FCDB 2017 (full)'!$C:$C,'FCDB 2017 (full)'!$BA:$BA)*$H113/100,0)</f>
        <v>0</v>
      </c>
      <c r="BK113" s="16">
        <f ca="1">IFERROR(_xlfn.XLOOKUP($F113,'FCDB 2017 (full)'!$C:$C,'FCDB 2017 (full)'!$BB:$BB)*$H113/100,0)</f>
        <v>0</v>
      </c>
      <c r="BL113" s="16">
        <f ca="1">IFERROR(_xlfn.XLOOKUP($F113,'FCDB 2017 (full)'!$C:$C,'FCDB 2017 (full)'!$BC:$BC)*$H113/100,0)</f>
        <v>0</v>
      </c>
      <c r="BM113" s="16">
        <f ca="1">IFERROR(_xlfn.XLOOKUP($F113,'FCDB 2017 (full)'!$C:$C,'FCDB 2017 (full)'!$BD:$BD)*$H113/100,0)</f>
        <v>0</v>
      </c>
      <c r="BN113" s="16">
        <f ca="1">IFERROR(_xlfn.XLOOKUP($F113,'FCDB 2017 (full)'!$C:$C,'FCDB 2017 (full)'!$BE:$BE)*$H113/100,0)</f>
        <v>0</v>
      </c>
      <c r="BO113" s="16">
        <f ca="1">IFERROR(_xlfn.XLOOKUP($F113,'FCDB 2017 (full)'!$C:$C,'FCDB 2017 (full)'!$BF:$BF)*$H113/100,0)</f>
        <v>0</v>
      </c>
      <c r="BP113" s="16">
        <f ca="1">IFERROR(_xlfn.XLOOKUP($F113,'FCDB 2017 (full)'!$C:$C,'FCDB 2017 (full)'!$BG:$BG)*$H113/100,0)</f>
        <v>0</v>
      </c>
      <c r="BQ113" s="16">
        <f ca="1">IFERROR(_xlfn.XLOOKUP($F113,'FCDB 2017 (full)'!$C:$C,'FCDB 2017 (full)'!$BH:$BH)*$H113/100,0)</f>
        <v>0</v>
      </c>
      <c r="BR113" s="16">
        <f ca="1">IFERROR(_xlfn.XLOOKUP($F113,'FCDB 2017 (full)'!$C:$C,'FCDB 2017 (full)'!$BI:$BI)*$H113/100,0)</f>
        <v>0</v>
      </c>
      <c r="BS113" s="16">
        <f ca="1">IFERROR(_xlfn.XLOOKUP($F113,'FCDB 2017 (full)'!$C:$C,'FCDB 2017 (full)'!$BJ:$BJ)*$H113/100,0)</f>
        <v>0</v>
      </c>
      <c r="BT113" s="16">
        <f ca="1">IFERROR(_xlfn.XLOOKUP($F113,'FCDB 2017 (full)'!$C:$C,'FCDB 2017 (full)'!$BK:$BK)*$H113/100,0)</f>
        <v>0</v>
      </c>
      <c r="BU113" s="16">
        <f ca="1">IFERROR(_xlfn.XLOOKUP($F113,'FCDB 2017 (full)'!$C:$C,'FCDB 2017 (full)'!$BL:$BL)*$H113/100,0)</f>
        <v>0</v>
      </c>
      <c r="BV113" s="16">
        <f ca="1">IFERROR(_xlfn.XLOOKUP($F113,'FCDB 2017 (full)'!$C:$C,'FCDB 2017 (full)'!$BM:$BM)*$H113/100,0)</f>
        <v>0</v>
      </c>
      <c r="BW113" s="16">
        <f ca="1">IFERROR(_xlfn.XLOOKUP($F113,'FCDB 2017 (full)'!$C:$C,'FCDB 2017 (full)'!$BN:$BN)*$H113/100,0)</f>
        <v>0</v>
      </c>
      <c r="BX113" s="16">
        <f ca="1">IFERROR(_xlfn.XLOOKUP($F113,'FCDB 2017 (full)'!$C:$C,'FCDB 2017 (full)'!$BO:$BO)*$H113/100,0)</f>
        <v>0</v>
      </c>
      <c r="BY113" s="16">
        <f ca="1">IFERROR(_xlfn.XLOOKUP($F113,'FCDB 2017 (full)'!$C:$C,'FCDB 2017 (full)'!$BP:$BP)*$H113/100,0)</f>
        <v>0</v>
      </c>
      <c r="BZ113" s="16">
        <f ca="1">IFERROR(_xlfn.XLOOKUP($F113,'FCDB 2017 (full)'!$C:$C,'FCDB 2017 (full)'!$BQ:$BQ)*$H113/100,0)</f>
        <v>0</v>
      </c>
      <c r="CA113" s="16">
        <f ca="1">IFERROR(_xlfn.XLOOKUP($F113,'FCDB 2017 (full)'!$C:$C,'FCDB 2017 (full)'!$BR:$BR)*$H113/100,0)</f>
        <v>0</v>
      </c>
      <c r="CB113" s="16">
        <f ca="1">IFERROR(_xlfn.XLOOKUP($F113,'FCDB 2017 (full)'!$C:$C,'FCDB 2017 (full)'!$BS:$BS)*$H113/100,0)</f>
        <v>0</v>
      </c>
      <c r="CC113" s="16">
        <f ca="1">IFERROR(_xlfn.XLOOKUP($F113,'FCDB 2017 (full)'!$C:$C,'FCDB 2017 (full)'!$BT:$BT)*$H113/100,0)</f>
        <v>0</v>
      </c>
      <c r="CD113" s="16">
        <f ca="1">IFERROR(_xlfn.XLOOKUP($F113,'FCDB 2017 (full)'!$C:$C,'FCDB 2017 (full)'!$BU:$BU)*$H113/100,0)</f>
        <v>0</v>
      </c>
      <c r="CE113" s="16">
        <f ca="1">IFERROR(_xlfn.XLOOKUP($F113,'FCDB 2017 (full)'!$C:$C,'FCDB 2017 (full)'!$BV:$BV)*$H113/100,0)</f>
        <v>0</v>
      </c>
      <c r="CF113" s="16">
        <f ca="1">IFERROR(_xlfn.XLOOKUP($F113,'FCDB 2017 (full)'!$C:$C,'FCDB 2017 (full)'!$BW:$BW)*$H113/100,0)</f>
        <v>0</v>
      </c>
      <c r="CG113" s="16">
        <f ca="1">IFERROR(_xlfn.XLOOKUP($F113,'FCDB 2017 (full)'!$C:$C,'FCDB 2017 (full)'!$BX:$BX)*$H113/100,0)</f>
        <v>0</v>
      </c>
      <c r="CH113" s="16">
        <f ca="1">IFERROR(_xlfn.XLOOKUP($F113,'FCDB 2017 (full)'!$C:$C,'FCDB 2017 (full)'!$BY:$BY)*$H113/100,0)</f>
        <v>0</v>
      </c>
      <c r="CI113" s="16">
        <f ca="1">IFERROR(_xlfn.XLOOKUP($F113,'FCDB 2017 (full)'!$C:$C,'FCDB 2017 (full)'!$BZ:$BZ)*$H113/100,0)</f>
        <v>0</v>
      </c>
      <c r="CJ113" s="16">
        <f ca="1">IFERROR(_xlfn.XLOOKUP($F113,'FCDB 2017 (full)'!$C:$C,'FCDB 2017 (full)'!$CA:$CA)*$H113/100,0)</f>
        <v>0</v>
      </c>
      <c r="CK113" s="16">
        <f ca="1">IFERROR(_xlfn.XLOOKUP($F113,'FCDB 2017 (full)'!$C:$C,'FCDB 2017 (full)'!$CB:$CB)*$H113/100,0)</f>
        <v>0</v>
      </c>
      <c r="CL113" s="16">
        <f ca="1">IFERROR(_xlfn.XLOOKUP($F113,'FCDB 2017 (full)'!$C:$C,'FCDB 2017 (full)'!$CC:$CC)*$H113/100,0)</f>
        <v>0</v>
      </c>
      <c r="CM113" s="16">
        <f ca="1">IFERROR(_xlfn.XLOOKUP($F113,'FCDB 2017 (full)'!$C:$C,'FCDB 2017 (full)'!$CD:$CD)*$H113/100,0)</f>
        <v>0</v>
      </c>
      <c r="CN113" s="16">
        <f ca="1">IFERROR(_xlfn.XLOOKUP($F113,'FCDB 2017 (full)'!$C:$C,'FCDB 2017 (full)'!$CE:$CE)*$H113/100,0)</f>
        <v>0</v>
      </c>
      <c r="CO113" s="16">
        <f ca="1">IFERROR(_xlfn.XLOOKUP($F113,'FCDB 2017 (full)'!$C:$C,'FCDB 2017 (full)'!$CF:$CF)*$H113/100,0)</f>
        <v>0</v>
      </c>
      <c r="CP113" s="16">
        <f ca="1">IFERROR(_xlfn.XLOOKUP($F113,'FCDB 2017 (full)'!$C:$C,'FCDB 2017 (full)'!$CG:$CG)*$H113/100,0)</f>
        <v>0</v>
      </c>
      <c r="CQ113" s="16">
        <f ca="1">IFERROR(_xlfn.XLOOKUP($F113,'FCDB 2017 (full)'!$C:$C,'FCDB 2017 (full)'!$CH:$CH)*$H113/100,0)</f>
        <v>0</v>
      </c>
      <c r="CR113"/>
      <c r="DA113" s="72" t="s">
        <v>982</v>
      </c>
    </row>
    <row r="114" spans="4:105" ht="16.8">
      <c r="D114"/>
      <c r="E114"/>
      <c r="F114" s="11">
        <f>IFERROR(VLOOKUP($D$96,$D:$AE,17,0),0)</f>
        <v>0</v>
      </c>
      <c r="G114" s="7" cm="1">
        <f t="array" ref="G114">IF(F114=0,0,IF(_xlfn.XLOOKUP(F114,$E$96:$AE$96,$E$97:$AE$97)=0,"Nhập ĐV/TV",_xlfn.XLOOKUP(F114,$E$96:$AE$96,$E$97:$AE$97)))</f>
        <v>0</v>
      </c>
      <c r="H114" s="8">
        <f t="shared" si="26"/>
        <v>0</v>
      </c>
      <c r="I114" s="9">
        <f ca="1">IFERROR(_xlfn.XLOOKUP($F114,'FCDB 2017 (full)'!$C:$C,'FCDB 2017 (full)'!$E:$E),0)</f>
        <v>0</v>
      </c>
      <c r="J114" s="10">
        <f t="shared" ca="1" si="20"/>
        <v>0</v>
      </c>
      <c r="K114" s="9">
        <f ca="1">IFERROR(_xlfn.XLOOKUP($F114,'FCDB 2017 (full)'!$C:$C,'FCDB 2017 (full)'!$G:$G),0)</f>
        <v>0</v>
      </c>
      <c r="L114" s="13">
        <f t="shared" si="21"/>
        <v>0</v>
      </c>
      <c r="M114" s="13">
        <f t="shared" si="22"/>
        <v>0</v>
      </c>
      <c r="N114" s="9">
        <f ca="1">IFERROR(_xlfn.XLOOKUP($F114,'FCDB 2017 (full)'!$C:$C,'FCDB 2017 (full)'!$H:$H),0)</f>
        <v>0</v>
      </c>
      <c r="O114" s="14">
        <f t="shared" si="23"/>
        <v>0</v>
      </c>
      <c r="P114" s="14">
        <f t="shared" si="24"/>
        <v>0</v>
      </c>
      <c r="Q114" s="9">
        <f ca="1">IFERROR(_xlfn.XLOOKUP($F114,'FCDB 2017 (full)'!$C:$C,'FCDB 2017 (full)'!$I:$I),0)</f>
        <v>0</v>
      </c>
      <c r="R114" s="15">
        <f t="shared" ca="1" si="25"/>
        <v>0</v>
      </c>
      <c r="S114" s="16">
        <f ca="1">IFERROR(_xlfn.XLOOKUP($F114,'FCDB 2017 (full)'!$C:$C,'FCDB 2017 (full)'!$J:$J)*$H114/100,0)</f>
        <v>0</v>
      </c>
      <c r="T114" s="16">
        <f ca="1">IFERROR(_xlfn.XLOOKUP($F114,'FCDB 2017 (full)'!$C:$C,'FCDB 2017 (full)'!$K:$K)*$H114/100,0)</f>
        <v>0</v>
      </c>
      <c r="U114" s="16">
        <f ca="1">IFERROR(_xlfn.XLOOKUP($F114,'FCDB 2017 (full)'!$C:$C,'FCDB 2017 (full)'!$L:$L)*$H114/100,0)</f>
        <v>0</v>
      </c>
      <c r="V114" s="16">
        <f ca="1">IFERROR(_xlfn.XLOOKUP($F114,'FCDB 2017 (full)'!$C:$C,'FCDB 2017 (full)'!$M:$M)*$H114/100,0)</f>
        <v>0</v>
      </c>
      <c r="W114" s="16">
        <f ca="1">IFERROR(_xlfn.XLOOKUP($F114,'FCDB 2017 (full)'!$C:$C,'FCDB 2017 (full)'!$N:$N)*$H114/100,0)</f>
        <v>0</v>
      </c>
      <c r="X114" s="16">
        <f ca="1">IFERROR(_xlfn.XLOOKUP($F114,'FCDB 2017 (full)'!$C:$C,'FCDB 2017 (full)'!$O:$O)*$H114/100,0)</f>
        <v>0</v>
      </c>
      <c r="Y114" s="16">
        <f ca="1">IFERROR(_xlfn.XLOOKUP($F114,'FCDB 2017 (full)'!$C:$C,'FCDB 2017 (full)'!$P:$P)*$H114/100,0)</f>
        <v>0</v>
      </c>
      <c r="Z114" s="16">
        <f ca="1">IFERROR(_xlfn.XLOOKUP($F114,'FCDB 2017 (full)'!$C:$C,'FCDB 2017 (full)'!$Q:$Q)*$H114/100,0)</f>
        <v>0</v>
      </c>
      <c r="AA114" s="16">
        <f ca="1">IFERROR(_xlfn.XLOOKUP($F114,'FCDB 2017 (full)'!$C:$C,'FCDB 2017 (full)'!$R:$R)*$H114/100,0)</f>
        <v>0</v>
      </c>
      <c r="AB114" s="16">
        <f ca="1">IFERROR(_xlfn.XLOOKUP($F114,'FCDB 2017 (full)'!$C:$C,'FCDB 2017 (full)'!$S:$S)*$H114/100,0)</f>
        <v>0</v>
      </c>
      <c r="AC114" s="16">
        <f ca="1">IFERROR(_xlfn.XLOOKUP($F114,'FCDB 2017 (full)'!$C:$C,'FCDB 2017 (full)'!$T:$T)*$H114/100,0)</f>
        <v>0</v>
      </c>
      <c r="AD114" s="16">
        <f ca="1">IFERROR(_xlfn.XLOOKUP($F114,'FCDB 2017 (full)'!$C:$C,'FCDB 2017 (full)'!$U:$U)*$H114/100,0)</f>
        <v>0</v>
      </c>
      <c r="AE114" s="16">
        <f ca="1">IFERROR(_xlfn.XLOOKUP($F114,'FCDB 2017 (full)'!$C:$C,'FCDB 2017 (full)'!$V:$V)*$H114/100,0)</f>
        <v>0</v>
      </c>
      <c r="AF114" s="16">
        <f ca="1">IFERROR(_xlfn.XLOOKUP($F114,'FCDB 2017 (full)'!$C:$C,'FCDB 2017 (full)'!$W:$W)*$H114/100,0)</f>
        <v>0</v>
      </c>
      <c r="AG114" s="16">
        <f ca="1">IFERROR(_xlfn.XLOOKUP($F114,'FCDB 2017 (full)'!$C:$C,'FCDB 2017 (full)'!$X:$X)*$H114/100,0)</f>
        <v>0</v>
      </c>
      <c r="AH114" s="16">
        <f ca="1">IFERROR(_xlfn.XLOOKUP($F114,'FCDB 2017 (full)'!$C:$C,'FCDB 2017 (full)'!$Y:$Y)*$H114/100,0)</f>
        <v>0</v>
      </c>
      <c r="AI114" s="16">
        <f ca="1">IFERROR(_xlfn.XLOOKUP($F114,'FCDB 2017 (full)'!$C:$C,'FCDB 2017 (full)'!$Z:$Z)*$H114/100,0)</f>
        <v>0</v>
      </c>
      <c r="AJ114" s="16">
        <f ca="1">IFERROR(_xlfn.XLOOKUP($F114,'FCDB 2017 (full)'!$C:$C,'FCDB 2017 (full)'!$AA:$AA)*$H114/100,0)</f>
        <v>0</v>
      </c>
      <c r="AK114" s="16">
        <f ca="1">IFERROR(_xlfn.XLOOKUP($F114,'FCDB 2017 (full)'!$C:$C,'FCDB 2017 (full)'!$AB:$AB)*$H114/100,0)</f>
        <v>0</v>
      </c>
      <c r="AL114" s="16">
        <f ca="1">IFERROR(_xlfn.XLOOKUP($F114,'FCDB 2017 (full)'!$C:$C,'FCDB 2017 (full)'!$AC:$AC)*$H114/100,0)</f>
        <v>0</v>
      </c>
      <c r="AM114" s="16">
        <f ca="1">IFERROR(_xlfn.XLOOKUP($F114,'FCDB 2017 (full)'!$C:$C,'FCDB 2017 (full)'!$AD:$AD)*$H114/100,0)</f>
        <v>0</v>
      </c>
      <c r="AN114" s="16">
        <f ca="1">IFERROR(_xlfn.XLOOKUP($F114,'FCDB 2017 (full)'!$C:$C,'FCDB 2017 (full)'!$AE:$AE)*$H114/100,0)</f>
        <v>0</v>
      </c>
      <c r="AO114" s="16">
        <f ca="1">IFERROR(_xlfn.XLOOKUP($F114,'FCDB 2017 (full)'!$C:$C,'FCDB 2017 (full)'!$AF:$AF)*$H114/100,0)</f>
        <v>0</v>
      </c>
      <c r="AP114" s="16">
        <f ca="1">IFERROR(_xlfn.XLOOKUP($F114,'FCDB 2017 (full)'!$C:$C,'FCDB 2017 (full)'!$AG:$AG)*$H114/100,0)</f>
        <v>0</v>
      </c>
      <c r="AQ114" s="16">
        <f ca="1">IFERROR(_xlfn.XLOOKUP($F114,'FCDB 2017 (full)'!$C:$C,'FCDB 2017 (full)'!$AH:$AH)*$H114/100,0)</f>
        <v>0</v>
      </c>
      <c r="AR114" s="16">
        <f ca="1">IFERROR(_xlfn.XLOOKUP($F114,'FCDB 2017 (full)'!$C:$C,'FCDB 2017 (full)'!$AI:$AI)*$H114/100,0)</f>
        <v>0</v>
      </c>
      <c r="AS114" s="16">
        <f ca="1">IFERROR(_xlfn.XLOOKUP($F114,'FCDB 2017 (full)'!$C:$C,'FCDB 2017 (full)'!$AJ:$AJ)*$H114/100,0)</f>
        <v>0</v>
      </c>
      <c r="AT114" s="16">
        <f ca="1">IFERROR(_xlfn.XLOOKUP($F114,'FCDB 2017 (full)'!$C:$C,'FCDB 2017 (full)'!$AK:$AK)*$H114/100,0)</f>
        <v>0</v>
      </c>
      <c r="AU114" s="16">
        <f ca="1">IFERROR(_xlfn.XLOOKUP($F114,'FCDB 2017 (full)'!$C:$C,'FCDB 2017 (full)'!$AK:$AK)*$H114/100,0)</f>
        <v>0</v>
      </c>
      <c r="AV114" s="16">
        <f ca="1">IFERROR(_xlfn.XLOOKUP($F114,'FCDB 2017 (full)'!$C:$C,'FCDB 2017 (full)'!$AM:$AM)*$H114/100,0)</f>
        <v>0</v>
      </c>
      <c r="AW114" s="16">
        <f ca="1">IFERROR(_xlfn.XLOOKUP($F114,'FCDB 2017 (full)'!$C:$C,'FCDB 2017 (full)'!$AN:$AN)*$H114/100,0)</f>
        <v>0</v>
      </c>
      <c r="AX114" s="16">
        <f ca="1">IFERROR(_xlfn.XLOOKUP($F114,'FCDB 2017 (full)'!$C:$C,'FCDB 2017 (full)'!$AO:$AO)*$H114/100,0)</f>
        <v>0</v>
      </c>
      <c r="AY114" s="16">
        <f ca="1">IFERROR(_xlfn.XLOOKUP($F114,'FCDB 2017 (full)'!$C:$C,'FCDB 2017 (full)'!$AP:$AP)*$H114/100,0)</f>
        <v>0</v>
      </c>
      <c r="AZ114" s="16">
        <f ca="1">IFERROR(_xlfn.XLOOKUP($F114,'FCDB 2017 (full)'!$C:$C,'FCDB 2017 (full)'!$AQ:$AQ)*$H114/100,0)</f>
        <v>0</v>
      </c>
      <c r="BA114" s="16">
        <f ca="1">IFERROR(_xlfn.XLOOKUP($F114,'FCDB 2017 (full)'!$C:$C,'FCDB 2017 (full)'!$AR:$AR)*$H114/100,0)</f>
        <v>0</v>
      </c>
      <c r="BB114" s="16">
        <f ca="1">IFERROR(_xlfn.XLOOKUP($F114,'FCDB 2017 (full)'!$C:$C,'FCDB 2017 (full)'!$AS:$AS)*$H114/100,0)</f>
        <v>0</v>
      </c>
      <c r="BC114" s="16">
        <f ca="1">IFERROR(_xlfn.XLOOKUP($F114,'FCDB 2017 (full)'!$C:$C,'FCDB 2017 (full)'!$AT:$AT)*$H114/100,0)</f>
        <v>0</v>
      </c>
      <c r="BD114" s="16">
        <f ca="1">IFERROR(_xlfn.XLOOKUP($F114,'FCDB 2017 (full)'!$C:$C,'FCDB 2017 (full)'!$AU:$AU)*$H114/100,0)</f>
        <v>0</v>
      </c>
      <c r="BE114" s="16">
        <f ca="1">IFERROR(_xlfn.XLOOKUP($F114,'FCDB 2017 (full)'!$C:$C,'FCDB 2017 (full)'!$AV:$AV)*$H114/100,0)</f>
        <v>0</v>
      </c>
      <c r="BF114" s="16">
        <f ca="1">IFERROR(_xlfn.XLOOKUP($F114,'FCDB 2017 (full)'!$C:$C,'FCDB 2017 (full)'!$AW:$AW)*$H114/100,0)</f>
        <v>0</v>
      </c>
      <c r="BG114" s="16">
        <f ca="1">IFERROR(_xlfn.XLOOKUP($F114,'FCDB 2017 (full)'!$C:$C,'FCDB 2017 (full)'!$AX:$AX)*$H114/100,0)</f>
        <v>0</v>
      </c>
      <c r="BH114" s="16">
        <f ca="1">IFERROR(_xlfn.XLOOKUP($F114,'FCDB 2017 (full)'!$C:$C,'FCDB 2017 (full)'!$AY:$AY)*$H114/100,0)</f>
        <v>0</v>
      </c>
      <c r="BI114" s="16">
        <f ca="1">IFERROR(_xlfn.XLOOKUP($F114,'FCDB 2017 (full)'!$C:$C,'FCDB 2017 (full)'!$AZ:$AZ)*$H114/100,0)</f>
        <v>0</v>
      </c>
      <c r="BJ114" s="16">
        <f ca="1">IFERROR(_xlfn.XLOOKUP($F114,'FCDB 2017 (full)'!$C:$C,'FCDB 2017 (full)'!$BA:$BA)*$H114/100,0)</f>
        <v>0</v>
      </c>
      <c r="BK114" s="16">
        <f ca="1">IFERROR(_xlfn.XLOOKUP($F114,'FCDB 2017 (full)'!$C:$C,'FCDB 2017 (full)'!$BB:$BB)*$H114/100,0)</f>
        <v>0</v>
      </c>
      <c r="BL114" s="16">
        <f ca="1">IFERROR(_xlfn.XLOOKUP($F114,'FCDB 2017 (full)'!$C:$C,'FCDB 2017 (full)'!$BC:$BC)*$H114/100,0)</f>
        <v>0</v>
      </c>
      <c r="BM114" s="16">
        <f ca="1">IFERROR(_xlfn.XLOOKUP($F114,'FCDB 2017 (full)'!$C:$C,'FCDB 2017 (full)'!$BD:$BD)*$H114/100,0)</f>
        <v>0</v>
      </c>
      <c r="BN114" s="16">
        <f ca="1">IFERROR(_xlfn.XLOOKUP($F114,'FCDB 2017 (full)'!$C:$C,'FCDB 2017 (full)'!$BE:$BE)*$H114/100,0)</f>
        <v>0</v>
      </c>
      <c r="BO114" s="16">
        <f ca="1">IFERROR(_xlfn.XLOOKUP($F114,'FCDB 2017 (full)'!$C:$C,'FCDB 2017 (full)'!$BF:$BF)*$H114/100,0)</f>
        <v>0</v>
      </c>
      <c r="BP114" s="16">
        <f ca="1">IFERROR(_xlfn.XLOOKUP($F114,'FCDB 2017 (full)'!$C:$C,'FCDB 2017 (full)'!$BG:$BG)*$H114/100,0)</f>
        <v>0</v>
      </c>
      <c r="BQ114" s="16">
        <f ca="1">IFERROR(_xlfn.XLOOKUP($F114,'FCDB 2017 (full)'!$C:$C,'FCDB 2017 (full)'!$BH:$BH)*$H114/100,0)</f>
        <v>0</v>
      </c>
      <c r="BR114" s="16">
        <f ca="1">IFERROR(_xlfn.XLOOKUP($F114,'FCDB 2017 (full)'!$C:$C,'FCDB 2017 (full)'!$BI:$BI)*$H114/100,0)</f>
        <v>0</v>
      </c>
      <c r="BS114" s="16">
        <f ca="1">IFERROR(_xlfn.XLOOKUP($F114,'FCDB 2017 (full)'!$C:$C,'FCDB 2017 (full)'!$BJ:$BJ)*$H114/100,0)</f>
        <v>0</v>
      </c>
      <c r="BT114" s="16">
        <f ca="1">IFERROR(_xlfn.XLOOKUP($F114,'FCDB 2017 (full)'!$C:$C,'FCDB 2017 (full)'!$BK:$BK)*$H114/100,0)</f>
        <v>0</v>
      </c>
      <c r="BU114" s="16">
        <f ca="1">IFERROR(_xlfn.XLOOKUP($F114,'FCDB 2017 (full)'!$C:$C,'FCDB 2017 (full)'!$BL:$BL)*$H114/100,0)</f>
        <v>0</v>
      </c>
      <c r="BV114" s="16">
        <f ca="1">IFERROR(_xlfn.XLOOKUP($F114,'FCDB 2017 (full)'!$C:$C,'FCDB 2017 (full)'!$BM:$BM)*$H114/100,0)</f>
        <v>0</v>
      </c>
      <c r="BW114" s="16">
        <f ca="1">IFERROR(_xlfn.XLOOKUP($F114,'FCDB 2017 (full)'!$C:$C,'FCDB 2017 (full)'!$BN:$BN)*$H114/100,0)</f>
        <v>0</v>
      </c>
      <c r="BX114" s="16">
        <f ca="1">IFERROR(_xlfn.XLOOKUP($F114,'FCDB 2017 (full)'!$C:$C,'FCDB 2017 (full)'!$BO:$BO)*$H114/100,0)</f>
        <v>0</v>
      </c>
      <c r="BY114" s="16">
        <f ca="1">IFERROR(_xlfn.XLOOKUP($F114,'FCDB 2017 (full)'!$C:$C,'FCDB 2017 (full)'!$BP:$BP)*$H114/100,0)</f>
        <v>0</v>
      </c>
      <c r="BZ114" s="16">
        <f ca="1">IFERROR(_xlfn.XLOOKUP($F114,'FCDB 2017 (full)'!$C:$C,'FCDB 2017 (full)'!$BQ:$BQ)*$H114/100,0)</f>
        <v>0</v>
      </c>
      <c r="CA114" s="16">
        <f ca="1">IFERROR(_xlfn.XLOOKUP($F114,'FCDB 2017 (full)'!$C:$C,'FCDB 2017 (full)'!$BR:$BR)*$H114/100,0)</f>
        <v>0</v>
      </c>
      <c r="CB114" s="16">
        <f ca="1">IFERROR(_xlfn.XLOOKUP($F114,'FCDB 2017 (full)'!$C:$C,'FCDB 2017 (full)'!$BS:$BS)*$H114/100,0)</f>
        <v>0</v>
      </c>
      <c r="CC114" s="16">
        <f ca="1">IFERROR(_xlfn.XLOOKUP($F114,'FCDB 2017 (full)'!$C:$C,'FCDB 2017 (full)'!$BT:$BT)*$H114/100,0)</f>
        <v>0</v>
      </c>
      <c r="CD114" s="16">
        <f ca="1">IFERROR(_xlfn.XLOOKUP($F114,'FCDB 2017 (full)'!$C:$C,'FCDB 2017 (full)'!$BU:$BU)*$H114/100,0)</f>
        <v>0</v>
      </c>
      <c r="CE114" s="16">
        <f ca="1">IFERROR(_xlfn.XLOOKUP($F114,'FCDB 2017 (full)'!$C:$C,'FCDB 2017 (full)'!$BV:$BV)*$H114/100,0)</f>
        <v>0</v>
      </c>
      <c r="CF114" s="16">
        <f ca="1">IFERROR(_xlfn.XLOOKUP($F114,'FCDB 2017 (full)'!$C:$C,'FCDB 2017 (full)'!$BW:$BW)*$H114/100,0)</f>
        <v>0</v>
      </c>
      <c r="CG114" s="16">
        <f ca="1">IFERROR(_xlfn.XLOOKUP($F114,'FCDB 2017 (full)'!$C:$C,'FCDB 2017 (full)'!$BX:$BX)*$H114/100,0)</f>
        <v>0</v>
      </c>
      <c r="CH114" s="16">
        <f ca="1">IFERROR(_xlfn.XLOOKUP($F114,'FCDB 2017 (full)'!$C:$C,'FCDB 2017 (full)'!$BY:$BY)*$H114/100,0)</f>
        <v>0</v>
      </c>
      <c r="CI114" s="16">
        <f ca="1">IFERROR(_xlfn.XLOOKUP($F114,'FCDB 2017 (full)'!$C:$C,'FCDB 2017 (full)'!$BZ:$BZ)*$H114/100,0)</f>
        <v>0</v>
      </c>
      <c r="CJ114" s="16">
        <f ca="1">IFERROR(_xlfn.XLOOKUP($F114,'FCDB 2017 (full)'!$C:$C,'FCDB 2017 (full)'!$CA:$CA)*$H114/100,0)</f>
        <v>0</v>
      </c>
      <c r="CK114" s="16">
        <f ca="1">IFERROR(_xlfn.XLOOKUP($F114,'FCDB 2017 (full)'!$C:$C,'FCDB 2017 (full)'!$CB:$CB)*$H114/100,0)</f>
        <v>0</v>
      </c>
      <c r="CL114" s="16">
        <f ca="1">IFERROR(_xlfn.XLOOKUP($F114,'FCDB 2017 (full)'!$C:$C,'FCDB 2017 (full)'!$CC:$CC)*$H114/100,0)</f>
        <v>0</v>
      </c>
      <c r="CM114" s="16">
        <f ca="1">IFERROR(_xlfn.XLOOKUP($F114,'FCDB 2017 (full)'!$C:$C,'FCDB 2017 (full)'!$CD:$CD)*$H114/100,0)</f>
        <v>0</v>
      </c>
      <c r="CN114" s="16">
        <f ca="1">IFERROR(_xlfn.XLOOKUP($F114,'FCDB 2017 (full)'!$C:$C,'FCDB 2017 (full)'!$CE:$CE)*$H114/100,0)</f>
        <v>0</v>
      </c>
      <c r="CO114" s="16">
        <f ca="1">IFERROR(_xlfn.XLOOKUP($F114,'FCDB 2017 (full)'!$C:$C,'FCDB 2017 (full)'!$CF:$CF)*$H114/100,0)</f>
        <v>0</v>
      </c>
      <c r="CP114" s="16">
        <f ca="1">IFERROR(_xlfn.XLOOKUP($F114,'FCDB 2017 (full)'!$C:$C,'FCDB 2017 (full)'!$CG:$CG)*$H114/100,0)</f>
        <v>0</v>
      </c>
      <c r="CQ114" s="16">
        <f ca="1">IFERROR(_xlfn.XLOOKUP($F114,'FCDB 2017 (full)'!$C:$C,'FCDB 2017 (full)'!$CH:$CH)*$H114/100,0)</f>
        <v>0</v>
      </c>
      <c r="CR114"/>
      <c r="DA114" s="72" t="s">
        <v>982</v>
      </c>
    </row>
    <row r="115" spans="4:105" ht="16.8">
      <c r="D115"/>
      <c r="E115"/>
      <c r="F115" s="11" t="str">
        <f>IFERROR(VLOOKUP($D$96,$D:$AE,18,0),0)</f>
        <v>Thịt vịt (cả con)</v>
      </c>
      <c r="G115" s="7" t="e" cm="1">
        <f t="array" aca="1" ref="G115" ca="1">IF(F115=0,0,IF(_xlfn.XLOOKUP(F115,$E$96:$AE$96,$E$97:$AE$97)=0,"Nhập ĐV/TV",_xlfn.XLOOKUP(F115,$E$96:$AE$96,$E$97:$AE$97)))</f>
        <v>#NAME?</v>
      </c>
      <c r="H115" s="8">
        <f t="shared" si="26"/>
        <v>50</v>
      </c>
      <c r="I115" s="9">
        <f ca="1">IFERROR(_xlfn.XLOOKUP($F115,'FCDB 2017 (full)'!$C:$C,'FCDB 2017 (full)'!$E:$E),0)</f>
        <v>0</v>
      </c>
      <c r="J115" s="10">
        <f t="shared" ca="1" si="20"/>
        <v>0</v>
      </c>
      <c r="K115" s="9">
        <f ca="1">IFERROR(_xlfn.XLOOKUP($F115,'FCDB 2017 (full)'!$C:$C,'FCDB 2017 (full)'!$G:$G),0)</f>
        <v>0</v>
      </c>
      <c r="L115" s="13" t="e">
        <f t="shared" ca="1" si="21"/>
        <v>#NAME?</v>
      </c>
      <c r="M115" s="13" t="e">
        <f t="shared" ca="1" si="22"/>
        <v>#NAME?</v>
      </c>
      <c r="N115" s="9">
        <f ca="1">IFERROR(_xlfn.XLOOKUP($F115,'FCDB 2017 (full)'!$C:$C,'FCDB 2017 (full)'!$H:$H),0)</f>
        <v>0</v>
      </c>
      <c r="O115" s="14" t="e">
        <f t="shared" ca="1" si="23"/>
        <v>#NAME?</v>
      </c>
      <c r="P115" s="14" t="e">
        <f t="shared" ca="1" si="24"/>
        <v>#NAME?</v>
      </c>
      <c r="Q115" s="9">
        <f ca="1">IFERROR(_xlfn.XLOOKUP($F115,'FCDB 2017 (full)'!$C:$C,'FCDB 2017 (full)'!$I:$I),0)</f>
        <v>0</v>
      </c>
      <c r="R115" s="15">
        <f t="shared" ca="1" si="25"/>
        <v>0</v>
      </c>
      <c r="S115" s="16">
        <f ca="1">IFERROR(_xlfn.XLOOKUP($F115,'FCDB 2017 (full)'!$C:$C,'FCDB 2017 (full)'!$J:$J)*$H115/100,0)</f>
        <v>0</v>
      </c>
      <c r="T115" s="16">
        <f ca="1">IFERROR(_xlfn.XLOOKUP($F115,'FCDB 2017 (full)'!$C:$C,'FCDB 2017 (full)'!$K:$K)*$H115/100,0)</f>
        <v>0</v>
      </c>
      <c r="U115" s="16">
        <f ca="1">IFERROR(_xlfn.XLOOKUP($F115,'FCDB 2017 (full)'!$C:$C,'FCDB 2017 (full)'!$L:$L)*$H115/100,0)</f>
        <v>0</v>
      </c>
      <c r="V115" s="16">
        <f ca="1">IFERROR(_xlfn.XLOOKUP($F115,'FCDB 2017 (full)'!$C:$C,'FCDB 2017 (full)'!$M:$M)*$H115/100,0)</f>
        <v>0</v>
      </c>
      <c r="W115" s="16">
        <f ca="1">IFERROR(_xlfn.XLOOKUP($F115,'FCDB 2017 (full)'!$C:$C,'FCDB 2017 (full)'!$N:$N)*$H115/100,0)</f>
        <v>0</v>
      </c>
      <c r="X115" s="16">
        <f ca="1">IFERROR(_xlfn.XLOOKUP($F115,'FCDB 2017 (full)'!$C:$C,'FCDB 2017 (full)'!$O:$O)*$H115/100,0)</f>
        <v>0</v>
      </c>
      <c r="Y115" s="16">
        <f ca="1">IFERROR(_xlfn.XLOOKUP($F115,'FCDB 2017 (full)'!$C:$C,'FCDB 2017 (full)'!$P:$P)*$H115/100,0)</f>
        <v>0</v>
      </c>
      <c r="Z115" s="16">
        <f ca="1">IFERROR(_xlfn.XLOOKUP($F115,'FCDB 2017 (full)'!$C:$C,'FCDB 2017 (full)'!$Q:$Q)*$H115/100,0)</f>
        <v>0</v>
      </c>
      <c r="AA115" s="16">
        <f ca="1">IFERROR(_xlfn.XLOOKUP($F115,'FCDB 2017 (full)'!$C:$C,'FCDB 2017 (full)'!$R:$R)*$H115/100,0)</f>
        <v>0</v>
      </c>
      <c r="AB115" s="16">
        <f ca="1">IFERROR(_xlfn.XLOOKUP($F115,'FCDB 2017 (full)'!$C:$C,'FCDB 2017 (full)'!$S:$S)*$H115/100,0)</f>
        <v>0</v>
      </c>
      <c r="AC115" s="16">
        <f ca="1">IFERROR(_xlfn.XLOOKUP($F115,'FCDB 2017 (full)'!$C:$C,'FCDB 2017 (full)'!$T:$T)*$H115/100,0)</f>
        <v>0</v>
      </c>
      <c r="AD115" s="16">
        <f ca="1">IFERROR(_xlfn.XLOOKUP($F115,'FCDB 2017 (full)'!$C:$C,'FCDB 2017 (full)'!$U:$U)*$H115/100,0)</f>
        <v>0</v>
      </c>
      <c r="AE115" s="16">
        <f ca="1">IFERROR(_xlfn.XLOOKUP($F115,'FCDB 2017 (full)'!$C:$C,'FCDB 2017 (full)'!$V:$V)*$H115/100,0)</f>
        <v>0</v>
      </c>
      <c r="AF115" s="16">
        <f ca="1">IFERROR(_xlfn.XLOOKUP($F115,'FCDB 2017 (full)'!$C:$C,'FCDB 2017 (full)'!$W:$W)*$H115/100,0)</f>
        <v>0</v>
      </c>
      <c r="AG115" s="16">
        <f ca="1">IFERROR(_xlfn.XLOOKUP($F115,'FCDB 2017 (full)'!$C:$C,'FCDB 2017 (full)'!$X:$X)*$H115/100,0)</f>
        <v>0</v>
      </c>
      <c r="AH115" s="16">
        <f ca="1">IFERROR(_xlfn.XLOOKUP($F115,'FCDB 2017 (full)'!$C:$C,'FCDB 2017 (full)'!$Y:$Y)*$H115/100,0)</f>
        <v>0</v>
      </c>
      <c r="AI115" s="16">
        <f ca="1">IFERROR(_xlfn.XLOOKUP($F115,'FCDB 2017 (full)'!$C:$C,'FCDB 2017 (full)'!$Z:$Z)*$H115/100,0)</f>
        <v>0</v>
      </c>
      <c r="AJ115" s="16">
        <f ca="1">IFERROR(_xlfn.XLOOKUP($F115,'FCDB 2017 (full)'!$C:$C,'FCDB 2017 (full)'!$AA:$AA)*$H115/100,0)</f>
        <v>0</v>
      </c>
      <c r="AK115" s="16">
        <f ca="1">IFERROR(_xlfn.XLOOKUP($F115,'FCDB 2017 (full)'!$C:$C,'FCDB 2017 (full)'!$AB:$AB)*$H115/100,0)</f>
        <v>0</v>
      </c>
      <c r="AL115" s="16">
        <f ca="1">IFERROR(_xlfn.XLOOKUP($F115,'FCDB 2017 (full)'!$C:$C,'FCDB 2017 (full)'!$AC:$AC)*$H115/100,0)</f>
        <v>0</v>
      </c>
      <c r="AM115" s="16">
        <f ca="1">IFERROR(_xlfn.XLOOKUP($F115,'FCDB 2017 (full)'!$C:$C,'FCDB 2017 (full)'!$AD:$AD)*$H115/100,0)</f>
        <v>0</v>
      </c>
      <c r="AN115" s="16">
        <f ca="1">IFERROR(_xlfn.XLOOKUP($F115,'FCDB 2017 (full)'!$C:$C,'FCDB 2017 (full)'!$AE:$AE)*$H115/100,0)</f>
        <v>0</v>
      </c>
      <c r="AO115" s="16">
        <f ca="1">IFERROR(_xlfn.XLOOKUP($F115,'FCDB 2017 (full)'!$C:$C,'FCDB 2017 (full)'!$AF:$AF)*$H115/100,0)</f>
        <v>0</v>
      </c>
      <c r="AP115" s="16">
        <f ca="1">IFERROR(_xlfn.XLOOKUP($F115,'FCDB 2017 (full)'!$C:$C,'FCDB 2017 (full)'!$AG:$AG)*$H115/100,0)</f>
        <v>0</v>
      </c>
      <c r="AQ115" s="16">
        <f ca="1">IFERROR(_xlfn.XLOOKUP($F115,'FCDB 2017 (full)'!$C:$C,'FCDB 2017 (full)'!$AH:$AH)*$H115/100,0)</f>
        <v>0</v>
      </c>
      <c r="AR115" s="16">
        <f ca="1">IFERROR(_xlfn.XLOOKUP($F115,'FCDB 2017 (full)'!$C:$C,'FCDB 2017 (full)'!$AI:$AI)*$H115/100,0)</f>
        <v>0</v>
      </c>
      <c r="AS115" s="16">
        <f ca="1">IFERROR(_xlfn.XLOOKUP($F115,'FCDB 2017 (full)'!$C:$C,'FCDB 2017 (full)'!$AJ:$AJ)*$H115/100,0)</f>
        <v>0</v>
      </c>
      <c r="AT115" s="16">
        <f ca="1">IFERROR(_xlfn.XLOOKUP($F115,'FCDB 2017 (full)'!$C:$C,'FCDB 2017 (full)'!$AK:$AK)*$H115/100,0)</f>
        <v>0</v>
      </c>
      <c r="AU115" s="16">
        <f ca="1">IFERROR(_xlfn.XLOOKUP($F115,'FCDB 2017 (full)'!$C:$C,'FCDB 2017 (full)'!$AK:$AK)*$H115/100,0)</f>
        <v>0</v>
      </c>
      <c r="AV115" s="16">
        <f ca="1">IFERROR(_xlfn.XLOOKUP($F115,'FCDB 2017 (full)'!$C:$C,'FCDB 2017 (full)'!$AM:$AM)*$H115/100,0)</f>
        <v>0</v>
      </c>
      <c r="AW115" s="16">
        <f ca="1">IFERROR(_xlfn.XLOOKUP($F115,'FCDB 2017 (full)'!$C:$C,'FCDB 2017 (full)'!$AN:$AN)*$H115/100,0)</f>
        <v>0</v>
      </c>
      <c r="AX115" s="16">
        <f ca="1">IFERROR(_xlfn.XLOOKUP($F115,'FCDB 2017 (full)'!$C:$C,'FCDB 2017 (full)'!$AO:$AO)*$H115/100,0)</f>
        <v>0</v>
      </c>
      <c r="AY115" s="16">
        <f ca="1">IFERROR(_xlfn.XLOOKUP($F115,'FCDB 2017 (full)'!$C:$C,'FCDB 2017 (full)'!$AP:$AP)*$H115/100,0)</f>
        <v>0</v>
      </c>
      <c r="AZ115" s="16">
        <f ca="1">IFERROR(_xlfn.XLOOKUP($F115,'FCDB 2017 (full)'!$C:$C,'FCDB 2017 (full)'!$AQ:$AQ)*$H115/100,0)</f>
        <v>0</v>
      </c>
      <c r="BA115" s="16">
        <f ca="1">IFERROR(_xlfn.XLOOKUP($F115,'FCDB 2017 (full)'!$C:$C,'FCDB 2017 (full)'!$AR:$AR)*$H115/100,0)</f>
        <v>0</v>
      </c>
      <c r="BB115" s="16">
        <f ca="1">IFERROR(_xlfn.XLOOKUP($F115,'FCDB 2017 (full)'!$C:$C,'FCDB 2017 (full)'!$AS:$AS)*$H115/100,0)</f>
        <v>0</v>
      </c>
      <c r="BC115" s="16">
        <f ca="1">IFERROR(_xlfn.XLOOKUP($F115,'FCDB 2017 (full)'!$C:$C,'FCDB 2017 (full)'!$AT:$AT)*$H115/100,0)</f>
        <v>0</v>
      </c>
      <c r="BD115" s="16">
        <f ca="1">IFERROR(_xlfn.XLOOKUP($F115,'FCDB 2017 (full)'!$C:$C,'FCDB 2017 (full)'!$AU:$AU)*$H115/100,0)</f>
        <v>0</v>
      </c>
      <c r="BE115" s="16">
        <f ca="1">IFERROR(_xlfn.XLOOKUP($F115,'FCDB 2017 (full)'!$C:$C,'FCDB 2017 (full)'!$AV:$AV)*$H115/100,0)</f>
        <v>0</v>
      </c>
      <c r="BF115" s="16">
        <f ca="1">IFERROR(_xlfn.XLOOKUP($F115,'FCDB 2017 (full)'!$C:$C,'FCDB 2017 (full)'!$AW:$AW)*$H115/100,0)</f>
        <v>0</v>
      </c>
      <c r="BG115" s="16">
        <f ca="1">IFERROR(_xlfn.XLOOKUP($F115,'FCDB 2017 (full)'!$C:$C,'FCDB 2017 (full)'!$AX:$AX)*$H115/100,0)</f>
        <v>0</v>
      </c>
      <c r="BH115" s="16">
        <f ca="1">IFERROR(_xlfn.XLOOKUP($F115,'FCDB 2017 (full)'!$C:$C,'FCDB 2017 (full)'!$AY:$AY)*$H115/100,0)</f>
        <v>0</v>
      </c>
      <c r="BI115" s="16">
        <f ca="1">IFERROR(_xlfn.XLOOKUP($F115,'FCDB 2017 (full)'!$C:$C,'FCDB 2017 (full)'!$AZ:$AZ)*$H115/100,0)</f>
        <v>0</v>
      </c>
      <c r="BJ115" s="16">
        <f ca="1">IFERROR(_xlfn.XLOOKUP($F115,'FCDB 2017 (full)'!$C:$C,'FCDB 2017 (full)'!$BA:$BA)*$H115/100,0)</f>
        <v>0</v>
      </c>
      <c r="BK115" s="16">
        <f ca="1">IFERROR(_xlfn.XLOOKUP($F115,'FCDB 2017 (full)'!$C:$C,'FCDB 2017 (full)'!$BB:$BB)*$H115/100,0)</f>
        <v>0</v>
      </c>
      <c r="BL115" s="16">
        <f ca="1">IFERROR(_xlfn.XLOOKUP($F115,'FCDB 2017 (full)'!$C:$C,'FCDB 2017 (full)'!$BC:$BC)*$H115/100,0)</f>
        <v>0</v>
      </c>
      <c r="BM115" s="16">
        <f ca="1">IFERROR(_xlfn.XLOOKUP($F115,'FCDB 2017 (full)'!$C:$C,'FCDB 2017 (full)'!$BD:$BD)*$H115/100,0)</f>
        <v>0</v>
      </c>
      <c r="BN115" s="16">
        <f ca="1">IFERROR(_xlfn.XLOOKUP($F115,'FCDB 2017 (full)'!$C:$C,'FCDB 2017 (full)'!$BE:$BE)*$H115/100,0)</f>
        <v>0</v>
      </c>
      <c r="BO115" s="16">
        <f ca="1">IFERROR(_xlfn.XLOOKUP($F115,'FCDB 2017 (full)'!$C:$C,'FCDB 2017 (full)'!$BF:$BF)*$H115/100,0)</f>
        <v>0</v>
      </c>
      <c r="BP115" s="16">
        <f ca="1">IFERROR(_xlfn.XLOOKUP($F115,'FCDB 2017 (full)'!$C:$C,'FCDB 2017 (full)'!$BG:$BG)*$H115/100,0)</f>
        <v>0</v>
      </c>
      <c r="BQ115" s="16">
        <f ca="1">IFERROR(_xlfn.XLOOKUP($F115,'FCDB 2017 (full)'!$C:$C,'FCDB 2017 (full)'!$BH:$BH)*$H115/100,0)</f>
        <v>0</v>
      </c>
      <c r="BR115" s="16">
        <f ca="1">IFERROR(_xlfn.XLOOKUP($F115,'FCDB 2017 (full)'!$C:$C,'FCDB 2017 (full)'!$BI:$BI)*$H115/100,0)</f>
        <v>0</v>
      </c>
      <c r="BS115" s="16">
        <f ca="1">IFERROR(_xlfn.XLOOKUP($F115,'FCDB 2017 (full)'!$C:$C,'FCDB 2017 (full)'!$BJ:$BJ)*$H115/100,0)</f>
        <v>0</v>
      </c>
      <c r="BT115" s="16">
        <f ca="1">IFERROR(_xlfn.XLOOKUP($F115,'FCDB 2017 (full)'!$C:$C,'FCDB 2017 (full)'!$BK:$BK)*$H115/100,0)</f>
        <v>0</v>
      </c>
      <c r="BU115" s="16">
        <f ca="1">IFERROR(_xlfn.XLOOKUP($F115,'FCDB 2017 (full)'!$C:$C,'FCDB 2017 (full)'!$BL:$BL)*$H115/100,0)</f>
        <v>0</v>
      </c>
      <c r="BV115" s="16">
        <f ca="1">IFERROR(_xlfn.XLOOKUP($F115,'FCDB 2017 (full)'!$C:$C,'FCDB 2017 (full)'!$BM:$BM)*$H115/100,0)</f>
        <v>0</v>
      </c>
      <c r="BW115" s="16">
        <f ca="1">IFERROR(_xlfn.XLOOKUP($F115,'FCDB 2017 (full)'!$C:$C,'FCDB 2017 (full)'!$BN:$BN)*$H115/100,0)</f>
        <v>0</v>
      </c>
      <c r="BX115" s="16">
        <f ca="1">IFERROR(_xlfn.XLOOKUP($F115,'FCDB 2017 (full)'!$C:$C,'FCDB 2017 (full)'!$BO:$BO)*$H115/100,0)</f>
        <v>0</v>
      </c>
      <c r="BY115" s="16">
        <f ca="1">IFERROR(_xlfn.XLOOKUP($F115,'FCDB 2017 (full)'!$C:$C,'FCDB 2017 (full)'!$BP:$BP)*$H115/100,0)</f>
        <v>0</v>
      </c>
      <c r="BZ115" s="16">
        <f ca="1">IFERROR(_xlfn.XLOOKUP($F115,'FCDB 2017 (full)'!$C:$C,'FCDB 2017 (full)'!$BQ:$BQ)*$H115/100,0)</f>
        <v>0</v>
      </c>
      <c r="CA115" s="16">
        <f ca="1">IFERROR(_xlfn.XLOOKUP($F115,'FCDB 2017 (full)'!$C:$C,'FCDB 2017 (full)'!$BR:$BR)*$H115/100,0)</f>
        <v>0</v>
      </c>
      <c r="CB115" s="16">
        <f ca="1">IFERROR(_xlfn.XLOOKUP($F115,'FCDB 2017 (full)'!$C:$C,'FCDB 2017 (full)'!$BS:$BS)*$H115/100,0)</f>
        <v>0</v>
      </c>
      <c r="CC115" s="16">
        <f ca="1">IFERROR(_xlfn.XLOOKUP($F115,'FCDB 2017 (full)'!$C:$C,'FCDB 2017 (full)'!$BT:$BT)*$H115/100,0)</f>
        <v>0</v>
      </c>
      <c r="CD115" s="16">
        <f ca="1">IFERROR(_xlfn.XLOOKUP($F115,'FCDB 2017 (full)'!$C:$C,'FCDB 2017 (full)'!$BU:$BU)*$H115/100,0)</f>
        <v>0</v>
      </c>
      <c r="CE115" s="16">
        <f ca="1">IFERROR(_xlfn.XLOOKUP($F115,'FCDB 2017 (full)'!$C:$C,'FCDB 2017 (full)'!$BV:$BV)*$H115/100,0)</f>
        <v>0</v>
      </c>
      <c r="CF115" s="16">
        <f ca="1">IFERROR(_xlfn.XLOOKUP($F115,'FCDB 2017 (full)'!$C:$C,'FCDB 2017 (full)'!$BW:$BW)*$H115/100,0)</f>
        <v>0</v>
      </c>
      <c r="CG115" s="16">
        <f ca="1">IFERROR(_xlfn.XLOOKUP($F115,'FCDB 2017 (full)'!$C:$C,'FCDB 2017 (full)'!$BX:$BX)*$H115/100,0)</f>
        <v>0</v>
      </c>
      <c r="CH115" s="16">
        <f ca="1">IFERROR(_xlfn.XLOOKUP($F115,'FCDB 2017 (full)'!$C:$C,'FCDB 2017 (full)'!$BY:$BY)*$H115/100,0)</f>
        <v>0</v>
      </c>
      <c r="CI115" s="16">
        <f ca="1">IFERROR(_xlfn.XLOOKUP($F115,'FCDB 2017 (full)'!$C:$C,'FCDB 2017 (full)'!$BZ:$BZ)*$H115/100,0)</f>
        <v>0</v>
      </c>
      <c r="CJ115" s="16">
        <f ca="1">IFERROR(_xlfn.XLOOKUP($F115,'FCDB 2017 (full)'!$C:$C,'FCDB 2017 (full)'!$CA:$CA)*$H115/100,0)</f>
        <v>0</v>
      </c>
      <c r="CK115" s="16">
        <f ca="1">IFERROR(_xlfn.XLOOKUP($F115,'FCDB 2017 (full)'!$C:$C,'FCDB 2017 (full)'!$CB:$CB)*$H115/100,0)</f>
        <v>0</v>
      </c>
      <c r="CL115" s="16">
        <f ca="1">IFERROR(_xlfn.XLOOKUP($F115,'FCDB 2017 (full)'!$C:$C,'FCDB 2017 (full)'!$CC:$CC)*$H115/100,0)</f>
        <v>0</v>
      </c>
      <c r="CM115" s="16">
        <f ca="1">IFERROR(_xlfn.XLOOKUP($F115,'FCDB 2017 (full)'!$C:$C,'FCDB 2017 (full)'!$CD:$CD)*$H115/100,0)</f>
        <v>0</v>
      </c>
      <c r="CN115" s="16">
        <f ca="1">IFERROR(_xlfn.XLOOKUP($F115,'FCDB 2017 (full)'!$C:$C,'FCDB 2017 (full)'!$CE:$CE)*$H115/100,0)</f>
        <v>0</v>
      </c>
      <c r="CO115" s="16">
        <f ca="1">IFERROR(_xlfn.XLOOKUP($F115,'FCDB 2017 (full)'!$C:$C,'FCDB 2017 (full)'!$CF:$CF)*$H115/100,0)</f>
        <v>0</v>
      </c>
      <c r="CP115" s="16">
        <f ca="1">IFERROR(_xlfn.XLOOKUP($F115,'FCDB 2017 (full)'!$C:$C,'FCDB 2017 (full)'!$CG:$CG)*$H115/100,0)</f>
        <v>0</v>
      </c>
      <c r="CQ115" s="16">
        <f ca="1">IFERROR(_xlfn.XLOOKUP($F115,'FCDB 2017 (full)'!$C:$C,'FCDB 2017 (full)'!$CH:$CH)*$H115/100,0)</f>
        <v>0</v>
      </c>
      <c r="CR115"/>
      <c r="DA115" s="72" t="s">
        <v>982</v>
      </c>
    </row>
    <row r="116" spans="4:105">
      <c r="D116" s="29"/>
      <c r="E116" s="29"/>
      <c r="F116" s="11">
        <f>IFERROR(VLOOKUP($D$96,$D:$AE,19,0),0)</f>
        <v>0</v>
      </c>
      <c r="G116" s="7" cm="1">
        <f t="array" ref="G116">IF(F116=0,0,IF(_xlfn.XLOOKUP(F116,$E$96:$AE$96,$E$97:$AE$97)=0,"Nhập ĐV/TV",_xlfn.XLOOKUP(F116,$E$96:$AE$96,$E$97:$AE$97)))</f>
        <v>0</v>
      </c>
      <c r="H116" s="8">
        <f t="shared" si="26"/>
        <v>0</v>
      </c>
      <c r="I116" s="9">
        <f ca="1">IFERROR(_xlfn.XLOOKUP($F116,'FCDB 2017 (full)'!$C:$C,'FCDB 2017 (full)'!$E:$E),0)</f>
        <v>0</v>
      </c>
      <c r="J116" s="10">
        <f t="shared" ca="1" si="20"/>
        <v>0</v>
      </c>
      <c r="K116" s="9">
        <f ca="1">IFERROR(_xlfn.XLOOKUP($F116,'FCDB 2017 (full)'!$C:$C,'FCDB 2017 (full)'!$G:$G),0)</f>
        <v>0</v>
      </c>
      <c r="L116" s="13">
        <f t="shared" si="21"/>
        <v>0</v>
      </c>
      <c r="M116" s="13">
        <f t="shared" si="22"/>
        <v>0</v>
      </c>
      <c r="N116" s="9">
        <f ca="1">IFERROR(_xlfn.XLOOKUP($F116,'FCDB 2017 (full)'!$C:$C,'FCDB 2017 (full)'!$H:$H),0)</f>
        <v>0</v>
      </c>
      <c r="O116" s="14">
        <f t="shared" si="23"/>
        <v>0</v>
      </c>
      <c r="P116" s="14">
        <f t="shared" si="24"/>
        <v>0</v>
      </c>
      <c r="Q116" s="9">
        <f ca="1">IFERROR(_xlfn.XLOOKUP($F116,'FCDB 2017 (full)'!$C:$C,'FCDB 2017 (full)'!$I:$I),0)</f>
        <v>0</v>
      </c>
      <c r="R116" s="15">
        <f t="shared" ca="1" si="25"/>
        <v>0</v>
      </c>
      <c r="S116" s="16">
        <f ca="1">IFERROR(_xlfn.XLOOKUP($F116,'FCDB 2017 (full)'!$C:$C,'FCDB 2017 (full)'!$J:$J)*$H116/100,0)</f>
        <v>0</v>
      </c>
      <c r="T116" s="16">
        <f ca="1">IFERROR(_xlfn.XLOOKUP($F116,'FCDB 2017 (full)'!$C:$C,'FCDB 2017 (full)'!$K:$K)*$H116/100,0)</f>
        <v>0</v>
      </c>
      <c r="U116" s="16">
        <f ca="1">IFERROR(_xlfn.XLOOKUP($F116,'FCDB 2017 (full)'!$C:$C,'FCDB 2017 (full)'!$L:$L)*$H116/100,0)</f>
        <v>0</v>
      </c>
      <c r="V116" s="16">
        <f ca="1">IFERROR(_xlfn.XLOOKUP($F116,'FCDB 2017 (full)'!$C:$C,'FCDB 2017 (full)'!$M:$M)*$H116/100,0)</f>
        <v>0</v>
      </c>
      <c r="W116" s="16">
        <f ca="1">IFERROR(_xlfn.XLOOKUP($F116,'FCDB 2017 (full)'!$C:$C,'FCDB 2017 (full)'!$N:$N)*$H116/100,0)</f>
        <v>0</v>
      </c>
      <c r="X116" s="16">
        <f ca="1">IFERROR(_xlfn.XLOOKUP($F116,'FCDB 2017 (full)'!$C:$C,'FCDB 2017 (full)'!$O:$O)*$H116/100,0)</f>
        <v>0</v>
      </c>
      <c r="Y116" s="16">
        <f ca="1">IFERROR(_xlfn.XLOOKUP($F116,'FCDB 2017 (full)'!$C:$C,'FCDB 2017 (full)'!$P:$P)*$H116/100,0)</f>
        <v>0</v>
      </c>
      <c r="Z116" s="16">
        <f ca="1">IFERROR(_xlfn.XLOOKUP($F116,'FCDB 2017 (full)'!$C:$C,'FCDB 2017 (full)'!$Q:$Q)*$H116/100,0)</f>
        <v>0</v>
      </c>
      <c r="AA116" s="16">
        <f ca="1">IFERROR(_xlfn.XLOOKUP($F116,'FCDB 2017 (full)'!$C:$C,'FCDB 2017 (full)'!$R:$R)*$H116/100,0)</f>
        <v>0</v>
      </c>
      <c r="AB116" s="16">
        <f ca="1">IFERROR(_xlfn.XLOOKUP($F116,'FCDB 2017 (full)'!$C:$C,'FCDB 2017 (full)'!$S:$S)*$H116/100,0)</f>
        <v>0</v>
      </c>
      <c r="AC116" s="16">
        <f ca="1">IFERROR(_xlfn.XLOOKUP($F116,'FCDB 2017 (full)'!$C:$C,'FCDB 2017 (full)'!$T:$T)*$H116/100,0)</f>
        <v>0</v>
      </c>
      <c r="AD116" s="16">
        <f ca="1">IFERROR(_xlfn.XLOOKUP($F116,'FCDB 2017 (full)'!$C:$C,'FCDB 2017 (full)'!$U:$U)*$H116/100,0)</f>
        <v>0</v>
      </c>
      <c r="AE116" s="16">
        <f ca="1">IFERROR(_xlfn.XLOOKUP($F116,'FCDB 2017 (full)'!$C:$C,'FCDB 2017 (full)'!$V:$V)*$H116/100,0)</f>
        <v>0</v>
      </c>
      <c r="AF116" s="16">
        <f ca="1">IFERROR(_xlfn.XLOOKUP($F116,'FCDB 2017 (full)'!$C:$C,'FCDB 2017 (full)'!$W:$W)*$H116/100,0)</f>
        <v>0</v>
      </c>
      <c r="AG116" s="16">
        <f ca="1">IFERROR(_xlfn.XLOOKUP($F116,'FCDB 2017 (full)'!$C:$C,'FCDB 2017 (full)'!$X:$X)*$H116/100,0)</f>
        <v>0</v>
      </c>
      <c r="AH116" s="16">
        <f ca="1">IFERROR(_xlfn.XLOOKUP($F116,'FCDB 2017 (full)'!$C:$C,'FCDB 2017 (full)'!$Y:$Y)*$H116/100,0)</f>
        <v>0</v>
      </c>
      <c r="AI116" s="16">
        <f ca="1">IFERROR(_xlfn.XLOOKUP($F116,'FCDB 2017 (full)'!$C:$C,'FCDB 2017 (full)'!$Z:$Z)*$H116/100,0)</f>
        <v>0</v>
      </c>
      <c r="AJ116" s="16">
        <f ca="1">IFERROR(_xlfn.XLOOKUP($F116,'FCDB 2017 (full)'!$C:$C,'FCDB 2017 (full)'!$AA:$AA)*$H116/100,0)</f>
        <v>0</v>
      </c>
      <c r="AK116" s="16">
        <f ca="1">IFERROR(_xlfn.XLOOKUP($F116,'FCDB 2017 (full)'!$C:$C,'FCDB 2017 (full)'!$AB:$AB)*$H116/100,0)</f>
        <v>0</v>
      </c>
      <c r="AL116" s="16">
        <f ca="1">IFERROR(_xlfn.XLOOKUP($F116,'FCDB 2017 (full)'!$C:$C,'FCDB 2017 (full)'!$AC:$AC)*$H116/100,0)</f>
        <v>0</v>
      </c>
      <c r="AM116" s="16">
        <f ca="1">IFERROR(_xlfn.XLOOKUP($F116,'FCDB 2017 (full)'!$C:$C,'FCDB 2017 (full)'!$AD:$AD)*$H116/100,0)</f>
        <v>0</v>
      </c>
      <c r="AN116" s="16">
        <f ca="1">IFERROR(_xlfn.XLOOKUP($F116,'FCDB 2017 (full)'!$C:$C,'FCDB 2017 (full)'!$AE:$AE)*$H116/100,0)</f>
        <v>0</v>
      </c>
      <c r="AO116" s="16">
        <f ca="1">IFERROR(_xlfn.XLOOKUP($F116,'FCDB 2017 (full)'!$C:$C,'FCDB 2017 (full)'!$AF:$AF)*$H116/100,0)</f>
        <v>0</v>
      </c>
      <c r="AP116" s="16">
        <f ca="1">IFERROR(_xlfn.XLOOKUP($F116,'FCDB 2017 (full)'!$C:$C,'FCDB 2017 (full)'!$AG:$AG)*$H116/100,0)</f>
        <v>0</v>
      </c>
      <c r="AQ116" s="16">
        <f ca="1">IFERROR(_xlfn.XLOOKUP($F116,'FCDB 2017 (full)'!$C:$C,'FCDB 2017 (full)'!$AH:$AH)*$H116/100,0)</f>
        <v>0</v>
      </c>
      <c r="AR116" s="16">
        <f ca="1">IFERROR(_xlfn.XLOOKUP($F116,'FCDB 2017 (full)'!$C:$C,'FCDB 2017 (full)'!$AI:$AI)*$H116/100,0)</f>
        <v>0</v>
      </c>
      <c r="AS116" s="16">
        <f ca="1">IFERROR(_xlfn.XLOOKUP($F116,'FCDB 2017 (full)'!$C:$C,'FCDB 2017 (full)'!$AJ:$AJ)*$H116/100,0)</f>
        <v>0</v>
      </c>
      <c r="AT116" s="16">
        <f ca="1">IFERROR(_xlfn.XLOOKUP($F116,'FCDB 2017 (full)'!$C:$C,'FCDB 2017 (full)'!$AK:$AK)*$H116/100,0)</f>
        <v>0</v>
      </c>
      <c r="AU116" s="16">
        <f ca="1">IFERROR(_xlfn.XLOOKUP($F116,'FCDB 2017 (full)'!$C:$C,'FCDB 2017 (full)'!$AK:$AK)*$H116/100,0)</f>
        <v>0</v>
      </c>
      <c r="AV116" s="16">
        <f ca="1">IFERROR(_xlfn.XLOOKUP($F116,'FCDB 2017 (full)'!$C:$C,'FCDB 2017 (full)'!$AM:$AM)*$H116/100,0)</f>
        <v>0</v>
      </c>
      <c r="AW116" s="16">
        <f ca="1">IFERROR(_xlfn.XLOOKUP($F116,'FCDB 2017 (full)'!$C:$C,'FCDB 2017 (full)'!$AN:$AN)*$H116/100,0)</f>
        <v>0</v>
      </c>
      <c r="AX116" s="16">
        <f ca="1">IFERROR(_xlfn.XLOOKUP($F116,'FCDB 2017 (full)'!$C:$C,'FCDB 2017 (full)'!$AO:$AO)*$H116/100,0)</f>
        <v>0</v>
      </c>
      <c r="AY116" s="16">
        <f ca="1">IFERROR(_xlfn.XLOOKUP($F116,'FCDB 2017 (full)'!$C:$C,'FCDB 2017 (full)'!$AP:$AP)*$H116/100,0)</f>
        <v>0</v>
      </c>
      <c r="AZ116" s="16">
        <f ca="1">IFERROR(_xlfn.XLOOKUP($F116,'FCDB 2017 (full)'!$C:$C,'FCDB 2017 (full)'!$AQ:$AQ)*$H116/100,0)</f>
        <v>0</v>
      </c>
      <c r="BA116" s="16">
        <f ca="1">IFERROR(_xlfn.XLOOKUP($F116,'FCDB 2017 (full)'!$C:$C,'FCDB 2017 (full)'!$AR:$AR)*$H116/100,0)</f>
        <v>0</v>
      </c>
      <c r="BB116" s="16">
        <f ca="1">IFERROR(_xlfn.XLOOKUP($F116,'FCDB 2017 (full)'!$C:$C,'FCDB 2017 (full)'!$AS:$AS)*$H116/100,0)</f>
        <v>0</v>
      </c>
      <c r="BC116" s="16">
        <f ca="1">IFERROR(_xlfn.XLOOKUP($F116,'FCDB 2017 (full)'!$C:$C,'FCDB 2017 (full)'!$AT:$AT)*$H116/100,0)</f>
        <v>0</v>
      </c>
      <c r="BD116" s="16">
        <f ca="1">IFERROR(_xlfn.XLOOKUP($F116,'FCDB 2017 (full)'!$C:$C,'FCDB 2017 (full)'!$AU:$AU)*$H116/100,0)</f>
        <v>0</v>
      </c>
      <c r="BE116" s="16">
        <f ca="1">IFERROR(_xlfn.XLOOKUP($F116,'FCDB 2017 (full)'!$C:$C,'FCDB 2017 (full)'!$AV:$AV)*$H116/100,0)</f>
        <v>0</v>
      </c>
      <c r="BF116" s="16">
        <f ca="1">IFERROR(_xlfn.XLOOKUP($F116,'FCDB 2017 (full)'!$C:$C,'FCDB 2017 (full)'!$AW:$AW)*$H116/100,0)</f>
        <v>0</v>
      </c>
      <c r="BG116" s="16">
        <f ca="1">IFERROR(_xlfn.XLOOKUP($F116,'FCDB 2017 (full)'!$C:$C,'FCDB 2017 (full)'!$AX:$AX)*$H116/100,0)</f>
        <v>0</v>
      </c>
      <c r="BH116" s="16">
        <f ca="1">IFERROR(_xlfn.XLOOKUP($F116,'FCDB 2017 (full)'!$C:$C,'FCDB 2017 (full)'!$AY:$AY)*$H116/100,0)</f>
        <v>0</v>
      </c>
      <c r="BI116" s="16">
        <f ca="1">IFERROR(_xlfn.XLOOKUP($F116,'FCDB 2017 (full)'!$C:$C,'FCDB 2017 (full)'!$AZ:$AZ)*$H116/100,0)</f>
        <v>0</v>
      </c>
      <c r="BJ116" s="16">
        <f ca="1">IFERROR(_xlfn.XLOOKUP($F116,'FCDB 2017 (full)'!$C:$C,'FCDB 2017 (full)'!$BA:$BA)*$H116/100,0)</f>
        <v>0</v>
      </c>
      <c r="BK116" s="16">
        <f ca="1">IFERROR(_xlfn.XLOOKUP($F116,'FCDB 2017 (full)'!$C:$C,'FCDB 2017 (full)'!$BB:$BB)*$H116/100,0)</f>
        <v>0</v>
      </c>
      <c r="BL116" s="16">
        <f ca="1">IFERROR(_xlfn.XLOOKUP($F116,'FCDB 2017 (full)'!$C:$C,'FCDB 2017 (full)'!$BC:$BC)*$H116/100,0)</f>
        <v>0</v>
      </c>
      <c r="BM116" s="16">
        <f ca="1">IFERROR(_xlfn.XLOOKUP($F116,'FCDB 2017 (full)'!$C:$C,'FCDB 2017 (full)'!$BD:$BD)*$H116/100,0)</f>
        <v>0</v>
      </c>
      <c r="BN116" s="16">
        <f ca="1">IFERROR(_xlfn.XLOOKUP($F116,'FCDB 2017 (full)'!$C:$C,'FCDB 2017 (full)'!$BE:$BE)*$H116/100,0)</f>
        <v>0</v>
      </c>
      <c r="BO116" s="16">
        <f ca="1">IFERROR(_xlfn.XLOOKUP($F116,'FCDB 2017 (full)'!$C:$C,'FCDB 2017 (full)'!$BF:$BF)*$H116/100,0)</f>
        <v>0</v>
      </c>
      <c r="BP116" s="16">
        <f ca="1">IFERROR(_xlfn.XLOOKUP($F116,'FCDB 2017 (full)'!$C:$C,'FCDB 2017 (full)'!$BG:$BG)*$H116/100,0)</f>
        <v>0</v>
      </c>
      <c r="BQ116" s="16">
        <f ca="1">IFERROR(_xlfn.XLOOKUP($F116,'FCDB 2017 (full)'!$C:$C,'FCDB 2017 (full)'!$BH:$BH)*$H116/100,0)</f>
        <v>0</v>
      </c>
      <c r="BR116" s="16">
        <f ca="1">IFERROR(_xlfn.XLOOKUP($F116,'FCDB 2017 (full)'!$C:$C,'FCDB 2017 (full)'!$BI:$BI)*$H116/100,0)</f>
        <v>0</v>
      </c>
      <c r="BS116" s="16">
        <f ca="1">IFERROR(_xlfn.XLOOKUP($F116,'FCDB 2017 (full)'!$C:$C,'FCDB 2017 (full)'!$BJ:$BJ)*$H116/100,0)</f>
        <v>0</v>
      </c>
      <c r="BT116" s="16">
        <f ca="1">IFERROR(_xlfn.XLOOKUP($F116,'FCDB 2017 (full)'!$C:$C,'FCDB 2017 (full)'!$BK:$BK)*$H116/100,0)</f>
        <v>0</v>
      </c>
      <c r="BU116" s="16">
        <f ca="1">IFERROR(_xlfn.XLOOKUP($F116,'FCDB 2017 (full)'!$C:$C,'FCDB 2017 (full)'!$BL:$BL)*$H116/100,0)</f>
        <v>0</v>
      </c>
      <c r="BV116" s="16">
        <f ca="1">IFERROR(_xlfn.XLOOKUP($F116,'FCDB 2017 (full)'!$C:$C,'FCDB 2017 (full)'!$BM:$BM)*$H116/100,0)</f>
        <v>0</v>
      </c>
      <c r="BW116" s="16">
        <f ca="1">IFERROR(_xlfn.XLOOKUP($F116,'FCDB 2017 (full)'!$C:$C,'FCDB 2017 (full)'!$BN:$BN)*$H116/100,0)</f>
        <v>0</v>
      </c>
      <c r="BX116" s="16">
        <f ca="1">IFERROR(_xlfn.XLOOKUP($F116,'FCDB 2017 (full)'!$C:$C,'FCDB 2017 (full)'!$BO:$BO)*$H116/100,0)</f>
        <v>0</v>
      </c>
      <c r="BY116" s="16">
        <f ca="1">IFERROR(_xlfn.XLOOKUP($F116,'FCDB 2017 (full)'!$C:$C,'FCDB 2017 (full)'!$BP:$BP)*$H116/100,0)</f>
        <v>0</v>
      </c>
      <c r="BZ116" s="16">
        <f ca="1">IFERROR(_xlfn.XLOOKUP($F116,'FCDB 2017 (full)'!$C:$C,'FCDB 2017 (full)'!$BQ:$BQ)*$H116/100,0)</f>
        <v>0</v>
      </c>
      <c r="CA116" s="16">
        <f ca="1">IFERROR(_xlfn.XLOOKUP($F116,'FCDB 2017 (full)'!$C:$C,'FCDB 2017 (full)'!$BR:$BR)*$H116/100,0)</f>
        <v>0</v>
      </c>
      <c r="CB116" s="16">
        <f ca="1">IFERROR(_xlfn.XLOOKUP($F116,'FCDB 2017 (full)'!$C:$C,'FCDB 2017 (full)'!$BS:$BS)*$H116/100,0)</f>
        <v>0</v>
      </c>
      <c r="CC116" s="16">
        <f ca="1">IFERROR(_xlfn.XLOOKUP($F116,'FCDB 2017 (full)'!$C:$C,'FCDB 2017 (full)'!$BT:$BT)*$H116/100,0)</f>
        <v>0</v>
      </c>
      <c r="CD116" s="16">
        <f ca="1">IFERROR(_xlfn.XLOOKUP($F116,'FCDB 2017 (full)'!$C:$C,'FCDB 2017 (full)'!$BU:$BU)*$H116/100,0)</f>
        <v>0</v>
      </c>
      <c r="CE116" s="16">
        <f ca="1">IFERROR(_xlfn.XLOOKUP($F116,'FCDB 2017 (full)'!$C:$C,'FCDB 2017 (full)'!$BV:$BV)*$H116/100,0)</f>
        <v>0</v>
      </c>
      <c r="CF116" s="16">
        <f ca="1">IFERROR(_xlfn.XLOOKUP($F116,'FCDB 2017 (full)'!$C:$C,'FCDB 2017 (full)'!$BW:$BW)*$H116/100,0)</f>
        <v>0</v>
      </c>
      <c r="CG116" s="16">
        <f ca="1">IFERROR(_xlfn.XLOOKUP($F116,'FCDB 2017 (full)'!$C:$C,'FCDB 2017 (full)'!$BX:$BX)*$H116/100,0)</f>
        <v>0</v>
      </c>
      <c r="CH116" s="16">
        <f ca="1">IFERROR(_xlfn.XLOOKUP($F116,'FCDB 2017 (full)'!$C:$C,'FCDB 2017 (full)'!$BY:$BY)*$H116/100,0)</f>
        <v>0</v>
      </c>
      <c r="CI116" s="16">
        <f ca="1">IFERROR(_xlfn.XLOOKUP($F116,'FCDB 2017 (full)'!$C:$C,'FCDB 2017 (full)'!$BZ:$BZ)*$H116/100,0)</f>
        <v>0</v>
      </c>
      <c r="CJ116" s="16">
        <f ca="1">IFERROR(_xlfn.XLOOKUP($F116,'FCDB 2017 (full)'!$C:$C,'FCDB 2017 (full)'!$CA:$CA)*$H116/100,0)</f>
        <v>0</v>
      </c>
      <c r="CK116" s="16">
        <f ca="1">IFERROR(_xlfn.XLOOKUP($F116,'FCDB 2017 (full)'!$C:$C,'FCDB 2017 (full)'!$CB:$CB)*$H116/100,0)</f>
        <v>0</v>
      </c>
      <c r="CL116" s="16">
        <f ca="1">IFERROR(_xlfn.XLOOKUP($F116,'FCDB 2017 (full)'!$C:$C,'FCDB 2017 (full)'!$CC:$CC)*$H116/100,0)</f>
        <v>0</v>
      </c>
      <c r="CM116" s="16">
        <f ca="1">IFERROR(_xlfn.XLOOKUP($F116,'FCDB 2017 (full)'!$C:$C,'FCDB 2017 (full)'!$CD:$CD)*$H116/100,0)</f>
        <v>0</v>
      </c>
      <c r="CN116" s="16">
        <f ca="1">IFERROR(_xlfn.XLOOKUP($F116,'FCDB 2017 (full)'!$C:$C,'FCDB 2017 (full)'!$CE:$CE)*$H116/100,0)</f>
        <v>0</v>
      </c>
      <c r="CO116" s="16">
        <f ca="1">IFERROR(_xlfn.XLOOKUP($F116,'FCDB 2017 (full)'!$C:$C,'FCDB 2017 (full)'!$CF:$CF)*$H116/100,0)</f>
        <v>0</v>
      </c>
      <c r="CP116" s="16">
        <f ca="1">IFERROR(_xlfn.XLOOKUP($F116,'FCDB 2017 (full)'!$C:$C,'FCDB 2017 (full)'!$CG:$CG)*$H116/100,0)</f>
        <v>0</v>
      </c>
      <c r="CQ116" s="16">
        <f ca="1">IFERROR(_xlfn.XLOOKUP($F116,'FCDB 2017 (full)'!$C:$C,'FCDB 2017 (full)'!$CH:$CH)*$H116/100,0)</f>
        <v>0</v>
      </c>
      <c r="CR116" s="29"/>
      <c r="DA116" s="72" t="s">
        <v>982</v>
      </c>
    </row>
    <row r="117" spans="4:105">
      <c r="D117" s="29"/>
      <c r="E117" s="29"/>
      <c r="F117" s="11">
        <f>IFERROR(VLOOKUP($D$96,$D:$AE,20,0),0)</f>
        <v>0</v>
      </c>
      <c r="G117" s="7" cm="1">
        <f t="array" ref="G117">IF(F117=0,0,IF(_xlfn.XLOOKUP(F117,$E$96:$AE$96,$E$97:$AE$97)=0,"Nhập ĐV/TV",_xlfn.XLOOKUP(F117,$E$96:$AE$96,$E$97:$AE$97)))</f>
        <v>0</v>
      </c>
      <c r="H117" s="8">
        <f t="shared" si="26"/>
        <v>0</v>
      </c>
      <c r="I117" s="9">
        <f ca="1">IFERROR(_xlfn.XLOOKUP($F117,'FCDB 2017 (full)'!$C:$C,'FCDB 2017 (full)'!$E:$E),0)</f>
        <v>0</v>
      </c>
      <c r="J117" s="10">
        <f t="shared" ca="1" si="20"/>
        <v>0</v>
      </c>
      <c r="K117" s="9">
        <f ca="1">IFERROR(_xlfn.XLOOKUP($F117,'FCDB 2017 (full)'!$C:$C,'FCDB 2017 (full)'!$G:$G),0)</f>
        <v>0</v>
      </c>
      <c r="L117" s="13">
        <f t="shared" si="21"/>
        <v>0</v>
      </c>
      <c r="M117" s="13">
        <f t="shared" si="22"/>
        <v>0</v>
      </c>
      <c r="N117" s="9">
        <f ca="1">IFERROR(_xlfn.XLOOKUP($F117,'FCDB 2017 (full)'!$C:$C,'FCDB 2017 (full)'!$H:$H),0)</f>
        <v>0</v>
      </c>
      <c r="O117" s="14">
        <f t="shared" si="23"/>
        <v>0</v>
      </c>
      <c r="P117" s="14">
        <f t="shared" si="24"/>
        <v>0</v>
      </c>
      <c r="Q117" s="9">
        <f ca="1">IFERROR(_xlfn.XLOOKUP($F117,'FCDB 2017 (full)'!$C:$C,'FCDB 2017 (full)'!$I:$I),0)</f>
        <v>0</v>
      </c>
      <c r="R117" s="15">
        <f t="shared" ca="1" si="25"/>
        <v>0</v>
      </c>
      <c r="S117" s="16">
        <f ca="1">IFERROR(_xlfn.XLOOKUP($F117,'FCDB 2017 (full)'!$C:$C,'FCDB 2017 (full)'!$J:$J)*$H117/100,0)</f>
        <v>0</v>
      </c>
      <c r="T117" s="16">
        <f ca="1">IFERROR(_xlfn.XLOOKUP($F117,'FCDB 2017 (full)'!$C:$C,'FCDB 2017 (full)'!$K:$K)*$H117/100,0)</f>
        <v>0</v>
      </c>
      <c r="U117" s="16">
        <f ca="1">IFERROR(_xlfn.XLOOKUP($F117,'FCDB 2017 (full)'!$C:$C,'FCDB 2017 (full)'!$L:$L)*$H117/100,0)</f>
        <v>0</v>
      </c>
      <c r="V117" s="16">
        <f ca="1">IFERROR(_xlfn.XLOOKUP($F117,'FCDB 2017 (full)'!$C:$C,'FCDB 2017 (full)'!$M:$M)*$H117/100,0)</f>
        <v>0</v>
      </c>
      <c r="W117" s="16">
        <f ca="1">IFERROR(_xlfn.XLOOKUP($F117,'FCDB 2017 (full)'!$C:$C,'FCDB 2017 (full)'!$N:$N)*$H117/100,0)</f>
        <v>0</v>
      </c>
      <c r="X117" s="16">
        <f ca="1">IFERROR(_xlfn.XLOOKUP($F117,'FCDB 2017 (full)'!$C:$C,'FCDB 2017 (full)'!$O:$O)*$H117/100,0)</f>
        <v>0</v>
      </c>
      <c r="Y117" s="16">
        <f ca="1">IFERROR(_xlfn.XLOOKUP($F117,'FCDB 2017 (full)'!$C:$C,'FCDB 2017 (full)'!$P:$P)*$H117/100,0)</f>
        <v>0</v>
      </c>
      <c r="Z117" s="16">
        <f ca="1">IFERROR(_xlfn.XLOOKUP($F117,'FCDB 2017 (full)'!$C:$C,'FCDB 2017 (full)'!$Q:$Q)*$H117/100,0)</f>
        <v>0</v>
      </c>
      <c r="AA117" s="16">
        <f ca="1">IFERROR(_xlfn.XLOOKUP($F117,'FCDB 2017 (full)'!$C:$C,'FCDB 2017 (full)'!$R:$R)*$H117/100,0)</f>
        <v>0</v>
      </c>
      <c r="AB117" s="16">
        <f ca="1">IFERROR(_xlfn.XLOOKUP($F117,'FCDB 2017 (full)'!$C:$C,'FCDB 2017 (full)'!$S:$S)*$H117/100,0)</f>
        <v>0</v>
      </c>
      <c r="AC117" s="16">
        <f ca="1">IFERROR(_xlfn.XLOOKUP($F117,'FCDB 2017 (full)'!$C:$C,'FCDB 2017 (full)'!$T:$T)*$H117/100,0)</f>
        <v>0</v>
      </c>
      <c r="AD117" s="16">
        <f ca="1">IFERROR(_xlfn.XLOOKUP($F117,'FCDB 2017 (full)'!$C:$C,'FCDB 2017 (full)'!$U:$U)*$H117/100,0)</f>
        <v>0</v>
      </c>
      <c r="AE117" s="16">
        <f ca="1">IFERROR(_xlfn.XLOOKUP($F117,'FCDB 2017 (full)'!$C:$C,'FCDB 2017 (full)'!$V:$V)*$H117/100,0)</f>
        <v>0</v>
      </c>
      <c r="AF117" s="16">
        <f ca="1">IFERROR(_xlfn.XLOOKUP($F117,'FCDB 2017 (full)'!$C:$C,'FCDB 2017 (full)'!$W:$W)*$H117/100,0)</f>
        <v>0</v>
      </c>
      <c r="AG117" s="16">
        <f ca="1">IFERROR(_xlfn.XLOOKUP($F117,'FCDB 2017 (full)'!$C:$C,'FCDB 2017 (full)'!$X:$X)*$H117/100,0)</f>
        <v>0</v>
      </c>
      <c r="AH117" s="16">
        <f ca="1">IFERROR(_xlfn.XLOOKUP($F117,'FCDB 2017 (full)'!$C:$C,'FCDB 2017 (full)'!$Y:$Y)*$H117/100,0)</f>
        <v>0</v>
      </c>
      <c r="AI117" s="16">
        <f ca="1">IFERROR(_xlfn.XLOOKUP($F117,'FCDB 2017 (full)'!$C:$C,'FCDB 2017 (full)'!$Z:$Z)*$H117/100,0)</f>
        <v>0</v>
      </c>
      <c r="AJ117" s="16">
        <f ca="1">IFERROR(_xlfn.XLOOKUP($F117,'FCDB 2017 (full)'!$C:$C,'FCDB 2017 (full)'!$AA:$AA)*$H117/100,0)</f>
        <v>0</v>
      </c>
      <c r="AK117" s="16">
        <f ca="1">IFERROR(_xlfn.XLOOKUP($F117,'FCDB 2017 (full)'!$C:$C,'FCDB 2017 (full)'!$AB:$AB)*$H117/100,0)</f>
        <v>0</v>
      </c>
      <c r="AL117" s="16">
        <f ca="1">IFERROR(_xlfn.XLOOKUP($F117,'FCDB 2017 (full)'!$C:$C,'FCDB 2017 (full)'!$AC:$AC)*$H117/100,0)</f>
        <v>0</v>
      </c>
      <c r="AM117" s="16">
        <f ca="1">IFERROR(_xlfn.XLOOKUP($F117,'FCDB 2017 (full)'!$C:$C,'FCDB 2017 (full)'!$AD:$AD)*$H117/100,0)</f>
        <v>0</v>
      </c>
      <c r="AN117" s="16">
        <f ca="1">IFERROR(_xlfn.XLOOKUP($F117,'FCDB 2017 (full)'!$C:$C,'FCDB 2017 (full)'!$AE:$AE)*$H117/100,0)</f>
        <v>0</v>
      </c>
      <c r="AO117" s="16">
        <f ca="1">IFERROR(_xlfn.XLOOKUP($F117,'FCDB 2017 (full)'!$C:$C,'FCDB 2017 (full)'!$AF:$AF)*$H117/100,0)</f>
        <v>0</v>
      </c>
      <c r="AP117" s="16">
        <f ca="1">IFERROR(_xlfn.XLOOKUP($F117,'FCDB 2017 (full)'!$C:$C,'FCDB 2017 (full)'!$AG:$AG)*$H117/100,0)</f>
        <v>0</v>
      </c>
      <c r="AQ117" s="16">
        <f ca="1">IFERROR(_xlfn.XLOOKUP($F117,'FCDB 2017 (full)'!$C:$C,'FCDB 2017 (full)'!$AH:$AH)*$H117/100,0)</f>
        <v>0</v>
      </c>
      <c r="AR117" s="16">
        <f ca="1">IFERROR(_xlfn.XLOOKUP($F117,'FCDB 2017 (full)'!$C:$C,'FCDB 2017 (full)'!$AI:$AI)*$H117/100,0)</f>
        <v>0</v>
      </c>
      <c r="AS117" s="16">
        <f ca="1">IFERROR(_xlfn.XLOOKUP($F117,'FCDB 2017 (full)'!$C:$C,'FCDB 2017 (full)'!$AJ:$AJ)*$H117/100,0)</f>
        <v>0</v>
      </c>
      <c r="AT117" s="16">
        <f ca="1">IFERROR(_xlfn.XLOOKUP($F117,'FCDB 2017 (full)'!$C:$C,'FCDB 2017 (full)'!$AK:$AK)*$H117/100,0)</f>
        <v>0</v>
      </c>
      <c r="AU117" s="16">
        <f ca="1">IFERROR(_xlfn.XLOOKUP($F117,'FCDB 2017 (full)'!$C:$C,'FCDB 2017 (full)'!$AK:$AK)*$H117/100,0)</f>
        <v>0</v>
      </c>
      <c r="AV117" s="16">
        <f ca="1">IFERROR(_xlfn.XLOOKUP($F117,'FCDB 2017 (full)'!$C:$C,'FCDB 2017 (full)'!$AM:$AM)*$H117/100,0)</f>
        <v>0</v>
      </c>
      <c r="AW117" s="16">
        <f ca="1">IFERROR(_xlfn.XLOOKUP($F117,'FCDB 2017 (full)'!$C:$C,'FCDB 2017 (full)'!$AN:$AN)*$H117/100,0)</f>
        <v>0</v>
      </c>
      <c r="AX117" s="16">
        <f ca="1">IFERROR(_xlfn.XLOOKUP($F117,'FCDB 2017 (full)'!$C:$C,'FCDB 2017 (full)'!$AO:$AO)*$H117/100,0)</f>
        <v>0</v>
      </c>
      <c r="AY117" s="16">
        <f ca="1">IFERROR(_xlfn.XLOOKUP($F117,'FCDB 2017 (full)'!$C:$C,'FCDB 2017 (full)'!$AP:$AP)*$H117/100,0)</f>
        <v>0</v>
      </c>
      <c r="AZ117" s="16">
        <f ca="1">IFERROR(_xlfn.XLOOKUP($F117,'FCDB 2017 (full)'!$C:$C,'FCDB 2017 (full)'!$AQ:$AQ)*$H117/100,0)</f>
        <v>0</v>
      </c>
      <c r="BA117" s="16">
        <f ca="1">IFERROR(_xlfn.XLOOKUP($F117,'FCDB 2017 (full)'!$C:$C,'FCDB 2017 (full)'!$AR:$AR)*$H117/100,0)</f>
        <v>0</v>
      </c>
      <c r="BB117" s="16">
        <f ca="1">IFERROR(_xlfn.XLOOKUP($F117,'FCDB 2017 (full)'!$C:$C,'FCDB 2017 (full)'!$AS:$AS)*$H117/100,0)</f>
        <v>0</v>
      </c>
      <c r="BC117" s="16">
        <f ca="1">IFERROR(_xlfn.XLOOKUP($F117,'FCDB 2017 (full)'!$C:$C,'FCDB 2017 (full)'!$AT:$AT)*$H117/100,0)</f>
        <v>0</v>
      </c>
      <c r="BD117" s="16">
        <f ca="1">IFERROR(_xlfn.XLOOKUP($F117,'FCDB 2017 (full)'!$C:$C,'FCDB 2017 (full)'!$AU:$AU)*$H117/100,0)</f>
        <v>0</v>
      </c>
      <c r="BE117" s="16">
        <f ca="1">IFERROR(_xlfn.XLOOKUP($F117,'FCDB 2017 (full)'!$C:$C,'FCDB 2017 (full)'!$AV:$AV)*$H117/100,0)</f>
        <v>0</v>
      </c>
      <c r="BF117" s="16">
        <f ca="1">IFERROR(_xlfn.XLOOKUP($F117,'FCDB 2017 (full)'!$C:$C,'FCDB 2017 (full)'!$AW:$AW)*$H117/100,0)</f>
        <v>0</v>
      </c>
      <c r="BG117" s="16">
        <f ca="1">IFERROR(_xlfn.XLOOKUP($F117,'FCDB 2017 (full)'!$C:$C,'FCDB 2017 (full)'!$AX:$AX)*$H117/100,0)</f>
        <v>0</v>
      </c>
      <c r="BH117" s="16">
        <f ca="1">IFERROR(_xlfn.XLOOKUP($F117,'FCDB 2017 (full)'!$C:$C,'FCDB 2017 (full)'!$AY:$AY)*$H117/100,0)</f>
        <v>0</v>
      </c>
      <c r="BI117" s="16">
        <f ca="1">IFERROR(_xlfn.XLOOKUP($F117,'FCDB 2017 (full)'!$C:$C,'FCDB 2017 (full)'!$AZ:$AZ)*$H117/100,0)</f>
        <v>0</v>
      </c>
      <c r="BJ117" s="16">
        <f ca="1">IFERROR(_xlfn.XLOOKUP($F117,'FCDB 2017 (full)'!$C:$C,'FCDB 2017 (full)'!$BA:$BA)*$H117/100,0)</f>
        <v>0</v>
      </c>
      <c r="BK117" s="16">
        <f ca="1">IFERROR(_xlfn.XLOOKUP($F117,'FCDB 2017 (full)'!$C:$C,'FCDB 2017 (full)'!$BB:$BB)*$H117/100,0)</f>
        <v>0</v>
      </c>
      <c r="BL117" s="16">
        <f ca="1">IFERROR(_xlfn.XLOOKUP($F117,'FCDB 2017 (full)'!$C:$C,'FCDB 2017 (full)'!$BC:$BC)*$H117/100,0)</f>
        <v>0</v>
      </c>
      <c r="BM117" s="16">
        <f ca="1">IFERROR(_xlfn.XLOOKUP($F117,'FCDB 2017 (full)'!$C:$C,'FCDB 2017 (full)'!$BD:$BD)*$H117/100,0)</f>
        <v>0</v>
      </c>
      <c r="BN117" s="16">
        <f ca="1">IFERROR(_xlfn.XLOOKUP($F117,'FCDB 2017 (full)'!$C:$C,'FCDB 2017 (full)'!$BE:$BE)*$H117/100,0)</f>
        <v>0</v>
      </c>
      <c r="BO117" s="16">
        <f ca="1">IFERROR(_xlfn.XLOOKUP($F117,'FCDB 2017 (full)'!$C:$C,'FCDB 2017 (full)'!$BF:$BF)*$H117/100,0)</f>
        <v>0</v>
      </c>
      <c r="BP117" s="16">
        <f ca="1">IFERROR(_xlfn.XLOOKUP($F117,'FCDB 2017 (full)'!$C:$C,'FCDB 2017 (full)'!$BG:$BG)*$H117/100,0)</f>
        <v>0</v>
      </c>
      <c r="BQ117" s="16">
        <f ca="1">IFERROR(_xlfn.XLOOKUP($F117,'FCDB 2017 (full)'!$C:$C,'FCDB 2017 (full)'!$BH:$BH)*$H117/100,0)</f>
        <v>0</v>
      </c>
      <c r="BR117" s="16">
        <f ca="1">IFERROR(_xlfn.XLOOKUP($F117,'FCDB 2017 (full)'!$C:$C,'FCDB 2017 (full)'!$BI:$BI)*$H117/100,0)</f>
        <v>0</v>
      </c>
      <c r="BS117" s="16">
        <f ca="1">IFERROR(_xlfn.XLOOKUP($F117,'FCDB 2017 (full)'!$C:$C,'FCDB 2017 (full)'!$BJ:$BJ)*$H117/100,0)</f>
        <v>0</v>
      </c>
      <c r="BT117" s="16">
        <f ca="1">IFERROR(_xlfn.XLOOKUP($F117,'FCDB 2017 (full)'!$C:$C,'FCDB 2017 (full)'!$BK:$BK)*$H117/100,0)</f>
        <v>0</v>
      </c>
      <c r="BU117" s="16">
        <f ca="1">IFERROR(_xlfn.XLOOKUP($F117,'FCDB 2017 (full)'!$C:$C,'FCDB 2017 (full)'!$BL:$BL)*$H117/100,0)</f>
        <v>0</v>
      </c>
      <c r="BV117" s="16">
        <f ca="1">IFERROR(_xlfn.XLOOKUP($F117,'FCDB 2017 (full)'!$C:$C,'FCDB 2017 (full)'!$BM:$BM)*$H117/100,0)</f>
        <v>0</v>
      </c>
      <c r="BW117" s="16">
        <f ca="1">IFERROR(_xlfn.XLOOKUP($F117,'FCDB 2017 (full)'!$C:$C,'FCDB 2017 (full)'!$BN:$BN)*$H117/100,0)</f>
        <v>0</v>
      </c>
      <c r="BX117" s="16">
        <f ca="1">IFERROR(_xlfn.XLOOKUP($F117,'FCDB 2017 (full)'!$C:$C,'FCDB 2017 (full)'!$BO:$BO)*$H117/100,0)</f>
        <v>0</v>
      </c>
      <c r="BY117" s="16">
        <f ca="1">IFERROR(_xlfn.XLOOKUP($F117,'FCDB 2017 (full)'!$C:$C,'FCDB 2017 (full)'!$BP:$BP)*$H117/100,0)</f>
        <v>0</v>
      </c>
      <c r="BZ117" s="16">
        <f ca="1">IFERROR(_xlfn.XLOOKUP($F117,'FCDB 2017 (full)'!$C:$C,'FCDB 2017 (full)'!$BQ:$BQ)*$H117/100,0)</f>
        <v>0</v>
      </c>
      <c r="CA117" s="16">
        <f ca="1">IFERROR(_xlfn.XLOOKUP($F117,'FCDB 2017 (full)'!$C:$C,'FCDB 2017 (full)'!$BR:$BR)*$H117/100,0)</f>
        <v>0</v>
      </c>
      <c r="CB117" s="16">
        <f ca="1">IFERROR(_xlfn.XLOOKUP($F117,'FCDB 2017 (full)'!$C:$C,'FCDB 2017 (full)'!$BS:$BS)*$H117/100,0)</f>
        <v>0</v>
      </c>
      <c r="CC117" s="16">
        <f ca="1">IFERROR(_xlfn.XLOOKUP($F117,'FCDB 2017 (full)'!$C:$C,'FCDB 2017 (full)'!$BT:$BT)*$H117/100,0)</f>
        <v>0</v>
      </c>
      <c r="CD117" s="16">
        <f ca="1">IFERROR(_xlfn.XLOOKUP($F117,'FCDB 2017 (full)'!$C:$C,'FCDB 2017 (full)'!$BU:$BU)*$H117/100,0)</f>
        <v>0</v>
      </c>
      <c r="CE117" s="16">
        <f ca="1">IFERROR(_xlfn.XLOOKUP($F117,'FCDB 2017 (full)'!$C:$C,'FCDB 2017 (full)'!$BV:$BV)*$H117/100,0)</f>
        <v>0</v>
      </c>
      <c r="CF117" s="16">
        <f ca="1">IFERROR(_xlfn.XLOOKUP($F117,'FCDB 2017 (full)'!$C:$C,'FCDB 2017 (full)'!$BW:$BW)*$H117/100,0)</f>
        <v>0</v>
      </c>
      <c r="CG117" s="16">
        <f ca="1">IFERROR(_xlfn.XLOOKUP($F117,'FCDB 2017 (full)'!$C:$C,'FCDB 2017 (full)'!$BX:$BX)*$H117/100,0)</f>
        <v>0</v>
      </c>
      <c r="CH117" s="16">
        <f ca="1">IFERROR(_xlfn.XLOOKUP($F117,'FCDB 2017 (full)'!$C:$C,'FCDB 2017 (full)'!$BY:$BY)*$H117/100,0)</f>
        <v>0</v>
      </c>
      <c r="CI117" s="16">
        <f ca="1">IFERROR(_xlfn.XLOOKUP($F117,'FCDB 2017 (full)'!$C:$C,'FCDB 2017 (full)'!$BZ:$BZ)*$H117/100,0)</f>
        <v>0</v>
      </c>
      <c r="CJ117" s="16">
        <f ca="1">IFERROR(_xlfn.XLOOKUP($F117,'FCDB 2017 (full)'!$C:$C,'FCDB 2017 (full)'!$CA:$CA)*$H117/100,0)</f>
        <v>0</v>
      </c>
      <c r="CK117" s="16">
        <f ca="1">IFERROR(_xlfn.XLOOKUP($F117,'FCDB 2017 (full)'!$C:$C,'FCDB 2017 (full)'!$CB:$CB)*$H117/100,0)</f>
        <v>0</v>
      </c>
      <c r="CL117" s="16">
        <f ca="1">IFERROR(_xlfn.XLOOKUP($F117,'FCDB 2017 (full)'!$C:$C,'FCDB 2017 (full)'!$CC:$CC)*$H117/100,0)</f>
        <v>0</v>
      </c>
      <c r="CM117" s="16">
        <f ca="1">IFERROR(_xlfn.XLOOKUP($F117,'FCDB 2017 (full)'!$C:$C,'FCDB 2017 (full)'!$CD:$CD)*$H117/100,0)</f>
        <v>0</v>
      </c>
      <c r="CN117" s="16">
        <f ca="1">IFERROR(_xlfn.XLOOKUP($F117,'FCDB 2017 (full)'!$C:$C,'FCDB 2017 (full)'!$CE:$CE)*$H117/100,0)</f>
        <v>0</v>
      </c>
      <c r="CO117" s="16">
        <f ca="1">IFERROR(_xlfn.XLOOKUP($F117,'FCDB 2017 (full)'!$C:$C,'FCDB 2017 (full)'!$CF:$CF)*$H117/100,0)</f>
        <v>0</v>
      </c>
      <c r="CP117" s="16">
        <f ca="1">IFERROR(_xlfn.XLOOKUP($F117,'FCDB 2017 (full)'!$C:$C,'FCDB 2017 (full)'!$CG:$CG)*$H117/100,0)</f>
        <v>0</v>
      </c>
      <c r="CQ117" s="16">
        <f ca="1">IFERROR(_xlfn.XLOOKUP($F117,'FCDB 2017 (full)'!$C:$C,'FCDB 2017 (full)'!$CH:$CH)*$H117/100,0)</f>
        <v>0</v>
      </c>
      <c r="CR117" s="29"/>
      <c r="DA117" s="72" t="s">
        <v>982</v>
      </c>
    </row>
    <row r="118" spans="4:105">
      <c r="D118" s="29"/>
      <c r="E118" s="29"/>
      <c r="F118" s="11">
        <f>IFERROR(VLOOKUP($D$96,$D:$AE,21,0),0)</f>
        <v>0</v>
      </c>
      <c r="G118" s="7" cm="1">
        <f t="array" ref="G118">IF(F118=0,0,IF(_xlfn.XLOOKUP(F118,$E$96:$AE$96,$E$97:$AE$97)=0,"Nhập ĐV/TV",_xlfn.XLOOKUP(F118,$E$96:$AE$96,$E$97:$AE$97)))</f>
        <v>0</v>
      </c>
      <c r="H118" s="8">
        <f t="shared" si="26"/>
        <v>0</v>
      </c>
      <c r="I118" s="9">
        <f ca="1">IFERROR(_xlfn.XLOOKUP($F118,'FCDB 2017 (full)'!$C:$C,'FCDB 2017 (full)'!$E:$E),0)</f>
        <v>0</v>
      </c>
      <c r="J118" s="10">
        <f t="shared" ca="1" si="20"/>
        <v>0</v>
      </c>
      <c r="K118" s="9">
        <f ca="1">IFERROR(_xlfn.XLOOKUP($F118,'FCDB 2017 (full)'!$C:$C,'FCDB 2017 (full)'!$G:$G),0)</f>
        <v>0</v>
      </c>
      <c r="L118" s="13">
        <f t="shared" si="21"/>
        <v>0</v>
      </c>
      <c r="M118" s="13">
        <f t="shared" si="22"/>
        <v>0</v>
      </c>
      <c r="N118" s="9">
        <f ca="1">IFERROR(_xlfn.XLOOKUP($F118,'FCDB 2017 (full)'!$C:$C,'FCDB 2017 (full)'!$H:$H),0)</f>
        <v>0</v>
      </c>
      <c r="O118" s="14">
        <f t="shared" si="23"/>
        <v>0</v>
      </c>
      <c r="P118" s="14">
        <f t="shared" si="24"/>
        <v>0</v>
      </c>
      <c r="Q118" s="9">
        <f ca="1">IFERROR(_xlfn.XLOOKUP($F118,'FCDB 2017 (full)'!$C:$C,'FCDB 2017 (full)'!$I:$I),0)</f>
        <v>0</v>
      </c>
      <c r="R118" s="15">
        <f t="shared" ca="1" si="25"/>
        <v>0</v>
      </c>
      <c r="S118" s="16">
        <f ca="1">IFERROR(_xlfn.XLOOKUP($F118,'FCDB 2017 (full)'!$C:$C,'FCDB 2017 (full)'!$J:$J)*$H118/100,0)</f>
        <v>0</v>
      </c>
      <c r="T118" s="16">
        <f ca="1">IFERROR(_xlfn.XLOOKUP($F118,'FCDB 2017 (full)'!$C:$C,'FCDB 2017 (full)'!$K:$K)*$H118/100,0)</f>
        <v>0</v>
      </c>
      <c r="U118" s="16">
        <f ca="1">IFERROR(_xlfn.XLOOKUP($F118,'FCDB 2017 (full)'!$C:$C,'FCDB 2017 (full)'!$L:$L)*$H118/100,0)</f>
        <v>0</v>
      </c>
      <c r="V118" s="16">
        <f ca="1">IFERROR(_xlfn.XLOOKUP($F118,'FCDB 2017 (full)'!$C:$C,'FCDB 2017 (full)'!$M:$M)*$H118/100,0)</f>
        <v>0</v>
      </c>
      <c r="W118" s="16">
        <f ca="1">IFERROR(_xlfn.XLOOKUP($F118,'FCDB 2017 (full)'!$C:$C,'FCDB 2017 (full)'!$N:$N)*$H118/100,0)</f>
        <v>0</v>
      </c>
      <c r="X118" s="16">
        <f ca="1">IFERROR(_xlfn.XLOOKUP($F118,'FCDB 2017 (full)'!$C:$C,'FCDB 2017 (full)'!$O:$O)*$H118/100,0)</f>
        <v>0</v>
      </c>
      <c r="Y118" s="16">
        <f ca="1">IFERROR(_xlfn.XLOOKUP($F118,'FCDB 2017 (full)'!$C:$C,'FCDB 2017 (full)'!$P:$P)*$H118/100,0)</f>
        <v>0</v>
      </c>
      <c r="Z118" s="16">
        <f ca="1">IFERROR(_xlfn.XLOOKUP($F118,'FCDB 2017 (full)'!$C:$C,'FCDB 2017 (full)'!$Q:$Q)*$H118/100,0)</f>
        <v>0</v>
      </c>
      <c r="AA118" s="16">
        <f ca="1">IFERROR(_xlfn.XLOOKUP($F118,'FCDB 2017 (full)'!$C:$C,'FCDB 2017 (full)'!$R:$R)*$H118/100,0)</f>
        <v>0</v>
      </c>
      <c r="AB118" s="16">
        <f ca="1">IFERROR(_xlfn.XLOOKUP($F118,'FCDB 2017 (full)'!$C:$C,'FCDB 2017 (full)'!$S:$S)*$H118/100,0)</f>
        <v>0</v>
      </c>
      <c r="AC118" s="16">
        <f ca="1">IFERROR(_xlfn.XLOOKUP($F118,'FCDB 2017 (full)'!$C:$C,'FCDB 2017 (full)'!$T:$T)*$H118/100,0)</f>
        <v>0</v>
      </c>
      <c r="AD118" s="16">
        <f ca="1">IFERROR(_xlfn.XLOOKUP($F118,'FCDB 2017 (full)'!$C:$C,'FCDB 2017 (full)'!$U:$U)*$H118/100,0)</f>
        <v>0</v>
      </c>
      <c r="AE118" s="16">
        <f ca="1">IFERROR(_xlfn.XLOOKUP($F118,'FCDB 2017 (full)'!$C:$C,'FCDB 2017 (full)'!$V:$V)*$H118/100,0)</f>
        <v>0</v>
      </c>
      <c r="AF118" s="16">
        <f ca="1">IFERROR(_xlfn.XLOOKUP($F118,'FCDB 2017 (full)'!$C:$C,'FCDB 2017 (full)'!$W:$W)*$H118/100,0)</f>
        <v>0</v>
      </c>
      <c r="AG118" s="16">
        <f ca="1">IFERROR(_xlfn.XLOOKUP($F118,'FCDB 2017 (full)'!$C:$C,'FCDB 2017 (full)'!$X:$X)*$H118/100,0)</f>
        <v>0</v>
      </c>
      <c r="AH118" s="16">
        <f ca="1">IFERROR(_xlfn.XLOOKUP($F118,'FCDB 2017 (full)'!$C:$C,'FCDB 2017 (full)'!$Y:$Y)*$H118/100,0)</f>
        <v>0</v>
      </c>
      <c r="AI118" s="16">
        <f ca="1">IFERROR(_xlfn.XLOOKUP($F118,'FCDB 2017 (full)'!$C:$C,'FCDB 2017 (full)'!$Z:$Z)*$H118/100,0)</f>
        <v>0</v>
      </c>
      <c r="AJ118" s="16">
        <f ca="1">IFERROR(_xlfn.XLOOKUP($F118,'FCDB 2017 (full)'!$C:$C,'FCDB 2017 (full)'!$AA:$AA)*$H118/100,0)</f>
        <v>0</v>
      </c>
      <c r="AK118" s="16">
        <f ca="1">IFERROR(_xlfn.XLOOKUP($F118,'FCDB 2017 (full)'!$C:$C,'FCDB 2017 (full)'!$AB:$AB)*$H118/100,0)</f>
        <v>0</v>
      </c>
      <c r="AL118" s="16">
        <f ca="1">IFERROR(_xlfn.XLOOKUP($F118,'FCDB 2017 (full)'!$C:$C,'FCDB 2017 (full)'!$AC:$AC)*$H118/100,0)</f>
        <v>0</v>
      </c>
      <c r="AM118" s="16">
        <f ca="1">IFERROR(_xlfn.XLOOKUP($F118,'FCDB 2017 (full)'!$C:$C,'FCDB 2017 (full)'!$AD:$AD)*$H118/100,0)</f>
        <v>0</v>
      </c>
      <c r="AN118" s="16">
        <f ca="1">IFERROR(_xlfn.XLOOKUP($F118,'FCDB 2017 (full)'!$C:$C,'FCDB 2017 (full)'!$AE:$AE)*$H118/100,0)</f>
        <v>0</v>
      </c>
      <c r="AO118" s="16">
        <f ca="1">IFERROR(_xlfn.XLOOKUP($F118,'FCDB 2017 (full)'!$C:$C,'FCDB 2017 (full)'!$AF:$AF)*$H118/100,0)</f>
        <v>0</v>
      </c>
      <c r="AP118" s="16">
        <f ca="1">IFERROR(_xlfn.XLOOKUP($F118,'FCDB 2017 (full)'!$C:$C,'FCDB 2017 (full)'!$AG:$AG)*$H118/100,0)</f>
        <v>0</v>
      </c>
      <c r="AQ118" s="16">
        <f ca="1">IFERROR(_xlfn.XLOOKUP($F118,'FCDB 2017 (full)'!$C:$C,'FCDB 2017 (full)'!$AH:$AH)*$H118/100,0)</f>
        <v>0</v>
      </c>
      <c r="AR118" s="16">
        <f ca="1">IFERROR(_xlfn.XLOOKUP($F118,'FCDB 2017 (full)'!$C:$C,'FCDB 2017 (full)'!$AI:$AI)*$H118/100,0)</f>
        <v>0</v>
      </c>
      <c r="AS118" s="16">
        <f ca="1">IFERROR(_xlfn.XLOOKUP($F118,'FCDB 2017 (full)'!$C:$C,'FCDB 2017 (full)'!$AJ:$AJ)*$H118/100,0)</f>
        <v>0</v>
      </c>
      <c r="AT118" s="16">
        <f ca="1">IFERROR(_xlfn.XLOOKUP($F118,'FCDB 2017 (full)'!$C:$C,'FCDB 2017 (full)'!$AK:$AK)*$H118/100,0)</f>
        <v>0</v>
      </c>
      <c r="AU118" s="16">
        <f ca="1">IFERROR(_xlfn.XLOOKUP($F118,'FCDB 2017 (full)'!$C:$C,'FCDB 2017 (full)'!$AK:$AK)*$H118/100,0)</f>
        <v>0</v>
      </c>
      <c r="AV118" s="16">
        <f ca="1">IFERROR(_xlfn.XLOOKUP($F118,'FCDB 2017 (full)'!$C:$C,'FCDB 2017 (full)'!$AM:$AM)*$H118/100,0)</f>
        <v>0</v>
      </c>
      <c r="AW118" s="16">
        <f ca="1">IFERROR(_xlfn.XLOOKUP($F118,'FCDB 2017 (full)'!$C:$C,'FCDB 2017 (full)'!$AN:$AN)*$H118/100,0)</f>
        <v>0</v>
      </c>
      <c r="AX118" s="16">
        <f ca="1">IFERROR(_xlfn.XLOOKUP($F118,'FCDB 2017 (full)'!$C:$C,'FCDB 2017 (full)'!$AO:$AO)*$H118/100,0)</f>
        <v>0</v>
      </c>
      <c r="AY118" s="16">
        <f ca="1">IFERROR(_xlfn.XLOOKUP($F118,'FCDB 2017 (full)'!$C:$C,'FCDB 2017 (full)'!$AP:$AP)*$H118/100,0)</f>
        <v>0</v>
      </c>
      <c r="AZ118" s="16">
        <f ca="1">IFERROR(_xlfn.XLOOKUP($F118,'FCDB 2017 (full)'!$C:$C,'FCDB 2017 (full)'!$AQ:$AQ)*$H118/100,0)</f>
        <v>0</v>
      </c>
      <c r="BA118" s="16">
        <f ca="1">IFERROR(_xlfn.XLOOKUP($F118,'FCDB 2017 (full)'!$C:$C,'FCDB 2017 (full)'!$AR:$AR)*$H118/100,0)</f>
        <v>0</v>
      </c>
      <c r="BB118" s="16">
        <f ca="1">IFERROR(_xlfn.XLOOKUP($F118,'FCDB 2017 (full)'!$C:$C,'FCDB 2017 (full)'!$AS:$AS)*$H118/100,0)</f>
        <v>0</v>
      </c>
      <c r="BC118" s="16">
        <f ca="1">IFERROR(_xlfn.XLOOKUP($F118,'FCDB 2017 (full)'!$C:$C,'FCDB 2017 (full)'!$AT:$AT)*$H118/100,0)</f>
        <v>0</v>
      </c>
      <c r="BD118" s="16">
        <f ca="1">IFERROR(_xlfn.XLOOKUP($F118,'FCDB 2017 (full)'!$C:$C,'FCDB 2017 (full)'!$AU:$AU)*$H118/100,0)</f>
        <v>0</v>
      </c>
      <c r="BE118" s="16">
        <f ca="1">IFERROR(_xlfn.XLOOKUP($F118,'FCDB 2017 (full)'!$C:$C,'FCDB 2017 (full)'!$AV:$AV)*$H118/100,0)</f>
        <v>0</v>
      </c>
      <c r="BF118" s="16">
        <f ca="1">IFERROR(_xlfn.XLOOKUP($F118,'FCDB 2017 (full)'!$C:$C,'FCDB 2017 (full)'!$AW:$AW)*$H118/100,0)</f>
        <v>0</v>
      </c>
      <c r="BG118" s="16">
        <f ca="1">IFERROR(_xlfn.XLOOKUP($F118,'FCDB 2017 (full)'!$C:$C,'FCDB 2017 (full)'!$AX:$AX)*$H118/100,0)</f>
        <v>0</v>
      </c>
      <c r="BH118" s="16">
        <f ca="1">IFERROR(_xlfn.XLOOKUP($F118,'FCDB 2017 (full)'!$C:$C,'FCDB 2017 (full)'!$AY:$AY)*$H118/100,0)</f>
        <v>0</v>
      </c>
      <c r="BI118" s="16">
        <f ca="1">IFERROR(_xlfn.XLOOKUP($F118,'FCDB 2017 (full)'!$C:$C,'FCDB 2017 (full)'!$AZ:$AZ)*$H118/100,0)</f>
        <v>0</v>
      </c>
      <c r="BJ118" s="16">
        <f ca="1">IFERROR(_xlfn.XLOOKUP($F118,'FCDB 2017 (full)'!$C:$C,'FCDB 2017 (full)'!$BA:$BA)*$H118/100,0)</f>
        <v>0</v>
      </c>
      <c r="BK118" s="16">
        <f ca="1">IFERROR(_xlfn.XLOOKUP($F118,'FCDB 2017 (full)'!$C:$C,'FCDB 2017 (full)'!$BB:$BB)*$H118/100,0)</f>
        <v>0</v>
      </c>
      <c r="BL118" s="16">
        <f ca="1">IFERROR(_xlfn.XLOOKUP($F118,'FCDB 2017 (full)'!$C:$C,'FCDB 2017 (full)'!$BC:$BC)*$H118/100,0)</f>
        <v>0</v>
      </c>
      <c r="BM118" s="16">
        <f ca="1">IFERROR(_xlfn.XLOOKUP($F118,'FCDB 2017 (full)'!$C:$C,'FCDB 2017 (full)'!$BD:$BD)*$H118/100,0)</f>
        <v>0</v>
      </c>
      <c r="BN118" s="16">
        <f ca="1">IFERROR(_xlfn.XLOOKUP($F118,'FCDB 2017 (full)'!$C:$C,'FCDB 2017 (full)'!$BE:$BE)*$H118/100,0)</f>
        <v>0</v>
      </c>
      <c r="BO118" s="16">
        <f ca="1">IFERROR(_xlfn.XLOOKUP($F118,'FCDB 2017 (full)'!$C:$C,'FCDB 2017 (full)'!$BF:$BF)*$H118/100,0)</f>
        <v>0</v>
      </c>
      <c r="BP118" s="16">
        <f ca="1">IFERROR(_xlfn.XLOOKUP($F118,'FCDB 2017 (full)'!$C:$C,'FCDB 2017 (full)'!$BG:$BG)*$H118/100,0)</f>
        <v>0</v>
      </c>
      <c r="BQ118" s="16">
        <f ca="1">IFERROR(_xlfn.XLOOKUP($F118,'FCDB 2017 (full)'!$C:$C,'FCDB 2017 (full)'!$BH:$BH)*$H118/100,0)</f>
        <v>0</v>
      </c>
      <c r="BR118" s="16">
        <f ca="1">IFERROR(_xlfn.XLOOKUP($F118,'FCDB 2017 (full)'!$C:$C,'FCDB 2017 (full)'!$BI:$BI)*$H118/100,0)</f>
        <v>0</v>
      </c>
      <c r="BS118" s="16">
        <f ca="1">IFERROR(_xlfn.XLOOKUP($F118,'FCDB 2017 (full)'!$C:$C,'FCDB 2017 (full)'!$BJ:$BJ)*$H118/100,0)</f>
        <v>0</v>
      </c>
      <c r="BT118" s="16">
        <f ca="1">IFERROR(_xlfn.XLOOKUP($F118,'FCDB 2017 (full)'!$C:$C,'FCDB 2017 (full)'!$BK:$BK)*$H118/100,0)</f>
        <v>0</v>
      </c>
      <c r="BU118" s="16">
        <f ca="1">IFERROR(_xlfn.XLOOKUP($F118,'FCDB 2017 (full)'!$C:$C,'FCDB 2017 (full)'!$BL:$BL)*$H118/100,0)</f>
        <v>0</v>
      </c>
      <c r="BV118" s="16">
        <f ca="1">IFERROR(_xlfn.XLOOKUP($F118,'FCDB 2017 (full)'!$C:$C,'FCDB 2017 (full)'!$BM:$BM)*$H118/100,0)</f>
        <v>0</v>
      </c>
      <c r="BW118" s="16">
        <f ca="1">IFERROR(_xlfn.XLOOKUP($F118,'FCDB 2017 (full)'!$C:$C,'FCDB 2017 (full)'!$BN:$BN)*$H118/100,0)</f>
        <v>0</v>
      </c>
      <c r="BX118" s="16">
        <f ca="1">IFERROR(_xlfn.XLOOKUP($F118,'FCDB 2017 (full)'!$C:$C,'FCDB 2017 (full)'!$BO:$BO)*$H118/100,0)</f>
        <v>0</v>
      </c>
      <c r="BY118" s="16">
        <f ca="1">IFERROR(_xlfn.XLOOKUP($F118,'FCDB 2017 (full)'!$C:$C,'FCDB 2017 (full)'!$BP:$BP)*$H118/100,0)</f>
        <v>0</v>
      </c>
      <c r="BZ118" s="16">
        <f ca="1">IFERROR(_xlfn.XLOOKUP($F118,'FCDB 2017 (full)'!$C:$C,'FCDB 2017 (full)'!$BQ:$BQ)*$H118/100,0)</f>
        <v>0</v>
      </c>
      <c r="CA118" s="16">
        <f ca="1">IFERROR(_xlfn.XLOOKUP($F118,'FCDB 2017 (full)'!$C:$C,'FCDB 2017 (full)'!$BR:$BR)*$H118/100,0)</f>
        <v>0</v>
      </c>
      <c r="CB118" s="16">
        <f ca="1">IFERROR(_xlfn.XLOOKUP($F118,'FCDB 2017 (full)'!$C:$C,'FCDB 2017 (full)'!$BS:$BS)*$H118/100,0)</f>
        <v>0</v>
      </c>
      <c r="CC118" s="16">
        <f ca="1">IFERROR(_xlfn.XLOOKUP($F118,'FCDB 2017 (full)'!$C:$C,'FCDB 2017 (full)'!$BT:$BT)*$H118/100,0)</f>
        <v>0</v>
      </c>
      <c r="CD118" s="16">
        <f ca="1">IFERROR(_xlfn.XLOOKUP($F118,'FCDB 2017 (full)'!$C:$C,'FCDB 2017 (full)'!$BU:$BU)*$H118/100,0)</f>
        <v>0</v>
      </c>
      <c r="CE118" s="16">
        <f ca="1">IFERROR(_xlfn.XLOOKUP($F118,'FCDB 2017 (full)'!$C:$C,'FCDB 2017 (full)'!$BV:$BV)*$H118/100,0)</f>
        <v>0</v>
      </c>
      <c r="CF118" s="16">
        <f ca="1">IFERROR(_xlfn.XLOOKUP($F118,'FCDB 2017 (full)'!$C:$C,'FCDB 2017 (full)'!$BW:$BW)*$H118/100,0)</f>
        <v>0</v>
      </c>
      <c r="CG118" s="16">
        <f ca="1">IFERROR(_xlfn.XLOOKUP($F118,'FCDB 2017 (full)'!$C:$C,'FCDB 2017 (full)'!$BX:$BX)*$H118/100,0)</f>
        <v>0</v>
      </c>
      <c r="CH118" s="16">
        <f ca="1">IFERROR(_xlfn.XLOOKUP($F118,'FCDB 2017 (full)'!$C:$C,'FCDB 2017 (full)'!$BY:$BY)*$H118/100,0)</f>
        <v>0</v>
      </c>
      <c r="CI118" s="16">
        <f ca="1">IFERROR(_xlfn.XLOOKUP($F118,'FCDB 2017 (full)'!$C:$C,'FCDB 2017 (full)'!$BZ:$BZ)*$H118/100,0)</f>
        <v>0</v>
      </c>
      <c r="CJ118" s="16">
        <f ca="1">IFERROR(_xlfn.XLOOKUP($F118,'FCDB 2017 (full)'!$C:$C,'FCDB 2017 (full)'!$CA:$CA)*$H118/100,0)</f>
        <v>0</v>
      </c>
      <c r="CK118" s="16">
        <f ca="1">IFERROR(_xlfn.XLOOKUP($F118,'FCDB 2017 (full)'!$C:$C,'FCDB 2017 (full)'!$CB:$CB)*$H118/100,0)</f>
        <v>0</v>
      </c>
      <c r="CL118" s="16">
        <f ca="1">IFERROR(_xlfn.XLOOKUP($F118,'FCDB 2017 (full)'!$C:$C,'FCDB 2017 (full)'!$CC:$CC)*$H118/100,0)</f>
        <v>0</v>
      </c>
      <c r="CM118" s="16">
        <f ca="1">IFERROR(_xlfn.XLOOKUP($F118,'FCDB 2017 (full)'!$C:$C,'FCDB 2017 (full)'!$CD:$CD)*$H118/100,0)</f>
        <v>0</v>
      </c>
      <c r="CN118" s="16">
        <f ca="1">IFERROR(_xlfn.XLOOKUP($F118,'FCDB 2017 (full)'!$C:$C,'FCDB 2017 (full)'!$CE:$CE)*$H118/100,0)</f>
        <v>0</v>
      </c>
      <c r="CO118" s="16">
        <f ca="1">IFERROR(_xlfn.XLOOKUP($F118,'FCDB 2017 (full)'!$C:$C,'FCDB 2017 (full)'!$CF:$CF)*$H118/100,0)</f>
        <v>0</v>
      </c>
      <c r="CP118" s="16">
        <f ca="1">IFERROR(_xlfn.XLOOKUP($F118,'FCDB 2017 (full)'!$C:$C,'FCDB 2017 (full)'!$CG:$CG)*$H118/100,0)</f>
        <v>0</v>
      </c>
      <c r="CQ118" s="16">
        <f ca="1">IFERROR(_xlfn.XLOOKUP($F118,'FCDB 2017 (full)'!$C:$C,'FCDB 2017 (full)'!$CH:$CH)*$H118/100,0)</f>
        <v>0</v>
      </c>
      <c r="CR118" s="29"/>
      <c r="DA118" s="72" t="s">
        <v>982</v>
      </c>
    </row>
    <row r="119" spans="4:105">
      <c r="D119" s="29"/>
      <c r="E119" s="29"/>
      <c r="F119" s="11">
        <f>IFERROR(VLOOKUP($D$96,$D:$AE,22,0),0)</f>
        <v>0</v>
      </c>
      <c r="G119" s="7" cm="1">
        <f t="array" ref="G119">IF(F119=0,0,IF(_xlfn.XLOOKUP(F119,$E$96:$AE$96,$E$97:$AE$97)=0,"Nhập ĐV/TV",_xlfn.XLOOKUP(F119,$E$96:$AE$96,$E$97:$AE$97)))</f>
        <v>0</v>
      </c>
      <c r="H119" s="8">
        <f t="shared" si="26"/>
        <v>0</v>
      </c>
      <c r="I119" s="9">
        <f ca="1">IFERROR(_xlfn.XLOOKUP($F119,'FCDB 2017 (full)'!$C:$C,'FCDB 2017 (full)'!$E:$E),0)</f>
        <v>0</v>
      </c>
      <c r="J119" s="10">
        <f t="shared" ca="1" si="20"/>
        <v>0</v>
      </c>
      <c r="K119" s="9">
        <f ca="1">IFERROR(_xlfn.XLOOKUP($F119,'FCDB 2017 (full)'!$C:$C,'FCDB 2017 (full)'!$G:$G),0)</f>
        <v>0</v>
      </c>
      <c r="L119" s="13">
        <f t="shared" si="21"/>
        <v>0</v>
      </c>
      <c r="M119" s="13">
        <f t="shared" si="22"/>
        <v>0</v>
      </c>
      <c r="N119" s="9">
        <f ca="1">IFERROR(_xlfn.XLOOKUP($F119,'FCDB 2017 (full)'!$C:$C,'FCDB 2017 (full)'!$H:$H),0)</f>
        <v>0</v>
      </c>
      <c r="O119" s="14">
        <f t="shared" si="23"/>
        <v>0</v>
      </c>
      <c r="P119" s="14">
        <f t="shared" si="24"/>
        <v>0</v>
      </c>
      <c r="Q119" s="9">
        <f ca="1">IFERROR(_xlfn.XLOOKUP($F119,'FCDB 2017 (full)'!$C:$C,'FCDB 2017 (full)'!$I:$I),0)</f>
        <v>0</v>
      </c>
      <c r="R119" s="15">
        <f t="shared" ca="1" si="25"/>
        <v>0</v>
      </c>
      <c r="S119" s="16">
        <f ca="1">IFERROR(_xlfn.XLOOKUP($F119,'FCDB 2017 (full)'!$C:$C,'FCDB 2017 (full)'!$J:$J)*$H119/100,0)</f>
        <v>0</v>
      </c>
      <c r="T119" s="16">
        <f ca="1">IFERROR(_xlfn.XLOOKUP($F119,'FCDB 2017 (full)'!$C:$C,'FCDB 2017 (full)'!$K:$K)*$H119/100,0)</f>
        <v>0</v>
      </c>
      <c r="U119" s="16">
        <f ca="1">IFERROR(_xlfn.XLOOKUP($F119,'FCDB 2017 (full)'!$C:$C,'FCDB 2017 (full)'!$L:$L)*$H119/100,0)</f>
        <v>0</v>
      </c>
      <c r="V119" s="16">
        <f ca="1">IFERROR(_xlfn.XLOOKUP($F119,'FCDB 2017 (full)'!$C:$C,'FCDB 2017 (full)'!$M:$M)*$H119/100,0)</f>
        <v>0</v>
      </c>
      <c r="W119" s="16">
        <f ca="1">IFERROR(_xlfn.XLOOKUP($F119,'FCDB 2017 (full)'!$C:$C,'FCDB 2017 (full)'!$N:$N)*$H119/100,0)</f>
        <v>0</v>
      </c>
      <c r="X119" s="16">
        <f ca="1">IFERROR(_xlfn.XLOOKUP($F119,'FCDB 2017 (full)'!$C:$C,'FCDB 2017 (full)'!$O:$O)*$H119/100,0)</f>
        <v>0</v>
      </c>
      <c r="Y119" s="16">
        <f ca="1">IFERROR(_xlfn.XLOOKUP($F119,'FCDB 2017 (full)'!$C:$C,'FCDB 2017 (full)'!$P:$P)*$H119/100,0)</f>
        <v>0</v>
      </c>
      <c r="Z119" s="16">
        <f ca="1">IFERROR(_xlfn.XLOOKUP($F119,'FCDB 2017 (full)'!$C:$C,'FCDB 2017 (full)'!$Q:$Q)*$H119/100,0)</f>
        <v>0</v>
      </c>
      <c r="AA119" s="16">
        <f ca="1">IFERROR(_xlfn.XLOOKUP($F119,'FCDB 2017 (full)'!$C:$C,'FCDB 2017 (full)'!$R:$R)*$H119/100,0)</f>
        <v>0</v>
      </c>
      <c r="AB119" s="16">
        <f ca="1">IFERROR(_xlfn.XLOOKUP($F119,'FCDB 2017 (full)'!$C:$C,'FCDB 2017 (full)'!$S:$S)*$H119/100,0)</f>
        <v>0</v>
      </c>
      <c r="AC119" s="16">
        <f ca="1">IFERROR(_xlfn.XLOOKUP($F119,'FCDB 2017 (full)'!$C:$C,'FCDB 2017 (full)'!$T:$T)*$H119/100,0)</f>
        <v>0</v>
      </c>
      <c r="AD119" s="16">
        <f ca="1">IFERROR(_xlfn.XLOOKUP($F119,'FCDB 2017 (full)'!$C:$C,'FCDB 2017 (full)'!$U:$U)*$H119/100,0)</f>
        <v>0</v>
      </c>
      <c r="AE119" s="16">
        <f ca="1">IFERROR(_xlfn.XLOOKUP($F119,'FCDB 2017 (full)'!$C:$C,'FCDB 2017 (full)'!$V:$V)*$H119/100,0)</f>
        <v>0</v>
      </c>
      <c r="AF119" s="16">
        <f ca="1">IFERROR(_xlfn.XLOOKUP($F119,'FCDB 2017 (full)'!$C:$C,'FCDB 2017 (full)'!$W:$W)*$H119/100,0)</f>
        <v>0</v>
      </c>
      <c r="AG119" s="16">
        <f ca="1">IFERROR(_xlfn.XLOOKUP($F119,'FCDB 2017 (full)'!$C:$C,'FCDB 2017 (full)'!$X:$X)*$H119/100,0)</f>
        <v>0</v>
      </c>
      <c r="AH119" s="16">
        <f ca="1">IFERROR(_xlfn.XLOOKUP($F119,'FCDB 2017 (full)'!$C:$C,'FCDB 2017 (full)'!$Y:$Y)*$H119/100,0)</f>
        <v>0</v>
      </c>
      <c r="AI119" s="16">
        <f ca="1">IFERROR(_xlfn.XLOOKUP($F119,'FCDB 2017 (full)'!$C:$C,'FCDB 2017 (full)'!$Z:$Z)*$H119/100,0)</f>
        <v>0</v>
      </c>
      <c r="AJ119" s="16">
        <f ca="1">IFERROR(_xlfn.XLOOKUP($F119,'FCDB 2017 (full)'!$C:$C,'FCDB 2017 (full)'!$AA:$AA)*$H119/100,0)</f>
        <v>0</v>
      </c>
      <c r="AK119" s="16">
        <f ca="1">IFERROR(_xlfn.XLOOKUP($F119,'FCDB 2017 (full)'!$C:$C,'FCDB 2017 (full)'!$AB:$AB)*$H119/100,0)</f>
        <v>0</v>
      </c>
      <c r="AL119" s="16">
        <f ca="1">IFERROR(_xlfn.XLOOKUP($F119,'FCDB 2017 (full)'!$C:$C,'FCDB 2017 (full)'!$AC:$AC)*$H119/100,0)</f>
        <v>0</v>
      </c>
      <c r="AM119" s="16">
        <f ca="1">IFERROR(_xlfn.XLOOKUP($F119,'FCDB 2017 (full)'!$C:$C,'FCDB 2017 (full)'!$AD:$AD)*$H119/100,0)</f>
        <v>0</v>
      </c>
      <c r="AN119" s="16">
        <f ca="1">IFERROR(_xlfn.XLOOKUP($F119,'FCDB 2017 (full)'!$C:$C,'FCDB 2017 (full)'!$AE:$AE)*$H119/100,0)</f>
        <v>0</v>
      </c>
      <c r="AO119" s="16">
        <f ca="1">IFERROR(_xlfn.XLOOKUP($F119,'FCDB 2017 (full)'!$C:$C,'FCDB 2017 (full)'!$AF:$AF)*$H119/100,0)</f>
        <v>0</v>
      </c>
      <c r="AP119" s="16">
        <f ca="1">IFERROR(_xlfn.XLOOKUP($F119,'FCDB 2017 (full)'!$C:$C,'FCDB 2017 (full)'!$AG:$AG)*$H119/100,0)</f>
        <v>0</v>
      </c>
      <c r="AQ119" s="16">
        <f ca="1">IFERROR(_xlfn.XLOOKUP($F119,'FCDB 2017 (full)'!$C:$C,'FCDB 2017 (full)'!$AH:$AH)*$H119/100,0)</f>
        <v>0</v>
      </c>
      <c r="AR119" s="16">
        <f ca="1">IFERROR(_xlfn.XLOOKUP($F119,'FCDB 2017 (full)'!$C:$C,'FCDB 2017 (full)'!$AI:$AI)*$H119/100,0)</f>
        <v>0</v>
      </c>
      <c r="AS119" s="16">
        <f ca="1">IFERROR(_xlfn.XLOOKUP($F119,'FCDB 2017 (full)'!$C:$C,'FCDB 2017 (full)'!$AJ:$AJ)*$H119/100,0)</f>
        <v>0</v>
      </c>
      <c r="AT119" s="16">
        <f ca="1">IFERROR(_xlfn.XLOOKUP($F119,'FCDB 2017 (full)'!$C:$C,'FCDB 2017 (full)'!$AK:$AK)*$H119/100,0)</f>
        <v>0</v>
      </c>
      <c r="AU119" s="16">
        <f ca="1">IFERROR(_xlfn.XLOOKUP($F119,'FCDB 2017 (full)'!$C:$C,'FCDB 2017 (full)'!$AK:$AK)*$H119/100,0)</f>
        <v>0</v>
      </c>
      <c r="AV119" s="16">
        <f ca="1">IFERROR(_xlfn.XLOOKUP($F119,'FCDB 2017 (full)'!$C:$C,'FCDB 2017 (full)'!$AM:$AM)*$H119/100,0)</f>
        <v>0</v>
      </c>
      <c r="AW119" s="16">
        <f ca="1">IFERROR(_xlfn.XLOOKUP($F119,'FCDB 2017 (full)'!$C:$C,'FCDB 2017 (full)'!$AN:$AN)*$H119/100,0)</f>
        <v>0</v>
      </c>
      <c r="AX119" s="16">
        <f ca="1">IFERROR(_xlfn.XLOOKUP($F119,'FCDB 2017 (full)'!$C:$C,'FCDB 2017 (full)'!$AO:$AO)*$H119/100,0)</f>
        <v>0</v>
      </c>
      <c r="AY119" s="16">
        <f ca="1">IFERROR(_xlfn.XLOOKUP($F119,'FCDB 2017 (full)'!$C:$C,'FCDB 2017 (full)'!$AP:$AP)*$H119/100,0)</f>
        <v>0</v>
      </c>
      <c r="AZ119" s="16">
        <f ca="1">IFERROR(_xlfn.XLOOKUP($F119,'FCDB 2017 (full)'!$C:$C,'FCDB 2017 (full)'!$AQ:$AQ)*$H119/100,0)</f>
        <v>0</v>
      </c>
      <c r="BA119" s="16">
        <f ca="1">IFERROR(_xlfn.XLOOKUP($F119,'FCDB 2017 (full)'!$C:$C,'FCDB 2017 (full)'!$AR:$AR)*$H119/100,0)</f>
        <v>0</v>
      </c>
      <c r="BB119" s="16">
        <f ca="1">IFERROR(_xlfn.XLOOKUP($F119,'FCDB 2017 (full)'!$C:$C,'FCDB 2017 (full)'!$AS:$AS)*$H119/100,0)</f>
        <v>0</v>
      </c>
      <c r="BC119" s="16">
        <f ca="1">IFERROR(_xlfn.XLOOKUP($F119,'FCDB 2017 (full)'!$C:$C,'FCDB 2017 (full)'!$AT:$AT)*$H119/100,0)</f>
        <v>0</v>
      </c>
      <c r="BD119" s="16">
        <f ca="1">IFERROR(_xlfn.XLOOKUP($F119,'FCDB 2017 (full)'!$C:$C,'FCDB 2017 (full)'!$AU:$AU)*$H119/100,0)</f>
        <v>0</v>
      </c>
      <c r="BE119" s="16">
        <f ca="1">IFERROR(_xlfn.XLOOKUP($F119,'FCDB 2017 (full)'!$C:$C,'FCDB 2017 (full)'!$AV:$AV)*$H119/100,0)</f>
        <v>0</v>
      </c>
      <c r="BF119" s="16">
        <f ca="1">IFERROR(_xlfn.XLOOKUP($F119,'FCDB 2017 (full)'!$C:$C,'FCDB 2017 (full)'!$AW:$AW)*$H119/100,0)</f>
        <v>0</v>
      </c>
      <c r="BG119" s="16">
        <f ca="1">IFERROR(_xlfn.XLOOKUP($F119,'FCDB 2017 (full)'!$C:$C,'FCDB 2017 (full)'!$AX:$AX)*$H119/100,0)</f>
        <v>0</v>
      </c>
      <c r="BH119" s="16">
        <f ca="1">IFERROR(_xlfn.XLOOKUP($F119,'FCDB 2017 (full)'!$C:$C,'FCDB 2017 (full)'!$AY:$AY)*$H119/100,0)</f>
        <v>0</v>
      </c>
      <c r="BI119" s="16">
        <f ca="1">IFERROR(_xlfn.XLOOKUP($F119,'FCDB 2017 (full)'!$C:$C,'FCDB 2017 (full)'!$AZ:$AZ)*$H119/100,0)</f>
        <v>0</v>
      </c>
      <c r="BJ119" s="16">
        <f ca="1">IFERROR(_xlfn.XLOOKUP($F119,'FCDB 2017 (full)'!$C:$C,'FCDB 2017 (full)'!$BA:$BA)*$H119/100,0)</f>
        <v>0</v>
      </c>
      <c r="BK119" s="16">
        <f ca="1">IFERROR(_xlfn.XLOOKUP($F119,'FCDB 2017 (full)'!$C:$C,'FCDB 2017 (full)'!$BB:$BB)*$H119/100,0)</f>
        <v>0</v>
      </c>
      <c r="BL119" s="16">
        <f ca="1">IFERROR(_xlfn.XLOOKUP($F119,'FCDB 2017 (full)'!$C:$C,'FCDB 2017 (full)'!$BC:$BC)*$H119/100,0)</f>
        <v>0</v>
      </c>
      <c r="BM119" s="16">
        <f ca="1">IFERROR(_xlfn.XLOOKUP($F119,'FCDB 2017 (full)'!$C:$C,'FCDB 2017 (full)'!$BD:$BD)*$H119/100,0)</f>
        <v>0</v>
      </c>
      <c r="BN119" s="16">
        <f ca="1">IFERROR(_xlfn.XLOOKUP($F119,'FCDB 2017 (full)'!$C:$C,'FCDB 2017 (full)'!$BE:$BE)*$H119/100,0)</f>
        <v>0</v>
      </c>
      <c r="BO119" s="16">
        <f ca="1">IFERROR(_xlfn.XLOOKUP($F119,'FCDB 2017 (full)'!$C:$C,'FCDB 2017 (full)'!$BF:$BF)*$H119/100,0)</f>
        <v>0</v>
      </c>
      <c r="BP119" s="16">
        <f ca="1">IFERROR(_xlfn.XLOOKUP($F119,'FCDB 2017 (full)'!$C:$C,'FCDB 2017 (full)'!$BG:$BG)*$H119/100,0)</f>
        <v>0</v>
      </c>
      <c r="BQ119" s="16">
        <f ca="1">IFERROR(_xlfn.XLOOKUP($F119,'FCDB 2017 (full)'!$C:$C,'FCDB 2017 (full)'!$BH:$BH)*$H119/100,0)</f>
        <v>0</v>
      </c>
      <c r="BR119" s="16">
        <f ca="1">IFERROR(_xlfn.XLOOKUP($F119,'FCDB 2017 (full)'!$C:$C,'FCDB 2017 (full)'!$BI:$BI)*$H119/100,0)</f>
        <v>0</v>
      </c>
      <c r="BS119" s="16">
        <f ca="1">IFERROR(_xlfn.XLOOKUP($F119,'FCDB 2017 (full)'!$C:$C,'FCDB 2017 (full)'!$BJ:$BJ)*$H119/100,0)</f>
        <v>0</v>
      </c>
      <c r="BT119" s="16">
        <f ca="1">IFERROR(_xlfn.XLOOKUP($F119,'FCDB 2017 (full)'!$C:$C,'FCDB 2017 (full)'!$BK:$BK)*$H119/100,0)</f>
        <v>0</v>
      </c>
      <c r="BU119" s="16">
        <f ca="1">IFERROR(_xlfn.XLOOKUP($F119,'FCDB 2017 (full)'!$C:$C,'FCDB 2017 (full)'!$BL:$BL)*$H119/100,0)</f>
        <v>0</v>
      </c>
      <c r="BV119" s="16">
        <f ca="1">IFERROR(_xlfn.XLOOKUP($F119,'FCDB 2017 (full)'!$C:$C,'FCDB 2017 (full)'!$BM:$BM)*$H119/100,0)</f>
        <v>0</v>
      </c>
      <c r="BW119" s="16">
        <f ca="1">IFERROR(_xlfn.XLOOKUP($F119,'FCDB 2017 (full)'!$C:$C,'FCDB 2017 (full)'!$BN:$BN)*$H119/100,0)</f>
        <v>0</v>
      </c>
      <c r="BX119" s="16">
        <f ca="1">IFERROR(_xlfn.XLOOKUP($F119,'FCDB 2017 (full)'!$C:$C,'FCDB 2017 (full)'!$BO:$BO)*$H119/100,0)</f>
        <v>0</v>
      </c>
      <c r="BY119" s="16">
        <f ca="1">IFERROR(_xlfn.XLOOKUP($F119,'FCDB 2017 (full)'!$C:$C,'FCDB 2017 (full)'!$BP:$BP)*$H119/100,0)</f>
        <v>0</v>
      </c>
      <c r="BZ119" s="16">
        <f ca="1">IFERROR(_xlfn.XLOOKUP($F119,'FCDB 2017 (full)'!$C:$C,'FCDB 2017 (full)'!$BQ:$BQ)*$H119/100,0)</f>
        <v>0</v>
      </c>
      <c r="CA119" s="16">
        <f ca="1">IFERROR(_xlfn.XLOOKUP($F119,'FCDB 2017 (full)'!$C:$C,'FCDB 2017 (full)'!$BR:$BR)*$H119/100,0)</f>
        <v>0</v>
      </c>
      <c r="CB119" s="16">
        <f ca="1">IFERROR(_xlfn.XLOOKUP($F119,'FCDB 2017 (full)'!$C:$C,'FCDB 2017 (full)'!$BS:$BS)*$H119/100,0)</f>
        <v>0</v>
      </c>
      <c r="CC119" s="16">
        <f ca="1">IFERROR(_xlfn.XLOOKUP($F119,'FCDB 2017 (full)'!$C:$C,'FCDB 2017 (full)'!$BT:$BT)*$H119/100,0)</f>
        <v>0</v>
      </c>
      <c r="CD119" s="16">
        <f ca="1">IFERROR(_xlfn.XLOOKUP($F119,'FCDB 2017 (full)'!$C:$C,'FCDB 2017 (full)'!$BU:$BU)*$H119/100,0)</f>
        <v>0</v>
      </c>
      <c r="CE119" s="16">
        <f ca="1">IFERROR(_xlfn.XLOOKUP($F119,'FCDB 2017 (full)'!$C:$C,'FCDB 2017 (full)'!$BV:$BV)*$H119/100,0)</f>
        <v>0</v>
      </c>
      <c r="CF119" s="16">
        <f ca="1">IFERROR(_xlfn.XLOOKUP($F119,'FCDB 2017 (full)'!$C:$C,'FCDB 2017 (full)'!$BW:$BW)*$H119/100,0)</f>
        <v>0</v>
      </c>
      <c r="CG119" s="16">
        <f ca="1">IFERROR(_xlfn.XLOOKUP($F119,'FCDB 2017 (full)'!$C:$C,'FCDB 2017 (full)'!$BX:$BX)*$H119/100,0)</f>
        <v>0</v>
      </c>
      <c r="CH119" s="16">
        <f ca="1">IFERROR(_xlfn.XLOOKUP($F119,'FCDB 2017 (full)'!$C:$C,'FCDB 2017 (full)'!$BY:$BY)*$H119/100,0)</f>
        <v>0</v>
      </c>
      <c r="CI119" s="16">
        <f ca="1">IFERROR(_xlfn.XLOOKUP($F119,'FCDB 2017 (full)'!$C:$C,'FCDB 2017 (full)'!$BZ:$BZ)*$H119/100,0)</f>
        <v>0</v>
      </c>
      <c r="CJ119" s="16">
        <f ca="1">IFERROR(_xlfn.XLOOKUP($F119,'FCDB 2017 (full)'!$C:$C,'FCDB 2017 (full)'!$CA:$CA)*$H119/100,0)</f>
        <v>0</v>
      </c>
      <c r="CK119" s="16">
        <f ca="1">IFERROR(_xlfn.XLOOKUP($F119,'FCDB 2017 (full)'!$C:$C,'FCDB 2017 (full)'!$CB:$CB)*$H119/100,0)</f>
        <v>0</v>
      </c>
      <c r="CL119" s="16">
        <f ca="1">IFERROR(_xlfn.XLOOKUP($F119,'FCDB 2017 (full)'!$C:$C,'FCDB 2017 (full)'!$CC:$CC)*$H119/100,0)</f>
        <v>0</v>
      </c>
      <c r="CM119" s="16">
        <f ca="1">IFERROR(_xlfn.XLOOKUP($F119,'FCDB 2017 (full)'!$C:$C,'FCDB 2017 (full)'!$CD:$CD)*$H119/100,0)</f>
        <v>0</v>
      </c>
      <c r="CN119" s="16">
        <f ca="1">IFERROR(_xlfn.XLOOKUP($F119,'FCDB 2017 (full)'!$C:$C,'FCDB 2017 (full)'!$CE:$CE)*$H119/100,0)</f>
        <v>0</v>
      </c>
      <c r="CO119" s="16">
        <f ca="1">IFERROR(_xlfn.XLOOKUP($F119,'FCDB 2017 (full)'!$C:$C,'FCDB 2017 (full)'!$CF:$CF)*$H119/100,0)</f>
        <v>0</v>
      </c>
      <c r="CP119" s="16">
        <f ca="1">IFERROR(_xlfn.XLOOKUP($F119,'FCDB 2017 (full)'!$C:$C,'FCDB 2017 (full)'!$CG:$CG)*$H119/100,0)</f>
        <v>0</v>
      </c>
      <c r="CQ119" s="16">
        <f ca="1">IFERROR(_xlfn.XLOOKUP($F119,'FCDB 2017 (full)'!$C:$C,'FCDB 2017 (full)'!$CH:$CH)*$H119/100,0)</f>
        <v>0</v>
      </c>
      <c r="CR119" s="29"/>
      <c r="DA119" s="72" t="s">
        <v>982</v>
      </c>
    </row>
    <row r="120" spans="4:105">
      <c r="D120" s="29"/>
      <c r="E120" s="29"/>
      <c r="F120" s="11">
        <f>IFERROR(VLOOKUP($D$96,$D:$AE,23,0),0)</f>
        <v>0</v>
      </c>
      <c r="G120" s="7" cm="1">
        <f t="array" ref="G120">IF(F120=0,0,IF(_xlfn.XLOOKUP(F120,$E$96:$AE$96,$E$97:$AE$97)=0,"Nhập ĐV/TV",_xlfn.XLOOKUP(F120,$E$96:$AE$96,$E$97:$AE$97)))</f>
        <v>0</v>
      </c>
      <c r="H120" s="8">
        <f t="shared" si="26"/>
        <v>0</v>
      </c>
      <c r="I120" s="9">
        <f ca="1">IFERROR(_xlfn.XLOOKUP($F120,'FCDB 2017 (full)'!$C:$C,'FCDB 2017 (full)'!$E:$E),0)</f>
        <v>0</v>
      </c>
      <c r="J120" s="10">
        <f t="shared" ca="1" si="20"/>
        <v>0</v>
      </c>
      <c r="K120" s="9">
        <f ca="1">IFERROR(_xlfn.XLOOKUP($F120,'FCDB 2017 (full)'!$C:$C,'FCDB 2017 (full)'!$G:$G),0)</f>
        <v>0</v>
      </c>
      <c r="L120" s="13">
        <f t="shared" si="21"/>
        <v>0</v>
      </c>
      <c r="M120" s="13">
        <f t="shared" si="22"/>
        <v>0</v>
      </c>
      <c r="N120" s="9">
        <f ca="1">IFERROR(_xlfn.XLOOKUP($F120,'FCDB 2017 (full)'!$C:$C,'FCDB 2017 (full)'!$H:$H),0)</f>
        <v>0</v>
      </c>
      <c r="O120" s="14">
        <f t="shared" si="23"/>
        <v>0</v>
      </c>
      <c r="P120" s="14">
        <f t="shared" si="24"/>
        <v>0</v>
      </c>
      <c r="Q120" s="9">
        <f ca="1">IFERROR(_xlfn.XLOOKUP($F120,'FCDB 2017 (full)'!$C:$C,'FCDB 2017 (full)'!$I:$I),0)</f>
        <v>0</v>
      </c>
      <c r="R120" s="15">
        <f t="shared" ca="1" si="25"/>
        <v>0</v>
      </c>
      <c r="S120" s="16">
        <f ca="1">IFERROR(_xlfn.XLOOKUP($F120,'FCDB 2017 (full)'!$C:$C,'FCDB 2017 (full)'!$J:$J)*$H120/100,0)</f>
        <v>0</v>
      </c>
      <c r="T120" s="16">
        <f ca="1">IFERROR(_xlfn.XLOOKUP($F120,'FCDB 2017 (full)'!$C:$C,'FCDB 2017 (full)'!$K:$K)*$H120/100,0)</f>
        <v>0</v>
      </c>
      <c r="U120" s="16">
        <f ca="1">IFERROR(_xlfn.XLOOKUP($F120,'FCDB 2017 (full)'!$C:$C,'FCDB 2017 (full)'!$L:$L)*$H120/100,0)</f>
        <v>0</v>
      </c>
      <c r="V120" s="16">
        <f ca="1">IFERROR(_xlfn.XLOOKUP($F120,'FCDB 2017 (full)'!$C:$C,'FCDB 2017 (full)'!$M:$M)*$H120/100,0)</f>
        <v>0</v>
      </c>
      <c r="W120" s="16">
        <f ca="1">IFERROR(_xlfn.XLOOKUP($F120,'FCDB 2017 (full)'!$C:$C,'FCDB 2017 (full)'!$N:$N)*$H120/100,0)</f>
        <v>0</v>
      </c>
      <c r="X120" s="16">
        <f ca="1">IFERROR(_xlfn.XLOOKUP($F120,'FCDB 2017 (full)'!$C:$C,'FCDB 2017 (full)'!$O:$O)*$H120/100,0)</f>
        <v>0</v>
      </c>
      <c r="Y120" s="16">
        <f ca="1">IFERROR(_xlfn.XLOOKUP($F120,'FCDB 2017 (full)'!$C:$C,'FCDB 2017 (full)'!$P:$P)*$H120/100,0)</f>
        <v>0</v>
      </c>
      <c r="Z120" s="16">
        <f ca="1">IFERROR(_xlfn.XLOOKUP($F120,'FCDB 2017 (full)'!$C:$C,'FCDB 2017 (full)'!$Q:$Q)*$H120/100,0)</f>
        <v>0</v>
      </c>
      <c r="AA120" s="16">
        <f ca="1">IFERROR(_xlfn.XLOOKUP($F120,'FCDB 2017 (full)'!$C:$C,'FCDB 2017 (full)'!$R:$R)*$H120/100,0)</f>
        <v>0</v>
      </c>
      <c r="AB120" s="16">
        <f ca="1">IFERROR(_xlfn.XLOOKUP($F120,'FCDB 2017 (full)'!$C:$C,'FCDB 2017 (full)'!$S:$S)*$H120/100,0)</f>
        <v>0</v>
      </c>
      <c r="AC120" s="16">
        <f ca="1">IFERROR(_xlfn.XLOOKUP($F120,'FCDB 2017 (full)'!$C:$C,'FCDB 2017 (full)'!$T:$T)*$H120/100,0)</f>
        <v>0</v>
      </c>
      <c r="AD120" s="16">
        <f ca="1">IFERROR(_xlfn.XLOOKUP($F120,'FCDB 2017 (full)'!$C:$C,'FCDB 2017 (full)'!$U:$U)*$H120/100,0)</f>
        <v>0</v>
      </c>
      <c r="AE120" s="16">
        <f ca="1">IFERROR(_xlfn.XLOOKUP($F120,'FCDB 2017 (full)'!$C:$C,'FCDB 2017 (full)'!$V:$V)*$H120/100,0)</f>
        <v>0</v>
      </c>
      <c r="AF120" s="16">
        <f ca="1">IFERROR(_xlfn.XLOOKUP($F120,'FCDB 2017 (full)'!$C:$C,'FCDB 2017 (full)'!$W:$W)*$H120/100,0)</f>
        <v>0</v>
      </c>
      <c r="AG120" s="16">
        <f ca="1">IFERROR(_xlfn.XLOOKUP($F120,'FCDB 2017 (full)'!$C:$C,'FCDB 2017 (full)'!$X:$X)*$H120/100,0)</f>
        <v>0</v>
      </c>
      <c r="AH120" s="16">
        <f ca="1">IFERROR(_xlfn.XLOOKUP($F120,'FCDB 2017 (full)'!$C:$C,'FCDB 2017 (full)'!$Y:$Y)*$H120/100,0)</f>
        <v>0</v>
      </c>
      <c r="AI120" s="16">
        <f ca="1">IFERROR(_xlfn.XLOOKUP($F120,'FCDB 2017 (full)'!$C:$C,'FCDB 2017 (full)'!$Z:$Z)*$H120/100,0)</f>
        <v>0</v>
      </c>
      <c r="AJ120" s="16">
        <f ca="1">IFERROR(_xlfn.XLOOKUP($F120,'FCDB 2017 (full)'!$C:$C,'FCDB 2017 (full)'!$AA:$AA)*$H120/100,0)</f>
        <v>0</v>
      </c>
      <c r="AK120" s="16">
        <f ca="1">IFERROR(_xlfn.XLOOKUP($F120,'FCDB 2017 (full)'!$C:$C,'FCDB 2017 (full)'!$AB:$AB)*$H120/100,0)</f>
        <v>0</v>
      </c>
      <c r="AL120" s="16">
        <f ca="1">IFERROR(_xlfn.XLOOKUP($F120,'FCDB 2017 (full)'!$C:$C,'FCDB 2017 (full)'!$AC:$AC)*$H120/100,0)</f>
        <v>0</v>
      </c>
      <c r="AM120" s="16">
        <f ca="1">IFERROR(_xlfn.XLOOKUP($F120,'FCDB 2017 (full)'!$C:$C,'FCDB 2017 (full)'!$AD:$AD)*$H120/100,0)</f>
        <v>0</v>
      </c>
      <c r="AN120" s="16">
        <f ca="1">IFERROR(_xlfn.XLOOKUP($F120,'FCDB 2017 (full)'!$C:$C,'FCDB 2017 (full)'!$AE:$AE)*$H120/100,0)</f>
        <v>0</v>
      </c>
      <c r="AO120" s="16">
        <f ca="1">IFERROR(_xlfn.XLOOKUP($F120,'FCDB 2017 (full)'!$C:$C,'FCDB 2017 (full)'!$AF:$AF)*$H120/100,0)</f>
        <v>0</v>
      </c>
      <c r="AP120" s="16">
        <f ca="1">IFERROR(_xlfn.XLOOKUP($F120,'FCDB 2017 (full)'!$C:$C,'FCDB 2017 (full)'!$AG:$AG)*$H120/100,0)</f>
        <v>0</v>
      </c>
      <c r="AQ120" s="16">
        <f ca="1">IFERROR(_xlfn.XLOOKUP($F120,'FCDB 2017 (full)'!$C:$C,'FCDB 2017 (full)'!$AH:$AH)*$H120/100,0)</f>
        <v>0</v>
      </c>
      <c r="AR120" s="16">
        <f ca="1">IFERROR(_xlfn.XLOOKUP($F120,'FCDB 2017 (full)'!$C:$C,'FCDB 2017 (full)'!$AI:$AI)*$H120/100,0)</f>
        <v>0</v>
      </c>
      <c r="AS120" s="16">
        <f ca="1">IFERROR(_xlfn.XLOOKUP($F120,'FCDB 2017 (full)'!$C:$C,'FCDB 2017 (full)'!$AJ:$AJ)*$H120/100,0)</f>
        <v>0</v>
      </c>
      <c r="AT120" s="16">
        <f ca="1">IFERROR(_xlfn.XLOOKUP($F120,'FCDB 2017 (full)'!$C:$C,'FCDB 2017 (full)'!$AK:$AK)*$H120/100,0)</f>
        <v>0</v>
      </c>
      <c r="AU120" s="16">
        <f ca="1">IFERROR(_xlfn.XLOOKUP($F120,'FCDB 2017 (full)'!$C:$C,'FCDB 2017 (full)'!$AK:$AK)*$H120/100,0)</f>
        <v>0</v>
      </c>
      <c r="AV120" s="16">
        <f ca="1">IFERROR(_xlfn.XLOOKUP($F120,'FCDB 2017 (full)'!$C:$C,'FCDB 2017 (full)'!$AM:$AM)*$H120/100,0)</f>
        <v>0</v>
      </c>
      <c r="AW120" s="16">
        <f ca="1">IFERROR(_xlfn.XLOOKUP($F120,'FCDB 2017 (full)'!$C:$C,'FCDB 2017 (full)'!$AN:$AN)*$H120/100,0)</f>
        <v>0</v>
      </c>
      <c r="AX120" s="16">
        <f ca="1">IFERROR(_xlfn.XLOOKUP($F120,'FCDB 2017 (full)'!$C:$C,'FCDB 2017 (full)'!$AO:$AO)*$H120/100,0)</f>
        <v>0</v>
      </c>
      <c r="AY120" s="16">
        <f ca="1">IFERROR(_xlfn.XLOOKUP($F120,'FCDB 2017 (full)'!$C:$C,'FCDB 2017 (full)'!$AP:$AP)*$H120/100,0)</f>
        <v>0</v>
      </c>
      <c r="AZ120" s="16">
        <f ca="1">IFERROR(_xlfn.XLOOKUP($F120,'FCDB 2017 (full)'!$C:$C,'FCDB 2017 (full)'!$AQ:$AQ)*$H120/100,0)</f>
        <v>0</v>
      </c>
      <c r="BA120" s="16">
        <f ca="1">IFERROR(_xlfn.XLOOKUP($F120,'FCDB 2017 (full)'!$C:$C,'FCDB 2017 (full)'!$AR:$AR)*$H120/100,0)</f>
        <v>0</v>
      </c>
      <c r="BB120" s="16">
        <f ca="1">IFERROR(_xlfn.XLOOKUP($F120,'FCDB 2017 (full)'!$C:$C,'FCDB 2017 (full)'!$AS:$AS)*$H120/100,0)</f>
        <v>0</v>
      </c>
      <c r="BC120" s="16">
        <f ca="1">IFERROR(_xlfn.XLOOKUP($F120,'FCDB 2017 (full)'!$C:$C,'FCDB 2017 (full)'!$AT:$AT)*$H120/100,0)</f>
        <v>0</v>
      </c>
      <c r="BD120" s="16">
        <f ca="1">IFERROR(_xlfn.XLOOKUP($F120,'FCDB 2017 (full)'!$C:$C,'FCDB 2017 (full)'!$AU:$AU)*$H120/100,0)</f>
        <v>0</v>
      </c>
      <c r="BE120" s="16">
        <f ca="1">IFERROR(_xlfn.XLOOKUP($F120,'FCDB 2017 (full)'!$C:$C,'FCDB 2017 (full)'!$AV:$AV)*$H120/100,0)</f>
        <v>0</v>
      </c>
      <c r="BF120" s="16">
        <f ca="1">IFERROR(_xlfn.XLOOKUP($F120,'FCDB 2017 (full)'!$C:$C,'FCDB 2017 (full)'!$AW:$AW)*$H120/100,0)</f>
        <v>0</v>
      </c>
      <c r="BG120" s="16">
        <f ca="1">IFERROR(_xlfn.XLOOKUP($F120,'FCDB 2017 (full)'!$C:$C,'FCDB 2017 (full)'!$AX:$AX)*$H120/100,0)</f>
        <v>0</v>
      </c>
      <c r="BH120" s="16">
        <f ca="1">IFERROR(_xlfn.XLOOKUP($F120,'FCDB 2017 (full)'!$C:$C,'FCDB 2017 (full)'!$AY:$AY)*$H120/100,0)</f>
        <v>0</v>
      </c>
      <c r="BI120" s="16">
        <f ca="1">IFERROR(_xlfn.XLOOKUP($F120,'FCDB 2017 (full)'!$C:$C,'FCDB 2017 (full)'!$AZ:$AZ)*$H120/100,0)</f>
        <v>0</v>
      </c>
      <c r="BJ120" s="16">
        <f ca="1">IFERROR(_xlfn.XLOOKUP($F120,'FCDB 2017 (full)'!$C:$C,'FCDB 2017 (full)'!$BA:$BA)*$H120/100,0)</f>
        <v>0</v>
      </c>
      <c r="BK120" s="16">
        <f ca="1">IFERROR(_xlfn.XLOOKUP($F120,'FCDB 2017 (full)'!$C:$C,'FCDB 2017 (full)'!$BB:$BB)*$H120/100,0)</f>
        <v>0</v>
      </c>
      <c r="BL120" s="16">
        <f ca="1">IFERROR(_xlfn.XLOOKUP($F120,'FCDB 2017 (full)'!$C:$C,'FCDB 2017 (full)'!$BC:$BC)*$H120/100,0)</f>
        <v>0</v>
      </c>
      <c r="BM120" s="16">
        <f ca="1">IFERROR(_xlfn.XLOOKUP($F120,'FCDB 2017 (full)'!$C:$C,'FCDB 2017 (full)'!$BD:$BD)*$H120/100,0)</f>
        <v>0</v>
      </c>
      <c r="BN120" s="16">
        <f ca="1">IFERROR(_xlfn.XLOOKUP($F120,'FCDB 2017 (full)'!$C:$C,'FCDB 2017 (full)'!$BE:$BE)*$H120/100,0)</f>
        <v>0</v>
      </c>
      <c r="BO120" s="16">
        <f ca="1">IFERROR(_xlfn.XLOOKUP($F120,'FCDB 2017 (full)'!$C:$C,'FCDB 2017 (full)'!$BF:$BF)*$H120/100,0)</f>
        <v>0</v>
      </c>
      <c r="BP120" s="16">
        <f ca="1">IFERROR(_xlfn.XLOOKUP($F120,'FCDB 2017 (full)'!$C:$C,'FCDB 2017 (full)'!$BG:$BG)*$H120/100,0)</f>
        <v>0</v>
      </c>
      <c r="BQ120" s="16">
        <f ca="1">IFERROR(_xlfn.XLOOKUP($F120,'FCDB 2017 (full)'!$C:$C,'FCDB 2017 (full)'!$BH:$BH)*$H120/100,0)</f>
        <v>0</v>
      </c>
      <c r="BR120" s="16">
        <f ca="1">IFERROR(_xlfn.XLOOKUP($F120,'FCDB 2017 (full)'!$C:$C,'FCDB 2017 (full)'!$BI:$BI)*$H120/100,0)</f>
        <v>0</v>
      </c>
      <c r="BS120" s="16">
        <f ca="1">IFERROR(_xlfn.XLOOKUP($F120,'FCDB 2017 (full)'!$C:$C,'FCDB 2017 (full)'!$BJ:$BJ)*$H120/100,0)</f>
        <v>0</v>
      </c>
      <c r="BT120" s="16">
        <f ca="1">IFERROR(_xlfn.XLOOKUP($F120,'FCDB 2017 (full)'!$C:$C,'FCDB 2017 (full)'!$BK:$BK)*$H120/100,0)</f>
        <v>0</v>
      </c>
      <c r="BU120" s="16">
        <f ca="1">IFERROR(_xlfn.XLOOKUP($F120,'FCDB 2017 (full)'!$C:$C,'FCDB 2017 (full)'!$BL:$BL)*$H120/100,0)</f>
        <v>0</v>
      </c>
      <c r="BV120" s="16">
        <f ca="1">IFERROR(_xlfn.XLOOKUP($F120,'FCDB 2017 (full)'!$C:$C,'FCDB 2017 (full)'!$BM:$BM)*$H120/100,0)</f>
        <v>0</v>
      </c>
      <c r="BW120" s="16">
        <f ca="1">IFERROR(_xlfn.XLOOKUP($F120,'FCDB 2017 (full)'!$C:$C,'FCDB 2017 (full)'!$BN:$BN)*$H120/100,0)</f>
        <v>0</v>
      </c>
      <c r="BX120" s="16">
        <f ca="1">IFERROR(_xlfn.XLOOKUP($F120,'FCDB 2017 (full)'!$C:$C,'FCDB 2017 (full)'!$BO:$BO)*$H120/100,0)</f>
        <v>0</v>
      </c>
      <c r="BY120" s="16">
        <f ca="1">IFERROR(_xlfn.XLOOKUP($F120,'FCDB 2017 (full)'!$C:$C,'FCDB 2017 (full)'!$BP:$BP)*$H120/100,0)</f>
        <v>0</v>
      </c>
      <c r="BZ120" s="16">
        <f ca="1">IFERROR(_xlfn.XLOOKUP($F120,'FCDB 2017 (full)'!$C:$C,'FCDB 2017 (full)'!$BQ:$BQ)*$H120/100,0)</f>
        <v>0</v>
      </c>
      <c r="CA120" s="16">
        <f ca="1">IFERROR(_xlfn.XLOOKUP($F120,'FCDB 2017 (full)'!$C:$C,'FCDB 2017 (full)'!$BR:$BR)*$H120/100,0)</f>
        <v>0</v>
      </c>
      <c r="CB120" s="16">
        <f ca="1">IFERROR(_xlfn.XLOOKUP($F120,'FCDB 2017 (full)'!$C:$C,'FCDB 2017 (full)'!$BS:$BS)*$H120/100,0)</f>
        <v>0</v>
      </c>
      <c r="CC120" s="16">
        <f ca="1">IFERROR(_xlfn.XLOOKUP($F120,'FCDB 2017 (full)'!$C:$C,'FCDB 2017 (full)'!$BT:$BT)*$H120/100,0)</f>
        <v>0</v>
      </c>
      <c r="CD120" s="16">
        <f ca="1">IFERROR(_xlfn.XLOOKUP($F120,'FCDB 2017 (full)'!$C:$C,'FCDB 2017 (full)'!$BU:$BU)*$H120/100,0)</f>
        <v>0</v>
      </c>
      <c r="CE120" s="16">
        <f ca="1">IFERROR(_xlfn.XLOOKUP($F120,'FCDB 2017 (full)'!$C:$C,'FCDB 2017 (full)'!$BV:$BV)*$H120/100,0)</f>
        <v>0</v>
      </c>
      <c r="CF120" s="16">
        <f ca="1">IFERROR(_xlfn.XLOOKUP($F120,'FCDB 2017 (full)'!$C:$C,'FCDB 2017 (full)'!$BW:$BW)*$H120/100,0)</f>
        <v>0</v>
      </c>
      <c r="CG120" s="16">
        <f ca="1">IFERROR(_xlfn.XLOOKUP($F120,'FCDB 2017 (full)'!$C:$C,'FCDB 2017 (full)'!$BX:$BX)*$H120/100,0)</f>
        <v>0</v>
      </c>
      <c r="CH120" s="16">
        <f ca="1">IFERROR(_xlfn.XLOOKUP($F120,'FCDB 2017 (full)'!$C:$C,'FCDB 2017 (full)'!$BY:$BY)*$H120/100,0)</f>
        <v>0</v>
      </c>
      <c r="CI120" s="16">
        <f ca="1">IFERROR(_xlfn.XLOOKUP($F120,'FCDB 2017 (full)'!$C:$C,'FCDB 2017 (full)'!$BZ:$BZ)*$H120/100,0)</f>
        <v>0</v>
      </c>
      <c r="CJ120" s="16">
        <f ca="1">IFERROR(_xlfn.XLOOKUP($F120,'FCDB 2017 (full)'!$C:$C,'FCDB 2017 (full)'!$CA:$CA)*$H120/100,0)</f>
        <v>0</v>
      </c>
      <c r="CK120" s="16">
        <f ca="1">IFERROR(_xlfn.XLOOKUP($F120,'FCDB 2017 (full)'!$C:$C,'FCDB 2017 (full)'!$CB:$CB)*$H120/100,0)</f>
        <v>0</v>
      </c>
      <c r="CL120" s="16">
        <f ca="1">IFERROR(_xlfn.XLOOKUP($F120,'FCDB 2017 (full)'!$C:$C,'FCDB 2017 (full)'!$CC:$CC)*$H120/100,0)</f>
        <v>0</v>
      </c>
      <c r="CM120" s="16">
        <f ca="1">IFERROR(_xlfn.XLOOKUP($F120,'FCDB 2017 (full)'!$C:$C,'FCDB 2017 (full)'!$CD:$CD)*$H120/100,0)</f>
        <v>0</v>
      </c>
      <c r="CN120" s="16">
        <f ca="1">IFERROR(_xlfn.XLOOKUP($F120,'FCDB 2017 (full)'!$C:$C,'FCDB 2017 (full)'!$CE:$CE)*$H120/100,0)</f>
        <v>0</v>
      </c>
      <c r="CO120" s="16">
        <f ca="1">IFERROR(_xlfn.XLOOKUP($F120,'FCDB 2017 (full)'!$C:$C,'FCDB 2017 (full)'!$CF:$CF)*$H120/100,0)</f>
        <v>0</v>
      </c>
      <c r="CP120" s="16">
        <f ca="1">IFERROR(_xlfn.XLOOKUP($F120,'FCDB 2017 (full)'!$C:$C,'FCDB 2017 (full)'!$CG:$CG)*$H120/100,0)</f>
        <v>0</v>
      </c>
      <c r="CQ120" s="16">
        <f ca="1">IFERROR(_xlfn.XLOOKUP($F120,'FCDB 2017 (full)'!$C:$C,'FCDB 2017 (full)'!$CH:$CH)*$H120/100,0)</f>
        <v>0</v>
      </c>
      <c r="CR120" s="29"/>
      <c r="DA120" s="72" t="s">
        <v>982</v>
      </c>
    </row>
    <row r="121" spans="4:105">
      <c r="D121" s="29"/>
      <c r="E121" s="29"/>
      <c r="F121" s="11" t="str">
        <f>IFERROR(VLOOKUP($D$96,$D:$AE,24,0),0)</f>
        <v>Đậu phụ</v>
      </c>
      <c r="G121" s="7" t="e" cm="1">
        <f t="array" aca="1" ref="G121" ca="1">IF(F121=0,0,IF(_xlfn.XLOOKUP(F121,$E$96:$AE$96,$E$97:$AE$97)=0,"Nhập ĐV/TV",_xlfn.XLOOKUP(F121,$E$96:$AE$96,$E$97:$AE$97)))</f>
        <v>#NAME?</v>
      </c>
      <c r="H121" s="8">
        <f t="shared" si="26"/>
        <v>80</v>
      </c>
      <c r="I121" s="9">
        <f ca="1">IFERROR(_xlfn.XLOOKUP($F121,'FCDB 2017 (full)'!$C:$C,'FCDB 2017 (full)'!$E:$E),0)</f>
        <v>0</v>
      </c>
      <c r="J121" s="10">
        <f t="shared" ca="1" si="20"/>
        <v>0</v>
      </c>
      <c r="K121" s="9">
        <f ca="1">IFERROR(_xlfn.XLOOKUP($F121,'FCDB 2017 (full)'!$C:$C,'FCDB 2017 (full)'!$G:$G),0)</f>
        <v>0</v>
      </c>
      <c r="L121" s="13" t="e">
        <f t="shared" ca="1" si="21"/>
        <v>#NAME?</v>
      </c>
      <c r="M121" s="13" t="e">
        <f t="shared" ca="1" si="22"/>
        <v>#NAME?</v>
      </c>
      <c r="N121" s="9">
        <f ca="1">IFERROR(_xlfn.XLOOKUP($F121,'FCDB 2017 (full)'!$C:$C,'FCDB 2017 (full)'!$H:$H),0)</f>
        <v>0</v>
      </c>
      <c r="O121" s="14" t="e">
        <f t="shared" ca="1" si="23"/>
        <v>#NAME?</v>
      </c>
      <c r="P121" s="14" t="e">
        <f t="shared" ca="1" si="24"/>
        <v>#NAME?</v>
      </c>
      <c r="Q121" s="9">
        <f ca="1">IFERROR(_xlfn.XLOOKUP($F121,'FCDB 2017 (full)'!$C:$C,'FCDB 2017 (full)'!$I:$I),0)</f>
        <v>0</v>
      </c>
      <c r="R121" s="15">
        <f t="shared" ca="1" si="25"/>
        <v>0</v>
      </c>
      <c r="S121" s="16">
        <f ca="1">IFERROR(_xlfn.XLOOKUP($F121,'FCDB 2017 (full)'!$C:$C,'FCDB 2017 (full)'!$J:$J)*$H121/100,0)</f>
        <v>0</v>
      </c>
      <c r="T121" s="16">
        <f ca="1">IFERROR(_xlfn.XLOOKUP($F121,'FCDB 2017 (full)'!$C:$C,'FCDB 2017 (full)'!$K:$K)*$H121/100,0)</f>
        <v>0</v>
      </c>
      <c r="U121" s="16">
        <f ca="1">IFERROR(_xlfn.XLOOKUP($F121,'FCDB 2017 (full)'!$C:$C,'FCDB 2017 (full)'!$L:$L)*$H121/100,0)</f>
        <v>0</v>
      </c>
      <c r="V121" s="16">
        <f ca="1">IFERROR(_xlfn.XLOOKUP($F121,'FCDB 2017 (full)'!$C:$C,'FCDB 2017 (full)'!$M:$M)*$H121/100,0)</f>
        <v>0</v>
      </c>
      <c r="W121" s="16">
        <f ca="1">IFERROR(_xlfn.XLOOKUP($F121,'FCDB 2017 (full)'!$C:$C,'FCDB 2017 (full)'!$N:$N)*$H121/100,0)</f>
        <v>0</v>
      </c>
      <c r="X121" s="16">
        <f ca="1">IFERROR(_xlfn.XLOOKUP($F121,'FCDB 2017 (full)'!$C:$C,'FCDB 2017 (full)'!$O:$O)*$H121/100,0)</f>
        <v>0</v>
      </c>
      <c r="Y121" s="16">
        <f ca="1">IFERROR(_xlfn.XLOOKUP($F121,'FCDB 2017 (full)'!$C:$C,'FCDB 2017 (full)'!$P:$P)*$H121/100,0)</f>
        <v>0</v>
      </c>
      <c r="Z121" s="16">
        <f ca="1">IFERROR(_xlfn.XLOOKUP($F121,'FCDB 2017 (full)'!$C:$C,'FCDB 2017 (full)'!$Q:$Q)*$H121/100,0)</f>
        <v>0</v>
      </c>
      <c r="AA121" s="16">
        <f ca="1">IFERROR(_xlfn.XLOOKUP($F121,'FCDB 2017 (full)'!$C:$C,'FCDB 2017 (full)'!$R:$R)*$H121/100,0)</f>
        <v>0</v>
      </c>
      <c r="AB121" s="16">
        <f ca="1">IFERROR(_xlfn.XLOOKUP($F121,'FCDB 2017 (full)'!$C:$C,'FCDB 2017 (full)'!$S:$S)*$H121/100,0)</f>
        <v>0</v>
      </c>
      <c r="AC121" s="16">
        <f ca="1">IFERROR(_xlfn.XLOOKUP($F121,'FCDB 2017 (full)'!$C:$C,'FCDB 2017 (full)'!$T:$T)*$H121/100,0)</f>
        <v>0</v>
      </c>
      <c r="AD121" s="16">
        <f ca="1">IFERROR(_xlfn.XLOOKUP($F121,'FCDB 2017 (full)'!$C:$C,'FCDB 2017 (full)'!$U:$U)*$H121/100,0)</f>
        <v>0</v>
      </c>
      <c r="AE121" s="16">
        <f ca="1">IFERROR(_xlfn.XLOOKUP($F121,'FCDB 2017 (full)'!$C:$C,'FCDB 2017 (full)'!$V:$V)*$H121/100,0)</f>
        <v>0</v>
      </c>
      <c r="AF121" s="16">
        <f ca="1">IFERROR(_xlfn.XLOOKUP($F121,'FCDB 2017 (full)'!$C:$C,'FCDB 2017 (full)'!$W:$W)*$H121/100,0)</f>
        <v>0</v>
      </c>
      <c r="AG121" s="16">
        <f ca="1">IFERROR(_xlfn.XLOOKUP($F121,'FCDB 2017 (full)'!$C:$C,'FCDB 2017 (full)'!$X:$X)*$H121/100,0)</f>
        <v>0</v>
      </c>
      <c r="AH121" s="16">
        <f ca="1">IFERROR(_xlfn.XLOOKUP($F121,'FCDB 2017 (full)'!$C:$C,'FCDB 2017 (full)'!$Y:$Y)*$H121/100,0)</f>
        <v>0</v>
      </c>
      <c r="AI121" s="16">
        <f ca="1">IFERROR(_xlfn.XLOOKUP($F121,'FCDB 2017 (full)'!$C:$C,'FCDB 2017 (full)'!$Z:$Z)*$H121/100,0)</f>
        <v>0</v>
      </c>
      <c r="AJ121" s="16">
        <f ca="1">IFERROR(_xlfn.XLOOKUP($F121,'FCDB 2017 (full)'!$C:$C,'FCDB 2017 (full)'!$AA:$AA)*$H121/100,0)</f>
        <v>0</v>
      </c>
      <c r="AK121" s="16">
        <f ca="1">IFERROR(_xlfn.XLOOKUP($F121,'FCDB 2017 (full)'!$C:$C,'FCDB 2017 (full)'!$AB:$AB)*$H121/100,0)</f>
        <v>0</v>
      </c>
      <c r="AL121" s="16">
        <f ca="1">IFERROR(_xlfn.XLOOKUP($F121,'FCDB 2017 (full)'!$C:$C,'FCDB 2017 (full)'!$AC:$AC)*$H121/100,0)</f>
        <v>0</v>
      </c>
      <c r="AM121" s="16">
        <f ca="1">IFERROR(_xlfn.XLOOKUP($F121,'FCDB 2017 (full)'!$C:$C,'FCDB 2017 (full)'!$AD:$AD)*$H121/100,0)</f>
        <v>0</v>
      </c>
      <c r="AN121" s="16">
        <f ca="1">IFERROR(_xlfn.XLOOKUP($F121,'FCDB 2017 (full)'!$C:$C,'FCDB 2017 (full)'!$AE:$AE)*$H121/100,0)</f>
        <v>0</v>
      </c>
      <c r="AO121" s="16">
        <f ca="1">IFERROR(_xlfn.XLOOKUP($F121,'FCDB 2017 (full)'!$C:$C,'FCDB 2017 (full)'!$AF:$AF)*$H121/100,0)</f>
        <v>0</v>
      </c>
      <c r="AP121" s="16">
        <f ca="1">IFERROR(_xlfn.XLOOKUP($F121,'FCDB 2017 (full)'!$C:$C,'FCDB 2017 (full)'!$AG:$AG)*$H121/100,0)</f>
        <v>0</v>
      </c>
      <c r="AQ121" s="16">
        <f ca="1">IFERROR(_xlfn.XLOOKUP($F121,'FCDB 2017 (full)'!$C:$C,'FCDB 2017 (full)'!$AH:$AH)*$H121/100,0)</f>
        <v>0</v>
      </c>
      <c r="AR121" s="16">
        <f ca="1">IFERROR(_xlfn.XLOOKUP($F121,'FCDB 2017 (full)'!$C:$C,'FCDB 2017 (full)'!$AI:$AI)*$H121/100,0)</f>
        <v>0</v>
      </c>
      <c r="AS121" s="16">
        <f ca="1">IFERROR(_xlfn.XLOOKUP($F121,'FCDB 2017 (full)'!$C:$C,'FCDB 2017 (full)'!$AJ:$AJ)*$H121/100,0)</f>
        <v>0</v>
      </c>
      <c r="AT121" s="16">
        <f ca="1">IFERROR(_xlfn.XLOOKUP($F121,'FCDB 2017 (full)'!$C:$C,'FCDB 2017 (full)'!$AK:$AK)*$H121/100,0)</f>
        <v>0</v>
      </c>
      <c r="AU121" s="16">
        <f ca="1">IFERROR(_xlfn.XLOOKUP($F121,'FCDB 2017 (full)'!$C:$C,'FCDB 2017 (full)'!$AK:$AK)*$H121/100,0)</f>
        <v>0</v>
      </c>
      <c r="AV121" s="16">
        <f ca="1">IFERROR(_xlfn.XLOOKUP($F121,'FCDB 2017 (full)'!$C:$C,'FCDB 2017 (full)'!$AM:$AM)*$H121/100,0)</f>
        <v>0</v>
      </c>
      <c r="AW121" s="16">
        <f ca="1">IFERROR(_xlfn.XLOOKUP($F121,'FCDB 2017 (full)'!$C:$C,'FCDB 2017 (full)'!$AN:$AN)*$H121/100,0)</f>
        <v>0</v>
      </c>
      <c r="AX121" s="16">
        <f ca="1">IFERROR(_xlfn.XLOOKUP($F121,'FCDB 2017 (full)'!$C:$C,'FCDB 2017 (full)'!$AO:$AO)*$H121/100,0)</f>
        <v>0</v>
      </c>
      <c r="AY121" s="16">
        <f ca="1">IFERROR(_xlfn.XLOOKUP($F121,'FCDB 2017 (full)'!$C:$C,'FCDB 2017 (full)'!$AP:$AP)*$H121/100,0)</f>
        <v>0</v>
      </c>
      <c r="AZ121" s="16">
        <f ca="1">IFERROR(_xlfn.XLOOKUP($F121,'FCDB 2017 (full)'!$C:$C,'FCDB 2017 (full)'!$AQ:$AQ)*$H121/100,0)</f>
        <v>0</v>
      </c>
      <c r="BA121" s="16">
        <f ca="1">IFERROR(_xlfn.XLOOKUP($F121,'FCDB 2017 (full)'!$C:$C,'FCDB 2017 (full)'!$AR:$AR)*$H121/100,0)</f>
        <v>0</v>
      </c>
      <c r="BB121" s="16">
        <f ca="1">IFERROR(_xlfn.XLOOKUP($F121,'FCDB 2017 (full)'!$C:$C,'FCDB 2017 (full)'!$AS:$AS)*$H121/100,0)</f>
        <v>0</v>
      </c>
      <c r="BC121" s="16">
        <f ca="1">IFERROR(_xlfn.XLOOKUP($F121,'FCDB 2017 (full)'!$C:$C,'FCDB 2017 (full)'!$AT:$AT)*$H121/100,0)</f>
        <v>0</v>
      </c>
      <c r="BD121" s="16">
        <f ca="1">IFERROR(_xlfn.XLOOKUP($F121,'FCDB 2017 (full)'!$C:$C,'FCDB 2017 (full)'!$AU:$AU)*$H121/100,0)</f>
        <v>0</v>
      </c>
      <c r="BE121" s="16">
        <f ca="1">IFERROR(_xlfn.XLOOKUP($F121,'FCDB 2017 (full)'!$C:$C,'FCDB 2017 (full)'!$AV:$AV)*$H121/100,0)</f>
        <v>0</v>
      </c>
      <c r="BF121" s="16">
        <f ca="1">IFERROR(_xlfn.XLOOKUP($F121,'FCDB 2017 (full)'!$C:$C,'FCDB 2017 (full)'!$AW:$AW)*$H121/100,0)</f>
        <v>0</v>
      </c>
      <c r="BG121" s="16">
        <f ca="1">IFERROR(_xlfn.XLOOKUP($F121,'FCDB 2017 (full)'!$C:$C,'FCDB 2017 (full)'!$AX:$AX)*$H121/100,0)</f>
        <v>0</v>
      </c>
      <c r="BH121" s="16">
        <f ca="1">IFERROR(_xlfn.XLOOKUP($F121,'FCDB 2017 (full)'!$C:$C,'FCDB 2017 (full)'!$AY:$AY)*$H121/100,0)</f>
        <v>0</v>
      </c>
      <c r="BI121" s="16">
        <f ca="1">IFERROR(_xlfn.XLOOKUP($F121,'FCDB 2017 (full)'!$C:$C,'FCDB 2017 (full)'!$AZ:$AZ)*$H121/100,0)</f>
        <v>0</v>
      </c>
      <c r="BJ121" s="16">
        <f ca="1">IFERROR(_xlfn.XLOOKUP($F121,'FCDB 2017 (full)'!$C:$C,'FCDB 2017 (full)'!$BA:$BA)*$H121/100,0)</f>
        <v>0</v>
      </c>
      <c r="BK121" s="16">
        <f ca="1">IFERROR(_xlfn.XLOOKUP($F121,'FCDB 2017 (full)'!$C:$C,'FCDB 2017 (full)'!$BB:$BB)*$H121/100,0)</f>
        <v>0</v>
      </c>
      <c r="BL121" s="16">
        <f ca="1">IFERROR(_xlfn.XLOOKUP($F121,'FCDB 2017 (full)'!$C:$C,'FCDB 2017 (full)'!$BC:$BC)*$H121/100,0)</f>
        <v>0</v>
      </c>
      <c r="BM121" s="16">
        <f ca="1">IFERROR(_xlfn.XLOOKUP($F121,'FCDB 2017 (full)'!$C:$C,'FCDB 2017 (full)'!$BD:$BD)*$H121/100,0)</f>
        <v>0</v>
      </c>
      <c r="BN121" s="16">
        <f ca="1">IFERROR(_xlfn.XLOOKUP($F121,'FCDB 2017 (full)'!$C:$C,'FCDB 2017 (full)'!$BE:$BE)*$H121/100,0)</f>
        <v>0</v>
      </c>
      <c r="BO121" s="16">
        <f ca="1">IFERROR(_xlfn.XLOOKUP($F121,'FCDB 2017 (full)'!$C:$C,'FCDB 2017 (full)'!$BF:$BF)*$H121/100,0)</f>
        <v>0</v>
      </c>
      <c r="BP121" s="16">
        <f ca="1">IFERROR(_xlfn.XLOOKUP($F121,'FCDB 2017 (full)'!$C:$C,'FCDB 2017 (full)'!$BG:$BG)*$H121/100,0)</f>
        <v>0</v>
      </c>
      <c r="BQ121" s="16">
        <f ca="1">IFERROR(_xlfn.XLOOKUP($F121,'FCDB 2017 (full)'!$C:$C,'FCDB 2017 (full)'!$BH:$BH)*$H121/100,0)</f>
        <v>0</v>
      </c>
      <c r="BR121" s="16">
        <f ca="1">IFERROR(_xlfn.XLOOKUP($F121,'FCDB 2017 (full)'!$C:$C,'FCDB 2017 (full)'!$BI:$BI)*$H121/100,0)</f>
        <v>0</v>
      </c>
      <c r="BS121" s="16">
        <f ca="1">IFERROR(_xlfn.XLOOKUP($F121,'FCDB 2017 (full)'!$C:$C,'FCDB 2017 (full)'!$BJ:$BJ)*$H121/100,0)</f>
        <v>0</v>
      </c>
      <c r="BT121" s="16">
        <f ca="1">IFERROR(_xlfn.XLOOKUP($F121,'FCDB 2017 (full)'!$C:$C,'FCDB 2017 (full)'!$BK:$BK)*$H121/100,0)</f>
        <v>0</v>
      </c>
      <c r="BU121" s="16">
        <f ca="1">IFERROR(_xlfn.XLOOKUP($F121,'FCDB 2017 (full)'!$C:$C,'FCDB 2017 (full)'!$BL:$BL)*$H121/100,0)</f>
        <v>0</v>
      </c>
      <c r="BV121" s="16">
        <f ca="1">IFERROR(_xlfn.XLOOKUP($F121,'FCDB 2017 (full)'!$C:$C,'FCDB 2017 (full)'!$BM:$BM)*$H121/100,0)</f>
        <v>0</v>
      </c>
      <c r="BW121" s="16">
        <f ca="1">IFERROR(_xlfn.XLOOKUP($F121,'FCDB 2017 (full)'!$C:$C,'FCDB 2017 (full)'!$BN:$BN)*$H121/100,0)</f>
        <v>0</v>
      </c>
      <c r="BX121" s="16">
        <f ca="1">IFERROR(_xlfn.XLOOKUP($F121,'FCDB 2017 (full)'!$C:$C,'FCDB 2017 (full)'!$BO:$BO)*$H121/100,0)</f>
        <v>0</v>
      </c>
      <c r="BY121" s="16">
        <f ca="1">IFERROR(_xlfn.XLOOKUP($F121,'FCDB 2017 (full)'!$C:$C,'FCDB 2017 (full)'!$BP:$BP)*$H121/100,0)</f>
        <v>0</v>
      </c>
      <c r="BZ121" s="16">
        <f ca="1">IFERROR(_xlfn.XLOOKUP($F121,'FCDB 2017 (full)'!$C:$C,'FCDB 2017 (full)'!$BQ:$BQ)*$H121/100,0)</f>
        <v>0</v>
      </c>
      <c r="CA121" s="16">
        <f ca="1">IFERROR(_xlfn.XLOOKUP($F121,'FCDB 2017 (full)'!$C:$C,'FCDB 2017 (full)'!$BR:$BR)*$H121/100,0)</f>
        <v>0</v>
      </c>
      <c r="CB121" s="16">
        <f ca="1">IFERROR(_xlfn.XLOOKUP($F121,'FCDB 2017 (full)'!$C:$C,'FCDB 2017 (full)'!$BS:$BS)*$H121/100,0)</f>
        <v>0</v>
      </c>
      <c r="CC121" s="16">
        <f ca="1">IFERROR(_xlfn.XLOOKUP($F121,'FCDB 2017 (full)'!$C:$C,'FCDB 2017 (full)'!$BT:$BT)*$H121/100,0)</f>
        <v>0</v>
      </c>
      <c r="CD121" s="16">
        <f ca="1">IFERROR(_xlfn.XLOOKUP($F121,'FCDB 2017 (full)'!$C:$C,'FCDB 2017 (full)'!$BU:$BU)*$H121/100,0)</f>
        <v>0</v>
      </c>
      <c r="CE121" s="16">
        <f ca="1">IFERROR(_xlfn.XLOOKUP($F121,'FCDB 2017 (full)'!$C:$C,'FCDB 2017 (full)'!$BV:$BV)*$H121/100,0)</f>
        <v>0</v>
      </c>
      <c r="CF121" s="16">
        <f ca="1">IFERROR(_xlfn.XLOOKUP($F121,'FCDB 2017 (full)'!$C:$C,'FCDB 2017 (full)'!$BW:$BW)*$H121/100,0)</f>
        <v>0</v>
      </c>
      <c r="CG121" s="16">
        <f ca="1">IFERROR(_xlfn.XLOOKUP($F121,'FCDB 2017 (full)'!$C:$C,'FCDB 2017 (full)'!$BX:$BX)*$H121/100,0)</f>
        <v>0</v>
      </c>
      <c r="CH121" s="16">
        <f ca="1">IFERROR(_xlfn.XLOOKUP($F121,'FCDB 2017 (full)'!$C:$C,'FCDB 2017 (full)'!$BY:$BY)*$H121/100,0)</f>
        <v>0</v>
      </c>
      <c r="CI121" s="16">
        <f ca="1">IFERROR(_xlfn.XLOOKUP($F121,'FCDB 2017 (full)'!$C:$C,'FCDB 2017 (full)'!$BZ:$BZ)*$H121/100,0)</f>
        <v>0</v>
      </c>
      <c r="CJ121" s="16">
        <f ca="1">IFERROR(_xlfn.XLOOKUP($F121,'FCDB 2017 (full)'!$C:$C,'FCDB 2017 (full)'!$CA:$CA)*$H121/100,0)</f>
        <v>0</v>
      </c>
      <c r="CK121" s="16">
        <f ca="1">IFERROR(_xlfn.XLOOKUP($F121,'FCDB 2017 (full)'!$C:$C,'FCDB 2017 (full)'!$CB:$CB)*$H121/100,0)</f>
        <v>0</v>
      </c>
      <c r="CL121" s="16">
        <f ca="1">IFERROR(_xlfn.XLOOKUP($F121,'FCDB 2017 (full)'!$C:$C,'FCDB 2017 (full)'!$CC:$CC)*$H121/100,0)</f>
        <v>0</v>
      </c>
      <c r="CM121" s="16">
        <f ca="1">IFERROR(_xlfn.XLOOKUP($F121,'FCDB 2017 (full)'!$C:$C,'FCDB 2017 (full)'!$CD:$CD)*$H121/100,0)</f>
        <v>0</v>
      </c>
      <c r="CN121" s="16">
        <f ca="1">IFERROR(_xlfn.XLOOKUP($F121,'FCDB 2017 (full)'!$C:$C,'FCDB 2017 (full)'!$CE:$CE)*$H121/100,0)</f>
        <v>0</v>
      </c>
      <c r="CO121" s="16">
        <f ca="1">IFERROR(_xlfn.XLOOKUP($F121,'FCDB 2017 (full)'!$C:$C,'FCDB 2017 (full)'!$CF:$CF)*$H121/100,0)</f>
        <v>0</v>
      </c>
      <c r="CP121" s="16">
        <f ca="1">IFERROR(_xlfn.XLOOKUP($F121,'FCDB 2017 (full)'!$C:$C,'FCDB 2017 (full)'!$CG:$CG)*$H121/100,0)</f>
        <v>0</v>
      </c>
      <c r="CQ121" s="16">
        <f ca="1">IFERROR(_xlfn.XLOOKUP($F121,'FCDB 2017 (full)'!$C:$C,'FCDB 2017 (full)'!$CH:$CH)*$H121/100,0)</f>
        <v>0</v>
      </c>
      <c r="CR121" s="29"/>
      <c r="DA121" s="72" t="s">
        <v>982</v>
      </c>
    </row>
    <row r="122" spans="4:105">
      <c r="D122" s="29"/>
      <c r="E122" s="29"/>
      <c r="F122" s="11">
        <f>IFERROR(VLOOKUP($D$96,$D:$AE,25,0),0)</f>
        <v>0</v>
      </c>
      <c r="G122" s="7" cm="1">
        <f t="array" ref="G122">IF(F122=0,0,IF(_xlfn.XLOOKUP(F122,$E$96:$AE$96,$E$97:$AE$97)=0,"Nhập ĐV/TV",_xlfn.XLOOKUP(F122,$E$96:$AE$96,$E$97:$AE$97)))</f>
        <v>0</v>
      </c>
      <c r="H122" s="8">
        <f t="shared" si="26"/>
        <v>0</v>
      </c>
      <c r="I122" s="9">
        <f ca="1">IFERROR(_xlfn.XLOOKUP($F122,'FCDB 2017 (full)'!$C:$C,'FCDB 2017 (full)'!$E:$E),0)</f>
        <v>0</v>
      </c>
      <c r="J122" s="10">
        <f t="shared" ca="1" si="20"/>
        <v>0</v>
      </c>
      <c r="K122" s="9">
        <f ca="1">IFERROR(_xlfn.XLOOKUP($F122,'FCDB 2017 (full)'!$C:$C,'FCDB 2017 (full)'!$G:$G),0)</f>
        <v>0</v>
      </c>
      <c r="L122" s="13">
        <f t="shared" si="21"/>
        <v>0</v>
      </c>
      <c r="M122" s="13">
        <f t="shared" si="22"/>
        <v>0</v>
      </c>
      <c r="N122" s="9">
        <f ca="1">IFERROR(_xlfn.XLOOKUP($F122,'FCDB 2017 (full)'!$C:$C,'FCDB 2017 (full)'!$H:$H),0)</f>
        <v>0</v>
      </c>
      <c r="O122" s="14">
        <f t="shared" si="23"/>
        <v>0</v>
      </c>
      <c r="P122" s="14">
        <f t="shared" si="24"/>
        <v>0</v>
      </c>
      <c r="Q122" s="9">
        <f ca="1">IFERROR(_xlfn.XLOOKUP($F122,'FCDB 2017 (full)'!$C:$C,'FCDB 2017 (full)'!$I:$I),0)</f>
        <v>0</v>
      </c>
      <c r="R122" s="15">
        <f t="shared" ca="1" si="25"/>
        <v>0</v>
      </c>
      <c r="S122" s="16">
        <f ca="1">IFERROR(_xlfn.XLOOKUP($F122,'FCDB 2017 (full)'!$C:$C,'FCDB 2017 (full)'!$J:$J)*$H122/100,0)</f>
        <v>0</v>
      </c>
      <c r="T122" s="16">
        <f ca="1">IFERROR(_xlfn.XLOOKUP($F122,'FCDB 2017 (full)'!$C:$C,'FCDB 2017 (full)'!$K:$K)*$H122/100,0)</f>
        <v>0</v>
      </c>
      <c r="U122" s="16">
        <f ca="1">IFERROR(_xlfn.XLOOKUP($F122,'FCDB 2017 (full)'!$C:$C,'FCDB 2017 (full)'!$L:$L)*$H122/100,0)</f>
        <v>0</v>
      </c>
      <c r="V122" s="16">
        <f ca="1">IFERROR(_xlfn.XLOOKUP($F122,'FCDB 2017 (full)'!$C:$C,'FCDB 2017 (full)'!$M:$M)*$H122/100,0)</f>
        <v>0</v>
      </c>
      <c r="W122" s="16">
        <f ca="1">IFERROR(_xlfn.XLOOKUP($F122,'FCDB 2017 (full)'!$C:$C,'FCDB 2017 (full)'!$N:$N)*$H122/100,0)</f>
        <v>0</v>
      </c>
      <c r="X122" s="16">
        <f ca="1">IFERROR(_xlfn.XLOOKUP($F122,'FCDB 2017 (full)'!$C:$C,'FCDB 2017 (full)'!$O:$O)*$H122/100,0)</f>
        <v>0</v>
      </c>
      <c r="Y122" s="16">
        <f ca="1">IFERROR(_xlfn.XLOOKUP($F122,'FCDB 2017 (full)'!$C:$C,'FCDB 2017 (full)'!$P:$P)*$H122/100,0)</f>
        <v>0</v>
      </c>
      <c r="Z122" s="16">
        <f ca="1">IFERROR(_xlfn.XLOOKUP($F122,'FCDB 2017 (full)'!$C:$C,'FCDB 2017 (full)'!$Q:$Q)*$H122/100,0)</f>
        <v>0</v>
      </c>
      <c r="AA122" s="16">
        <f ca="1">IFERROR(_xlfn.XLOOKUP($F122,'FCDB 2017 (full)'!$C:$C,'FCDB 2017 (full)'!$R:$R)*$H122/100,0)</f>
        <v>0</v>
      </c>
      <c r="AB122" s="16">
        <f ca="1">IFERROR(_xlfn.XLOOKUP($F122,'FCDB 2017 (full)'!$C:$C,'FCDB 2017 (full)'!$S:$S)*$H122/100,0)</f>
        <v>0</v>
      </c>
      <c r="AC122" s="16">
        <f ca="1">IFERROR(_xlfn.XLOOKUP($F122,'FCDB 2017 (full)'!$C:$C,'FCDB 2017 (full)'!$T:$T)*$H122/100,0)</f>
        <v>0</v>
      </c>
      <c r="AD122" s="16">
        <f ca="1">IFERROR(_xlfn.XLOOKUP($F122,'FCDB 2017 (full)'!$C:$C,'FCDB 2017 (full)'!$U:$U)*$H122/100,0)</f>
        <v>0</v>
      </c>
      <c r="AE122" s="16">
        <f ca="1">IFERROR(_xlfn.XLOOKUP($F122,'FCDB 2017 (full)'!$C:$C,'FCDB 2017 (full)'!$V:$V)*$H122/100,0)</f>
        <v>0</v>
      </c>
      <c r="AF122" s="16">
        <f ca="1">IFERROR(_xlfn.XLOOKUP($F122,'FCDB 2017 (full)'!$C:$C,'FCDB 2017 (full)'!$W:$W)*$H122/100,0)</f>
        <v>0</v>
      </c>
      <c r="AG122" s="16">
        <f ca="1">IFERROR(_xlfn.XLOOKUP($F122,'FCDB 2017 (full)'!$C:$C,'FCDB 2017 (full)'!$X:$X)*$H122/100,0)</f>
        <v>0</v>
      </c>
      <c r="AH122" s="16">
        <f ca="1">IFERROR(_xlfn.XLOOKUP($F122,'FCDB 2017 (full)'!$C:$C,'FCDB 2017 (full)'!$Y:$Y)*$H122/100,0)</f>
        <v>0</v>
      </c>
      <c r="AI122" s="16">
        <f ca="1">IFERROR(_xlfn.XLOOKUP($F122,'FCDB 2017 (full)'!$C:$C,'FCDB 2017 (full)'!$Z:$Z)*$H122/100,0)</f>
        <v>0</v>
      </c>
      <c r="AJ122" s="16">
        <f ca="1">IFERROR(_xlfn.XLOOKUP($F122,'FCDB 2017 (full)'!$C:$C,'FCDB 2017 (full)'!$AA:$AA)*$H122/100,0)</f>
        <v>0</v>
      </c>
      <c r="AK122" s="16">
        <f ca="1">IFERROR(_xlfn.XLOOKUP($F122,'FCDB 2017 (full)'!$C:$C,'FCDB 2017 (full)'!$AB:$AB)*$H122/100,0)</f>
        <v>0</v>
      </c>
      <c r="AL122" s="16">
        <f ca="1">IFERROR(_xlfn.XLOOKUP($F122,'FCDB 2017 (full)'!$C:$C,'FCDB 2017 (full)'!$AC:$AC)*$H122/100,0)</f>
        <v>0</v>
      </c>
      <c r="AM122" s="16">
        <f ca="1">IFERROR(_xlfn.XLOOKUP($F122,'FCDB 2017 (full)'!$C:$C,'FCDB 2017 (full)'!$AD:$AD)*$H122/100,0)</f>
        <v>0</v>
      </c>
      <c r="AN122" s="16">
        <f ca="1">IFERROR(_xlfn.XLOOKUP($F122,'FCDB 2017 (full)'!$C:$C,'FCDB 2017 (full)'!$AE:$AE)*$H122/100,0)</f>
        <v>0</v>
      </c>
      <c r="AO122" s="16">
        <f ca="1">IFERROR(_xlfn.XLOOKUP($F122,'FCDB 2017 (full)'!$C:$C,'FCDB 2017 (full)'!$AF:$AF)*$H122/100,0)</f>
        <v>0</v>
      </c>
      <c r="AP122" s="16">
        <f ca="1">IFERROR(_xlfn.XLOOKUP($F122,'FCDB 2017 (full)'!$C:$C,'FCDB 2017 (full)'!$AG:$AG)*$H122/100,0)</f>
        <v>0</v>
      </c>
      <c r="AQ122" s="16">
        <f ca="1">IFERROR(_xlfn.XLOOKUP($F122,'FCDB 2017 (full)'!$C:$C,'FCDB 2017 (full)'!$AH:$AH)*$H122/100,0)</f>
        <v>0</v>
      </c>
      <c r="AR122" s="16">
        <f ca="1">IFERROR(_xlfn.XLOOKUP($F122,'FCDB 2017 (full)'!$C:$C,'FCDB 2017 (full)'!$AI:$AI)*$H122/100,0)</f>
        <v>0</v>
      </c>
      <c r="AS122" s="16">
        <f ca="1">IFERROR(_xlfn.XLOOKUP($F122,'FCDB 2017 (full)'!$C:$C,'FCDB 2017 (full)'!$AJ:$AJ)*$H122/100,0)</f>
        <v>0</v>
      </c>
      <c r="AT122" s="16">
        <f ca="1">IFERROR(_xlfn.XLOOKUP($F122,'FCDB 2017 (full)'!$C:$C,'FCDB 2017 (full)'!$AK:$AK)*$H122/100,0)</f>
        <v>0</v>
      </c>
      <c r="AU122" s="16">
        <f ca="1">IFERROR(_xlfn.XLOOKUP($F122,'FCDB 2017 (full)'!$C:$C,'FCDB 2017 (full)'!$AK:$AK)*$H122/100,0)</f>
        <v>0</v>
      </c>
      <c r="AV122" s="16">
        <f ca="1">IFERROR(_xlfn.XLOOKUP($F122,'FCDB 2017 (full)'!$C:$C,'FCDB 2017 (full)'!$AM:$AM)*$H122/100,0)</f>
        <v>0</v>
      </c>
      <c r="AW122" s="16">
        <f ca="1">IFERROR(_xlfn.XLOOKUP($F122,'FCDB 2017 (full)'!$C:$C,'FCDB 2017 (full)'!$AN:$AN)*$H122/100,0)</f>
        <v>0</v>
      </c>
      <c r="AX122" s="16">
        <f ca="1">IFERROR(_xlfn.XLOOKUP($F122,'FCDB 2017 (full)'!$C:$C,'FCDB 2017 (full)'!$AO:$AO)*$H122/100,0)</f>
        <v>0</v>
      </c>
      <c r="AY122" s="16">
        <f ca="1">IFERROR(_xlfn.XLOOKUP($F122,'FCDB 2017 (full)'!$C:$C,'FCDB 2017 (full)'!$AP:$AP)*$H122/100,0)</f>
        <v>0</v>
      </c>
      <c r="AZ122" s="16">
        <f ca="1">IFERROR(_xlfn.XLOOKUP($F122,'FCDB 2017 (full)'!$C:$C,'FCDB 2017 (full)'!$AQ:$AQ)*$H122/100,0)</f>
        <v>0</v>
      </c>
      <c r="BA122" s="16">
        <f ca="1">IFERROR(_xlfn.XLOOKUP($F122,'FCDB 2017 (full)'!$C:$C,'FCDB 2017 (full)'!$AR:$AR)*$H122/100,0)</f>
        <v>0</v>
      </c>
      <c r="BB122" s="16">
        <f ca="1">IFERROR(_xlfn.XLOOKUP($F122,'FCDB 2017 (full)'!$C:$C,'FCDB 2017 (full)'!$AS:$AS)*$H122/100,0)</f>
        <v>0</v>
      </c>
      <c r="BC122" s="16">
        <f ca="1">IFERROR(_xlfn.XLOOKUP($F122,'FCDB 2017 (full)'!$C:$C,'FCDB 2017 (full)'!$AT:$AT)*$H122/100,0)</f>
        <v>0</v>
      </c>
      <c r="BD122" s="16">
        <f ca="1">IFERROR(_xlfn.XLOOKUP($F122,'FCDB 2017 (full)'!$C:$C,'FCDB 2017 (full)'!$AU:$AU)*$H122/100,0)</f>
        <v>0</v>
      </c>
      <c r="BE122" s="16">
        <f ca="1">IFERROR(_xlfn.XLOOKUP($F122,'FCDB 2017 (full)'!$C:$C,'FCDB 2017 (full)'!$AV:$AV)*$H122/100,0)</f>
        <v>0</v>
      </c>
      <c r="BF122" s="16">
        <f ca="1">IFERROR(_xlfn.XLOOKUP($F122,'FCDB 2017 (full)'!$C:$C,'FCDB 2017 (full)'!$AW:$AW)*$H122/100,0)</f>
        <v>0</v>
      </c>
      <c r="BG122" s="16">
        <f ca="1">IFERROR(_xlfn.XLOOKUP($F122,'FCDB 2017 (full)'!$C:$C,'FCDB 2017 (full)'!$AX:$AX)*$H122/100,0)</f>
        <v>0</v>
      </c>
      <c r="BH122" s="16">
        <f ca="1">IFERROR(_xlfn.XLOOKUP($F122,'FCDB 2017 (full)'!$C:$C,'FCDB 2017 (full)'!$AY:$AY)*$H122/100,0)</f>
        <v>0</v>
      </c>
      <c r="BI122" s="16">
        <f ca="1">IFERROR(_xlfn.XLOOKUP($F122,'FCDB 2017 (full)'!$C:$C,'FCDB 2017 (full)'!$AZ:$AZ)*$H122/100,0)</f>
        <v>0</v>
      </c>
      <c r="BJ122" s="16">
        <f ca="1">IFERROR(_xlfn.XLOOKUP($F122,'FCDB 2017 (full)'!$C:$C,'FCDB 2017 (full)'!$BA:$BA)*$H122/100,0)</f>
        <v>0</v>
      </c>
      <c r="BK122" s="16">
        <f ca="1">IFERROR(_xlfn.XLOOKUP($F122,'FCDB 2017 (full)'!$C:$C,'FCDB 2017 (full)'!$BB:$BB)*$H122/100,0)</f>
        <v>0</v>
      </c>
      <c r="BL122" s="16">
        <f ca="1">IFERROR(_xlfn.XLOOKUP($F122,'FCDB 2017 (full)'!$C:$C,'FCDB 2017 (full)'!$BC:$BC)*$H122/100,0)</f>
        <v>0</v>
      </c>
      <c r="BM122" s="16">
        <f ca="1">IFERROR(_xlfn.XLOOKUP($F122,'FCDB 2017 (full)'!$C:$C,'FCDB 2017 (full)'!$BD:$BD)*$H122/100,0)</f>
        <v>0</v>
      </c>
      <c r="BN122" s="16">
        <f ca="1">IFERROR(_xlfn.XLOOKUP($F122,'FCDB 2017 (full)'!$C:$C,'FCDB 2017 (full)'!$BE:$BE)*$H122/100,0)</f>
        <v>0</v>
      </c>
      <c r="BO122" s="16">
        <f ca="1">IFERROR(_xlfn.XLOOKUP($F122,'FCDB 2017 (full)'!$C:$C,'FCDB 2017 (full)'!$BF:$BF)*$H122/100,0)</f>
        <v>0</v>
      </c>
      <c r="BP122" s="16">
        <f ca="1">IFERROR(_xlfn.XLOOKUP($F122,'FCDB 2017 (full)'!$C:$C,'FCDB 2017 (full)'!$BG:$BG)*$H122/100,0)</f>
        <v>0</v>
      </c>
      <c r="BQ122" s="16">
        <f ca="1">IFERROR(_xlfn.XLOOKUP($F122,'FCDB 2017 (full)'!$C:$C,'FCDB 2017 (full)'!$BH:$BH)*$H122/100,0)</f>
        <v>0</v>
      </c>
      <c r="BR122" s="16">
        <f ca="1">IFERROR(_xlfn.XLOOKUP($F122,'FCDB 2017 (full)'!$C:$C,'FCDB 2017 (full)'!$BI:$BI)*$H122/100,0)</f>
        <v>0</v>
      </c>
      <c r="BS122" s="16">
        <f ca="1">IFERROR(_xlfn.XLOOKUP($F122,'FCDB 2017 (full)'!$C:$C,'FCDB 2017 (full)'!$BJ:$BJ)*$H122/100,0)</f>
        <v>0</v>
      </c>
      <c r="BT122" s="16">
        <f ca="1">IFERROR(_xlfn.XLOOKUP($F122,'FCDB 2017 (full)'!$C:$C,'FCDB 2017 (full)'!$BK:$BK)*$H122/100,0)</f>
        <v>0</v>
      </c>
      <c r="BU122" s="16">
        <f ca="1">IFERROR(_xlfn.XLOOKUP($F122,'FCDB 2017 (full)'!$C:$C,'FCDB 2017 (full)'!$BL:$BL)*$H122/100,0)</f>
        <v>0</v>
      </c>
      <c r="BV122" s="16">
        <f ca="1">IFERROR(_xlfn.XLOOKUP($F122,'FCDB 2017 (full)'!$C:$C,'FCDB 2017 (full)'!$BM:$BM)*$H122/100,0)</f>
        <v>0</v>
      </c>
      <c r="BW122" s="16">
        <f ca="1">IFERROR(_xlfn.XLOOKUP($F122,'FCDB 2017 (full)'!$C:$C,'FCDB 2017 (full)'!$BN:$BN)*$H122/100,0)</f>
        <v>0</v>
      </c>
      <c r="BX122" s="16">
        <f ca="1">IFERROR(_xlfn.XLOOKUP($F122,'FCDB 2017 (full)'!$C:$C,'FCDB 2017 (full)'!$BO:$BO)*$H122/100,0)</f>
        <v>0</v>
      </c>
      <c r="BY122" s="16">
        <f ca="1">IFERROR(_xlfn.XLOOKUP($F122,'FCDB 2017 (full)'!$C:$C,'FCDB 2017 (full)'!$BP:$BP)*$H122/100,0)</f>
        <v>0</v>
      </c>
      <c r="BZ122" s="16">
        <f ca="1">IFERROR(_xlfn.XLOOKUP($F122,'FCDB 2017 (full)'!$C:$C,'FCDB 2017 (full)'!$BQ:$BQ)*$H122/100,0)</f>
        <v>0</v>
      </c>
      <c r="CA122" s="16">
        <f ca="1">IFERROR(_xlfn.XLOOKUP($F122,'FCDB 2017 (full)'!$C:$C,'FCDB 2017 (full)'!$BR:$BR)*$H122/100,0)</f>
        <v>0</v>
      </c>
      <c r="CB122" s="16">
        <f ca="1">IFERROR(_xlfn.XLOOKUP($F122,'FCDB 2017 (full)'!$C:$C,'FCDB 2017 (full)'!$BS:$BS)*$H122/100,0)</f>
        <v>0</v>
      </c>
      <c r="CC122" s="16">
        <f ca="1">IFERROR(_xlfn.XLOOKUP($F122,'FCDB 2017 (full)'!$C:$C,'FCDB 2017 (full)'!$BT:$BT)*$H122/100,0)</f>
        <v>0</v>
      </c>
      <c r="CD122" s="16">
        <f ca="1">IFERROR(_xlfn.XLOOKUP($F122,'FCDB 2017 (full)'!$C:$C,'FCDB 2017 (full)'!$BU:$BU)*$H122/100,0)</f>
        <v>0</v>
      </c>
      <c r="CE122" s="16">
        <f ca="1">IFERROR(_xlfn.XLOOKUP($F122,'FCDB 2017 (full)'!$C:$C,'FCDB 2017 (full)'!$BV:$BV)*$H122/100,0)</f>
        <v>0</v>
      </c>
      <c r="CF122" s="16">
        <f ca="1">IFERROR(_xlfn.XLOOKUP($F122,'FCDB 2017 (full)'!$C:$C,'FCDB 2017 (full)'!$BW:$BW)*$H122/100,0)</f>
        <v>0</v>
      </c>
      <c r="CG122" s="16">
        <f ca="1">IFERROR(_xlfn.XLOOKUP($F122,'FCDB 2017 (full)'!$C:$C,'FCDB 2017 (full)'!$BX:$BX)*$H122/100,0)</f>
        <v>0</v>
      </c>
      <c r="CH122" s="16">
        <f ca="1">IFERROR(_xlfn.XLOOKUP($F122,'FCDB 2017 (full)'!$C:$C,'FCDB 2017 (full)'!$BY:$BY)*$H122/100,0)</f>
        <v>0</v>
      </c>
      <c r="CI122" s="16">
        <f ca="1">IFERROR(_xlfn.XLOOKUP($F122,'FCDB 2017 (full)'!$C:$C,'FCDB 2017 (full)'!$BZ:$BZ)*$H122/100,0)</f>
        <v>0</v>
      </c>
      <c r="CJ122" s="16">
        <f ca="1">IFERROR(_xlfn.XLOOKUP($F122,'FCDB 2017 (full)'!$C:$C,'FCDB 2017 (full)'!$CA:$CA)*$H122/100,0)</f>
        <v>0</v>
      </c>
      <c r="CK122" s="16">
        <f ca="1">IFERROR(_xlfn.XLOOKUP($F122,'FCDB 2017 (full)'!$C:$C,'FCDB 2017 (full)'!$CB:$CB)*$H122/100,0)</f>
        <v>0</v>
      </c>
      <c r="CL122" s="16">
        <f ca="1">IFERROR(_xlfn.XLOOKUP($F122,'FCDB 2017 (full)'!$C:$C,'FCDB 2017 (full)'!$CC:$CC)*$H122/100,0)</f>
        <v>0</v>
      </c>
      <c r="CM122" s="16">
        <f ca="1">IFERROR(_xlfn.XLOOKUP($F122,'FCDB 2017 (full)'!$C:$C,'FCDB 2017 (full)'!$CD:$CD)*$H122/100,0)</f>
        <v>0</v>
      </c>
      <c r="CN122" s="16">
        <f ca="1">IFERROR(_xlfn.XLOOKUP($F122,'FCDB 2017 (full)'!$C:$C,'FCDB 2017 (full)'!$CE:$CE)*$H122/100,0)</f>
        <v>0</v>
      </c>
      <c r="CO122" s="16">
        <f ca="1">IFERROR(_xlfn.XLOOKUP($F122,'FCDB 2017 (full)'!$C:$C,'FCDB 2017 (full)'!$CF:$CF)*$H122/100,0)</f>
        <v>0</v>
      </c>
      <c r="CP122" s="16">
        <f ca="1">IFERROR(_xlfn.XLOOKUP($F122,'FCDB 2017 (full)'!$C:$C,'FCDB 2017 (full)'!$CG:$CG)*$H122/100,0)</f>
        <v>0</v>
      </c>
      <c r="CQ122" s="16">
        <f ca="1">IFERROR(_xlfn.XLOOKUP($F122,'FCDB 2017 (full)'!$C:$C,'FCDB 2017 (full)'!$CH:$CH)*$H122/100,0)</f>
        <v>0</v>
      </c>
      <c r="CR122" s="29"/>
      <c r="DA122" s="72" t="s">
        <v>982</v>
      </c>
    </row>
    <row r="123" spans="4:105">
      <c r="D123" s="29"/>
      <c r="E123" s="29"/>
      <c r="F123" s="11">
        <f>IFERROR(VLOOKUP($D$96,$D:$AE,26,0),0)</f>
        <v>0</v>
      </c>
      <c r="G123" s="7" cm="1">
        <f t="array" ref="G123">IF(F123=0,0,IF(_xlfn.XLOOKUP(F123,$E$96:$AE$96,$E$97:$AE$97)=0,"Nhập ĐV/TV",_xlfn.XLOOKUP(F123,$E$96:$AE$96,$E$97:$AE$97)))</f>
        <v>0</v>
      </c>
      <c r="H123" s="8">
        <f t="shared" si="26"/>
        <v>0</v>
      </c>
      <c r="I123" s="9">
        <f ca="1">IFERROR(_xlfn.XLOOKUP($F123,'FCDB 2017 (full)'!$C:$C,'FCDB 2017 (full)'!$E:$E),0)</f>
        <v>0</v>
      </c>
      <c r="J123" s="10">
        <f t="shared" ca="1" si="20"/>
        <v>0</v>
      </c>
      <c r="K123" s="9">
        <f ca="1">IFERROR(_xlfn.XLOOKUP($F123,'FCDB 2017 (full)'!$C:$C,'FCDB 2017 (full)'!$G:$G),0)</f>
        <v>0</v>
      </c>
      <c r="L123" s="13">
        <f t="shared" si="21"/>
        <v>0</v>
      </c>
      <c r="M123" s="13">
        <f t="shared" si="22"/>
        <v>0</v>
      </c>
      <c r="N123" s="9">
        <f ca="1">IFERROR(_xlfn.XLOOKUP($F123,'FCDB 2017 (full)'!$C:$C,'FCDB 2017 (full)'!$H:$H),0)</f>
        <v>0</v>
      </c>
      <c r="O123" s="14">
        <f t="shared" si="23"/>
        <v>0</v>
      </c>
      <c r="P123" s="14">
        <f t="shared" si="24"/>
        <v>0</v>
      </c>
      <c r="Q123" s="9">
        <f ca="1">IFERROR(_xlfn.XLOOKUP($F123,'FCDB 2017 (full)'!$C:$C,'FCDB 2017 (full)'!$I:$I),0)</f>
        <v>0</v>
      </c>
      <c r="R123" s="15">
        <f t="shared" ca="1" si="25"/>
        <v>0</v>
      </c>
      <c r="S123" s="16">
        <f ca="1">IFERROR(_xlfn.XLOOKUP($F123,'FCDB 2017 (full)'!$C:$C,'FCDB 2017 (full)'!$J:$J)*$H123/100,0)</f>
        <v>0</v>
      </c>
      <c r="T123" s="16">
        <f ca="1">IFERROR(_xlfn.XLOOKUP($F123,'FCDB 2017 (full)'!$C:$C,'FCDB 2017 (full)'!$K:$K)*$H123/100,0)</f>
        <v>0</v>
      </c>
      <c r="U123" s="16">
        <f ca="1">IFERROR(_xlfn.XLOOKUP($F123,'FCDB 2017 (full)'!$C:$C,'FCDB 2017 (full)'!$L:$L)*$H123/100,0)</f>
        <v>0</v>
      </c>
      <c r="V123" s="16">
        <f ca="1">IFERROR(_xlfn.XLOOKUP($F123,'FCDB 2017 (full)'!$C:$C,'FCDB 2017 (full)'!$M:$M)*$H123/100,0)</f>
        <v>0</v>
      </c>
      <c r="W123" s="16">
        <f ca="1">IFERROR(_xlfn.XLOOKUP($F123,'FCDB 2017 (full)'!$C:$C,'FCDB 2017 (full)'!$N:$N)*$H123/100,0)</f>
        <v>0</v>
      </c>
      <c r="X123" s="16">
        <f ca="1">IFERROR(_xlfn.XLOOKUP($F123,'FCDB 2017 (full)'!$C:$C,'FCDB 2017 (full)'!$O:$O)*$H123/100,0)</f>
        <v>0</v>
      </c>
      <c r="Y123" s="16">
        <f ca="1">IFERROR(_xlfn.XLOOKUP($F123,'FCDB 2017 (full)'!$C:$C,'FCDB 2017 (full)'!$P:$P)*$H123/100,0)</f>
        <v>0</v>
      </c>
      <c r="Z123" s="16">
        <f ca="1">IFERROR(_xlfn.XLOOKUP($F123,'FCDB 2017 (full)'!$C:$C,'FCDB 2017 (full)'!$Q:$Q)*$H123/100,0)</f>
        <v>0</v>
      </c>
      <c r="AA123" s="16">
        <f ca="1">IFERROR(_xlfn.XLOOKUP($F123,'FCDB 2017 (full)'!$C:$C,'FCDB 2017 (full)'!$R:$R)*$H123/100,0)</f>
        <v>0</v>
      </c>
      <c r="AB123" s="16">
        <f ca="1">IFERROR(_xlfn.XLOOKUP($F123,'FCDB 2017 (full)'!$C:$C,'FCDB 2017 (full)'!$S:$S)*$H123/100,0)</f>
        <v>0</v>
      </c>
      <c r="AC123" s="16">
        <f ca="1">IFERROR(_xlfn.XLOOKUP($F123,'FCDB 2017 (full)'!$C:$C,'FCDB 2017 (full)'!$T:$T)*$H123/100,0)</f>
        <v>0</v>
      </c>
      <c r="AD123" s="16">
        <f ca="1">IFERROR(_xlfn.XLOOKUP($F123,'FCDB 2017 (full)'!$C:$C,'FCDB 2017 (full)'!$U:$U)*$H123/100,0)</f>
        <v>0</v>
      </c>
      <c r="AE123" s="16">
        <f ca="1">IFERROR(_xlfn.XLOOKUP($F123,'FCDB 2017 (full)'!$C:$C,'FCDB 2017 (full)'!$V:$V)*$H123/100,0)</f>
        <v>0</v>
      </c>
      <c r="AF123" s="16">
        <f ca="1">IFERROR(_xlfn.XLOOKUP($F123,'FCDB 2017 (full)'!$C:$C,'FCDB 2017 (full)'!$W:$W)*$H123/100,0)</f>
        <v>0</v>
      </c>
      <c r="AG123" s="16">
        <f ca="1">IFERROR(_xlfn.XLOOKUP($F123,'FCDB 2017 (full)'!$C:$C,'FCDB 2017 (full)'!$X:$X)*$H123/100,0)</f>
        <v>0</v>
      </c>
      <c r="AH123" s="16">
        <f ca="1">IFERROR(_xlfn.XLOOKUP($F123,'FCDB 2017 (full)'!$C:$C,'FCDB 2017 (full)'!$Y:$Y)*$H123/100,0)</f>
        <v>0</v>
      </c>
      <c r="AI123" s="16">
        <f ca="1">IFERROR(_xlfn.XLOOKUP($F123,'FCDB 2017 (full)'!$C:$C,'FCDB 2017 (full)'!$Z:$Z)*$H123/100,0)</f>
        <v>0</v>
      </c>
      <c r="AJ123" s="16">
        <f ca="1">IFERROR(_xlfn.XLOOKUP($F123,'FCDB 2017 (full)'!$C:$C,'FCDB 2017 (full)'!$AA:$AA)*$H123/100,0)</f>
        <v>0</v>
      </c>
      <c r="AK123" s="16">
        <f ca="1">IFERROR(_xlfn.XLOOKUP($F123,'FCDB 2017 (full)'!$C:$C,'FCDB 2017 (full)'!$AB:$AB)*$H123/100,0)</f>
        <v>0</v>
      </c>
      <c r="AL123" s="16">
        <f ca="1">IFERROR(_xlfn.XLOOKUP($F123,'FCDB 2017 (full)'!$C:$C,'FCDB 2017 (full)'!$AC:$AC)*$H123/100,0)</f>
        <v>0</v>
      </c>
      <c r="AM123" s="16">
        <f ca="1">IFERROR(_xlfn.XLOOKUP($F123,'FCDB 2017 (full)'!$C:$C,'FCDB 2017 (full)'!$AD:$AD)*$H123/100,0)</f>
        <v>0</v>
      </c>
      <c r="AN123" s="16">
        <f ca="1">IFERROR(_xlfn.XLOOKUP($F123,'FCDB 2017 (full)'!$C:$C,'FCDB 2017 (full)'!$AE:$AE)*$H123/100,0)</f>
        <v>0</v>
      </c>
      <c r="AO123" s="16">
        <f ca="1">IFERROR(_xlfn.XLOOKUP($F123,'FCDB 2017 (full)'!$C:$C,'FCDB 2017 (full)'!$AF:$AF)*$H123/100,0)</f>
        <v>0</v>
      </c>
      <c r="AP123" s="16">
        <f ca="1">IFERROR(_xlfn.XLOOKUP($F123,'FCDB 2017 (full)'!$C:$C,'FCDB 2017 (full)'!$AG:$AG)*$H123/100,0)</f>
        <v>0</v>
      </c>
      <c r="AQ123" s="16">
        <f ca="1">IFERROR(_xlfn.XLOOKUP($F123,'FCDB 2017 (full)'!$C:$C,'FCDB 2017 (full)'!$AH:$AH)*$H123/100,0)</f>
        <v>0</v>
      </c>
      <c r="AR123" s="16">
        <f ca="1">IFERROR(_xlfn.XLOOKUP($F123,'FCDB 2017 (full)'!$C:$C,'FCDB 2017 (full)'!$AI:$AI)*$H123/100,0)</f>
        <v>0</v>
      </c>
      <c r="AS123" s="16">
        <f ca="1">IFERROR(_xlfn.XLOOKUP($F123,'FCDB 2017 (full)'!$C:$C,'FCDB 2017 (full)'!$AJ:$AJ)*$H123/100,0)</f>
        <v>0</v>
      </c>
      <c r="AT123" s="16">
        <f ca="1">IFERROR(_xlfn.XLOOKUP($F123,'FCDB 2017 (full)'!$C:$C,'FCDB 2017 (full)'!$AK:$AK)*$H123/100,0)</f>
        <v>0</v>
      </c>
      <c r="AU123" s="16">
        <f ca="1">IFERROR(_xlfn.XLOOKUP($F123,'FCDB 2017 (full)'!$C:$C,'FCDB 2017 (full)'!$AK:$AK)*$H123/100,0)</f>
        <v>0</v>
      </c>
      <c r="AV123" s="16">
        <f ca="1">IFERROR(_xlfn.XLOOKUP($F123,'FCDB 2017 (full)'!$C:$C,'FCDB 2017 (full)'!$AM:$AM)*$H123/100,0)</f>
        <v>0</v>
      </c>
      <c r="AW123" s="16">
        <f ca="1">IFERROR(_xlfn.XLOOKUP($F123,'FCDB 2017 (full)'!$C:$C,'FCDB 2017 (full)'!$AN:$AN)*$H123/100,0)</f>
        <v>0</v>
      </c>
      <c r="AX123" s="16">
        <f ca="1">IFERROR(_xlfn.XLOOKUP($F123,'FCDB 2017 (full)'!$C:$C,'FCDB 2017 (full)'!$AO:$AO)*$H123/100,0)</f>
        <v>0</v>
      </c>
      <c r="AY123" s="16">
        <f ca="1">IFERROR(_xlfn.XLOOKUP($F123,'FCDB 2017 (full)'!$C:$C,'FCDB 2017 (full)'!$AP:$AP)*$H123/100,0)</f>
        <v>0</v>
      </c>
      <c r="AZ123" s="16">
        <f ca="1">IFERROR(_xlfn.XLOOKUP($F123,'FCDB 2017 (full)'!$C:$C,'FCDB 2017 (full)'!$AQ:$AQ)*$H123/100,0)</f>
        <v>0</v>
      </c>
      <c r="BA123" s="16">
        <f ca="1">IFERROR(_xlfn.XLOOKUP($F123,'FCDB 2017 (full)'!$C:$C,'FCDB 2017 (full)'!$AR:$AR)*$H123/100,0)</f>
        <v>0</v>
      </c>
      <c r="BB123" s="16">
        <f ca="1">IFERROR(_xlfn.XLOOKUP($F123,'FCDB 2017 (full)'!$C:$C,'FCDB 2017 (full)'!$AS:$AS)*$H123/100,0)</f>
        <v>0</v>
      </c>
      <c r="BC123" s="16">
        <f ca="1">IFERROR(_xlfn.XLOOKUP($F123,'FCDB 2017 (full)'!$C:$C,'FCDB 2017 (full)'!$AT:$AT)*$H123/100,0)</f>
        <v>0</v>
      </c>
      <c r="BD123" s="16">
        <f ca="1">IFERROR(_xlfn.XLOOKUP($F123,'FCDB 2017 (full)'!$C:$C,'FCDB 2017 (full)'!$AU:$AU)*$H123/100,0)</f>
        <v>0</v>
      </c>
      <c r="BE123" s="16">
        <f ca="1">IFERROR(_xlfn.XLOOKUP($F123,'FCDB 2017 (full)'!$C:$C,'FCDB 2017 (full)'!$AV:$AV)*$H123/100,0)</f>
        <v>0</v>
      </c>
      <c r="BF123" s="16">
        <f ca="1">IFERROR(_xlfn.XLOOKUP($F123,'FCDB 2017 (full)'!$C:$C,'FCDB 2017 (full)'!$AW:$AW)*$H123/100,0)</f>
        <v>0</v>
      </c>
      <c r="BG123" s="16">
        <f ca="1">IFERROR(_xlfn.XLOOKUP($F123,'FCDB 2017 (full)'!$C:$C,'FCDB 2017 (full)'!$AX:$AX)*$H123/100,0)</f>
        <v>0</v>
      </c>
      <c r="BH123" s="16">
        <f ca="1">IFERROR(_xlfn.XLOOKUP($F123,'FCDB 2017 (full)'!$C:$C,'FCDB 2017 (full)'!$AY:$AY)*$H123/100,0)</f>
        <v>0</v>
      </c>
      <c r="BI123" s="16">
        <f ca="1">IFERROR(_xlfn.XLOOKUP($F123,'FCDB 2017 (full)'!$C:$C,'FCDB 2017 (full)'!$AZ:$AZ)*$H123/100,0)</f>
        <v>0</v>
      </c>
      <c r="BJ123" s="16">
        <f ca="1">IFERROR(_xlfn.XLOOKUP($F123,'FCDB 2017 (full)'!$C:$C,'FCDB 2017 (full)'!$BA:$BA)*$H123/100,0)</f>
        <v>0</v>
      </c>
      <c r="BK123" s="16">
        <f ca="1">IFERROR(_xlfn.XLOOKUP($F123,'FCDB 2017 (full)'!$C:$C,'FCDB 2017 (full)'!$BB:$BB)*$H123/100,0)</f>
        <v>0</v>
      </c>
      <c r="BL123" s="16">
        <f ca="1">IFERROR(_xlfn.XLOOKUP($F123,'FCDB 2017 (full)'!$C:$C,'FCDB 2017 (full)'!$BC:$BC)*$H123/100,0)</f>
        <v>0</v>
      </c>
      <c r="BM123" s="16">
        <f ca="1">IFERROR(_xlfn.XLOOKUP($F123,'FCDB 2017 (full)'!$C:$C,'FCDB 2017 (full)'!$BD:$BD)*$H123/100,0)</f>
        <v>0</v>
      </c>
      <c r="BN123" s="16">
        <f ca="1">IFERROR(_xlfn.XLOOKUP($F123,'FCDB 2017 (full)'!$C:$C,'FCDB 2017 (full)'!$BE:$BE)*$H123/100,0)</f>
        <v>0</v>
      </c>
      <c r="BO123" s="16">
        <f ca="1">IFERROR(_xlfn.XLOOKUP($F123,'FCDB 2017 (full)'!$C:$C,'FCDB 2017 (full)'!$BF:$BF)*$H123/100,0)</f>
        <v>0</v>
      </c>
      <c r="BP123" s="16">
        <f ca="1">IFERROR(_xlfn.XLOOKUP($F123,'FCDB 2017 (full)'!$C:$C,'FCDB 2017 (full)'!$BG:$BG)*$H123/100,0)</f>
        <v>0</v>
      </c>
      <c r="BQ123" s="16">
        <f ca="1">IFERROR(_xlfn.XLOOKUP($F123,'FCDB 2017 (full)'!$C:$C,'FCDB 2017 (full)'!$BH:$BH)*$H123/100,0)</f>
        <v>0</v>
      </c>
      <c r="BR123" s="16">
        <f ca="1">IFERROR(_xlfn.XLOOKUP($F123,'FCDB 2017 (full)'!$C:$C,'FCDB 2017 (full)'!$BI:$BI)*$H123/100,0)</f>
        <v>0</v>
      </c>
      <c r="BS123" s="16">
        <f ca="1">IFERROR(_xlfn.XLOOKUP($F123,'FCDB 2017 (full)'!$C:$C,'FCDB 2017 (full)'!$BJ:$BJ)*$H123/100,0)</f>
        <v>0</v>
      </c>
      <c r="BT123" s="16">
        <f ca="1">IFERROR(_xlfn.XLOOKUP($F123,'FCDB 2017 (full)'!$C:$C,'FCDB 2017 (full)'!$BK:$BK)*$H123/100,0)</f>
        <v>0</v>
      </c>
      <c r="BU123" s="16">
        <f ca="1">IFERROR(_xlfn.XLOOKUP($F123,'FCDB 2017 (full)'!$C:$C,'FCDB 2017 (full)'!$BL:$BL)*$H123/100,0)</f>
        <v>0</v>
      </c>
      <c r="BV123" s="16">
        <f ca="1">IFERROR(_xlfn.XLOOKUP($F123,'FCDB 2017 (full)'!$C:$C,'FCDB 2017 (full)'!$BM:$BM)*$H123/100,0)</f>
        <v>0</v>
      </c>
      <c r="BW123" s="16">
        <f ca="1">IFERROR(_xlfn.XLOOKUP($F123,'FCDB 2017 (full)'!$C:$C,'FCDB 2017 (full)'!$BN:$BN)*$H123/100,0)</f>
        <v>0</v>
      </c>
      <c r="BX123" s="16">
        <f ca="1">IFERROR(_xlfn.XLOOKUP($F123,'FCDB 2017 (full)'!$C:$C,'FCDB 2017 (full)'!$BO:$BO)*$H123/100,0)</f>
        <v>0</v>
      </c>
      <c r="BY123" s="16">
        <f ca="1">IFERROR(_xlfn.XLOOKUP($F123,'FCDB 2017 (full)'!$C:$C,'FCDB 2017 (full)'!$BP:$BP)*$H123/100,0)</f>
        <v>0</v>
      </c>
      <c r="BZ123" s="16">
        <f ca="1">IFERROR(_xlfn.XLOOKUP($F123,'FCDB 2017 (full)'!$C:$C,'FCDB 2017 (full)'!$BQ:$BQ)*$H123/100,0)</f>
        <v>0</v>
      </c>
      <c r="CA123" s="16">
        <f ca="1">IFERROR(_xlfn.XLOOKUP($F123,'FCDB 2017 (full)'!$C:$C,'FCDB 2017 (full)'!$BR:$BR)*$H123/100,0)</f>
        <v>0</v>
      </c>
      <c r="CB123" s="16">
        <f ca="1">IFERROR(_xlfn.XLOOKUP($F123,'FCDB 2017 (full)'!$C:$C,'FCDB 2017 (full)'!$BS:$BS)*$H123/100,0)</f>
        <v>0</v>
      </c>
      <c r="CC123" s="16">
        <f ca="1">IFERROR(_xlfn.XLOOKUP($F123,'FCDB 2017 (full)'!$C:$C,'FCDB 2017 (full)'!$BT:$BT)*$H123/100,0)</f>
        <v>0</v>
      </c>
      <c r="CD123" s="16">
        <f ca="1">IFERROR(_xlfn.XLOOKUP($F123,'FCDB 2017 (full)'!$C:$C,'FCDB 2017 (full)'!$BU:$BU)*$H123/100,0)</f>
        <v>0</v>
      </c>
      <c r="CE123" s="16">
        <f ca="1">IFERROR(_xlfn.XLOOKUP($F123,'FCDB 2017 (full)'!$C:$C,'FCDB 2017 (full)'!$BV:$BV)*$H123/100,0)</f>
        <v>0</v>
      </c>
      <c r="CF123" s="16">
        <f ca="1">IFERROR(_xlfn.XLOOKUP($F123,'FCDB 2017 (full)'!$C:$C,'FCDB 2017 (full)'!$BW:$BW)*$H123/100,0)</f>
        <v>0</v>
      </c>
      <c r="CG123" s="16">
        <f ca="1">IFERROR(_xlfn.XLOOKUP($F123,'FCDB 2017 (full)'!$C:$C,'FCDB 2017 (full)'!$BX:$BX)*$H123/100,0)</f>
        <v>0</v>
      </c>
      <c r="CH123" s="16">
        <f ca="1">IFERROR(_xlfn.XLOOKUP($F123,'FCDB 2017 (full)'!$C:$C,'FCDB 2017 (full)'!$BY:$BY)*$H123/100,0)</f>
        <v>0</v>
      </c>
      <c r="CI123" s="16">
        <f ca="1">IFERROR(_xlfn.XLOOKUP($F123,'FCDB 2017 (full)'!$C:$C,'FCDB 2017 (full)'!$BZ:$BZ)*$H123/100,0)</f>
        <v>0</v>
      </c>
      <c r="CJ123" s="16">
        <f ca="1">IFERROR(_xlfn.XLOOKUP($F123,'FCDB 2017 (full)'!$C:$C,'FCDB 2017 (full)'!$CA:$CA)*$H123/100,0)</f>
        <v>0</v>
      </c>
      <c r="CK123" s="16">
        <f ca="1">IFERROR(_xlfn.XLOOKUP($F123,'FCDB 2017 (full)'!$C:$C,'FCDB 2017 (full)'!$CB:$CB)*$H123/100,0)</f>
        <v>0</v>
      </c>
      <c r="CL123" s="16">
        <f ca="1">IFERROR(_xlfn.XLOOKUP($F123,'FCDB 2017 (full)'!$C:$C,'FCDB 2017 (full)'!$CC:$CC)*$H123/100,0)</f>
        <v>0</v>
      </c>
      <c r="CM123" s="16">
        <f ca="1">IFERROR(_xlfn.XLOOKUP($F123,'FCDB 2017 (full)'!$C:$C,'FCDB 2017 (full)'!$CD:$CD)*$H123/100,0)</f>
        <v>0</v>
      </c>
      <c r="CN123" s="16">
        <f ca="1">IFERROR(_xlfn.XLOOKUP($F123,'FCDB 2017 (full)'!$C:$C,'FCDB 2017 (full)'!$CE:$CE)*$H123/100,0)</f>
        <v>0</v>
      </c>
      <c r="CO123" s="16">
        <f ca="1">IFERROR(_xlfn.XLOOKUP($F123,'FCDB 2017 (full)'!$C:$C,'FCDB 2017 (full)'!$CF:$CF)*$H123/100,0)</f>
        <v>0</v>
      </c>
      <c r="CP123" s="16">
        <f ca="1">IFERROR(_xlfn.XLOOKUP($F123,'FCDB 2017 (full)'!$C:$C,'FCDB 2017 (full)'!$CG:$CG)*$H123/100,0)</f>
        <v>0</v>
      </c>
      <c r="CQ123" s="16">
        <f ca="1">IFERROR(_xlfn.XLOOKUP($F123,'FCDB 2017 (full)'!$C:$C,'FCDB 2017 (full)'!$CH:$CH)*$H123/100,0)</f>
        <v>0</v>
      </c>
      <c r="CR123" s="29"/>
      <c r="DA123" s="72" t="s">
        <v>982</v>
      </c>
    </row>
    <row r="124" spans="4:105" s="28" customFormat="1">
      <c r="D124" s="29"/>
      <c r="E124" s="29"/>
      <c r="F124" s="11">
        <f>IFERROR(VLOOKUP($D$96,$D:$AE,27,0),0)</f>
        <v>0</v>
      </c>
      <c r="G124" s="7" cm="1">
        <f t="array" ref="G124">IF(F124=0,0,IF(_xlfn.XLOOKUP(F124,$E$96:$AE$96,$E$97:$AE$97)=0,"Nhập ĐV/TV",_xlfn.XLOOKUP(F124,$E$96:$AE$96,$E$97:$AE$97)))</f>
        <v>0</v>
      </c>
      <c r="H124" s="8">
        <f t="shared" si="26"/>
        <v>0</v>
      </c>
      <c r="I124" s="9">
        <f ca="1">IFERROR(_xlfn.XLOOKUP($F124,'FCDB 2017 (full)'!$C:$C,'FCDB 2017 (full)'!$E:$E),0)</f>
        <v>0</v>
      </c>
      <c r="J124" s="10">
        <f t="shared" ca="1" si="20"/>
        <v>0</v>
      </c>
      <c r="K124" s="9">
        <f ca="1">IFERROR(_xlfn.XLOOKUP($F124,'FCDB 2017 (full)'!$C:$C,'FCDB 2017 (full)'!$G:$G),0)</f>
        <v>0</v>
      </c>
      <c r="L124" s="13">
        <f t="shared" si="21"/>
        <v>0</v>
      </c>
      <c r="M124" s="13">
        <f t="shared" si="22"/>
        <v>0</v>
      </c>
      <c r="N124" s="9">
        <f ca="1">IFERROR(_xlfn.XLOOKUP($F124,'FCDB 2017 (full)'!$C:$C,'FCDB 2017 (full)'!$H:$H),0)</f>
        <v>0</v>
      </c>
      <c r="O124" s="14">
        <f t="shared" si="23"/>
        <v>0</v>
      </c>
      <c r="P124" s="14">
        <f t="shared" si="24"/>
        <v>0</v>
      </c>
      <c r="Q124" s="9">
        <f ca="1">IFERROR(_xlfn.XLOOKUP($F124,'FCDB 2017 (full)'!$C:$C,'FCDB 2017 (full)'!$I:$I),0)</f>
        <v>0</v>
      </c>
      <c r="R124" s="15">
        <f t="shared" ca="1" si="25"/>
        <v>0</v>
      </c>
      <c r="S124" s="16">
        <f ca="1">IFERROR(_xlfn.XLOOKUP($F124,'FCDB 2017 (full)'!$C:$C,'FCDB 2017 (full)'!$J:$J)*$H124/100,0)</f>
        <v>0</v>
      </c>
      <c r="T124" s="16">
        <f ca="1">IFERROR(_xlfn.XLOOKUP($F124,'FCDB 2017 (full)'!$C:$C,'FCDB 2017 (full)'!$K:$K)*$H124/100,0)</f>
        <v>0</v>
      </c>
      <c r="U124" s="16">
        <f ca="1">IFERROR(_xlfn.XLOOKUP($F124,'FCDB 2017 (full)'!$C:$C,'FCDB 2017 (full)'!$L:$L)*$H124/100,0)</f>
        <v>0</v>
      </c>
      <c r="V124" s="16">
        <f ca="1">IFERROR(_xlfn.XLOOKUP($F124,'FCDB 2017 (full)'!$C:$C,'FCDB 2017 (full)'!$M:$M)*$H124/100,0)</f>
        <v>0</v>
      </c>
      <c r="W124" s="16">
        <f ca="1">IFERROR(_xlfn.XLOOKUP($F124,'FCDB 2017 (full)'!$C:$C,'FCDB 2017 (full)'!$N:$N)*$H124/100,0)</f>
        <v>0</v>
      </c>
      <c r="X124" s="16">
        <f ca="1">IFERROR(_xlfn.XLOOKUP($F124,'FCDB 2017 (full)'!$C:$C,'FCDB 2017 (full)'!$O:$O)*$H124/100,0)</f>
        <v>0</v>
      </c>
      <c r="Y124" s="16">
        <f ca="1">IFERROR(_xlfn.XLOOKUP($F124,'FCDB 2017 (full)'!$C:$C,'FCDB 2017 (full)'!$P:$P)*$H124/100,0)</f>
        <v>0</v>
      </c>
      <c r="Z124" s="16">
        <f ca="1">IFERROR(_xlfn.XLOOKUP($F124,'FCDB 2017 (full)'!$C:$C,'FCDB 2017 (full)'!$Q:$Q)*$H124/100,0)</f>
        <v>0</v>
      </c>
      <c r="AA124" s="16">
        <f ca="1">IFERROR(_xlfn.XLOOKUP($F124,'FCDB 2017 (full)'!$C:$C,'FCDB 2017 (full)'!$R:$R)*$H124/100,0)</f>
        <v>0</v>
      </c>
      <c r="AB124" s="16">
        <f ca="1">IFERROR(_xlfn.XLOOKUP($F124,'FCDB 2017 (full)'!$C:$C,'FCDB 2017 (full)'!$S:$S)*$H124/100,0)</f>
        <v>0</v>
      </c>
      <c r="AC124" s="16">
        <f ca="1">IFERROR(_xlfn.XLOOKUP($F124,'FCDB 2017 (full)'!$C:$C,'FCDB 2017 (full)'!$T:$T)*$H124/100,0)</f>
        <v>0</v>
      </c>
      <c r="AD124" s="16">
        <f ca="1">IFERROR(_xlfn.XLOOKUP($F124,'FCDB 2017 (full)'!$C:$C,'FCDB 2017 (full)'!$U:$U)*$H124/100,0)</f>
        <v>0</v>
      </c>
      <c r="AE124" s="16">
        <f ca="1">IFERROR(_xlfn.XLOOKUP($F124,'FCDB 2017 (full)'!$C:$C,'FCDB 2017 (full)'!$V:$V)*$H124/100,0)</f>
        <v>0</v>
      </c>
      <c r="AF124" s="16">
        <f ca="1">IFERROR(_xlfn.XLOOKUP($F124,'FCDB 2017 (full)'!$C:$C,'FCDB 2017 (full)'!$W:$W)*$H124/100,0)</f>
        <v>0</v>
      </c>
      <c r="AG124" s="16">
        <f ca="1">IFERROR(_xlfn.XLOOKUP($F124,'FCDB 2017 (full)'!$C:$C,'FCDB 2017 (full)'!$X:$X)*$H124/100,0)</f>
        <v>0</v>
      </c>
      <c r="AH124" s="16">
        <f ca="1">IFERROR(_xlfn.XLOOKUP($F124,'FCDB 2017 (full)'!$C:$C,'FCDB 2017 (full)'!$Y:$Y)*$H124/100,0)</f>
        <v>0</v>
      </c>
      <c r="AI124" s="16">
        <f ca="1">IFERROR(_xlfn.XLOOKUP($F124,'FCDB 2017 (full)'!$C:$C,'FCDB 2017 (full)'!$Z:$Z)*$H124/100,0)</f>
        <v>0</v>
      </c>
      <c r="AJ124" s="16">
        <f ca="1">IFERROR(_xlfn.XLOOKUP($F124,'FCDB 2017 (full)'!$C:$C,'FCDB 2017 (full)'!$AA:$AA)*$H124/100,0)</f>
        <v>0</v>
      </c>
      <c r="AK124" s="16">
        <f ca="1">IFERROR(_xlfn.XLOOKUP($F124,'FCDB 2017 (full)'!$C:$C,'FCDB 2017 (full)'!$AB:$AB)*$H124/100,0)</f>
        <v>0</v>
      </c>
      <c r="AL124" s="16">
        <f ca="1">IFERROR(_xlfn.XLOOKUP($F124,'FCDB 2017 (full)'!$C:$C,'FCDB 2017 (full)'!$AC:$AC)*$H124/100,0)</f>
        <v>0</v>
      </c>
      <c r="AM124" s="16">
        <f ca="1">IFERROR(_xlfn.XLOOKUP($F124,'FCDB 2017 (full)'!$C:$C,'FCDB 2017 (full)'!$AD:$AD)*$H124/100,0)</f>
        <v>0</v>
      </c>
      <c r="AN124" s="16">
        <f ca="1">IFERROR(_xlfn.XLOOKUP($F124,'FCDB 2017 (full)'!$C:$C,'FCDB 2017 (full)'!$AE:$AE)*$H124/100,0)</f>
        <v>0</v>
      </c>
      <c r="AO124" s="16">
        <f ca="1">IFERROR(_xlfn.XLOOKUP($F124,'FCDB 2017 (full)'!$C:$C,'FCDB 2017 (full)'!$AF:$AF)*$H124/100,0)</f>
        <v>0</v>
      </c>
      <c r="AP124" s="16">
        <f ca="1">IFERROR(_xlfn.XLOOKUP($F124,'FCDB 2017 (full)'!$C:$C,'FCDB 2017 (full)'!$AG:$AG)*$H124/100,0)</f>
        <v>0</v>
      </c>
      <c r="AQ124" s="16">
        <f ca="1">IFERROR(_xlfn.XLOOKUP($F124,'FCDB 2017 (full)'!$C:$C,'FCDB 2017 (full)'!$AH:$AH)*$H124/100,0)</f>
        <v>0</v>
      </c>
      <c r="AR124" s="16">
        <f ca="1">IFERROR(_xlfn.XLOOKUP($F124,'FCDB 2017 (full)'!$C:$C,'FCDB 2017 (full)'!$AI:$AI)*$H124/100,0)</f>
        <v>0</v>
      </c>
      <c r="AS124" s="16">
        <f ca="1">IFERROR(_xlfn.XLOOKUP($F124,'FCDB 2017 (full)'!$C:$C,'FCDB 2017 (full)'!$AJ:$AJ)*$H124/100,0)</f>
        <v>0</v>
      </c>
      <c r="AT124" s="16">
        <f ca="1">IFERROR(_xlfn.XLOOKUP($F124,'FCDB 2017 (full)'!$C:$C,'FCDB 2017 (full)'!$AK:$AK)*$H124/100,0)</f>
        <v>0</v>
      </c>
      <c r="AU124" s="16">
        <f ca="1">IFERROR(_xlfn.XLOOKUP($F124,'FCDB 2017 (full)'!$C:$C,'FCDB 2017 (full)'!$AK:$AK)*$H124/100,0)</f>
        <v>0</v>
      </c>
      <c r="AV124" s="16">
        <f ca="1">IFERROR(_xlfn.XLOOKUP($F124,'FCDB 2017 (full)'!$C:$C,'FCDB 2017 (full)'!$AM:$AM)*$H124/100,0)</f>
        <v>0</v>
      </c>
      <c r="AW124" s="16">
        <f ca="1">IFERROR(_xlfn.XLOOKUP($F124,'FCDB 2017 (full)'!$C:$C,'FCDB 2017 (full)'!$AN:$AN)*$H124/100,0)</f>
        <v>0</v>
      </c>
      <c r="AX124" s="16">
        <f ca="1">IFERROR(_xlfn.XLOOKUP($F124,'FCDB 2017 (full)'!$C:$C,'FCDB 2017 (full)'!$AO:$AO)*$H124/100,0)</f>
        <v>0</v>
      </c>
      <c r="AY124" s="16">
        <f ca="1">IFERROR(_xlfn.XLOOKUP($F124,'FCDB 2017 (full)'!$C:$C,'FCDB 2017 (full)'!$AP:$AP)*$H124/100,0)</f>
        <v>0</v>
      </c>
      <c r="AZ124" s="16">
        <f ca="1">IFERROR(_xlfn.XLOOKUP($F124,'FCDB 2017 (full)'!$C:$C,'FCDB 2017 (full)'!$AQ:$AQ)*$H124/100,0)</f>
        <v>0</v>
      </c>
      <c r="BA124" s="16">
        <f ca="1">IFERROR(_xlfn.XLOOKUP($F124,'FCDB 2017 (full)'!$C:$C,'FCDB 2017 (full)'!$AR:$AR)*$H124/100,0)</f>
        <v>0</v>
      </c>
      <c r="BB124" s="16">
        <f ca="1">IFERROR(_xlfn.XLOOKUP($F124,'FCDB 2017 (full)'!$C:$C,'FCDB 2017 (full)'!$AS:$AS)*$H124/100,0)</f>
        <v>0</v>
      </c>
      <c r="BC124" s="16">
        <f ca="1">IFERROR(_xlfn.XLOOKUP($F124,'FCDB 2017 (full)'!$C:$C,'FCDB 2017 (full)'!$AT:$AT)*$H124/100,0)</f>
        <v>0</v>
      </c>
      <c r="BD124" s="16">
        <f ca="1">IFERROR(_xlfn.XLOOKUP($F124,'FCDB 2017 (full)'!$C:$C,'FCDB 2017 (full)'!$AU:$AU)*$H124/100,0)</f>
        <v>0</v>
      </c>
      <c r="BE124" s="16">
        <f ca="1">IFERROR(_xlfn.XLOOKUP($F124,'FCDB 2017 (full)'!$C:$C,'FCDB 2017 (full)'!$AV:$AV)*$H124/100,0)</f>
        <v>0</v>
      </c>
      <c r="BF124" s="16">
        <f ca="1">IFERROR(_xlfn.XLOOKUP($F124,'FCDB 2017 (full)'!$C:$C,'FCDB 2017 (full)'!$AW:$AW)*$H124/100,0)</f>
        <v>0</v>
      </c>
      <c r="BG124" s="16">
        <f ca="1">IFERROR(_xlfn.XLOOKUP($F124,'FCDB 2017 (full)'!$C:$C,'FCDB 2017 (full)'!$AX:$AX)*$H124/100,0)</f>
        <v>0</v>
      </c>
      <c r="BH124" s="16">
        <f ca="1">IFERROR(_xlfn.XLOOKUP($F124,'FCDB 2017 (full)'!$C:$C,'FCDB 2017 (full)'!$AY:$AY)*$H124/100,0)</f>
        <v>0</v>
      </c>
      <c r="BI124" s="16">
        <f ca="1">IFERROR(_xlfn.XLOOKUP($F124,'FCDB 2017 (full)'!$C:$C,'FCDB 2017 (full)'!$AZ:$AZ)*$H124/100,0)</f>
        <v>0</v>
      </c>
      <c r="BJ124" s="16">
        <f ca="1">IFERROR(_xlfn.XLOOKUP($F124,'FCDB 2017 (full)'!$C:$C,'FCDB 2017 (full)'!$BA:$BA)*$H124/100,0)</f>
        <v>0</v>
      </c>
      <c r="BK124" s="16">
        <f ca="1">IFERROR(_xlfn.XLOOKUP($F124,'FCDB 2017 (full)'!$C:$C,'FCDB 2017 (full)'!$BB:$BB)*$H124/100,0)</f>
        <v>0</v>
      </c>
      <c r="BL124" s="16">
        <f ca="1">IFERROR(_xlfn.XLOOKUP($F124,'FCDB 2017 (full)'!$C:$C,'FCDB 2017 (full)'!$BC:$BC)*$H124/100,0)</f>
        <v>0</v>
      </c>
      <c r="BM124" s="16">
        <f ca="1">IFERROR(_xlfn.XLOOKUP($F124,'FCDB 2017 (full)'!$C:$C,'FCDB 2017 (full)'!$BD:$BD)*$H124/100,0)</f>
        <v>0</v>
      </c>
      <c r="BN124" s="16">
        <f ca="1">IFERROR(_xlfn.XLOOKUP($F124,'FCDB 2017 (full)'!$C:$C,'FCDB 2017 (full)'!$BE:$BE)*$H124/100,0)</f>
        <v>0</v>
      </c>
      <c r="BO124" s="16">
        <f ca="1">IFERROR(_xlfn.XLOOKUP($F124,'FCDB 2017 (full)'!$C:$C,'FCDB 2017 (full)'!$BF:$BF)*$H124/100,0)</f>
        <v>0</v>
      </c>
      <c r="BP124" s="16">
        <f ca="1">IFERROR(_xlfn.XLOOKUP($F124,'FCDB 2017 (full)'!$C:$C,'FCDB 2017 (full)'!$BG:$BG)*$H124/100,0)</f>
        <v>0</v>
      </c>
      <c r="BQ124" s="16">
        <f ca="1">IFERROR(_xlfn.XLOOKUP($F124,'FCDB 2017 (full)'!$C:$C,'FCDB 2017 (full)'!$BH:$BH)*$H124/100,0)</f>
        <v>0</v>
      </c>
      <c r="BR124" s="16">
        <f ca="1">IFERROR(_xlfn.XLOOKUP($F124,'FCDB 2017 (full)'!$C:$C,'FCDB 2017 (full)'!$BI:$BI)*$H124/100,0)</f>
        <v>0</v>
      </c>
      <c r="BS124" s="16">
        <f ca="1">IFERROR(_xlfn.XLOOKUP($F124,'FCDB 2017 (full)'!$C:$C,'FCDB 2017 (full)'!$BJ:$BJ)*$H124/100,0)</f>
        <v>0</v>
      </c>
      <c r="BT124" s="16">
        <f ca="1">IFERROR(_xlfn.XLOOKUP($F124,'FCDB 2017 (full)'!$C:$C,'FCDB 2017 (full)'!$BK:$BK)*$H124/100,0)</f>
        <v>0</v>
      </c>
      <c r="BU124" s="16">
        <f ca="1">IFERROR(_xlfn.XLOOKUP($F124,'FCDB 2017 (full)'!$C:$C,'FCDB 2017 (full)'!$BL:$BL)*$H124/100,0)</f>
        <v>0</v>
      </c>
      <c r="BV124" s="16">
        <f ca="1">IFERROR(_xlfn.XLOOKUP($F124,'FCDB 2017 (full)'!$C:$C,'FCDB 2017 (full)'!$BM:$BM)*$H124/100,0)</f>
        <v>0</v>
      </c>
      <c r="BW124" s="16">
        <f ca="1">IFERROR(_xlfn.XLOOKUP($F124,'FCDB 2017 (full)'!$C:$C,'FCDB 2017 (full)'!$BN:$BN)*$H124/100,0)</f>
        <v>0</v>
      </c>
      <c r="BX124" s="16">
        <f ca="1">IFERROR(_xlfn.XLOOKUP($F124,'FCDB 2017 (full)'!$C:$C,'FCDB 2017 (full)'!$BO:$BO)*$H124/100,0)</f>
        <v>0</v>
      </c>
      <c r="BY124" s="16">
        <f ca="1">IFERROR(_xlfn.XLOOKUP($F124,'FCDB 2017 (full)'!$C:$C,'FCDB 2017 (full)'!$BP:$BP)*$H124/100,0)</f>
        <v>0</v>
      </c>
      <c r="BZ124" s="16">
        <f ca="1">IFERROR(_xlfn.XLOOKUP($F124,'FCDB 2017 (full)'!$C:$C,'FCDB 2017 (full)'!$BQ:$BQ)*$H124/100,0)</f>
        <v>0</v>
      </c>
      <c r="CA124" s="16">
        <f ca="1">IFERROR(_xlfn.XLOOKUP($F124,'FCDB 2017 (full)'!$C:$C,'FCDB 2017 (full)'!$BR:$BR)*$H124/100,0)</f>
        <v>0</v>
      </c>
      <c r="CB124" s="16">
        <f ca="1">IFERROR(_xlfn.XLOOKUP($F124,'FCDB 2017 (full)'!$C:$C,'FCDB 2017 (full)'!$BS:$BS)*$H124/100,0)</f>
        <v>0</v>
      </c>
      <c r="CC124" s="16">
        <f ca="1">IFERROR(_xlfn.XLOOKUP($F124,'FCDB 2017 (full)'!$C:$C,'FCDB 2017 (full)'!$BT:$BT)*$H124/100,0)</f>
        <v>0</v>
      </c>
      <c r="CD124" s="16">
        <f ca="1">IFERROR(_xlfn.XLOOKUP($F124,'FCDB 2017 (full)'!$C:$C,'FCDB 2017 (full)'!$BU:$BU)*$H124/100,0)</f>
        <v>0</v>
      </c>
      <c r="CE124" s="16">
        <f ca="1">IFERROR(_xlfn.XLOOKUP($F124,'FCDB 2017 (full)'!$C:$C,'FCDB 2017 (full)'!$BV:$BV)*$H124/100,0)</f>
        <v>0</v>
      </c>
      <c r="CF124" s="16">
        <f ca="1">IFERROR(_xlfn.XLOOKUP($F124,'FCDB 2017 (full)'!$C:$C,'FCDB 2017 (full)'!$BW:$BW)*$H124/100,0)</f>
        <v>0</v>
      </c>
      <c r="CG124" s="16">
        <f ca="1">IFERROR(_xlfn.XLOOKUP($F124,'FCDB 2017 (full)'!$C:$C,'FCDB 2017 (full)'!$BX:$BX)*$H124/100,0)</f>
        <v>0</v>
      </c>
      <c r="CH124" s="16">
        <f ca="1">IFERROR(_xlfn.XLOOKUP($F124,'FCDB 2017 (full)'!$C:$C,'FCDB 2017 (full)'!$BY:$BY)*$H124/100,0)</f>
        <v>0</v>
      </c>
      <c r="CI124" s="16">
        <f ca="1">IFERROR(_xlfn.XLOOKUP($F124,'FCDB 2017 (full)'!$C:$C,'FCDB 2017 (full)'!$BZ:$BZ)*$H124/100,0)</f>
        <v>0</v>
      </c>
      <c r="CJ124" s="16">
        <f ca="1">IFERROR(_xlfn.XLOOKUP($F124,'FCDB 2017 (full)'!$C:$C,'FCDB 2017 (full)'!$CA:$CA)*$H124/100,0)</f>
        <v>0</v>
      </c>
      <c r="CK124" s="16">
        <f ca="1">IFERROR(_xlfn.XLOOKUP($F124,'FCDB 2017 (full)'!$C:$C,'FCDB 2017 (full)'!$CB:$CB)*$H124/100,0)</f>
        <v>0</v>
      </c>
      <c r="CL124" s="16">
        <f ca="1">IFERROR(_xlfn.XLOOKUP($F124,'FCDB 2017 (full)'!$C:$C,'FCDB 2017 (full)'!$CC:$CC)*$H124/100,0)</f>
        <v>0</v>
      </c>
      <c r="CM124" s="16">
        <f ca="1">IFERROR(_xlfn.XLOOKUP($F124,'FCDB 2017 (full)'!$C:$C,'FCDB 2017 (full)'!$CD:$CD)*$H124/100,0)</f>
        <v>0</v>
      </c>
      <c r="CN124" s="16">
        <f ca="1">IFERROR(_xlfn.XLOOKUP($F124,'FCDB 2017 (full)'!$C:$C,'FCDB 2017 (full)'!$CE:$CE)*$H124/100,0)</f>
        <v>0</v>
      </c>
      <c r="CO124" s="16">
        <f ca="1">IFERROR(_xlfn.XLOOKUP($F124,'FCDB 2017 (full)'!$C:$C,'FCDB 2017 (full)'!$CF:$CF)*$H124/100,0)</f>
        <v>0</v>
      </c>
      <c r="CP124" s="16">
        <f ca="1">IFERROR(_xlfn.XLOOKUP($F124,'FCDB 2017 (full)'!$C:$C,'FCDB 2017 (full)'!$CG:$CG)*$H124/100,0)</f>
        <v>0</v>
      </c>
      <c r="CQ124" s="16">
        <f ca="1">IFERROR(_xlfn.XLOOKUP($F124,'FCDB 2017 (full)'!$C:$C,'FCDB 2017 (full)'!$CH:$CH)*$H124/100,0)</f>
        <v>0</v>
      </c>
      <c r="CR124" s="29"/>
      <c r="DA124" s="72" t="s">
        <v>982</v>
      </c>
    </row>
    <row r="125" spans="4:105" s="28" customFormat="1">
      <c r="D125" s="29"/>
      <c r="E125" s="29"/>
      <c r="F125" s="11">
        <f>IFERROR(VLOOKUP($D$96,$D:$AE,28,0),0)</f>
        <v>0</v>
      </c>
      <c r="G125" s="7" cm="1">
        <f t="array" ref="G125">IF(F125=0,0,IF(_xlfn.XLOOKUP(F125,$E$96:$AE$96,$E$97:$AE$97)=0,"Nhập ĐV/TV",_xlfn.XLOOKUP(F125,$E$96:$AE$96,$E$97:$AE$97)))</f>
        <v>0</v>
      </c>
      <c r="H125" s="8">
        <f t="shared" si="26"/>
        <v>0</v>
      </c>
      <c r="I125" s="9">
        <f ca="1">IFERROR(_xlfn.XLOOKUP($F125,'FCDB 2017 (full)'!$C:$C,'FCDB 2017 (full)'!$E:$E),0)</f>
        <v>0</v>
      </c>
      <c r="J125" s="10">
        <f t="shared" ca="1" si="20"/>
        <v>0</v>
      </c>
      <c r="K125" s="9">
        <f ca="1">IFERROR(_xlfn.XLOOKUP($F125,'FCDB 2017 (full)'!$C:$C,'FCDB 2017 (full)'!$G:$G),0)</f>
        <v>0</v>
      </c>
      <c r="L125" s="13">
        <f t="shared" si="21"/>
        <v>0</v>
      </c>
      <c r="M125" s="13">
        <f t="shared" si="22"/>
        <v>0</v>
      </c>
      <c r="N125" s="9">
        <f ca="1">IFERROR(_xlfn.XLOOKUP($F125,'FCDB 2017 (full)'!$C:$C,'FCDB 2017 (full)'!$H:$H),0)</f>
        <v>0</v>
      </c>
      <c r="O125" s="14">
        <f t="shared" si="23"/>
        <v>0</v>
      </c>
      <c r="P125" s="14">
        <f t="shared" si="24"/>
        <v>0</v>
      </c>
      <c r="Q125" s="9">
        <f ca="1">IFERROR(_xlfn.XLOOKUP($F125,'FCDB 2017 (full)'!$C:$C,'FCDB 2017 (full)'!$I:$I),0)</f>
        <v>0</v>
      </c>
      <c r="R125" s="15">
        <f t="shared" ca="1" si="25"/>
        <v>0</v>
      </c>
      <c r="S125" s="16">
        <f ca="1">IFERROR(_xlfn.XLOOKUP($F125,'FCDB 2017 (full)'!$C:$C,'FCDB 2017 (full)'!$J:$J)*$H125/100,0)</f>
        <v>0</v>
      </c>
      <c r="T125" s="16">
        <f ca="1">IFERROR(_xlfn.XLOOKUP($F125,'FCDB 2017 (full)'!$C:$C,'FCDB 2017 (full)'!$K:$K)*$H125/100,0)</f>
        <v>0</v>
      </c>
      <c r="U125" s="16">
        <f ca="1">IFERROR(_xlfn.XLOOKUP($F125,'FCDB 2017 (full)'!$C:$C,'FCDB 2017 (full)'!$L:$L)*$H125/100,0)</f>
        <v>0</v>
      </c>
      <c r="V125" s="16">
        <f ca="1">IFERROR(_xlfn.XLOOKUP($F125,'FCDB 2017 (full)'!$C:$C,'FCDB 2017 (full)'!$M:$M)*$H125/100,0)</f>
        <v>0</v>
      </c>
      <c r="W125" s="16">
        <f ca="1">IFERROR(_xlfn.XLOOKUP($F125,'FCDB 2017 (full)'!$C:$C,'FCDB 2017 (full)'!$N:$N)*$H125/100,0)</f>
        <v>0</v>
      </c>
      <c r="X125" s="16">
        <f ca="1">IFERROR(_xlfn.XLOOKUP($F125,'FCDB 2017 (full)'!$C:$C,'FCDB 2017 (full)'!$O:$O)*$H125/100,0)</f>
        <v>0</v>
      </c>
      <c r="Y125" s="16">
        <f ca="1">IFERROR(_xlfn.XLOOKUP($F125,'FCDB 2017 (full)'!$C:$C,'FCDB 2017 (full)'!$P:$P)*$H125/100,0)</f>
        <v>0</v>
      </c>
      <c r="Z125" s="16">
        <f ca="1">IFERROR(_xlfn.XLOOKUP($F125,'FCDB 2017 (full)'!$C:$C,'FCDB 2017 (full)'!$Q:$Q)*$H125/100,0)</f>
        <v>0</v>
      </c>
      <c r="AA125" s="16">
        <f ca="1">IFERROR(_xlfn.XLOOKUP($F125,'FCDB 2017 (full)'!$C:$C,'FCDB 2017 (full)'!$R:$R)*$H125/100,0)</f>
        <v>0</v>
      </c>
      <c r="AB125" s="16">
        <f ca="1">IFERROR(_xlfn.XLOOKUP($F125,'FCDB 2017 (full)'!$C:$C,'FCDB 2017 (full)'!$S:$S)*$H125/100,0)</f>
        <v>0</v>
      </c>
      <c r="AC125" s="16">
        <f ca="1">IFERROR(_xlfn.XLOOKUP($F125,'FCDB 2017 (full)'!$C:$C,'FCDB 2017 (full)'!$T:$T)*$H125/100,0)</f>
        <v>0</v>
      </c>
      <c r="AD125" s="16">
        <f ca="1">IFERROR(_xlfn.XLOOKUP($F125,'FCDB 2017 (full)'!$C:$C,'FCDB 2017 (full)'!$U:$U)*$H125/100,0)</f>
        <v>0</v>
      </c>
      <c r="AE125" s="16">
        <f ca="1">IFERROR(_xlfn.XLOOKUP($F125,'FCDB 2017 (full)'!$C:$C,'FCDB 2017 (full)'!$V:$V)*$H125/100,0)</f>
        <v>0</v>
      </c>
      <c r="AF125" s="16">
        <f ca="1">IFERROR(_xlfn.XLOOKUP($F125,'FCDB 2017 (full)'!$C:$C,'FCDB 2017 (full)'!$W:$W)*$H125/100,0)</f>
        <v>0</v>
      </c>
      <c r="AG125" s="16">
        <f ca="1">IFERROR(_xlfn.XLOOKUP($F125,'FCDB 2017 (full)'!$C:$C,'FCDB 2017 (full)'!$X:$X)*$H125/100,0)</f>
        <v>0</v>
      </c>
      <c r="AH125" s="16">
        <f ca="1">IFERROR(_xlfn.XLOOKUP($F125,'FCDB 2017 (full)'!$C:$C,'FCDB 2017 (full)'!$Y:$Y)*$H125/100,0)</f>
        <v>0</v>
      </c>
      <c r="AI125" s="16">
        <f ca="1">IFERROR(_xlfn.XLOOKUP($F125,'FCDB 2017 (full)'!$C:$C,'FCDB 2017 (full)'!$Z:$Z)*$H125/100,0)</f>
        <v>0</v>
      </c>
      <c r="AJ125" s="16">
        <f ca="1">IFERROR(_xlfn.XLOOKUP($F125,'FCDB 2017 (full)'!$C:$C,'FCDB 2017 (full)'!$AA:$AA)*$H125/100,0)</f>
        <v>0</v>
      </c>
      <c r="AK125" s="16">
        <f ca="1">IFERROR(_xlfn.XLOOKUP($F125,'FCDB 2017 (full)'!$C:$C,'FCDB 2017 (full)'!$AB:$AB)*$H125/100,0)</f>
        <v>0</v>
      </c>
      <c r="AL125" s="16">
        <f ca="1">IFERROR(_xlfn.XLOOKUP($F125,'FCDB 2017 (full)'!$C:$C,'FCDB 2017 (full)'!$AC:$AC)*$H125/100,0)</f>
        <v>0</v>
      </c>
      <c r="AM125" s="16">
        <f ca="1">IFERROR(_xlfn.XLOOKUP($F125,'FCDB 2017 (full)'!$C:$C,'FCDB 2017 (full)'!$AD:$AD)*$H125/100,0)</f>
        <v>0</v>
      </c>
      <c r="AN125" s="16">
        <f ca="1">IFERROR(_xlfn.XLOOKUP($F125,'FCDB 2017 (full)'!$C:$C,'FCDB 2017 (full)'!$AE:$AE)*$H125/100,0)</f>
        <v>0</v>
      </c>
      <c r="AO125" s="16">
        <f ca="1">IFERROR(_xlfn.XLOOKUP($F125,'FCDB 2017 (full)'!$C:$C,'FCDB 2017 (full)'!$AF:$AF)*$H125/100,0)</f>
        <v>0</v>
      </c>
      <c r="AP125" s="16">
        <f ca="1">IFERROR(_xlfn.XLOOKUP($F125,'FCDB 2017 (full)'!$C:$C,'FCDB 2017 (full)'!$AG:$AG)*$H125/100,0)</f>
        <v>0</v>
      </c>
      <c r="AQ125" s="16">
        <f ca="1">IFERROR(_xlfn.XLOOKUP($F125,'FCDB 2017 (full)'!$C:$C,'FCDB 2017 (full)'!$AH:$AH)*$H125/100,0)</f>
        <v>0</v>
      </c>
      <c r="AR125" s="16">
        <f ca="1">IFERROR(_xlfn.XLOOKUP($F125,'FCDB 2017 (full)'!$C:$C,'FCDB 2017 (full)'!$AI:$AI)*$H125/100,0)</f>
        <v>0</v>
      </c>
      <c r="AS125" s="16">
        <f ca="1">IFERROR(_xlfn.XLOOKUP($F125,'FCDB 2017 (full)'!$C:$C,'FCDB 2017 (full)'!$AJ:$AJ)*$H125/100,0)</f>
        <v>0</v>
      </c>
      <c r="AT125" s="16">
        <f ca="1">IFERROR(_xlfn.XLOOKUP($F125,'FCDB 2017 (full)'!$C:$C,'FCDB 2017 (full)'!$AK:$AK)*$H125/100,0)</f>
        <v>0</v>
      </c>
      <c r="AU125" s="16">
        <f ca="1">IFERROR(_xlfn.XLOOKUP($F125,'FCDB 2017 (full)'!$C:$C,'FCDB 2017 (full)'!$AK:$AK)*$H125/100,0)</f>
        <v>0</v>
      </c>
      <c r="AV125" s="16">
        <f ca="1">IFERROR(_xlfn.XLOOKUP($F125,'FCDB 2017 (full)'!$C:$C,'FCDB 2017 (full)'!$AM:$AM)*$H125/100,0)</f>
        <v>0</v>
      </c>
      <c r="AW125" s="16">
        <f ca="1">IFERROR(_xlfn.XLOOKUP($F125,'FCDB 2017 (full)'!$C:$C,'FCDB 2017 (full)'!$AN:$AN)*$H125/100,0)</f>
        <v>0</v>
      </c>
      <c r="AX125" s="16">
        <f ca="1">IFERROR(_xlfn.XLOOKUP($F125,'FCDB 2017 (full)'!$C:$C,'FCDB 2017 (full)'!$AO:$AO)*$H125/100,0)</f>
        <v>0</v>
      </c>
      <c r="AY125" s="16">
        <f ca="1">IFERROR(_xlfn.XLOOKUP($F125,'FCDB 2017 (full)'!$C:$C,'FCDB 2017 (full)'!$AP:$AP)*$H125/100,0)</f>
        <v>0</v>
      </c>
      <c r="AZ125" s="16">
        <f ca="1">IFERROR(_xlfn.XLOOKUP($F125,'FCDB 2017 (full)'!$C:$C,'FCDB 2017 (full)'!$AQ:$AQ)*$H125/100,0)</f>
        <v>0</v>
      </c>
      <c r="BA125" s="16">
        <f ca="1">IFERROR(_xlfn.XLOOKUP($F125,'FCDB 2017 (full)'!$C:$C,'FCDB 2017 (full)'!$AR:$AR)*$H125/100,0)</f>
        <v>0</v>
      </c>
      <c r="BB125" s="16">
        <f ca="1">IFERROR(_xlfn.XLOOKUP($F125,'FCDB 2017 (full)'!$C:$C,'FCDB 2017 (full)'!$AS:$AS)*$H125/100,0)</f>
        <v>0</v>
      </c>
      <c r="BC125" s="16">
        <f ca="1">IFERROR(_xlfn.XLOOKUP($F125,'FCDB 2017 (full)'!$C:$C,'FCDB 2017 (full)'!$AT:$AT)*$H125/100,0)</f>
        <v>0</v>
      </c>
      <c r="BD125" s="16">
        <f ca="1">IFERROR(_xlfn.XLOOKUP($F125,'FCDB 2017 (full)'!$C:$C,'FCDB 2017 (full)'!$AU:$AU)*$H125/100,0)</f>
        <v>0</v>
      </c>
      <c r="BE125" s="16">
        <f ca="1">IFERROR(_xlfn.XLOOKUP($F125,'FCDB 2017 (full)'!$C:$C,'FCDB 2017 (full)'!$AV:$AV)*$H125/100,0)</f>
        <v>0</v>
      </c>
      <c r="BF125" s="16">
        <f ca="1">IFERROR(_xlfn.XLOOKUP($F125,'FCDB 2017 (full)'!$C:$C,'FCDB 2017 (full)'!$AW:$AW)*$H125/100,0)</f>
        <v>0</v>
      </c>
      <c r="BG125" s="16">
        <f ca="1">IFERROR(_xlfn.XLOOKUP($F125,'FCDB 2017 (full)'!$C:$C,'FCDB 2017 (full)'!$AX:$AX)*$H125/100,0)</f>
        <v>0</v>
      </c>
      <c r="BH125" s="16">
        <f ca="1">IFERROR(_xlfn.XLOOKUP($F125,'FCDB 2017 (full)'!$C:$C,'FCDB 2017 (full)'!$AY:$AY)*$H125/100,0)</f>
        <v>0</v>
      </c>
      <c r="BI125" s="16">
        <f ca="1">IFERROR(_xlfn.XLOOKUP($F125,'FCDB 2017 (full)'!$C:$C,'FCDB 2017 (full)'!$AZ:$AZ)*$H125/100,0)</f>
        <v>0</v>
      </c>
      <c r="BJ125" s="16">
        <f ca="1">IFERROR(_xlfn.XLOOKUP($F125,'FCDB 2017 (full)'!$C:$C,'FCDB 2017 (full)'!$BA:$BA)*$H125/100,0)</f>
        <v>0</v>
      </c>
      <c r="BK125" s="16">
        <f ca="1">IFERROR(_xlfn.XLOOKUP($F125,'FCDB 2017 (full)'!$C:$C,'FCDB 2017 (full)'!$BB:$BB)*$H125/100,0)</f>
        <v>0</v>
      </c>
      <c r="BL125" s="16">
        <f ca="1">IFERROR(_xlfn.XLOOKUP($F125,'FCDB 2017 (full)'!$C:$C,'FCDB 2017 (full)'!$BC:$BC)*$H125/100,0)</f>
        <v>0</v>
      </c>
      <c r="BM125" s="16">
        <f ca="1">IFERROR(_xlfn.XLOOKUP($F125,'FCDB 2017 (full)'!$C:$C,'FCDB 2017 (full)'!$BD:$BD)*$H125/100,0)</f>
        <v>0</v>
      </c>
      <c r="BN125" s="16">
        <f ca="1">IFERROR(_xlfn.XLOOKUP($F125,'FCDB 2017 (full)'!$C:$C,'FCDB 2017 (full)'!$BE:$BE)*$H125/100,0)</f>
        <v>0</v>
      </c>
      <c r="BO125" s="16">
        <f ca="1">IFERROR(_xlfn.XLOOKUP($F125,'FCDB 2017 (full)'!$C:$C,'FCDB 2017 (full)'!$BF:$BF)*$H125/100,0)</f>
        <v>0</v>
      </c>
      <c r="BP125" s="16">
        <f ca="1">IFERROR(_xlfn.XLOOKUP($F125,'FCDB 2017 (full)'!$C:$C,'FCDB 2017 (full)'!$BG:$BG)*$H125/100,0)</f>
        <v>0</v>
      </c>
      <c r="BQ125" s="16">
        <f ca="1">IFERROR(_xlfn.XLOOKUP($F125,'FCDB 2017 (full)'!$C:$C,'FCDB 2017 (full)'!$BH:$BH)*$H125/100,0)</f>
        <v>0</v>
      </c>
      <c r="BR125" s="16">
        <f ca="1">IFERROR(_xlfn.XLOOKUP($F125,'FCDB 2017 (full)'!$C:$C,'FCDB 2017 (full)'!$BI:$BI)*$H125/100,0)</f>
        <v>0</v>
      </c>
      <c r="BS125" s="16">
        <f ca="1">IFERROR(_xlfn.XLOOKUP($F125,'FCDB 2017 (full)'!$C:$C,'FCDB 2017 (full)'!$BJ:$BJ)*$H125/100,0)</f>
        <v>0</v>
      </c>
      <c r="BT125" s="16">
        <f ca="1">IFERROR(_xlfn.XLOOKUP($F125,'FCDB 2017 (full)'!$C:$C,'FCDB 2017 (full)'!$BK:$BK)*$H125/100,0)</f>
        <v>0</v>
      </c>
      <c r="BU125" s="16">
        <f ca="1">IFERROR(_xlfn.XLOOKUP($F125,'FCDB 2017 (full)'!$C:$C,'FCDB 2017 (full)'!$BL:$BL)*$H125/100,0)</f>
        <v>0</v>
      </c>
      <c r="BV125" s="16">
        <f ca="1">IFERROR(_xlfn.XLOOKUP($F125,'FCDB 2017 (full)'!$C:$C,'FCDB 2017 (full)'!$BM:$BM)*$H125/100,0)</f>
        <v>0</v>
      </c>
      <c r="BW125" s="16">
        <f ca="1">IFERROR(_xlfn.XLOOKUP($F125,'FCDB 2017 (full)'!$C:$C,'FCDB 2017 (full)'!$BN:$BN)*$H125/100,0)</f>
        <v>0</v>
      </c>
      <c r="BX125" s="16">
        <f ca="1">IFERROR(_xlfn.XLOOKUP($F125,'FCDB 2017 (full)'!$C:$C,'FCDB 2017 (full)'!$BO:$BO)*$H125/100,0)</f>
        <v>0</v>
      </c>
      <c r="BY125" s="16">
        <f ca="1">IFERROR(_xlfn.XLOOKUP($F125,'FCDB 2017 (full)'!$C:$C,'FCDB 2017 (full)'!$BP:$BP)*$H125/100,0)</f>
        <v>0</v>
      </c>
      <c r="BZ125" s="16">
        <f ca="1">IFERROR(_xlfn.XLOOKUP($F125,'FCDB 2017 (full)'!$C:$C,'FCDB 2017 (full)'!$BQ:$BQ)*$H125/100,0)</f>
        <v>0</v>
      </c>
      <c r="CA125" s="16">
        <f ca="1">IFERROR(_xlfn.XLOOKUP($F125,'FCDB 2017 (full)'!$C:$C,'FCDB 2017 (full)'!$BR:$BR)*$H125/100,0)</f>
        <v>0</v>
      </c>
      <c r="CB125" s="16">
        <f ca="1">IFERROR(_xlfn.XLOOKUP($F125,'FCDB 2017 (full)'!$C:$C,'FCDB 2017 (full)'!$BS:$BS)*$H125/100,0)</f>
        <v>0</v>
      </c>
      <c r="CC125" s="16">
        <f ca="1">IFERROR(_xlfn.XLOOKUP($F125,'FCDB 2017 (full)'!$C:$C,'FCDB 2017 (full)'!$BT:$BT)*$H125/100,0)</f>
        <v>0</v>
      </c>
      <c r="CD125" s="16">
        <f ca="1">IFERROR(_xlfn.XLOOKUP($F125,'FCDB 2017 (full)'!$C:$C,'FCDB 2017 (full)'!$BU:$BU)*$H125/100,0)</f>
        <v>0</v>
      </c>
      <c r="CE125" s="16">
        <f ca="1">IFERROR(_xlfn.XLOOKUP($F125,'FCDB 2017 (full)'!$C:$C,'FCDB 2017 (full)'!$BV:$BV)*$H125/100,0)</f>
        <v>0</v>
      </c>
      <c r="CF125" s="16">
        <f ca="1">IFERROR(_xlfn.XLOOKUP($F125,'FCDB 2017 (full)'!$C:$C,'FCDB 2017 (full)'!$BW:$BW)*$H125/100,0)</f>
        <v>0</v>
      </c>
      <c r="CG125" s="16">
        <f ca="1">IFERROR(_xlfn.XLOOKUP($F125,'FCDB 2017 (full)'!$C:$C,'FCDB 2017 (full)'!$BX:$BX)*$H125/100,0)</f>
        <v>0</v>
      </c>
      <c r="CH125" s="16">
        <f ca="1">IFERROR(_xlfn.XLOOKUP($F125,'FCDB 2017 (full)'!$C:$C,'FCDB 2017 (full)'!$BY:$BY)*$H125/100,0)</f>
        <v>0</v>
      </c>
      <c r="CI125" s="16">
        <f ca="1">IFERROR(_xlfn.XLOOKUP($F125,'FCDB 2017 (full)'!$C:$C,'FCDB 2017 (full)'!$BZ:$BZ)*$H125/100,0)</f>
        <v>0</v>
      </c>
      <c r="CJ125" s="16">
        <f ca="1">IFERROR(_xlfn.XLOOKUP($F125,'FCDB 2017 (full)'!$C:$C,'FCDB 2017 (full)'!$CA:$CA)*$H125/100,0)</f>
        <v>0</v>
      </c>
      <c r="CK125" s="16">
        <f ca="1">IFERROR(_xlfn.XLOOKUP($F125,'FCDB 2017 (full)'!$C:$C,'FCDB 2017 (full)'!$CB:$CB)*$H125/100,0)</f>
        <v>0</v>
      </c>
      <c r="CL125" s="16">
        <f ca="1">IFERROR(_xlfn.XLOOKUP($F125,'FCDB 2017 (full)'!$C:$C,'FCDB 2017 (full)'!$CC:$CC)*$H125/100,0)</f>
        <v>0</v>
      </c>
      <c r="CM125" s="16">
        <f ca="1">IFERROR(_xlfn.XLOOKUP($F125,'FCDB 2017 (full)'!$C:$C,'FCDB 2017 (full)'!$CD:$CD)*$H125/100,0)</f>
        <v>0</v>
      </c>
      <c r="CN125" s="16">
        <f ca="1">IFERROR(_xlfn.XLOOKUP($F125,'FCDB 2017 (full)'!$C:$C,'FCDB 2017 (full)'!$CE:$CE)*$H125/100,0)</f>
        <v>0</v>
      </c>
      <c r="CO125" s="16">
        <f ca="1">IFERROR(_xlfn.XLOOKUP($F125,'FCDB 2017 (full)'!$C:$C,'FCDB 2017 (full)'!$CF:$CF)*$H125/100,0)</f>
        <v>0</v>
      </c>
      <c r="CP125" s="16">
        <f ca="1">IFERROR(_xlfn.XLOOKUP($F125,'FCDB 2017 (full)'!$C:$C,'FCDB 2017 (full)'!$CG:$CG)*$H125/100,0)</f>
        <v>0</v>
      </c>
      <c r="CQ125" s="16">
        <f ca="1">IFERROR(_xlfn.XLOOKUP($F125,'FCDB 2017 (full)'!$C:$C,'FCDB 2017 (full)'!$CH:$CH)*$H125/100,0)</f>
        <v>0</v>
      </c>
      <c r="CR125" s="29"/>
      <c r="DA125" s="72" t="s">
        <v>982</v>
      </c>
    </row>
    <row r="126" spans="4:105" ht="27.6">
      <c r="D126" s="29"/>
      <c r="E126" s="29"/>
      <c r="F126" s="351" t="s">
        <v>972</v>
      </c>
      <c r="G126" s="351"/>
      <c r="H126" s="351"/>
      <c r="I126" s="18" t="s">
        <v>973</v>
      </c>
      <c r="J126" s="346">
        <f ca="1">SUM(J103:J125)</f>
        <v>0</v>
      </c>
      <c r="K126" s="30"/>
      <c r="L126" s="31" t="e">
        <f ca="1">SUM(L103:L125)</f>
        <v>#NAME?</v>
      </c>
      <c r="M126" s="31" t="e">
        <f ca="1">SUM(M103:M125)</f>
        <v>#NAME?</v>
      </c>
      <c r="N126" s="30"/>
      <c r="O126" s="32" t="e">
        <f ca="1">SUM(O103:O125)</f>
        <v>#NAME?</v>
      </c>
      <c r="P126" s="32" t="e">
        <f ca="1">SUM(P103:P125)</f>
        <v>#NAME?</v>
      </c>
      <c r="Q126" s="30"/>
      <c r="R126" s="349">
        <f ca="1">SUM(R103:R125)</f>
        <v>0</v>
      </c>
      <c r="S126" s="38">
        <f t="shared" ref="S126:CC126" ca="1" si="27">SUM(S103:S125)</f>
        <v>0</v>
      </c>
      <c r="T126" s="38">
        <f t="shared" ca="1" si="27"/>
        <v>0</v>
      </c>
      <c r="U126" s="38">
        <f t="shared" ca="1" si="27"/>
        <v>0</v>
      </c>
      <c r="V126" s="38">
        <f t="shared" ca="1" si="27"/>
        <v>0</v>
      </c>
      <c r="W126" s="38">
        <f t="shared" ca="1" si="27"/>
        <v>0</v>
      </c>
      <c r="X126" s="38">
        <f t="shared" ca="1" si="27"/>
        <v>0</v>
      </c>
      <c r="Y126" s="38">
        <f t="shared" ca="1" si="27"/>
        <v>0</v>
      </c>
      <c r="Z126" s="38">
        <f t="shared" ca="1" si="27"/>
        <v>0</v>
      </c>
      <c r="AA126" s="38">
        <f t="shared" ca="1" si="27"/>
        <v>0</v>
      </c>
      <c r="AB126" s="38">
        <f t="shared" ca="1" si="27"/>
        <v>0</v>
      </c>
      <c r="AC126" s="38">
        <f t="shared" ca="1" si="27"/>
        <v>0</v>
      </c>
      <c r="AD126" s="38">
        <f t="shared" ca="1" si="27"/>
        <v>0</v>
      </c>
      <c r="AE126" s="38">
        <f t="shared" ca="1" si="27"/>
        <v>0</v>
      </c>
      <c r="AF126" s="70">
        <f t="shared" ca="1" si="27"/>
        <v>0</v>
      </c>
      <c r="AG126" s="70">
        <f t="shared" ca="1" si="27"/>
        <v>0</v>
      </c>
      <c r="AH126" s="70">
        <f t="shared" ca="1" si="27"/>
        <v>0</v>
      </c>
      <c r="AI126" s="70">
        <f t="shared" ca="1" si="27"/>
        <v>0</v>
      </c>
      <c r="AJ126" s="70">
        <f t="shared" ca="1" si="27"/>
        <v>0</v>
      </c>
      <c r="AK126" s="70">
        <f t="shared" ca="1" si="27"/>
        <v>0</v>
      </c>
      <c r="AL126" s="70">
        <f t="shared" ca="1" si="27"/>
        <v>0</v>
      </c>
      <c r="AM126" s="70">
        <f t="shared" ca="1" si="27"/>
        <v>0</v>
      </c>
      <c r="AN126" s="70">
        <f t="shared" ca="1" si="27"/>
        <v>0</v>
      </c>
      <c r="AO126" s="70">
        <f t="shared" ca="1" si="27"/>
        <v>0</v>
      </c>
      <c r="AP126" s="70">
        <f t="shared" ca="1" si="27"/>
        <v>0</v>
      </c>
      <c r="AQ126" s="70">
        <f t="shared" ca="1" si="27"/>
        <v>0</v>
      </c>
      <c r="AR126" s="70">
        <f t="shared" ca="1" si="27"/>
        <v>0</v>
      </c>
      <c r="AS126" s="70">
        <f t="shared" ca="1" si="27"/>
        <v>0</v>
      </c>
      <c r="AT126" s="70">
        <f t="shared" ca="1" si="27"/>
        <v>0</v>
      </c>
      <c r="AU126" s="70">
        <f t="shared" ca="1" si="27"/>
        <v>0</v>
      </c>
      <c r="AV126" s="70">
        <f t="shared" ca="1" si="27"/>
        <v>0</v>
      </c>
      <c r="AW126" s="70">
        <f t="shared" ca="1" si="27"/>
        <v>0</v>
      </c>
      <c r="AX126" s="70">
        <f t="shared" ca="1" si="27"/>
        <v>0</v>
      </c>
      <c r="AY126" s="70">
        <f t="shared" ca="1" si="27"/>
        <v>0</v>
      </c>
      <c r="AZ126" s="70">
        <f t="shared" ca="1" si="27"/>
        <v>0</v>
      </c>
      <c r="BA126" s="70">
        <f t="shared" ca="1" si="27"/>
        <v>0</v>
      </c>
      <c r="BB126" s="70">
        <f t="shared" ca="1" si="27"/>
        <v>0</v>
      </c>
      <c r="BC126" s="70">
        <f t="shared" ca="1" si="27"/>
        <v>0</v>
      </c>
      <c r="BD126" s="70">
        <f t="shared" ca="1" si="27"/>
        <v>0</v>
      </c>
      <c r="BE126" s="70">
        <f t="shared" ca="1" si="27"/>
        <v>0</v>
      </c>
      <c r="BF126" s="70">
        <f t="shared" ca="1" si="27"/>
        <v>0</v>
      </c>
      <c r="BG126" s="70">
        <f t="shared" ca="1" si="27"/>
        <v>0</v>
      </c>
      <c r="BH126" s="70">
        <f t="shared" ca="1" si="27"/>
        <v>0</v>
      </c>
      <c r="BI126" s="70">
        <f t="shared" ca="1" si="27"/>
        <v>0</v>
      </c>
      <c r="BJ126" s="70">
        <f t="shared" ca="1" si="27"/>
        <v>0</v>
      </c>
      <c r="BK126" s="70">
        <f t="shared" ca="1" si="27"/>
        <v>0</v>
      </c>
      <c r="BL126" s="70">
        <f t="shared" ca="1" si="27"/>
        <v>0</v>
      </c>
      <c r="BM126" s="70">
        <f t="shared" ca="1" si="27"/>
        <v>0</v>
      </c>
      <c r="BN126" s="70">
        <f t="shared" ca="1" si="27"/>
        <v>0</v>
      </c>
      <c r="BO126" s="70">
        <f t="shared" ca="1" si="27"/>
        <v>0</v>
      </c>
      <c r="BP126" s="70">
        <f t="shared" ca="1" si="27"/>
        <v>0</v>
      </c>
      <c r="BQ126" s="70">
        <f t="shared" ca="1" si="27"/>
        <v>0</v>
      </c>
      <c r="BR126" s="70">
        <f t="shared" ca="1" si="27"/>
        <v>0</v>
      </c>
      <c r="BS126" s="70">
        <f t="shared" ca="1" si="27"/>
        <v>0</v>
      </c>
      <c r="BT126" s="70">
        <f t="shared" ca="1" si="27"/>
        <v>0</v>
      </c>
      <c r="BU126" s="70">
        <f t="shared" ca="1" si="27"/>
        <v>0</v>
      </c>
      <c r="BV126" s="70">
        <f t="shared" ca="1" si="27"/>
        <v>0</v>
      </c>
      <c r="BW126" s="70">
        <f t="shared" ca="1" si="27"/>
        <v>0</v>
      </c>
      <c r="BX126" s="70">
        <f t="shared" ca="1" si="27"/>
        <v>0</v>
      </c>
      <c r="BY126" s="70">
        <f t="shared" ca="1" si="27"/>
        <v>0</v>
      </c>
      <c r="BZ126" s="70">
        <f t="shared" ca="1" si="27"/>
        <v>0</v>
      </c>
      <c r="CA126" s="70">
        <f t="shared" ca="1" si="27"/>
        <v>0</v>
      </c>
      <c r="CB126" s="70">
        <f t="shared" ca="1" si="27"/>
        <v>0</v>
      </c>
      <c r="CC126" s="70">
        <f t="shared" ca="1" si="27"/>
        <v>0</v>
      </c>
      <c r="CD126" s="70">
        <f t="shared" ref="CD126:CQ126" ca="1" si="28">SUM(CD103:CD125)</f>
        <v>0</v>
      </c>
      <c r="CE126" s="70">
        <f t="shared" ca="1" si="28"/>
        <v>0</v>
      </c>
      <c r="CF126" s="70">
        <f t="shared" ca="1" si="28"/>
        <v>0</v>
      </c>
      <c r="CG126" s="70">
        <f t="shared" ca="1" si="28"/>
        <v>0</v>
      </c>
      <c r="CH126" s="70">
        <f t="shared" ca="1" si="28"/>
        <v>0</v>
      </c>
      <c r="CI126" s="70">
        <f t="shared" ca="1" si="28"/>
        <v>0</v>
      </c>
      <c r="CJ126" s="70">
        <f t="shared" ca="1" si="28"/>
        <v>0</v>
      </c>
      <c r="CK126" s="70">
        <f t="shared" ca="1" si="28"/>
        <v>0</v>
      </c>
      <c r="CL126" s="70">
        <f t="shared" ca="1" si="28"/>
        <v>0</v>
      </c>
      <c r="CM126" s="70">
        <f t="shared" ca="1" si="28"/>
        <v>0</v>
      </c>
      <c r="CN126" s="70">
        <f t="shared" ca="1" si="28"/>
        <v>0</v>
      </c>
      <c r="CO126" s="70">
        <f t="shared" ca="1" si="28"/>
        <v>0</v>
      </c>
      <c r="CP126" s="70">
        <f t="shared" ca="1" si="28"/>
        <v>0</v>
      </c>
      <c r="CQ126" s="70">
        <f t="shared" ca="1" si="28"/>
        <v>0</v>
      </c>
      <c r="CR126" s="29"/>
      <c r="DA126" s="72" t="s">
        <v>982</v>
      </c>
    </row>
    <row r="127" spans="4:105" ht="16.8">
      <c r="D127" s="29"/>
      <c r="E127" s="29"/>
      <c r="F127" s="351"/>
      <c r="G127" s="351"/>
      <c r="H127" s="351"/>
      <c r="I127" s="19"/>
      <c r="J127" s="347"/>
      <c r="K127" s="30"/>
      <c r="L127" s="329" t="e">
        <f ca="1">L126+M126</f>
        <v>#NAME?</v>
      </c>
      <c r="M127" s="330"/>
      <c r="N127" s="30"/>
      <c r="O127" s="331" t="e">
        <f ca="1">O126+P126</f>
        <v>#NAME?</v>
      </c>
      <c r="P127" s="332"/>
      <c r="Q127" s="30"/>
      <c r="R127" s="350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29"/>
      <c r="DA127" s="72" t="s">
        <v>982</v>
      </c>
    </row>
    <row r="128" spans="4:105" ht="15.6">
      <c r="D128" s="29"/>
      <c r="E128" s="29"/>
      <c r="F128" s="342" t="s">
        <v>984</v>
      </c>
      <c r="G128" s="23">
        <v>0.95</v>
      </c>
      <c r="H128" s="24" t="s">
        <v>975</v>
      </c>
      <c r="I128" s="19"/>
      <c r="J128" s="22">
        <f t="shared" ref="J128:O128" si="29">J129*0.95</f>
        <v>578.54999999999995</v>
      </c>
      <c r="K128" s="12"/>
      <c r="L128" s="333">
        <f t="shared" si="29"/>
        <v>28.927499999999998</v>
      </c>
      <c r="M128" s="334"/>
      <c r="N128" s="12"/>
      <c r="O128" s="333">
        <f t="shared" si="29"/>
        <v>16.070833333333301</v>
      </c>
      <c r="P128" s="334"/>
      <c r="Q128" s="12"/>
      <c r="R128" s="22">
        <f>R129*0.95</f>
        <v>79.550624999999997</v>
      </c>
      <c r="S128" s="40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29"/>
      <c r="DA128" s="72" t="s">
        <v>982</v>
      </c>
    </row>
    <row r="129" spans="4:105" ht="15.6">
      <c r="D129" s="29"/>
      <c r="E129" s="29"/>
      <c r="F129" s="341"/>
      <c r="G129" s="23">
        <v>1</v>
      </c>
      <c r="H129" s="24" t="s">
        <v>976</v>
      </c>
      <c r="I129" s="25"/>
      <c r="J129" s="26">
        <f>'Năng lượng_2024'!G61</f>
        <v>609</v>
      </c>
      <c r="K129" s="33"/>
      <c r="L129" s="335">
        <f>'Năng lượng_2024'!G54</f>
        <v>30.45</v>
      </c>
      <c r="M129" s="336"/>
      <c r="N129" s="26"/>
      <c r="O129" s="335">
        <f>'Năng lượng_2024'!G57</f>
        <v>16.9166666666667</v>
      </c>
      <c r="P129" s="336"/>
      <c r="Q129" s="26"/>
      <c r="R129" s="26">
        <f>'Năng lượng_2024'!G60</f>
        <v>83.737499999999997</v>
      </c>
      <c r="S129" s="40"/>
      <c r="T129" s="29"/>
      <c r="U129" s="29"/>
      <c r="V129" s="29"/>
      <c r="X129" s="29"/>
      <c r="Y129" s="29"/>
      <c r="Z129" s="29"/>
      <c r="AA129" s="29"/>
      <c r="AB129" s="29"/>
      <c r="AC129" s="29"/>
      <c r="AD129" s="29"/>
      <c r="AE129" s="29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29"/>
      <c r="DA129" s="72" t="s">
        <v>982</v>
      </c>
    </row>
    <row r="130" spans="4:105">
      <c r="D130" s="29"/>
      <c r="F130" s="337" t="s">
        <v>977</v>
      </c>
      <c r="G130" s="337"/>
      <c r="H130" s="337"/>
      <c r="J130" s="27" t="str">
        <f ca="1">IF(AND(J126&gt;=J128,J126&lt;=J129),"Đạt","Không Đạt")</f>
        <v>Không Đạt</v>
      </c>
      <c r="K130" s="27"/>
      <c r="L130" s="337" t="e">
        <f ca="1">IF(AND(L127&gt;=L128,L127&lt;=L129),"Đạt","Không Đạt")</f>
        <v>#NAME?</v>
      </c>
      <c r="M130" s="337"/>
      <c r="N130" s="27"/>
      <c r="O130" s="337" t="e">
        <f ca="1">IF(AND(O127&gt;=O128,O127&lt;=O129),"Đạt","Không Đạt")</f>
        <v>#NAME?</v>
      </c>
      <c r="P130" s="337"/>
      <c r="Q130" s="27"/>
      <c r="R130" s="27" t="str">
        <f ca="1">IF(AND(R126&gt;=R128,R126&lt;=R129),"Đạt","Không Đạt")</f>
        <v>Không Đạt</v>
      </c>
      <c r="X130" s="29"/>
      <c r="Y130" s="29"/>
      <c r="Z130" s="29"/>
      <c r="AA130" s="29"/>
      <c r="AB130" s="29"/>
      <c r="AC130" s="29"/>
      <c r="AD130" s="29"/>
      <c r="AE130" s="29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29"/>
      <c r="DA130" s="72" t="s">
        <v>982</v>
      </c>
    </row>
    <row r="131" spans="4:105">
      <c r="D131" s="29"/>
      <c r="J131" s="29"/>
      <c r="K131" s="29"/>
      <c r="L131" s="64" t="e">
        <f ca="1">L129-L127</f>
        <v>#NAME?</v>
      </c>
      <c r="M131" s="65"/>
      <c r="N131" s="65"/>
      <c r="O131" s="64" t="e">
        <f ca="1">O129-O127</f>
        <v>#NAME?</v>
      </c>
      <c r="P131" s="65"/>
      <c r="Q131" s="65"/>
      <c r="R131" s="64">
        <f ca="1">R129-R126</f>
        <v>83.737499999999997</v>
      </c>
      <c r="X131" s="29"/>
      <c r="Y131" s="29"/>
      <c r="Z131" s="29"/>
      <c r="AA131" s="29"/>
      <c r="AB131" s="29"/>
      <c r="AC131" s="29"/>
      <c r="AD131" s="29"/>
      <c r="AE131" s="29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29"/>
      <c r="DA131" s="72" t="s">
        <v>982</v>
      </c>
    </row>
    <row r="132" spans="4:105">
      <c r="L132" s="66" t="s">
        <v>978</v>
      </c>
      <c r="M132" s="35">
        <f ca="1">IFERROR(L126/L127,0)</f>
        <v>0</v>
      </c>
      <c r="N132" s="36"/>
      <c r="O132" s="27" t="str">
        <f ca="1">IF(M132&gt;35%,"Thừa",IF(M132&gt;=30%,"Đạt","Thiếu"))</f>
        <v>Thiếu</v>
      </c>
      <c r="DA132" s="72" t="s">
        <v>982</v>
      </c>
    </row>
    <row r="133" spans="4:105">
      <c r="L133" s="66" t="s">
        <v>979</v>
      </c>
      <c r="M133" s="35">
        <f ca="1">IFERROR(O126/O127,0)</f>
        <v>0</v>
      </c>
      <c r="N133" s="36"/>
      <c r="O133" s="27" t="str">
        <f ca="1">IF(M133&gt;60%,"Thừa",IF(M133&gt;=50%,"Đạt","Thiếu"))</f>
        <v>Thiếu</v>
      </c>
      <c r="DA133" s="72" t="s">
        <v>982</v>
      </c>
    </row>
    <row r="134" spans="4:105">
      <c r="DA134" s="72"/>
    </row>
    <row r="135" spans="4:105">
      <c r="L135" s="338" t="e">
        <f ca="1">L127*4/J126</f>
        <v>#NAME?</v>
      </c>
      <c r="M135" s="339"/>
      <c r="N135" s="23"/>
      <c r="O135" s="338" t="e">
        <f ca="1">O127*9/J126</f>
        <v>#NAME?</v>
      </c>
      <c r="P135" s="339"/>
      <c r="Q135" s="23"/>
      <c r="R135" s="23" t="e">
        <f ca="1">R126*4/J126</f>
        <v>#DIV/0!</v>
      </c>
      <c r="S135" s="68" t="e">
        <f ca="1">L135+O135+R135</f>
        <v>#NAME?</v>
      </c>
      <c r="DA135" s="72"/>
    </row>
    <row r="136" spans="4:105">
      <c r="DA136" s="72"/>
    </row>
    <row r="137" spans="4:105" ht="17.399999999999999">
      <c r="D137" s="51"/>
      <c r="E137" s="319" t="s">
        <v>934</v>
      </c>
      <c r="F137" s="320"/>
      <c r="G137" s="320"/>
      <c r="H137" s="320"/>
      <c r="I137" s="53"/>
      <c r="J137" s="321" t="s">
        <v>935</v>
      </c>
      <c r="K137" s="322"/>
      <c r="L137" s="322"/>
      <c r="M137" s="322"/>
      <c r="N137" s="322"/>
      <c r="O137" s="322"/>
      <c r="P137" s="319"/>
      <c r="Q137" s="67"/>
      <c r="R137" s="321" t="s">
        <v>936</v>
      </c>
      <c r="S137" s="322"/>
      <c r="T137" s="319"/>
      <c r="U137" s="321" t="s">
        <v>937</v>
      </c>
      <c r="V137" s="322"/>
      <c r="W137" s="322"/>
      <c r="X137" s="319"/>
      <c r="Y137" s="321" t="s">
        <v>938</v>
      </c>
      <c r="Z137" s="319"/>
      <c r="AA137" s="323" t="s">
        <v>939</v>
      </c>
      <c r="AB137" s="323"/>
      <c r="AC137" s="324" t="s">
        <v>940</v>
      </c>
      <c r="AD137" s="325"/>
      <c r="AE137" s="326"/>
      <c r="DA137" s="72"/>
    </row>
    <row r="138" spans="4:105" ht="20.399999999999999">
      <c r="D138" s="54" t="s">
        <v>941</v>
      </c>
      <c r="E138" s="52" t="s">
        <v>942</v>
      </c>
      <c r="F138" s="53" t="s">
        <v>943</v>
      </c>
      <c r="G138" s="53" t="s">
        <v>944</v>
      </c>
      <c r="H138" s="53" t="s">
        <v>945</v>
      </c>
      <c r="J138" s="53" t="s">
        <v>942</v>
      </c>
      <c r="L138" s="53" t="s">
        <v>943</v>
      </c>
      <c r="M138" s="53" t="s">
        <v>944</v>
      </c>
      <c r="O138" s="53" t="s">
        <v>945</v>
      </c>
      <c r="P138" s="53" t="s">
        <v>946</v>
      </c>
      <c r="R138" s="53" t="s">
        <v>942</v>
      </c>
      <c r="S138" s="53" t="s">
        <v>943</v>
      </c>
      <c r="T138" s="53" t="s">
        <v>944</v>
      </c>
      <c r="U138" s="53" t="s">
        <v>942</v>
      </c>
      <c r="V138" s="53" t="s">
        <v>943</v>
      </c>
      <c r="W138" s="53" t="s">
        <v>944</v>
      </c>
      <c r="X138" s="53" t="s">
        <v>945</v>
      </c>
      <c r="Y138" s="69" t="s">
        <v>942</v>
      </c>
      <c r="Z138" s="69" t="s">
        <v>943</v>
      </c>
      <c r="AA138" s="53" t="s">
        <v>942</v>
      </c>
      <c r="AB138" s="53" t="s">
        <v>943</v>
      </c>
      <c r="AC138" s="69" t="s">
        <v>942</v>
      </c>
      <c r="AD138" s="69" t="s">
        <v>943</v>
      </c>
      <c r="AE138" s="69" t="s">
        <v>944</v>
      </c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28"/>
      <c r="DA138" s="72"/>
    </row>
    <row r="139" spans="4:105" ht="20.399999999999999">
      <c r="D139" s="55" t="s">
        <v>916</v>
      </c>
      <c r="E139" s="56" t="s">
        <v>203</v>
      </c>
      <c r="F139" s="56"/>
      <c r="G139" s="56"/>
      <c r="H139" s="56"/>
      <c r="J139" s="56"/>
      <c r="L139" s="56"/>
      <c r="M139" s="56"/>
      <c r="O139" s="56"/>
      <c r="P139" s="56"/>
      <c r="R139" s="56"/>
      <c r="S139" s="56"/>
      <c r="T139" s="56"/>
      <c r="U139" s="56" t="s">
        <v>622</v>
      </c>
      <c r="V139" s="56"/>
      <c r="W139" s="56"/>
      <c r="X139" s="56"/>
      <c r="Y139" s="56" t="s">
        <v>470</v>
      </c>
      <c r="Z139" s="56"/>
      <c r="AA139" s="56"/>
      <c r="AB139" s="56"/>
      <c r="AC139" s="56"/>
      <c r="AD139" s="56"/>
      <c r="AE139" s="56"/>
      <c r="DA139" s="73" t="s">
        <v>985</v>
      </c>
    </row>
    <row r="140" spans="4:105" ht="20.399999999999999">
      <c r="D140" s="55" t="s">
        <v>949</v>
      </c>
      <c r="E140" s="57" t="s">
        <v>181</v>
      </c>
      <c r="F140" s="57"/>
      <c r="G140" s="57"/>
      <c r="H140" s="57"/>
      <c r="J140" s="57"/>
      <c r="L140" s="57"/>
      <c r="M140" s="57"/>
      <c r="O140" s="57"/>
      <c r="P140" s="57"/>
      <c r="R140" s="57"/>
      <c r="S140" s="57"/>
      <c r="T140" s="57"/>
      <c r="U140" s="57" t="s">
        <v>468</v>
      </c>
      <c r="V140" s="57"/>
      <c r="W140" s="57"/>
      <c r="X140" s="57"/>
      <c r="Y140" s="57" t="s">
        <v>181</v>
      </c>
      <c r="Z140" s="57"/>
      <c r="AA140" s="57"/>
      <c r="AB140" s="57"/>
      <c r="AC140" s="57"/>
      <c r="AD140" s="57"/>
      <c r="AE140" s="57"/>
      <c r="DA140" s="73" t="s">
        <v>985</v>
      </c>
    </row>
    <row r="141" spans="4:105" ht="20.399999999999999">
      <c r="D141" s="62" t="s">
        <v>950</v>
      </c>
      <c r="E141" s="59">
        <v>68</v>
      </c>
      <c r="F141" s="59"/>
      <c r="G141" s="59"/>
      <c r="H141" s="59"/>
      <c r="J141" s="59"/>
      <c r="L141" s="59"/>
      <c r="M141" s="59"/>
      <c r="O141" s="59"/>
      <c r="P141" s="59"/>
      <c r="R141" s="59"/>
      <c r="S141" s="59"/>
      <c r="T141" s="59"/>
      <c r="U141" s="75">
        <v>10</v>
      </c>
      <c r="V141" s="75"/>
      <c r="W141" s="75"/>
      <c r="X141" s="75"/>
      <c r="Y141" s="75">
        <v>3.7</v>
      </c>
      <c r="Z141" s="59"/>
      <c r="AA141" s="59"/>
      <c r="AB141" s="59"/>
      <c r="AC141" s="59"/>
      <c r="AD141" s="59"/>
      <c r="AE141" s="59"/>
      <c r="DA141" s="73" t="s">
        <v>985</v>
      </c>
    </row>
    <row r="142" spans="4:105"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DA142" s="73" t="s">
        <v>985</v>
      </c>
    </row>
    <row r="143" spans="4:105">
      <c r="DA143" s="73" t="s">
        <v>985</v>
      </c>
    </row>
    <row r="144" spans="4:105" ht="27.6">
      <c r="E144" s="41"/>
      <c r="F144" s="327" t="str">
        <f>D139</f>
        <v>Phụ chiều</v>
      </c>
      <c r="G144" s="327"/>
      <c r="H144" s="343" t="s">
        <v>951</v>
      </c>
      <c r="I144" s="3" t="s">
        <v>952</v>
      </c>
      <c r="J144" s="345" t="s">
        <v>953</v>
      </c>
      <c r="K144" s="3" t="s">
        <v>954</v>
      </c>
      <c r="L144" s="328" t="s">
        <v>955</v>
      </c>
      <c r="M144" s="328"/>
      <c r="N144" s="3" t="s">
        <v>956</v>
      </c>
      <c r="O144" s="328" t="s">
        <v>91</v>
      </c>
      <c r="P144" s="328"/>
      <c r="Q144" s="3" t="s">
        <v>957</v>
      </c>
      <c r="R144" s="348" t="s">
        <v>958</v>
      </c>
      <c r="S144" s="348" t="s">
        <v>959</v>
      </c>
      <c r="T144" s="348" t="s">
        <v>960</v>
      </c>
      <c r="U144" s="348" t="s">
        <v>95</v>
      </c>
      <c r="V144" s="348" t="s">
        <v>961</v>
      </c>
      <c r="W144" s="348" t="s">
        <v>97</v>
      </c>
      <c r="X144" s="348" t="s">
        <v>962</v>
      </c>
      <c r="Y144" s="348" t="s">
        <v>99</v>
      </c>
      <c r="Z144" s="348" t="s">
        <v>100</v>
      </c>
      <c r="AA144" s="348" t="s">
        <v>101</v>
      </c>
      <c r="AB144" s="348" t="s">
        <v>102</v>
      </c>
      <c r="AC144" s="348" t="s">
        <v>103</v>
      </c>
      <c r="AD144" s="348" t="s">
        <v>104</v>
      </c>
      <c r="AE144" s="348" t="s">
        <v>105</v>
      </c>
      <c r="AF144" s="348" t="s">
        <v>963</v>
      </c>
      <c r="AG144" s="348" t="s">
        <v>964</v>
      </c>
      <c r="AH144" s="348" t="s">
        <v>965</v>
      </c>
      <c r="AI144" s="348" t="s">
        <v>966</v>
      </c>
      <c r="AJ144" s="348" t="s">
        <v>110</v>
      </c>
      <c r="AK144" s="348" t="s">
        <v>111</v>
      </c>
      <c r="AL144" s="348" t="s">
        <v>112</v>
      </c>
      <c r="AM144" s="348" t="s">
        <v>967</v>
      </c>
      <c r="AN144" s="348" t="s">
        <v>968</v>
      </c>
      <c r="AO144" s="348" t="s">
        <v>115</v>
      </c>
      <c r="AP144" s="348" t="s">
        <v>116</v>
      </c>
      <c r="AQ144" s="348" t="s">
        <v>117</v>
      </c>
      <c r="AR144" s="348" t="s">
        <v>118</v>
      </c>
      <c r="AS144" s="348" t="s">
        <v>119</v>
      </c>
      <c r="AT144" s="348" t="s">
        <v>120</v>
      </c>
      <c r="AU144" s="348" t="s">
        <v>121</v>
      </c>
      <c r="AV144" s="348" t="s">
        <v>122</v>
      </c>
      <c r="AW144" s="348" t="s">
        <v>123</v>
      </c>
      <c r="AX144" s="348" t="s">
        <v>124</v>
      </c>
      <c r="AY144" s="348" t="s">
        <v>125</v>
      </c>
      <c r="AZ144" s="348" t="s">
        <v>126</v>
      </c>
      <c r="BA144" s="348" t="s">
        <v>969</v>
      </c>
      <c r="BB144" s="348" t="s">
        <v>128</v>
      </c>
      <c r="BC144" s="348" t="s">
        <v>129</v>
      </c>
      <c r="BD144" s="348" t="s">
        <v>130</v>
      </c>
      <c r="BE144" s="348" t="s">
        <v>131</v>
      </c>
      <c r="BF144" s="348" t="s">
        <v>132</v>
      </c>
      <c r="BG144" s="348" t="s">
        <v>133</v>
      </c>
      <c r="BH144" s="348" t="s">
        <v>134</v>
      </c>
      <c r="BI144" s="348" t="s">
        <v>135</v>
      </c>
      <c r="BJ144" s="348" t="s">
        <v>136</v>
      </c>
      <c r="BK144" s="348" t="s">
        <v>137</v>
      </c>
      <c r="BL144" s="348" t="s">
        <v>138</v>
      </c>
      <c r="BM144" s="348" t="s">
        <v>139</v>
      </c>
      <c r="BN144" s="348" t="s">
        <v>140</v>
      </c>
      <c r="BO144" s="348" t="s">
        <v>141</v>
      </c>
      <c r="BP144" s="348" t="s">
        <v>142</v>
      </c>
      <c r="BQ144" s="348" t="s">
        <v>143</v>
      </c>
      <c r="BR144" s="348" t="s">
        <v>144</v>
      </c>
      <c r="BS144" s="348" t="s">
        <v>145</v>
      </c>
      <c r="BT144" s="348" t="s">
        <v>146</v>
      </c>
      <c r="BU144" s="348" t="s">
        <v>147</v>
      </c>
      <c r="BV144" s="348" t="s">
        <v>148</v>
      </c>
      <c r="BW144" s="348" t="s">
        <v>149</v>
      </c>
      <c r="BX144" s="348" t="s">
        <v>150</v>
      </c>
      <c r="BY144" s="348" t="s">
        <v>151</v>
      </c>
      <c r="BZ144" s="348" t="s">
        <v>152</v>
      </c>
      <c r="CA144" s="348" t="s">
        <v>153</v>
      </c>
      <c r="CB144" s="348" t="s">
        <v>154</v>
      </c>
      <c r="CC144" s="348" t="s">
        <v>155</v>
      </c>
      <c r="CD144" s="348" t="s">
        <v>156</v>
      </c>
      <c r="CE144" s="348" t="s">
        <v>157</v>
      </c>
      <c r="CF144" s="348" t="s">
        <v>158</v>
      </c>
      <c r="CG144" s="348" t="s">
        <v>159</v>
      </c>
      <c r="CH144" s="348" t="s">
        <v>160</v>
      </c>
      <c r="CI144" s="348" t="s">
        <v>161</v>
      </c>
      <c r="CJ144" s="348" t="s">
        <v>162</v>
      </c>
      <c r="CK144" s="348" t="s">
        <v>163</v>
      </c>
      <c r="CL144" s="348" t="s">
        <v>164</v>
      </c>
      <c r="CM144" s="348" t="s">
        <v>165</v>
      </c>
      <c r="CN144" s="348" t="s">
        <v>166</v>
      </c>
      <c r="CO144" s="348" t="s">
        <v>167</v>
      </c>
      <c r="CP144" s="348" t="s">
        <v>168</v>
      </c>
      <c r="CQ144" s="348" t="s">
        <v>169</v>
      </c>
      <c r="DA144" s="73" t="s">
        <v>985</v>
      </c>
    </row>
    <row r="145" spans="4:105">
      <c r="E145" s="41"/>
      <c r="F145" s="4" t="s">
        <v>970</v>
      </c>
      <c r="G145" s="4" t="s">
        <v>971</v>
      </c>
      <c r="H145" s="344"/>
      <c r="I145" s="3"/>
      <c r="J145" s="344"/>
      <c r="K145" s="3"/>
      <c r="L145" s="2" t="s">
        <v>468</v>
      </c>
      <c r="M145" s="2" t="s">
        <v>181</v>
      </c>
      <c r="N145" s="3"/>
      <c r="O145" s="2" t="s">
        <v>468</v>
      </c>
      <c r="P145" s="2" t="s">
        <v>181</v>
      </c>
      <c r="Q145" s="3"/>
      <c r="R145" s="348"/>
      <c r="S145" s="348"/>
      <c r="T145" s="348"/>
      <c r="U145" s="348"/>
      <c r="V145" s="348"/>
      <c r="W145" s="348"/>
      <c r="X145" s="348"/>
      <c r="Y145" s="348"/>
      <c r="Z145" s="348"/>
      <c r="AA145" s="348"/>
      <c r="AB145" s="348"/>
      <c r="AC145" s="348"/>
      <c r="AD145" s="348"/>
      <c r="AE145" s="348"/>
      <c r="AF145" s="348"/>
      <c r="AG145" s="348"/>
      <c r="AH145" s="348"/>
      <c r="AI145" s="348"/>
      <c r="AJ145" s="348"/>
      <c r="AK145" s="348"/>
      <c r="AL145" s="348"/>
      <c r="AM145" s="348"/>
      <c r="AN145" s="348"/>
      <c r="AO145" s="348"/>
      <c r="AP145" s="348"/>
      <c r="AQ145" s="348"/>
      <c r="AR145" s="348"/>
      <c r="AS145" s="348"/>
      <c r="AT145" s="348"/>
      <c r="AU145" s="348"/>
      <c r="AV145" s="348"/>
      <c r="AW145" s="348"/>
      <c r="AX145" s="348"/>
      <c r="AY145" s="348"/>
      <c r="AZ145" s="348"/>
      <c r="BA145" s="348"/>
      <c r="BB145" s="348"/>
      <c r="BC145" s="348"/>
      <c r="BD145" s="348"/>
      <c r="BE145" s="348"/>
      <c r="BF145" s="348"/>
      <c r="BG145" s="348"/>
      <c r="BH145" s="348"/>
      <c r="BI145" s="348"/>
      <c r="BJ145" s="348"/>
      <c r="BK145" s="348"/>
      <c r="BL145" s="348"/>
      <c r="BM145" s="348"/>
      <c r="BN145" s="348"/>
      <c r="BO145" s="348"/>
      <c r="BP145" s="348"/>
      <c r="BQ145" s="348"/>
      <c r="BR145" s="348"/>
      <c r="BS145" s="348"/>
      <c r="BT145" s="348"/>
      <c r="BU145" s="348"/>
      <c r="BV145" s="348"/>
      <c r="BW145" s="348"/>
      <c r="BX145" s="348"/>
      <c r="BY145" s="348"/>
      <c r="BZ145" s="348"/>
      <c r="CA145" s="348"/>
      <c r="CB145" s="348"/>
      <c r="CC145" s="348"/>
      <c r="CD145" s="348"/>
      <c r="CE145" s="348"/>
      <c r="CF145" s="348"/>
      <c r="CG145" s="348"/>
      <c r="CH145" s="348"/>
      <c r="CI145" s="348"/>
      <c r="CJ145" s="348"/>
      <c r="CK145" s="348"/>
      <c r="CL145" s="348"/>
      <c r="CM145" s="348"/>
      <c r="CN145" s="348"/>
      <c r="CO145" s="348"/>
      <c r="CP145" s="348"/>
      <c r="CQ145" s="348"/>
      <c r="DA145" s="73" t="s">
        <v>985</v>
      </c>
    </row>
    <row r="146" spans="4:105">
      <c r="E146" s="41"/>
      <c r="F146" s="11" t="str">
        <f>IFERROR(VLOOKUP($D$139,$D:$AE,2,0),0)</f>
        <v>Ngô nếp luộc</v>
      </c>
      <c r="G146" s="7" t="e" cm="1">
        <f t="array" aca="1" ref="G146" ca="1">IF(F146=0,0,IF(_xlfn.XLOOKUP(F146,$E$139:$AE$139,$E$140:$AE$140)=0,"Nhập ĐV/TV",_xlfn.XLOOKUP(F146,$E$139:$AE$139,$E$140:$AE$140)))</f>
        <v>#NAME?</v>
      </c>
      <c r="H146" s="8" cm="1">
        <f t="array" ref="H146">IFERROR(INDEX($E$141:$AE$141,MATCH(F146,$E$139:$AE$139,0)),0)</f>
        <v>68</v>
      </c>
      <c r="I146" s="9">
        <f ca="1">IFERROR(_xlfn.XLOOKUP($F146,'FCDB 2017 (full)'!$C:$C,'FCDB 2017 (full)'!$E:$E),0)</f>
        <v>0</v>
      </c>
      <c r="J146" s="10">
        <f t="shared" ref="J146:J168" ca="1" si="30">$H146*I146/100</f>
        <v>0</v>
      </c>
      <c r="K146" s="9">
        <f ca="1">IFERROR(_xlfn.XLOOKUP($F146,'FCDB 2017 (full)'!$C:$C,'FCDB 2017 (full)'!$G:$G),0)</f>
        <v>0</v>
      </c>
      <c r="L146" s="13" t="e">
        <f t="shared" ref="L146:L168" ca="1" si="31">IF($G146=L$15,$H146*$K146/100,0)</f>
        <v>#NAME?</v>
      </c>
      <c r="M146" s="13" t="e">
        <f t="shared" ref="M146:M168" ca="1" si="32">IF($G146=M$15,$H146*$K146/100,0)</f>
        <v>#NAME?</v>
      </c>
      <c r="N146" s="9">
        <f ca="1">IFERROR(_xlfn.XLOOKUP($F146,'FCDB 2017 (full)'!$C:$C,'FCDB 2017 (full)'!$H:$H),0)</f>
        <v>0</v>
      </c>
      <c r="O146" s="14" t="e">
        <f t="shared" ref="O146:O168" ca="1" si="33">IF($G146=O$15,$H146*$N146/100,0)</f>
        <v>#NAME?</v>
      </c>
      <c r="P146" s="14" t="e">
        <f t="shared" ref="P146:P168" ca="1" si="34">IF($G146=P$15,$H146*$N146/100,0)</f>
        <v>#NAME?</v>
      </c>
      <c r="Q146" s="9">
        <f ca="1">IFERROR(_xlfn.XLOOKUP($F146,'FCDB 2017 (full)'!$C:$C,'FCDB 2017 (full)'!$I:$I),0)</f>
        <v>0</v>
      </c>
      <c r="R146" s="15">
        <f t="shared" ref="R146:R168" ca="1" si="35">$H146*Q146/100</f>
        <v>0</v>
      </c>
      <c r="S146" s="16">
        <f ca="1">IFERROR(_xlfn.XLOOKUP($F146,'FCDB 2017 (full)'!$C:$C,'FCDB 2017 (full)'!$J:$J)*$H146/100,0)</f>
        <v>0</v>
      </c>
      <c r="T146" s="16">
        <f ca="1">IFERROR(_xlfn.XLOOKUP($F146,'FCDB 2017 (full)'!$C:$C,'FCDB 2017 (full)'!$K:$K)*$H146/100,0)</f>
        <v>0</v>
      </c>
      <c r="U146" s="16">
        <f ca="1">IFERROR(_xlfn.XLOOKUP($F146,'FCDB 2017 (full)'!$C:$C,'FCDB 2017 (full)'!$L:$L)*$H146/100,0)</f>
        <v>0</v>
      </c>
      <c r="V146" s="16">
        <f ca="1">IFERROR(_xlfn.XLOOKUP($F146,'FCDB 2017 (full)'!$C:$C,'FCDB 2017 (full)'!$M:$M)*$H146/100,0)</f>
        <v>0</v>
      </c>
      <c r="W146" s="16">
        <f ca="1">IFERROR(_xlfn.XLOOKUP($F146,'FCDB 2017 (full)'!$C:$C,'FCDB 2017 (full)'!$N:$N)*$H146/100,0)</f>
        <v>0</v>
      </c>
      <c r="X146" s="16">
        <f ca="1">IFERROR(_xlfn.XLOOKUP($F146,'FCDB 2017 (full)'!$C:$C,'FCDB 2017 (full)'!$O:$O)*$H146/100,0)</f>
        <v>0</v>
      </c>
      <c r="Y146" s="16">
        <f ca="1">IFERROR(_xlfn.XLOOKUP($F146,'FCDB 2017 (full)'!$C:$C,'FCDB 2017 (full)'!$P:$P)*$H146/100,0)</f>
        <v>0</v>
      </c>
      <c r="Z146" s="16">
        <f ca="1">IFERROR(_xlfn.XLOOKUP($F146,'FCDB 2017 (full)'!$C:$C,'FCDB 2017 (full)'!$Q:$Q)*$H146/100,0)</f>
        <v>0</v>
      </c>
      <c r="AA146" s="16">
        <f ca="1">IFERROR(_xlfn.XLOOKUP($F146,'FCDB 2017 (full)'!$C:$C,'FCDB 2017 (full)'!$R:$R)*$H146/100,0)</f>
        <v>0</v>
      </c>
      <c r="AB146" s="16">
        <f ca="1">IFERROR(_xlfn.XLOOKUP($F146,'FCDB 2017 (full)'!$C:$C,'FCDB 2017 (full)'!$S:$S)*$H146/100,0)</f>
        <v>0</v>
      </c>
      <c r="AC146" s="16">
        <f ca="1">IFERROR(_xlfn.XLOOKUP($F146,'FCDB 2017 (full)'!$C:$C,'FCDB 2017 (full)'!$T:$T)*$H146/100,0)</f>
        <v>0</v>
      </c>
      <c r="AD146" s="16">
        <f ca="1">IFERROR(_xlfn.XLOOKUP($F146,'FCDB 2017 (full)'!$C:$C,'FCDB 2017 (full)'!$U:$U)*$H146/100,0)</f>
        <v>0</v>
      </c>
      <c r="AE146" s="16">
        <f ca="1">IFERROR(_xlfn.XLOOKUP($F146,'FCDB 2017 (full)'!$C:$C,'FCDB 2017 (full)'!$V:$V)*$H146/100,0)</f>
        <v>0</v>
      </c>
      <c r="AF146" s="16">
        <f ca="1">IFERROR(_xlfn.XLOOKUP($F146,'FCDB 2017 (full)'!$C:$C,'FCDB 2017 (full)'!$W:$W)*$H146/100,0)</f>
        <v>0</v>
      </c>
      <c r="AG146" s="16">
        <f ca="1">IFERROR(_xlfn.XLOOKUP($F146,'FCDB 2017 (full)'!$C:$C,'FCDB 2017 (full)'!$X:$X)*$H146/100,0)</f>
        <v>0</v>
      </c>
      <c r="AH146" s="16">
        <f ca="1">IFERROR(_xlfn.XLOOKUP($F146,'FCDB 2017 (full)'!$C:$C,'FCDB 2017 (full)'!$Y:$Y)*$H146/100,0)</f>
        <v>0</v>
      </c>
      <c r="AI146" s="16">
        <f ca="1">IFERROR(_xlfn.XLOOKUP($F146,'FCDB 2017 (full)'!$C:$C,'FCDB 2017 (full)'!$Z:$Z)*$H146/100,0)</f>
        <v>0</v>
      </c>
      <c r="AJ146" s="16">
        <f ca="1">IFERROR(_xlfn.XLOOKUP($F146,'FCDB 2017 (full)'!$C:$C,'FCDB 2017 (full)'!$AA:$AA)*$H146/100,0)</f>
        <v>0</v>
      </c>
      <c r="AK146" s="16">
        <f ca="1">IFERROR(_xlfn.XLOOKUP($F146,'FCDB 2017 (full)'!$C:$C,'FCDB 2017 (full)'!$AB:$AB)*$H146/100,0)</f>
        <v>0</v>
      </c>
      <c r="AL146" s="16">
        <f ca="1">IFERROR(_xlfn.XLOOKUP($F146,'FCDB 2017 (full)'!$C:$C,'FCDB 2017 (full)'!$AC:$AC)*$H146/100,0)</f>
        <v>0</v>
      </c>
      <c r="AM146" s="16">
        <f ca="1">IFERROR(_xlfn.XLOOKUP($F146,'FCDB 2017 (full)'!$C:$C,'FCDB 2017 (full)'!$AD:$AD)*$H146/100,0)</f>
        <v>0</v>
      </c>
      <c r="AN146" s="16">
        <f ca="1">IFERROR(_xlfn.XLOOKUP($F146,'FCDB 2017 (full)'!$C:$C,'FCDB 2017 (full)'!$AE:$AE)*$H146/100,0)</f>
        <v>0</v>
      </c>
      <c r="AO146" s="16">
        <f ca="1">IFERROR(_xlfn.XLOOKUP($F146,'FCDB 2017 (full)'!$C:$C,'FCDB 2017 (full)'!$AF:$AF)*$H146/100,0)</f>
        <v>0</v>
      </c>
      <c r="AP146" s="16">
        <f ca="1">IFERROR(_xlfn.XLOOKUP($F146,'FCDB 2017 (full)'!$C:$C,'FCDB 2017 (full)'!$AG:$AG)*$H146/100,0)</f>
        <v>0</v>
      </c>
      <c r="AQ146" s="16">
        <f ca="1">IFERROR(_xlfn.XLOOKUP($F146,'FCDB 2017 (full)'!$C:$C,'FCDB 2017 (full)'!$AH:$AH)*$H146/100,0)</f>
        <v>0</v>
      </c>
      <c r="AR146" s="16">
        <f ca="1">IFERROR(_xlfn.XLOOKUP($F146,'FCDB 2017 (full)'!$C:$C,'FCDB 2017 (full)'!$AI:$AI)*$H146/100,0)</f>
        <v>0</v>
      </c>
      <c r="AS146" s="16">
        <f ca="1">IFERROR(_xlfn.XLOOKUP($F146,'FCDB 2017 (full)'!$C:$C,'FCDB 2017 (full)'!$AJ:$AJ)*$H146/100,0)</f>
        <v>0</v>
      </c>
      <c r="AT146" s="16">
        <f ca="1">IFERROR(_xlfn.XLOOKUP($F146,'FCDB 2017 (full)'!$C:$C,'FCDB 2017 (full)'!$AK:$AK)*$H146/100,0)</f>
        <v>0</v>
      </c>
      <c r="AU146" s="16">
        <f ca="1">IFERROR(_xlfn.XLOOKUP($F146,'FCDB 2017 (full)'!$C:$C,'FCDB 2017 (full)'!$AK:$AK)*$H146/100,0)</f>
        <v>0</v>
      </c>
      <c r="AV146" s="16">
        <f ca="1">IFERROR(_xlfn.XLOOKUP($F146,'FCDB 2017 (full)'!$C:$C,'FCDB 2017 (full)'!$AM:$AM)*$H146/100,0)</f>
        <v>0</v>
      </c>
      <c r="AW146" s="16">
        <f ca="1">IFERROR(_xlfn.XLOOKUP($F146,'FCDB 2017 (full)'!$C:$C,'FCDB 2017 (full)'!$AN:$AN)*$H146/100,0)</f>
        <v>0</v>
      </c>
      <c r="AX146" s="16">
        <f ca="1">IFERROR(_xlfn.XLOOKUP($F146,'FCDB 2017 (full)'!$C:$C,'FCDB 2017 (full)'!$AO:$AO)*$H146/100,0)</f>
        <v>0</v>
      </c>
      <c r="AY146" s="16">
        <f ca="1">IFERROR(_xlfn.XLOOKUP($F146,'FCDB 2017 (full)'!$C:$C,'FCDB 2017 (full)'!$AP:$AP)*$H146/100,0)</f>
        <v>0</v>
      </c>
      <c r="AZ146" s="16">
        <f ca="1">IFERROR(_xlfn.XLOOKUP($F146,'FCDB 2017 (full)'!$C:$C,'FCDB 2017 (full)'!$AQ:$AQ)*$H146/100,0)</f>
        <v>0</v>
      </c>
      <c r="BA146" s="16">
        <f ca="1">IFERROR(_xlfn.XLOOKUP($F146,'FCDB 2017 (full)'!$C:$C,'FCDB 2017 (full)'!$AR:$AR)*$H146/100,0)</f>
        <v>0</v>
      </c>
      <c r="BB146" s="16">
        <f ca="1">IFERROR(_xlfn.XLOOKUP($F146,'FCDB 2017 (full)'!$C:$C,'FCDB 2017 (full)'!$AS:$AS)*$H146/100,0)</f>
        <v>0</v>
      </c>
      <c r="BC146" s="16">
        <f ca="1">IFERROR(_xlfn.XLOOKUP($F146,'FCDB 2017 (full)'!$C:$C,'FCDB 2017 (full)'!$AT:$AT)*$H146/100,0)</f>
        <v>0</v>
      </c>
      <c r="BD146" s="16">
        <f ca="1">IFERROR(_xlfn.XLOOKUP($F146,'FCDB 2017 (full)'!$C:$C,'FCDB 2017 (full)'!$AU:$AU)*$H146/100,0)</f>
        <v>0</v>
      </c>
      <c r="BE146" s="16">
        <f ca="1">IFERROR(_xlfn.XLOOKUP($F146,'FCDB 2017 (full)'!$C:$C,'FCDB 2017 (full)'!$AV:$AV)*$H146/100,0)</f>
        <v>0</v>
      </c>
      <c r="BF146" s="16">
        <f ca="1">IFERROR(_xlfn.XLOOKUP($F146,'FCDB 2017 (full)'!$C:$C,'FCDB 2017 (full)'!$AW:$AW)*$H146/100,0)</f>
        <v>0</v>
      </c>
      <c r="BG146" s="16">
        <f ca="1">IFERROR(_xlfn.XLOOKUP($F146,'FCDB 2017 (full)'!$C:$C,'FCDB 2017 (full)'!$AX:$AX)*$H146/100,0)</f>
        <v>0</v>
      </c>
      <c r="BH146" s="16">
        <f ca="1">IFERROR(_xlfn.XLOOKUP($F146,'FCDB 2017 (full)'!$C:$C,'FCDB 2017 (full)'!$AY:$AY)*$H146/100,0)</f>
        <v>0</v>
      </c>
      <c r="BI146" s="16">
        <f ca="1">IFERROR(_xlfn.XLOOKUP($F146,'FCDB 2017 (full)'!$C:$C,'FCDB 2017 (full)'!$AZ:$AZ)*$H146/100,0)</f>
        <v>0</v>
      </c>
      <c r="BJ146" s="16">
        <f ca="1">IFERROR(_xlfn.XLOOKUP($F146,'FCDB 2017 (full)'!$C:$C,'FCDB 2017 (full)'!$BA:$BA)*$H146/100,0)</f>
        <v>0</v>
      </c>
      <c r="BK146" s="16">
        <f ca="1">IFERROR(_xlfn.XLOOKUP($F146,'FCDB 2017 (full)'!$C:$C,'FCDB 2017 (full)'!$BB:$BB)*$H146/100,0)</f>
        <v>0</v>
      </c>
      <c r="BL146" s="16">
        <f ca="1">IFERROR(_xlfn.XLOOKUP($F146,'FCDB 2017 (full)'!$C:$C,'FCDB 2017 (full)'!$BC:$BC)*$H146/100,0)</f>
        <v>0</v>
      </c>
      <c r="BM146" s="16">
        <f ca="1">IFERROR(_xlfn.XLOOKUP($F146,'FCDB 2017 (full)'!$C:$C,'FCDB 2017 (full)'!$BD:$BD)*$H146/100,0)</f>
        <v>0</v>
      </c>
      <c r="BN146" s="16">
        <f ca="1">IFERROR(_xlfn.XLOOKUP($F146,'FCDB 2017 (full)'!$C:$C,'FCDB 2017 (full)'!$BE:$BE)*$H146/100,0)</f>
        <v>0</v>
      </c>
      <c r="BO146" s="16">
        <f ca="1">IFERROR(_xlfn.XLOOKUP($F146,'FCDB 2017 (full)'!$C:$C,'FCDB 2017 (full)'!$BF:$BF)*$H146/100,0)</f>
        <v>0</v>
      </c>
      <c r="BP146" s="16">
        <f ca="1">IFERROR(_xlfn.XLOOKUP($F146,'FCDB 2017 (full)'!$C:$C,'FCDB 2017 (full)'!$BG:$BG)*$H146/100,0)</f>
        <v>0</v>
      </c>
      <c r="BQ146" s="16">
        <f ca="1">IFERROR(_xlfn.XLOOKUP($F146,'FCDB 2017 (full)'!$C:$C,'FCDB 2017 (full)'!$BH:$BH)*$H146/100,0)</f>
        <v>0</v>
      </c>
      <c r="BR146" s="16">
        <f ca="1">IFERROR(_xlfn.XLOOKUP($F146,'FCDB 2017 (full)'!$C:$C,'FCDB 2017 (full)'!$BI:$BI)*$H146/100,0)</f>
        <v>0</v>
      </c>
      <c r="BS146" s="16">
        <f ca="1">IFERROR(_xlfn.XLOOKUP($F146,'FCDB 2017 (full)'!$C:$C,'FCDB 2017 (full)'!$BJ:$BJ)*$H146/100,0)</f>
        <v>0</v>
      </c>
      <c r="BT146" s="16">
        <f ca="1">IFERROR(_xlfn.XLOOKUP($F146,'FCDB 2017 (full)'!$C:$C,'FCDB 2017 (full)'!$BK:$BK)*$H146/100,0)</f>
        <v>0</v>
      </c>
      <c r="BU146" s="16">
        <f ca="1">IFERROR(_xlfn.XLOOKUP($F146,'FCDB 2017 (full)'!$C:$C,'FCDB 2017 (full)'!$BL:$BL)*$H146/100,0)</f>
        <v>0</v>
      </c>
      <c r="BV146" s="16">
        <f ca="1">IFERROR(_xlfn.XLOOKUP($F146,'FCDB 2017 (full)'!$C:$C,'FCDB 2017 (full)'!$BM:$BM)*$H146/100,0)</f>
        <v>0</v>
      </c>
      <c r="BW146" s="16">
        <f ca="1">IFERROR(_xlfn.XLOOKUP($F146,'FCDB 2017 (full)'!$C:$C,'FCDB 2017 (full)'!$BN:$BN)*$H146/100,0)</f>
        <v>0</v>
      </c>
      <c r="BX146" s="16">
        <f ca="1">IFERROR(_xlfn.XLOOKUP($F146,'FCDB 2017 (full)'!$C:$C,'FCDB 2017 (full)'!$BO:$BO)*$H146/100,0)</f>
        <v>0</v>
      </c>
      <c r="BY146" s="16">
        <f ca="1">IFERROR(_xlfn.XLOOKUP($F146,'FCDB 2017 (full)'!$C:$C,'FCDB 2017 (full)'!$BP:$BP)*$H146/100,0)</f>
        <v>0</v>
      </c>
      <c r="BZ146" s="16">
        <f ca="1">IFERROR(_xlfn.XLOOKUP($F146,'FCDB 2017 (full)'!$C:$C,'FCDB 2017 (full)'!$BQ:$BQ)*$H146/100,0)</f>
        <v>0</v>
      </c>
      <c r="CA146" s="16">
        <f ca="1">IFERROR(_xlfn.XLOOKUP($F146,'FCDB 2017 (full)'!$C:$C,'FCDB 2017 (full)'!$BR:$BR)*$H146/100,0)</f>
        <v>0</v>
      </c>
      <c r="CB146" s="16">
        <f ca="1">IFERROR(_xlfn.XLOOKUP($F146,'FCDB 2017 (full)'!$C:$C,'FCDB 2017 (full)'!$BS:$BS)*$H146/100,0)</f>
        <v>0</v>
      </c>
      <c r="CC146" s="16">
        <f ca="1">IFERROR(_xlfn.XLOOKUP($F146,'FCDB 2017 (full)'!$C:$C,'FCDB 2017 (full)'!$BT:$BT)*$H146/100,0)</f>
        <v>0</v>
      </c>
      <c r="CD146" s="16">
        <f ca="1">IFERROR(_xlfn.XLOOKUP($F146,'FCDB 2017 (full)'!$C:$C,'FCDB 2017 (full)'!$BU:$BU)*$H146/100,0)</f>
        <v>0</v>
      </c>
      <c r="CE146" s="16">
        <f ca="1">IFERROR(_xlfn.XLOOKUP($F146,'FCDB 2017 (full)'!$C:$C,'FCDB 2017 (full)'!$BV:$BV)*$H146/100,0)</f>
        <v>0</v>
      </c>
      <c r="CF146" s="16">
        <f ca="1">IFERROR(_xlfn.XLOOKUP($F146,'FCDB 2017 (full)'!$C:$C,'FCDB 2017 (full)'!$BW:$BW)*$H146/100,0)</f>
        <v>0</v>
      </c>
      <c r="CG146" s="16">
        <f ca="1">IFERROR(_xlfn.XLOOKUP($F146,'FCDB 2017 (full)'!$C:$C,'FCDB 2017 (full)'!$BX:$BX)*$H146/100,0)</f>
        <v>0</v>
      </c>
      <c r="CH146" s="16">
        <f ca="1">IFERROR(_xlfn.XLOOKUP($F146,'FCDB 2017 (full)'!$C:$C,'FCDB 2017 (full)'!$BY:$BY)*$H146/100,0)</f>
        <v>0</v>
      </c>
      <c r="CI146" s="16">
        <f ca="1">IFERROR(_xlfn.XLOOKUP($F146,'FCDB 2017 (full)'!$C:$C,'FCDB 2017 (full)'!$BZ:$BZ)*$H146/100,0)</f>
        <v>0</v>
      </c>
      <c r="CJ146" s="16">
        <f ca="1">IFERROR(_xlfn.XLOOKUP($F146,'FCDB 2017 (full)'!$C:$C,'FCDB 2017 (full)'!$CA:$CA)*$H146/100,0)</f>
        <v>0</v>
      </c>
      <c r="CK146" s="16">
        <f ca="1">IFERROR(_xlfn.XLOOKUP($F146,'FCDB 2017 (full)'!$C:$C,'FCDB 2017 (full)'!$CB:$CB)*$H146/100,0)</f>
        <v>0</v>
      </c>
      <c r="CL146" s="16">
        <f ca="1">IFERROR(_xlfn.XLOOKUP($F146,'FCDB 2017 (full)'!$C:$C,'FCDB 2017 (full)'!$CC:$CC)*$H146/100,0)</f>
        <v>0</v>
      </c>
      <c r="CM146" s="16">
        <f ca="1">IFERROR(_xlfn.XLOOKUP($F146,'FCDB 2017 (full)'!$C:$C,'FCDB 2017 (full)'!$CD:$CD)*$H146/100,0)</f>
        <v>0</v>
      </c>
      <c r="CN146" s="16">
        <f ca="1">IFERROR(_xlfn.XLOOKUP($F146,'FCDB 2017 (full)'!$C:$C,'FCDB 2017 (full)'!$CE:$CE)*$H146/100,0)</f>
        <v>0</v>
      </c>
      <c r="CO146" s="16">
        <f ca="1">IFERROR(_xlfn.XLOOKUP($F146,'FCDB 2017 (full)'!$C:$C,'FCDB 2017 (full)'!$CF:$CF)*$H146/100,0)</f>
        <v>0</v>
      </c>
      <c r="CP146" s="16">
        <f ca="1">IFERROR(_xlfn.XLOOKUP($F146,'FCDB 2017 (full)'!$C:$C,'FCDB 2017 (full)'!$CG:$CG)*$H146/100,0)</f>
        <v>0</v>
      </c>
      <c r="CQ146" s="16">
        <f ca="1">IFERROR(_xlfn.XLOOKUP($F146,'FCDB 2017 (full)'!$C:$C,'FCDB 2017 (full)'!$CH:$CH)*$H146/100,0)</f>
        <v>0</v>
      </c>
      <c r="DA146" s="73" t="s">
        <v>985</v>
      </c>
    </row>
    <row r="147" spans="4:105">
      <c r="E147" s="41"/>
      <c r="F147" s="11">
        <f>IFERROR(VLOOKUP($D$139,$D:$AE,3,0),0)</f>
        <v>0</v>
      </c>
      <c r="G147" s="7" cm="1">
        <f t="array" ref="G147">IF(F147=0,0,IF(_xlfn.XLOOKUP(F147,$E$139:$AE$139,$E$140:$AE$140)=0,"Nhập ĐV/TV",_xlfn.XLOOKUP(F147,$E$139:$AE$139,$E$140:$AE$140)))</f>
        <v>0</v>
      </c>
      <c r="H147" s="8" cm="1">
        <f t="array" ref="H147">IFERROR(INDEX($E$141:$AE$141,MATCH(F147,$E$139:$AE$139,0)),0)</f>
        <v>0</v>
      </c>
      <c r="I147" s="9">
        <f ca="1">IFERROR(_xlfn.XLOOKUP($F147,'FCDB 2017 (full)'!$C:$C,'FCDB 2017 (full)'!$E:$E),0)</f>
        <v>0</v>
      </c>
      <c r="J147" s="10">
        <f t="shared" ca="1" si="30"/>
        <v>0</v>
      </c>
      <c r="K147" s="9">
        <f ca="1">IFERROR(_xlfn.XLOOKUP($F147,'FCDB 2017 (full)'!$C:$C,'FCDB 2017 (full)'!$G:$G),0)</f>
        <v>0</v>
      </c>
      <c r="L147" s="13">
        <f t="shared" si="31"/>
        <v>0</v>
      </c>
      <c r="M147" s="13">
        <f t="shared" si="32"/>
        <v>0</v>
      </c>
      <c r="N147" s="9">
        <f ca="1">IFERROR(_xlfn.XLOOKUP($F147,'FCDB 2017 (full)'!$C:$C,'FCDB 2017 (full)'!$H:$H),0)</f>
        <v>0</v>
      </c>
      <c r="O147" s="14">
        <f t="shared" si="33"/>
        <v>0</v>
      </c>
      <c r="P147" s="14">
        <f t="shared" si="34"/>
        <v>0</v>
      </c>
      <c r="Q147" s="9">
        <f ca="1">IFERROR(_xlfn.XLOOKUP($F147,'FCDB 2017 (full)'!$C:$C,'FCDB 2017 (full)'!$I:$I),0)</f>
        <v>0</v>
      </c>
      <c r="R147" s="15">
        <f t="shared" ca="1" si="35"/>
        <v>0</v>
      </c>
      <c r="S147" s="16">
        <f ca="1">IFERROR(_xlfn.XLOOKUP($F147,'FCDB 2017 (full)'!$C:$C,'FCDB 2017 (full)'!$J:$J)*$H147/100,0)</f>
        <v>0</v>
      </c>
      <c r="T147" s="16">
        <f ca="1">IFERROR(_xlfn.XLOOKUP($F147,'FCDB 2017 (full)'!$C:$C,'FCDB 2017 (full)'!$K:$K)*$H147/100,0)</f>
        <v>0</v>
      </c>
      <c r="U147" s="16">
        <f ca="1">IFERROR(_xlfn.XLOOKUP($F147,'FCDB 2017 (full)'!$C:$C,'FCDB 2017 (full)'!$L:$L)*$H147/100,0)</f>
        <v>0</v>
      </c>
      <c r="V147" s="16">
        <f ca="1">IFERROR(_xlfn.XLOOKUP($F147,'FCDB 2017 (full)'!$C:$C,'FCDB 2017 (full)'!$M:$M)*$H147/100,0)</f>
        <v>0</v>
      </c>
      <c r="W147" s="16">
        <f ca="1">IFERROR(_xlfn.XLOOKUP($F147,'FCDB 2017 (full)'!$C:$C,'FCDB 2017 (full)'!$N:$N)*$H147/100,0)</f>
        <v>0</v>
      </c>
      <c r="X147" s="16">
        <f ca="1">IFERROR(_xlfn.XLOOKUP($F147,'FCDB 2017 (full)'!$C:$C,'FCDB 2017 (full)'!$O:$O)*$H147/100,0)</f>
        <v>0</v>
      </c>
      <c r="Y147" s="16">
        <f ca="1">IFERROR(_xlfn.XLOOKUP($F147,'FCDB 2017 (full)'!$C:$C,'FCDB 2017 (full)'!$P:$P)*$H147/100,0)</f>
        <v>0</v>
      </c>
      <c r="Z147" s="16">
        <f ca="1">IFERROR(_xlfn.XLOOKUP($F147,'FCDB 2017 (full)'!$C:$C,'FCDB 2017 (full)'!$Q:$Q)*$H147/100,0)</f>
        <v>0</v>
      </c>
      <c r="AA147" s="16">
        <f ca="1">IFERROR(_xlfn.XLOOKUP($F147,'FCDB 2017 (full)'!$C:$C,'FCDB 2017 (full)'!$R:$R)*$H147/100,0)</f>
        <v>0</v>
      </c>
      <c r="AB147" s="16">
        <f ca="1">IFERROR(_xlfn.XLOOKUP($F147,'FCDB 2017 (full)'!$C:$C,'FCDB 2017 (full)'!$S:$S)*$H147/100,0)</f>
        <v>0</v>
      </c>
      <c r="AC147" s="16">
        <f ca="1">IFERROR(_xlfn.XLOOKUP($F147,'FCDB 2017 (full)'!$C:$C,'FCDB 2017 (full)'!$T:$T)*$H147/100,0)</f>
        <v>0</v>
      </c>
      <c r="AD147" s="16">
        <f ca="1">IFERROR(_xlfn.XLOOKUP($F147,'FCDB 2017 (full)'!$C:$C,'FCDB 2017 (full)'!$U:$U)*$H147/100,0)</f>
        <v>0</v>
      </c>
      <c r="AE147" s="16">
        <f ca="1">IFERROR(_xlfn.XLOOKUP($F147,'FCDB 2017 (full)'!$C:$C,'FCDB 2017 (full)'!$V:$V)*$H147/100,0)</f>
        <v>0</v>
      </c>
      <c r="AF147" s="16">
        <f ca="1">IFERROR(_xlfn.XLOOKUP($F147,'FCDB 2017 (full)'!$C:$C,'FCDB 2017 (full)'!$W:$W)*$H147/100,0)</f>
        <v>0</v>
      </c>
      <c r="AG147" s="16">
        <f ca="1">IFERROR(_xlfn.XLOOKUP($F147,'FCDB 2017 (full)'!$C:$C,'FCDB 2017 (full)'!$X:$X)*$H147/100,0)</f>
        <v>0</v>
      </c>
      <c r="AH147" s="16">
        <f ca="1">IFERROR(_xlfn.XLOOKUP($F147,'FCDB 2017 (full)'!$C:$C,'FCDB 2017 (full)'!$Y:$Y)*$H147/100,0)</f>
        <v>0</v>
      </c>
      <c r="AI147" s="16">
        <f ca="1">IFERROR(_xlfn.XLOOKUP($F147,'FCDB 2017 (full)'!$C:$C,'FCDB 2017 (full)'!$Z:$Z)*$H147/100,0)</f>
        <v>0</v>
      </c>
      <c r="AJ147" s="16">
        <f ca="1">IFERROR(_xlfn.XLOOKUP($F147,'FCDB 2017 (full)'!$C:$C,'FCDB 2017 (full)'!$AA:$AA)*$H147/100,0)</f>
        <v>0</v>
      </c>
      <c r="AK147" s="16">
        <f ca="1">IFERROR(_xlfn.XLOOKUP($F147,'FCDB 2017 (full)'!$C:$C,'FCDB 2017 (full)'!$AB:$AB)*$H147/100,0)</f>
        <v>0</v>
      </c>
      <c r="AL147" s="16">
        <f ca="1">IFERROR(_xlfn.XLOOKUP($F147,'FCDB 2017 (full)'!$C:$C,'FCDB 2017 (full)'!$AC:$AC)*$H147/100,0)</f>
        <v>0</v>
      </c>
      <c r="AM147" s="16">
        <f ca="1">IFERROR(_xlfn.XLOOKUP($F147,'FCDB 2017 (full)'!$C:$C,'FCDB 2017 (full)'!$AD:$AD)*$H147/100,0)</f>
        <v>0</v>
      </c>
      <c r="AN147" s="16">
        <f ca="1">IFERROR(_xlfn.XLOOKUP($F147,'FCDB 2017 (full)'!$C:$C,'FCDB 2017 (full)'!$AE:$AE)*$H147/100,0)</f>
        <v>0</v>
      </c>
      <c r="AO147" s="16">
        <f ca="1">IFERROR(_xlfn.XLOOKUP($F147,'FCDB 2017 (full)'!$C:$C,'FCDB 2017 (full)'!$AF:$AF)*$H147/100,0)</f>
        <v>0</v>
      </c>
      <c r="AP147" s="16">
        <f ca="1">IFERROR(_xlfn.XLOOKUP($F147,'FCDB 2017 (full)'!$C:$C,'FCDB 2017 (full)'!$AG:$AG)*$H147/100,0)</f>
        <v>0</v>
      </c>
      <c r="AQ147" s="16">
        <f ca="1">IFERROR(_xlfn.XLOOKUP($F147,'FCDB 2017 (full)'!$C:$C,'FCDB 2017 (full)'!$AH:$AH)*$H147/100,0)</f>
        <v>0</v>
      </c>
      <c r="AR147" s="16">
        <f ca="1">IFERROR(_xlfn.XLOOKUP($F147,'FCDB 2017 (full)'!$C:$C,'FCDB 2017 (full)'!$AI:$AI)*$H147/100,0)</f>
        <v>0</v>
      </c>
      <c r="AS147" s="16">
        <f ca="1">IFERROR(_xlfn.XLOOKUP($F147,'FCDB 2017 (full)'!$C:$C,'FCDB 2017 (full)'!$AJ:$AJ)*$H147/100,0)</f>
        <v>0</v>
      </c>
      <c r="AT147" s="16">
        <f ca="1">IFERROR(_xlfn.XLOOKUP($F147,'FCDB 2017 (full)'!$C:$C,'FCDB 2017 (full)'!$AK:$AK)*$H147/100,0)</f>
        <v>0</v>
      </c>
      <c r="AU147" s="16">
        <f ca="1">IFERROR(_xlfn.XLOOKUP($F147,'FCDB 2017 (full)'!$C:$C,'FCDB 2017 (full)'!$AK:$AK)*$H147/100,0)</f>
        <v>0</v>
      </c>
      <c r="AV147" s="16">
        <f ca="1">IFERROR(_xlfn.XLOOKUP($F147,'FCDB 2017 (full)'!$C:$C,'FCDB 2017 (full)'!$AM:$AM)*$H147/100,0)</f>
        <v>0</v>
      </c>
      <c r="AW147" s="16">
        <f ca="1">IFERROR(_xlfn.XLOOKUP($F147,'FCDB 2017 (full)'!$C:$C,'FCDB 2017 (full)'!$AN:$AN)*$H147/100,0)</f>
        <v>0</v>
      </c>
      <c r="AX147" s="16">
        <f ca="1">IFERROR(_xlfn.XLOOKUP($F147,'FCDB 2017 (full)'!$C:$C,'FCDB 2017 (full)'!$AO:$AO)*$H147/100,0)</f>
        <v>0</v>
      </c>
      <c r="AY147" s="16">
        <f ca="1">IFERROR(_xlfn.XLOOKUP($F147,'FCDB 2017 (full)'!$C:$C,'FCDB 2017 (full)'!$AP:$AP)*$H147/100,0)</f>
        <v>0</v>
      </c>
      <c r="AZ147" s="16">
        <f ca="1">IFERROR(_xlfn.XLOOKUP($F147,'FCDB 2017 (full)'!$C:$C,'FCDB 2017 (full)'!$AQ:$AQ)*$H147/100,0)</f>
        <v>0</v>
      </c>
      <c r="BA147" s="16">
        <f ca="1">IFERROR(_xlfn.XLOOKUP($F147,'FCDB 2017 (full)'!$C:$C,'FCDB 2017 (full)'!$AR:$AR)*$H147/100,0)</f>
        <v>0</v>
      </c>
      <c r="BB147" s="16">
        <f ca="1">IFERROR(_xlfn.XLOOKUP($F147,'FCDB 2017 (full)'!$C:$C,'FCDB 2017 (full)'!$AS:$AS)*$H147/100,0)</f>
        <v>0</v>
      </c>
      <c r="BC147" s="16">
        <f ca="1">IFERROR(_xlfn.XLOOKUP($F147,'FCDB 2017 (full)'!$C:$C,'FCDB 2017 (full)'!$AT:$AT)*$H147/100,0)</f>
        <v>0</v>
      </c>
      <c r="BD147" s="16">
        <f ca="1">IFERROR(_xlfn.XLOOKUP($F147,'FCDB 2017 (full)'!$C:$C,'FCDB 2017 (full)'!$AU:$AU)*$H147/100,0)</f>
        <v>0</v>
      </c>
      <c r="BE147" s="16">
        <f ca="1">IFERROR(_xlfn.XLOOKUP($F147,'FCDB 2017 (full)'!$C:$C,'FCDB 2017 (full)'!$AV:$AV)*$H147/100,0)</f>
        <v>0</v>
      </c>
      <c r="BF147" s="16">
        <f ca="1">IFERROR(_xlfn.XLOOKUP($F147,'FCDB 2017 (full)'!$C:$C,'FCDB 2017 (full)'!$AW:$AW)*$H147/100,0)</f>
        <v>0</v>
      </c>
      <c r="BG147" s="16">
        <f ca="1">IFERROR(_xlfn.XLOOKUP($F147,'FCDB 2017 (full)'!$C:$C,'FCDB 2017 (full)'!$AX:$AX)*$H147/100,0)</f>
        <v>0</v>
      </c>
      <c r="BH147" s="16">
        <f ca="1">IFERROR(_xlfn.XLOOKUP($F147,'FCDB 2017 (full)'!$C:$C,'FCDB 2017 (full)'!$AY:$AY)*$H147/100,0)</f>
        <v>0</v>
      </c>
      <c r="BI147" s="16">
        <f ca="1">IFERROR(_xlfn.XLOOKUP($F147,'FCDB 2017 (full)'!$C:$C,'FCDB 2017 (full)'!$AZ:$AZ)*$H147/100,0)</f>
        <v>0</v>
      </c>
      <c r="BJ147" s="16">
        <f ca="1">IFERROR(_xlfn.XLOOKUP($F147,'FCDB 2017 (full)'!$C:$C,'FCDB 2017 (full)'!$BA:$BA)*$H147/100,0)</f>
        <v>0</v>
      </c>
      <c r="BK147" s="16">
        <f ca="1">IFERROR(_xlfn.XLOOKUP($F147,'FCDB 2017 (full)'!$C:$C,'FCDB 2017 (full)'!$BB:$BB)*$H147/100,0)</f>
        <v>0</v>
      </c>
      <c r="BL147" s="16">
        <f ca="1">IFERROR(_xlfn.XLOOKUP($F147,'FCDB 2017 (full)'!$C:$C,'FCDB 2017 (full)'!$BC:$BC)*$H147/100,0)</f>
        <v>0</v>
      </c>
      <c r="BM147" s="16">
        <f ca="1">IFERROR(_xlfn.XLOOKUP($F147,'FCDB 2017 (full)'!$C:$C,'FCDB 2017 (full)'!$BD:$BD)*$H147/100,0)</f>
        <v>0</v>
      </c>
      <c r="BN147" s="16">
        <f ca="1">IFERROR(_xlfn.XLOOKUP($F147,'FCDB 2017 (full)'!$C:$C,'FCDB 2017 (full)'!$BE:$BE)*$H147/100,0)</f>
        <v>0</v>
      </c>
      <c r="BO147" s="16">
        <f ca="1">IFERROR(_xlfn.XLOOKUP($F147,'FCDB 2017 (full)'!$C:$C,'FCDB 2017 (full)'!$BF:$BF)*$H147/100,0)</f>
        <v>0</v>
      </c>
      <c r="BP147" s="16">
        <f ca="1">IFERROR(_xlfn.XLOOKUP($F147,'FCDB 2017 (full)'!$C:$C,'FCDB 2017 (full)'!$BG:$BG)*$H147/100,0)</f>
        <v>0</v>
      </c>
      <c r="BQ147" s="16">
        <f ca="1">IFERROR(_xlfn.XLOOKUP($F147,'FCDB 2017 (full)'!$C:$C,'FCDB 2017 (full)'!$BH:$BH)*$H147/100,0)</f>
        <v>0</v>
      </c>
      <c r="BR147" s="16">
        <f ca="1">IFERROR(_xlfn.XLOOKUP($F147,'FCDB 2017 (full)'!$C:$C,'FCDB 2017 (full)'!$BI:$BI)*$H147/100,0)</f>
        <v>0</v>
      </c>
      <c r="BS147" s="16">
        <f ca="1">IFERROR(_xlfn.XLOOKUP($F147,'FCDB 2017 (full)'!$C:$C,'FCDB 2017 (full)'!$BJ:$BJ)*$H147/100,0)</f>
        <v>0</v>
      </c>
      <c r="BT147" s="16">
        <f ca="1">IFERROR(_xlfn.XLOOKUP($F147,'FCDB 2017 (full)'!$C:$C,'FCDB 2017 (full)'!$BK:$BK)*$H147/100,0)</f>
        <v>0</v>
      </c>
      <c r="BU147" s="16">
        <f ca="1">IFERROR(_xlfn.XLOOKUP($F147,'FCDB 2017 (full)'!$C:$C,'FCDB 2017 (full)'!$BL:$BL)*$H147/100,0)</f>
        <v>0</v>
      </c>
      <c r="BV147" s="16">
        <f ca="1">IFERROR(_xlfn.XLOOKUP($F147,'FCDB 2017 (full)'!$C:$C,'FCDB 2017 (full)'!$BM:$BM)*$H147/100,0)</f>
        <v>0</v>
      </c>
      <c r="BW147" s="16">
        <f ca="1">IFERROR(_xlfn.XLOOKUP($F147,'FCDB 2017 (full)'!$C:$C,'FCDB 2017 (full)'!$BN:$BN)*$H147/100,0)</f>
        <v>0</v>
      </c>
      <c r="BX147" s="16">
        <f ca="1">IFERROR(_xlfn.XLOOKUP($F147,'FCDB 2017 (full)'!$C:$C,'FCDB 2017 (full)'!$BO:$BO)*$H147/100,0)</f>
        <v>0</v>
      </c>
      <c r="BY147" s="16">
        <f ca="1">IFERROR(_xlfn.XLOOKUP($F147,'FCDB 2017 (full)'!$C:$C,'FCDB 2017 (full)'!$BP:$BP)*$H147/100,0)</f>
        <v>0</v>
      </c>
      <c r="BZ147" s="16">
        <f ca="1">IFERROR(_xlfn.XLOOKUP($F147,'FCDB 2017 (full)'!$C:$C,'FCDB 2017 (full)'!$BQ:$BQ)*$H147/100,0)</f>
        <v>0</v>
      </c>
      <c r="CA147" s="16">
        <f ca="1">IFERROR(_xlfn.XLOOKUP($F147,'FCDB 2017 (full)'!$C:$C,'FCDB 2017 (full)'!$BR:$BR)*$H147/100,0)</f>
        <v>0</v>
      </c>
      <c r="CB147" s="16">
        <f ca="1">IFERROR(_xlfn.XLOOKUP($F147,'FCDB 2017 (full)'!$C:$C,'FCDB 2017 (full)'!$BS:$BS)*$H147/100,0)</f>
        <v>0</v>
      </c>
      <c r="CC147" s="16">
        <f ca="1">IFERROR(_xlfn.XLOOKUP($F147,'FCDB 2017 (full)'!$C:$C,'FCDB 2017 (full)'!$BT:$BT)*$H147/100,0)</f>
        <v>0</v>
      </c>
      <c r="CD147" s="16">
        <f ca="1">IFERROR(_xlfn.XLOOKUP($F147,'FCDB 2017 (full)'!$C:$C,'FCDB 2017 (full)'!$BU:$BU)*$H147/100,0)</f>
        <v>0</v>
      </c>
      <c r="CE147" s="16">
        <f ca="1">IFERROR(_xlfn.XLOOKUP($F147,'FCDB 2017 (full)'!$C:$C,'FCDB 2017 (full)'!$BV:$BV)*$H147/100,0)</f>
        <v>0</v>
      </c>
      <c r="CF147" s="16">
        <f ca="1">IFERROR(_xlfn.XLOOKUP($F147,'FCDB 2017 (full)'!$C:$C,'FCDB 2017 (full)'!$BW:$BW)*$H147/100,0)</f>
        <v>0</v>
      </c>
      <c r="CG147" s="16">
        <f ca="1">IFERROR(_xlfn.XLOOKUP($F147,'FCDB 2017 (full)'!$C:$C,'FCDB 2017 (full)'!$BX:$BX)*$H147/100,0)</f>
        <v>0</v>
      </c>
      <c r="CH147" s="16">
        <f ca="1">IFERROR(_xlfn.XLOOKUP($F147,'FCDB 2017 (full)'!$C:$C,'FCDB 2017 (full)'!$BY:$BY)*$H147/100,0)</f>
        <v>0</v>
      </c>
      <c r="CI147" s="16">
        <f ca="1">IFERROR(_xlfn.XLOOKUP($F147,'FCDB 2017 (full)'!$C:$C,'FCDB 2017 (full)'!$BZ:$BZ)*$H147/100,0)</f>
        <v>0</v>
      </c>
      <c r="CJ147" s="16">
        <f ca="1">IFERROR(_xlfn.XLOOKUP($F147,'FCDB 2017 (full)'!$C:$C,'FCDB 2017 (full)'!$CA:$CA)*$H147/100,0)</f>
        <v>0</v>
      </c>
      <c r="CK147" s="16">
        <f ca="1">IFERROR(_xlfn.XLOOKUP($F147,'FCDB 2017 (full)'!$C:$C,'FCDB 2017 (full)'!$CB:$CB)*$H147/100,0)</f>
        <v>0</v>
      </c>
      <c r="CL147" s="16">
        <f ca="1">IFERROR(_xlfn.XLOOKUP($F147,'FCDB 2017 (full)'!$C:$C,'FCDB 2017 (full)'!$CC:$CC)*$H147/100,0)</f>
        <v>0</v>
      </c>
      <c r="CM147" s="16">
        <f ca="1">IFERROR(_xlfn.XLOOKUP($F147,'FCDB 2017 (full)'!$C:$C,'FCDB 2017 (full)'!$CD:$CD)*$H147/100,0)</f>
        <v>0</v>
      </c>
      <c r="CN147" s="16">
        <f ca="1">IFERROR(_xlfn.XLOOKUP($F147,'FCDB 2017 (full)'!$C:$C,'FCDB 2017 (full)'!$CE:$CE)*$H147/100,0)</f>
        <v>0</v>
      </c>
      <c r="CO147" s="16">
        <f ca="1">IFERROR(_xlfn.XLOOKUP($F147,'FCDB 2017 (full)'!$C:$C,'FCDB 2017 (full)'!$CF:$CF)*$H147/100,0)</f>
        <v>0</v>
      </c>
      <c r="CP147" s="16">
        <f ca="1">IFERROR(_xlfn.XLOOKUP($F147,'FCDB 2017 (full)'!$C:$C,'FCDB 2017 (full)'!$CG:$CG)*$H147/100,0)</f>
        <v>0</v>
      </c>
      <c r="CQ147" s="16">
        <f ca="1">IFERROR(_xlfn.XLOOKUP($F147,'FCDB 2017 (full)'!$C:$C,'FCDB 2017 (full)'!$CH:$CH)*$H147/100,0)</f>
        <v>0</v>
      </c>
      <c r="DA147" s="73" t="s">
        <v>985</v>
      </c>
    </row>
    <row r="148" spans="4:105">
      <c r="E148" s="41"/>
      <c r="F148" s="11">
        <f>IFERROR(VLOOKUP($D$139,$D:$AE,4,0),0)</f>
        <v>0</v>
      </c>
      <c r="G148" s="7" cm="1">
        <f t="array" ref="G148">IF(F148=0,0,IF(_xlfn.XLOOKUP(F148,$E$139:$AE$139,$E$140:$AE$140)=0,"Nhập ĐV/TV",_xlfn.XLOOKUP(F148,$E$139:$AE$139,$E$140:$AE$140)))</f>
        <v>0</v>
      </c>
      <c r="H148" s="8" cm="1">
        <f t="array" ref="H148">IFERROR(INDEX($E$141:$AE$141,MATCH(F148,$E$139:$AE$139,0)),0)</f>
        <v>0</v>
      </c>
      <c r="I148" s="9">
        <f ca="1">IFERROR(_xlfn.XLOOKUP($F148,'FCDB 2017 (full)'!$C:$C,'FCDB 2017 (full)'!$E:$E),0)</f>
        <v>0</v>
      </c>
      <c r="J148" s="10">
        <f t="shared" ca="1" si="30"/>
        <v>0</v>
      </c>
      <c r="K148" s="9">
        <f ca="1">IFERROR(_xlfn.XLOOKUP($F148,'FCDB 2017 (full)'!$C:$C,'FCDB 2017 (full)'!$G:$G),0)</f>
        <v>0</v>
      </c>
      <c r="L148" s="13">
        <f t="shared" si="31"/>
        <v>0</v>
      </c>
      <c r="M148" s="13">
        <f t="shared" si="32"/>
        <v>0</v>
      </c>
      <c r="N148" s="9">
        <f ca="1">IFERROR(_xlfn.XLOOKUP($F148,'FCDB 2017 (full)'!$C:$C,'FCDB 2017 (full)'!$H:$H),0)</f>
        <v>0</v>
      </c>
      <c r="O148" s="14">
        <f t="shared" si="33"/>
        <v>0</v>
      </c>
      <c r="P148" s="14">
        <f t="shared" si="34"/>
        <v>0</v>
      </c>
      <c r="Q148" s="9">
        <f ca="1">IFERROR(_xlfn.XLOOKUP($F148,'FCDB 2017 (full)'!$C:$C,'FCDB 2017 (full)'!$I:$I),0)</f>
        <v>0</v>
      </c>
      <c r="R148" s="15">
        <f t="shared" ca="1" si="35"/>
        <v>0</v>
      </c>
      <c r="S148" s="16">
        <f ca="1">IFERROR(_xlfn.XLOOKUP($F148,'FCDB 2017 (full)'!$C:$C,'FCDB 2017 (full)'!$J:$J)*$H148/100,0)</f>
        <v>0</v>
      </c>
      <c r="T148" s="16">
        <f ca="1">IFERROR(_xlfn.XLOOKUP($F148,'FCDB 2017 (full)'!$C:$C,'FCDB 2017 (full)'!$K:$K)*$H148/100,0)</f>
        <v>0</v>
      </c>
      <c r="U148" s="16">
        <f ca="1">IFERROR(_xlfn.XLOOKUP($F148,'FCDB 2017 (full)'!$C:$C,'FCDB 2017 (full)'!$L:$L)*$H148/100,0)</f>
        <v>0</v>
      </c>
      <c r="V148" s="16">
        <f ca="1">IFERROR(_xlfn.XLOOKUP($F148,'FCDB 2017 (full)'!$C:$C,'FCDB 2017 (full)'!$M:$M)*$H148/100,0)</f>
        <v>0</v>
      </c>
      <c r="W148" s="16">
        <f ca="1">IFERROR(_xlfn.XLOOKUP($F148,'FCDB 2017 (full)'!$C:$C,'FCDB 2017 (full)'!$N:$N)*$H148/100,0)</f>
        <v>0</v>
      </c>
      <c r="X148" s="16">
        <f ca="1">IFERROR(_xlfn.XLOOKUP($F148,'FCDB 2017 (full)'!$C:$C,'FCDB 2017 (full)'!$O:$O)*$H148/100,0)</f>
        <v>0</v>
      </c>
      <c r="Y148" s="16">
        <f ca="1">IFERROR(_xlfn.XLOOKUP($F148,'FCDB 2017 (full)'!$C:$C,'FCDB 2017 (full)'!$P:$P)*$H148/100,0)</f>
        <v>0</v>
      </c>
      <c r="Z148" s="16">
        <f ca="1">IFERROR(_xlfn.XLOOKUP($F148,'FCDB 2017 (full)'!$C:$C,'FCDB 2017 (full)'!$Q:$Q)*$H148/100,0)</f>
        <v>0</v>
      </c>
      <c r="AA148" s="16">
        <f ca="1">IFERROR(_xlfn.XLOOKUP($F148,'FCDB 2017 (full)'!$C:$C,'FCDB 2017 (full)'!$R:$R)*$H148/100,0)</f>
        <v>0</v>
      </c>
      <c r="AB148" s="16">
        <f ca="1">IFERROR(_xlfn.XLOOKUP($F148,'FCDB 2017 (full)'!$C:$C,'FCDB 2017 (full)'!$S:$S)*$H148/100,0)</f>
        <v>0</v>
      </c>
      <c r="AC148" s="16">
        <f ca="1">IFERROR(_xlfn.XLOOKUP($F148,'FCDB 2017 (full)'!$C:$C,'FCDB 2017 (full)'!$T:$T)*$H148/100,0)</f>
        <v>0</v>
      </c>
      <c r="AD148" s="16">
        <f ca="1">IFERROR(_xlfn.XLOOKUP($F148,'FCDB 2017 (full)'!$C:$C,'FCDB 2017 (full)'!$U:$U)*$H148/100,0)</f>
        <v>0</v>
      </c>
      <c r="AE148" s="16">
        <f ca="1">IFERROR(_xlfn.XLOOKUP($F148,'FCDB 2017 (full)'!$C:$C,'FCDB 2017 (full)'!$V:$V)*$H148/100,0)</f>
        <v>0</v>
      </c>
      <c r="AF148" s="16">
        <f ca="1">IFERROR(_xlfn.XLOOKUP($F148,'FCDB 2017 (full)'!$C:$C,'FCDB 2017 (full)'!$W:$W)*$H148/100,0)</f>
        <v>0</v>
      </c>
      <c r="AG148" s="16">
        <f ca="1">IFERROR(_xlfn.XLOOKUP($F148,'FCDB 2017 (full)'!$C:$C,'FCDB 2017 (full)'!$X:$X)*$H148/100,0)</f>
        <v>0</v>
      </c>
      <c r="AH148" s="16">
        <f ca="1">IFERROR(_xlfn.XLOOKUP($F148,'FCDB 2017 (full)'!$C:$C,'FCDB 2017 (full)'!$Y:$Y)*$H148/100,0)</f>
        <v>0</v>
      </c>
      <c r="AI148" s="16">
        <f ca="1">IFERROR(_xlfn.XLOOKUP($F148,'FCDB 2017 (full)'!$C:$C,'FCDB 2017 (full)'!$Z:$Z)*$H148/100,0)</f>
        <v>0</v>
      </c>
      <c r="AJ148" s="16">
        <f ca="1">IFERROR(_xlfn.XLOOKUP($F148,'FCDB 2017 (full)'!$C:$C,'FCDB 2017 (full)'!$AA:$AA)*$H148/100,0)</f>
        <v>0</v>
      </c>
      <c r="AK148" s="16">
        <f ca="1">IFERROR(_xlfn.XLOOKUP($F148,'FCDB 2017 (full)'!$C:$C,'FCDB 2017 (full)'!$AB:$AB)*$H148/100,0)</f>
        <v>0</v>
      </c>
      <c r="AL148" s="16">
        <f ca="1">IFERROR(_xlfn.XLOOKUP($F148,'FCDB 2017 (full)'!$C:$C,'FCDB 2017 (full)'!$AC:$AC)*$H148/100,0)</f>
        <v>0</v>
      </c>
      <c r="AM148" s="16">
        <f ca="1">IFERROR(_xlfn.XLOOKUP($F148,'FCDB 2017 (full)'!$C:$C,'FCDB 2017 (full)'!$AD:$AD)*$H148/100,0)</f>
        <v>0</v>
      </c>
      <c r="AN148" s="16">
        <f ca="1">IFERROR(_xlfn.XLOOKUP($F148,'FCDB 2017 (full)'!$C:$C,'FCDB 2017 (full)'!$AE:$AE)*$H148/100,0)</f>
        <v>0</v>
      </c>
      <c r="AO148" s="16">
        <f ca="1">IFERROR(_xlfn.XLOOKUP($F148,'FCDB 2017 (full)'!$C:$C,'FCDB 2017 (full)'!$AF:$AF)*$H148/100,0)</f>
        <v>0</v>
      </c>
      <c r="AP148" s="16">
        <f ca="1">IFERROR(_xlfn.XLOOKUP($F148,'FCDB 2017 (full)'!$C:$C,'FCDB 2017 (full)'!$AG:$AG)*$H148/100,0)</f>
        <v>0</v>
      </c>
      <c r="AQ148" s="16">
        <f ca="1">IFERROR(_xlfn.XLOOKUP($F148,'FCDB 2017 (full)'!$C:$C,'FCDB 2017 (full)'!$AH:$AH)*$H148/100,0)</f>
        <v>0</v>
      </c>
      <c r="AR148" s="16">
        <f ca="1">IFERROR(_xlfn.XLOOKUP($F148,'FCDB 2017 (full)'!$C:$C,'FCDB 2017 (full)'!$AI:$AI)*$H148/100,0)</f>
        <v>0</v>
      </c>
      <c r="AS148" s="16">
        <f ca="1">IFERROR(_xlfn.XLOOKUP($F148,'FCDB 2017 (full)'!$C:$C,'FCDB 2017 (full)'!$AJ:$AJ)*$H148/100,0)</f>
        <v>0</v>
      </c>
      <c r="AT148" s="16">
        <f ca="1">IFERROR(_xlfn.XLOOKUP($F148,'FCDB 2017 (full)'!$C:$C,'FCDB 2017 (full)'!$AK:$AK)*$H148/100,0)</f>
        <v>0</v>
      </c>
      <c r="AU148" s="16">
        <f ca="1">IFERROR(_xlfn.XLOOKUP($F148,'FCDB 2017 (full)'!$C:$C,'FCDB 2017 (full)'!$AK:$AK)*$H148/100,0)</f>
        <v>0</v>
      </c>
      <c r="AV148" s="16">
        <f ca="1">IFERROR(_xlfn.XLOOKUP($F148,'FCDB 2017 (full)'!$C:$C,'FCDB 2017 (full)'!$AM:$AM)*$H148/100,0)</f>
        <v>0</v>
      </c>
      <c r="AW148" s="16">
        <f ca="1">IFERROR(_xlfn.XLOOKUP($F148,'FCDB 2017 (full)'!$C:$C,'FCDB 2017 (full)'!$AN:$AN)*$H148/100,0)</f>
        <v>0</v>
      </c>
      <c r="AX148" s="16">
        <f ca="1">IFERROR(_xlfn.XLOOKUP($F148,'FCDB 2017 (full)'!$C:$C,'FCDB 2017 (full)'!$AO:$AO)*$H148/100,0)</f>
        <v>0</v>
      </c>
      <c r="AY148" s="16">
        <f ca="1">IFERROR(_xlfn.XLOOKUP($F148,'FCDB 2017 (full)'!$C:$C,'FCDB 2017 (full)'!$AP:$AP)*$H148/100,0)</f>
        <v>0</v>
      </c>
      <c r="AZ148" s="16">
        <f ca="1">IFERROR(_xlfn.XLOOKUP($F148,'FCDB 2017 (full)'!$C:$C,'FCDB 2017 (full)'!$AQ:$AQ)*$H148/100,0)</f>
        <v>0</v>
      </c>
      <c r="BA148" s="16">
        <f ca="1">IFERROR(_xlfn.XLOOKUP($F148,'FCDB 2017 (full)'!$C:$C,'FCDB 2017 (full)'!$AR:$AR)*$H148/100,0)</f>
        <v>0</v>
      </c>
      <c r="BB148" s="16">
        <f ca="1">IFERROR(_xlfn.XLOOKUP($F148,'FCDB 2017 (full)'!$C:$C,'FCDB 2017 (full)'!$AS:$AS)*$H148/100,0)</f>
        <v>0</v>
      </c>
      <c r="BC148" s="16">
        <f ca="1">IFERROR(_xlfn.XLOOKUP($F148,'FCDB 2017 (full)'!$C:$C,'FCDB 2017 (full)'!$AT:$AT)*$H148/100,0)</f>
        <v>0</v>
      </c>
      <c r="BD148" s="16">
        <f ca="1">IFERROR(_xlfn.XLOOKUP($F148,'FCDB 2017 (full)'!$C:$C,'FCDB 2017 (full)'!$AU:$AU)*$H148/100,0)</f>
        <v>0</v>
      </c>
      <c r="BE148" s="16">
        <f ca="1">IFERROR(_xlfn.XLOOKUP($F148,'FCDB 2017 (full)'!$C:$C,'FCDB 2017 (full)'!$AV:$AV)*$H148/100,0)</f>
        <v>0</v>
      </c>
      <c r="BF148" s="16">
        <f ca="1">IFERROR(_xlfn.XLOOKUP($F148,'FCDB 2017 (full)'!$C:$C,'FCDB 2017 (full)'!$AW:$AW)*$H148/100,0)</f>
        <v>0</v>
      </c>
      <c r="BG148" s="16">
        <f ca="1">IFERROR(_xlfn.XLOOKUP($F148,'FCDB 2017 (full)'!$C:$C,'FCDB 2017 (full)'!$AX:$AX)*$H148/100,0)</f>
        <v>0</v>
      </c>
      <c r="BH148" s="16">
        <f ca="1">IFERROR(_xlfn.XLOOKUP($F148,'FCDB 2017 (full)'!$C:$C,'FCDB 2017 (full)'!$AY:$AY)*$H148/100,0)</f>
        <v>0</v>
      </c>
      <c r="BI148" s="16">
        <f ca="1">IFERROR(_xlfn.XLOOKUP($F148,'FCDB 2017 (full)'!$C:$C,'FCDB 2017 (full)'!$AZ:$AZ)*$H148/100,0)</f>
        <v>0</v>
      </c>
      <c r="BJ148" s="16">
        <f ca="1">IFERROR(_xlfn.XLOOKUP($F148,'FCDB 2017 (full)'!$C:$C,'FCDB 2017 (full)'!$BA:$BA)*$H148/100,0)</f>
        <v>0</v>
      </c>
      <c r="BK148" s="16">
        <f ca="1">IFERROR(_xlfn.XLOOKUP($F148,'FCDB 2017 (full)'!$C:$C,'FCDB 2017 (full)'!$BB:$BB)*$H148/100,0)</f>
        <v>0</v>
      </c>
      <c r="BL148" s="16">
        <f ca="1">IFERROR(_xlfn.XLOOKUP($F148,'FCDB 2017 (full)'!$C:$C,'FCDB 2017 (full)'!$BC:$BC)*$H148/100,0)</f>
        <v>0</v>
      </c>
      <c r="BM148" s="16">
        <f ca="1">IFERROR(_xlfn.XLOOKUP($F148,'FCDB 2017 (full)'!$C:$C,'FCDB 2017 (full)'!$BD:$BD)*$H148/100,0)</f>
        <v>0</v>
      </c>
      <c r="BN148" s="16">
        <f ca="1">IFERROR(_xlfn.XLOOKUP($F148,'FCDB 2017 (full)'!$C:$C,'FCDB 2017 (full)'!$BE:$BE)*$H148/100,0)</f>
        <v>0</v>
      </c>
      <c r="BO148" s="16">
        <f ca="1">IFERROR(_xlfn.XLOOKUP($F148,'FCDB 2017 (full)'!$C:$C,'FCDB 2017 (full)'!$BF:$BF)*$H148/100,0)</f>
        <v>0</v>
      </c>
      <c r="BP148" s="16">
        <f ca="1">IFERROR(_xlfn.XLOOKUP($F148,'FCDB 2017 (full)'!$C:$C,'FCDB 2017 (full)'!$BG:$BG)*$H148/100,0)</f>
        <v>0</v>
      </c>
      <c r="BQ148" s="16">
        <f ca="1">IFERROR(_xlfn.XLOOKUP($F148,'FCDB 2017 (full)'!$C:$C,'FCDB 2017 (full)'!$BH:$BH)*$H148/100,0)</f>
        <v>0</v>
      </c>
      <c r="BR148" s="16">
        <f ca="1">IFERROR(_xlfn.XLOOKUP($F148,'FCDB 2017 (full)'!$C:$C,'FCDB 2017 (full)'!$BI:$BI)*$H148/100,0)</f>
        <v>0</v>
      </c>
      <c r="BS148" s="16">
        <f ca="1">IFERROR(_xlfn.XLOOKUP($F148,'FCDB 2017 (full)'!$C:$C,'FCDB 2017 (full)'!$BJ:$BJ)*$H148/100,0)</f>
        <v>0</v>
      </c>
      <c r="BT148" s="16">
        <f ca="1">IFERROR(_xlfn.XLOOKUP($F148,'FCDB 2017 (full)'!$C:$C,'FCDB 2017 (full)'!$BK:$BK)*$H148/100,0)</f>
        <v>0</v>
      </c>
      <c r="BU148" s="16">
        <f ca="1">IFERROR(_xlfn.XLOOKUP($F148,'FCDB 2017 (full)'!$C:$C,'FCDB 2017 (full)'!$BL:$BL)*$H148/100,0)</f>
        <v>0</v>
      </c>
      <c r="BV148" s="16">
        <f ca="1">IFERROR(_xlfn.XLOOKUP($F148,'FCDB 2017 (full)'!$C:$C,'FCDB 2017 (full)'!$BM:$BM)*$H148/100,0)</f>
        <v>0</v>
      </c>
      <c r="BW148" s="16">
        <f ca="1">IFERROR(_xlfn.XLOOKUP($F148,'FCDB 2017 (full)'!$C:$C,'FCDB 2017 (full)'!$BN:$BN)*$H148/100,0)</f>
        <v>0</v>
      </c>
      <c r="BX148" s="16">
        <f ca="1">IFERROR(_xlfn.XLOOKUP($F148,'FCDB 2017 (full)'!$C:$C,'FCDB 2017 (full)'!$BO:$BO)*$H148/100,0)</f>
        <v>0</v>
      </c>
      <c r="BY148" s="16">
        <f ca="1">IFERROR(_xlfn.XLOOKUP($F148,'FCDB 2017 (full)'!$C:$C,'FCDB 2017 (full)'!$BP:$BP)*$H148/100,0)</f>
        <v>0</v>
      </c>
      <c r="BZ148" s="16">
        <f ca="1">IFERROR(_xlfn.XLOOKUP($F148,'FCDB 2017 (full)'!$C:$C,'FCDB 2017 (full)'!$BQ:$BQ)*$H148/100,0)</f>
        <v>0</v>
      </c>
      <c r="CA148" s="16">
        <f ca="1">IFERROR(_xlfn.XLOOKUP($F148,'FCDB 2017 (full)'!$C:$C,'FCDB 2017 (full)'!$BR:$BR)*$H148/100,0)</f>
        <v>0</v>
      </c>
      <c r="CB148" s="16">
        <f ca="1">IFERROR(_xlfn.XLOOKUP($F148,'FCDB 2017 (full)'!$C:$C,'FCDB 2017 (full)'!$BS:$BS)*$H148/100,0)</f>
        <v>0</v>
      </c>
      <c r="CC148" s="16">
        <f ca="1">IFERROR(_xlfn.XLOOKUP($F148,'FCDB 2017 (full)'!$C:$C,'FCDB 2017 (full)'!$BT:$BT)*$H148/100,0)</f>
        <v>0</v>
      </c>
      <c r="CD148" s="16">
        <f ca="1">IFERROR(_xlfn.XLOOKUP($F148,'FCDB 2017 (full)'!$C:$C,'FCDB 2017 (full)'!$BU:$BU)*$H148/100,0)</f>
        <v>0</v>
      </c>
      <c r="CE148" s="16">
        <f ca="1">IFERROR(_xlfn.XLOOKUP($F148,'FCDB 2017 (full)'!$C:$C,'FCDB 2017 (full)'!$BV:$BV)*$H148/100,0)</f>
        <v>0</v>
      </c>
      <c r="CF148" s="16">
        <f ca="1">IFERROR(_xlfn.XLOOKUP($F148,'FCDB 2017 (full)'!$C:$C,'FCDB 2017 (full)'!$BW:$BW)*$H148/100,0)</f>
        <v>0</v>
      </c>
      <c r="CG148" s="16">
        <f ca="1">IFERROR(_xlfn.XLOOKUP($F148,'FCDB 2017 (full)'!$C:$C,'FCDB 2017 (full)'!$BX:$BX)*$H148/100,0)</f>
        <v>0</v>
      </c>
      <c r="CH148" s="16">
        <f ca="1">IFERROR(_xlfn.XLOOKUP($F148,'FCDB 2017 (full)'!$C:$C,'FCDB 2017 (full)'!$BY:$BY)*$H148/100,0)</f>
        <v>0</v>
      </c>
      <c r="CI148" s="16">
        <f ca="1">IFERROR(_xlfn.XLOOKUP($F148,'FCDB 2017 (full)'!$C:$C,'FCDB 2017 (full)'!$BZ:$BZ)*$H148/100,0)</f>
        <v>0</v>
      </c>
      <c r="CJ148" s="16">
        <f ca="1">IFERROR(_xlfn.XLOOKUP($F148,'FCDB 2017 (full)'!$C:$C,'FCDB 2017 (full)'!$CA:$CA)*$H148/100,0)</f>
        <v>0</v>
      </c>
      <c r="CK148" s="16">
        <f ca="1">IFERROR(_xlfn.XLOOKUP($F148,'FCDB 2017 (full)'!$C:$C,'FCDB 2017 (full)'!$CB:$CB)*$H148/100,0)</f>
        <v>0</v>
      </c>
      <c r="CL148" s="16">
        <f ca="1">IFERROR(_xlfn.XLOOKUP($F148,'FCDB 2017 (full)'!$C:$C,'FCDB 2017 (full)'!$CC:$CC)*$H148/100,0)</f>
        <v>0</v>
      </c>
      <c r="CM148" s="16">
        <f ca="1">IFERROR(_xlfn.XLOOKUP($F148,'FCDB 2017 (full)'!$C:$C,'FCDB 2017 (full)'!$CD:$CD)*$H148/100,0)</f>
        <v>0</v>
      </c>
      <c r="CN148" s="16">
        <f ca="1">IFERROR(_xlfn.XLOOKUP($F148,'FCDB 2017 (full)'!$C:$C,'FCDB 2017 (full)'!$CE:$CE)*$H148/100,0)</f>
        <v>0</v>
      </c>
      <c r="CO148" s="16">
        <f ca="1">IFERROR(_xlfn.XLOOKUP($F148,'FCDB 2017 (full)'!$C:$C,'FCDB 2017 (full)'!$CF:$CF)*$H148/100,0)</f>
        <v>0</v>
      </c>
      <c r="CP148" s="16">
        <f ca="1">IFERROR(_xlfn.XLOOKUP($F148,'FCDB 2017 (full)'!$C:$C,'FCDB 2017 (full)'!$CG:$CG)*$H148/100,0)</f>
        <v>0</v>
      </c>
      <c r="CQ148" s="16">
        <f ca="1">IFERROR(_xlfn.XLOOKUP($F148,'FCDB 2017 (full)'!$C:$C,'FCDB 2017 (full)'!$CH:$CH)*$H148/100,0)</f>
        <v>0</v>
      </c>
      <c r="DA148" s="73" t="s">
        <v>985</v>
      </c>
    </row>
    <row r="149" spans="4:105">
      <c r="E149" s="41"/>
      <c r="F149" s="11">
        <f>IFERROR(VLOOKUP($D$139,$D:$AE,5,0),0)</f>
        <v>0</v>
      </c>
      <c r="G149" s="7" cm="1">
        <f t="array" ref="G149">IF(F149=0,0,IF(_xlfn.XLOOKUP(F149,$E$139:$AE$139,$E$140:$AE$140)=0,"Nhập ĐV/TV",_xlfn.XLOOKUP(F149,$E$139:$AE$139,$E$140:$AE$140)))</f>
        <v>0</v>
      </c>
      <c r="H149" s="8" cm="1">
        <f t="array" ref="H149">IFERROR(INDEX($E$141:$AE$141,MATCH(F149,$E$139:$AE$139,0)),0)</f>
        <v>0</v>
      </c>
      <c r="I149" s="9">
        <f ca="1">IFERROR(_xlfn.XLOOKUP($F149,'FCDB 2017 (full)'!$C:$C,'FCDB 2017 (full)'!$E:$E),0)</f>
        <v>0</v>
      </c>
      <c r="J149" s="10">
        <f t="shared" ca="1" si="30"/>
        <v>0</v>
      </c>
      <c r="K149" s="9">
        <f ca="1">IFERROR(_xlfn.XLOOKUP($F149,'FCDB 2017 (full)'!$C:$C,'FCDB 2017 (full)'!$G:$G),0)</f>
        <v>0</v>
      </c>
      <c r="L149" s="13">
        <f t="shared" si="31"/>
        <v>0</v>
      </c>
      <c r="M149" s="13">
        <f t="shared" si="32"/>
        <v>0</v>
      </c>
      <c r="N149" s="9">
        <f ca="1">IFERROR(_xlfn.XLOOKUP($F149,'FCDB 2017 (full)'!$C:$C,'FCDB 2017 (full)'!$H:$H),0)</f>
        <v>0</v>
      </c>
      <c r="O149" s="14">
        <f t="shared" si="33"/>
        <v>0</v>
      </c>
      <c r="P149" s="14">
        <f t="shared" si="34"/>
        <v>0</v>
      </c>
      <c r="Q149" s="9">
        <f ca="1">IFERROR(_xlfn.XLOOKUP($F149,'FCDB 2017 (full)'!$C:$C,'FCDB 2017 (full)'!$I:$I),0)</f>
        <v>0</v>
      </c>
      <c r="R149" s="15">
        <f t="shared" ca="1" si="35"/>
        <v>0</v>
      </c>
      <c r="S149" s="16">
        <f ca="1">IFERROR(_xlfn.XLOOKUP($F149,'FCDB 2017 (full)'!$C:$C,'FCDB 2017 (full)'!$J:$J)*$H149/100,0)</f>
        <v>0</v>
      </c>
      <c r="T149" s="16">
        <f ca="1">IFERROR(_xlfn.XLOOKUP($F149,'FCDB 2017 (full)'!$C:$C,'FCDB 2017 (full)'!$K:$K)*$H149/100,0)</f>
        <v>0</v>
      </c>
      <c r="U149" s="16">
        <f ca="1">IFERROR(_xlfn.XLOOKUP($F149,'FCDB 2017 (full)'!$C:$C,'FCDB 2017 (full)'!$L:$L)*$H149/100,0)</f>
        <v>0</v>
      </c>
      <c r="V149" s="16">
        <f ca="1">IFERROR(_xlfn.XLOOKUP($F149,'FCDB 2017 (full)'!$C:$C,'FCDB 2017 (full)'!$M:$M)*$H149/100,0)</f>
        <v>0</v>
      </c>
      <c r="W149" s="16">
        <f ca="1">IFERROR(_xlfn.XLOOKUP($F149,'FCDB 2017 (full)'!$C:$C,'FCDB 2017 (full)'!$N:$N)*$H149/100,0)</f>
        <v>0</v>
      </c>
      <c r="X149" s="16">
        <f ca="1">IFERROR(_xlfn.XLOOKUP($F149,'FCDB 2017 (full)'!$C:$C,'FCDB 2017 (full)'!$O:$O)*$H149/100,0)</f>
        <v>0</v>
      </c>
      <c r="Y149" s="16">
        <f ca="1">IFERROR(_xlfn.XLOOKUP($F149,'FCDB 2017 (full)'!$C:$C,'FCDB 2017 (full)'!$P:$P)*$H149/100,0)</f>
        <v>0</v>
      </c>
      <c r="Z149" s="16">
        <f ca="1">IFERROR(_xlfn.XLOOKUP($F149,'FCDB 2017 (full)'!$C:$C,'FCDB 2017 (full)'!$Q:$Q)*$H149/100,0)</f>
        <v>0</v>
      </c>
      <c r="AA149" s="16">
        <f ca="1">IFERROR(_xlfn.XLOOKUP($F149,'FCDB 2017 (full)'!$C:$C,'FCDB 2017 (full)'!$R:$R)*$H149/100,0)</f>
        <v>0</v>
      </c>
      <c r="AB149" s="16">
        <f ca="1">IFERROR(_xlfn.XLOOKUP($F149,'FCDB 2017 (full)'!$C:$C,'FCDB 2017 (full)'!$S:$S)*$H149/100,0)</f>
        <v>0</v>
      </c>
      <c r="AC149" s="16">
        <f ca="1">IFERROR(_xlfn.XLOOKUP($F149,'FCDB 2017 (full)'!$C:$C,'FCDB 2017 (full)'!$T:$T)*$H149/100,0)</f>
        <v>0</v>
      </c>
      <c r="AD149" s="16">
        <f ca="1">IFERROR(_xlfn.XLOOKUP($F149,'FCDB 2017 (full)'!$C:$C,'FCDB 2017 (full)'!$U:$U)*$H149/100,0)</f>
        <v>0</v>
      </c>
      <c r="AE149" s="16">
        <f ca="1">IFERROR(_xlfn.XLOOKUP($F149,'FCDB 2017 (full)'!$C:$C,'FCDB 2017 (full)'!$V:$V)*$H149/100,0)</f>
        <v>0</v>
      </c>
      <c r="AF149" s="16">
        <f ca="1">IFERROR(_xlfn.XLOOKUP($F149,'FCDB 2017 (full)'!$C:$C,'FCDB 2017 (full)'!$W:$W)*$H149/100,0)</f>
        <v>0</v>
      </c>
      <c r="AG149" s="16">
        <f ca="1">IFERROR(_xlfn.XLOOKUP($F149,'FCDB 2017 (full)'!$C:$C,'FCDB 2017 (full)'!$X:$X)*$H149/100,0)</f>
        <v>0</v>
      </c>
      <c r="AH149" s="16">
        <f ca="1">IFERROR(_xlfn.XLOOKUP($F149,'FCDB 2017 (full)'!$C:$C,'FCDB 2017 (full)'!$Y:$Y)*$H149/100,0)</f>
        <v>0</v>
      </c>
      <c r="AI149" s="16">
        <f ca="1">IFERROR(_xlfn.XLOOKUP($F149,'FCDB 2017 (full)'!$C:$C,'FCDB 2017 (full)'!$Z:$Z)*$H149/100,0)</f>
        <v>0</v>
      </c>
      <c r="AJ149" s="16">
        <f ca="1">IFERROR(_xlfn.XLOOKUP($F149,'FCDB 2017 (full)'!$C:$C,'FCDB 2017 (full)'!$AA:$AA)*$H149/100,0)</f>
        <v>0</v>
      </c>
      <c r="AK149" s="16">
        <f ca="1">IFERROR(_xlfn.XLOOKUP($F149,'FCDB 2017 (full)'!$C:$C,'FCDB 2017 (full)'!$AB:$AB)*$H149/100,0)</f>
        <v>0</v>
      </c>
      <c r="AL149" s="16">
        <f ca="1">IFERROR(_xlfn.XLOOKUP($F149,'FCDB 2017 (full)'!$C:$C,'FCDB 2017 (full)'!$AC:$AC)*$H149/100,0)</f>
        <v>0</v>
      </c>
      <c r="AM149" s="16">
        <f ca="1">IFERROR(_xlfn.XLOOKUP($F149,'FCDB 2017 (full)'!$C:$C,'FCDB 2017 (full)'!$AD:$AD)*$H149/100,0)</f>
        <v>0</v>
      </c>
      <c r="AN149" s="16">
        <f ca="1">IFERROR(_xlfn.XLOOKUP($F149,'FCDB 2017 (full)'!$C:$C,'FCDB 2017 (full)'!$AE:$AE)*$H149/100,0)</f>
        <v>0</v>
      </c>
      <c r="AO149" s="16">
        <f ca="1">IFERROR(_xlfn.XLOOKUP($F149,'FCDB 2017 (full)'!$C:$C,'FCDB 2017 (full)'!$AF:$AF)*$H149/100,0)</f>
        <v>0</v>
      </c>
      <c r="AP149" s="16">
        <f ca="1">IFERROR(_xlfn.XLOOKUP($F149,'FCDB 2017 (full)'!$C:$C,'FCDB 2017 (full)'!$AG:$AG)*$H149/100,0)</f>
        <v>0</v>
      </c>
      <c r="AQ149" s="16">
        <f ca="1">IFERROR(_xlfn.XLOOKUP($F149,'FCDB 2017 (full)'!$C:$C,'FCDB 2017 (full)'!$AH:$AH)*$H149/100,0)</f>
        <v>0</v>
      </c>
      <c r="AR149" s="16">
        <f ca="1">IFERROR(_xlfn.XLOOKUP($F149,'FCDB 2017 (full)'!$C:$C,'FCDB 2017 (full)'!$AI:$AI)*$H149/100,0)</f>
        <v>0</v>
      </c>
      <c r="AS149" s="16">
        <f ca="1">IFERROR(_xlfn.XLOOKUP($F149,'FCDB 2017 (full)'!$C:$C,'FCDB 2017 (full)'!$AJ:$AJ)*$H149/100,0)</f>
        <v>0</v>
      </c>
      <c r="AT149" s="16">
        <f ca="1">IFERROR(_xlfn.XLOOKUP($F149,'FCDB 2017 (full)'!$C:$C,'FCDB 2017 (full)'!$AK:$AK)*$H149/100,0)</f>
        <v>0</v>
      </c>
      <c r="AU149" s="16">
        <f ca="1">IFERROR(_xlfn.XLOOKUP($F149,'FCDB 2017 (full)'!$C:$C,'FCDB 2017 (full)'!$AK:$AK)*$H149/100,0)</f>
        <v>0</v>
      </c>
      <c r="AV149" s="16">
        <f ca="1">IFERROR(_xlfn.XLOOKUP($F149,'FCDB 2017 (full)'!$C:$C,'FCDB 2017 (full)'!$AM:$AM)*$H149/100,0)</f>
        <v>0</v>
      </c>
      <c r="AW149" s="16">
        <f ca="1">IFERROR(_xlfn.XLOOKUP($F149,'FCDB 2017 (full)'!$C:$C,'FCDB 2017 (full)'!$AN:$AN)*$H149/100,0)</f>
        <v>0</v>
      </c>
      <c r="AX149" s="16">
        <f ca="1">IFERROR(_xlfn.XLOOKUP($F149,'FCDB 2017 (full)'!$C:$C,'FCDB 2017 (full)'!$AO:$AO)*$H149/100,0)</f>
        <v>0</v>
      </c>
      <c r="AY149" s="16">
        <f ca="1">IFERROR(_xlfn.XLOOKUP($F149,'FCDB 2017 (full)'!$C:$C,'FCDB 2017 (full)'!$AP:$AP)*$H149/100,0)</f>
        <v>0</v>
      </c>
      <c r="AZ149" s="16">
        <f ca="1">IFERROR(_xlfn.XLOOKUP($F149,'FCDB 2017 (full)'!$C:$C,'FCDB 2017 (full)'!$AQ:$AQ)*$H149/100,0)</f>
        <v>0</v>
      </c>
      <c r="BA149" s="16">
        <f ca="1">IFERROR(_xlfn.XLOOKUP($F149,'FCDB 2017 (full)'!$C:$C,'FCDB 2017 (full)'!$AR:$AR)*$H149/100,0)</f>
        <v>0</v>
      </c>
      <c r="BB149" s="16">
        <f ca="1">IFERROR(_xlfn.XLOOKUP($F149,'FCDB 2017 (full)'!$C:$C,'FCDB 2017 (full)'!$AS:$AS)*$H149/100,0)</f>
        <v>0</v>
      </c>
      <c r="BC149" s="16">
        <f ca="1">IFERROR(_xlfn.XLOOKUP($F149,'FCDB 2017 (full)'!$C:$C,'FCDB 2017 (full)'!$AT:$AT)*$H149/100,0)</f>
        <v>0</v>
      </c>
      <c r="BD149" s="16">
        <f ca="1">IFERROR(_xlfn.XLOOKUP($F149,'FCDB 2017 (full)'!$C:$C,'FCDB 2017 (full)'!$AU:$AU)*$H149/100,0)</f>
        <v>0</v>
      </c>
      <c r="BE149" s="16">
        <f ca="1">IFERROR(_xlfn.XLOOKUP($F149,'FCDB 2017 (full)'!$C:$C,'FCDB 2017 (full)'!$AV:$AV)*$H149/100,0)</f>
        <v>0</v>
      </c>
      <c r="BF149" s="16">
        <f ca="1">IFERROR(_xlfn.XLOOKUP($F149,'FCDB 2017 (full)'!$C:$C,'FCDB 2017 (full)'!$AW:$AW)*$H149/100,0)</f>
        <v>0</v>
      </c>
      <c r="BG149" s="16">
        <f ca="1">IFERROR(_xlfn.XLOOKUP($F149,'FCDB 2017 (full)'!$C:$C,'FCDB 2017 (full)'!$AX:$AX)*$H149/100,0)</f>
        <v>0</v>
      </c>
      <c r="BH149" s="16">
        <f ca="1">IFERROR(_xlfn.XLOOKUP($F149,'FCDB 2017 (full)'!$C:$C,'FCDB 2017 (full)'!$AY:$AY)*$H149/100,0)</f>
        <v>0</v>
      </c>
      <c r="BI149" s="16">
        <f ca="1">IFERROR(_xlfn.XLOOKUP($F149,'FCDB 2017 (full)'!$C:$C,'FCDB 2017 (full)'!$AZ:$AZ)*$H149/100,0)</f>
        <v>0</v>
      </c>
      <c r="BJ149" s="16">
        <f ca="1">IFERROR(_xlfn.XLOOKUP($F149,'FCDB 2017 (full)'!$C:$C,'FCDB 2017 (full)'!$BA:$BA)*$H149/100,0)</f>
        <v>0</v>
      </c>
      <c r="BK149" s="16">
        <f ca="1">IFERROR(_xlfn.XLOOKUP($F149,'FCDB 2017 (full)'!$C:$C,'FCDB 2017 (full)'!$BB:$BB)*$H149/100,0)</f>
        <v>0</v>
      </c>
      <c r="BL149" s="16">
        <f ca="1">IFERROR(_xlfn.XLOOKUP($F149,'FCDB 2017 (full)'!$C:$C,'FCDB 2017 (full)'!$BC:$BC)*$H149/100,0)</f>
        <v>0</v>
      </c>
      <c r="BM149" s="16">
        <f ca="1">IFERROR(_xlfn.XLOOKUP($F149,'FCDB 2017 (full)'!$C:$C,'FCDB 2017 (full)'!$BD:$BD)*$H149/100,0)</f>
        <v>0</v>
      </c>
      <c r="BN149" s="16">
        <f ca="1">IFERROR(_xlfn.XLOOKUP($F149,'FCDB 2017 (full)'!$C:$C,'FCDB 2017 (full)'!$BE:$BE)*$H149/100,0)</f>
        <v>0</v>
      </c>
      <c r="BO149" s="16">
        <f ca="1">IFERROR(_xlfn.XLOOKUP($F149,'FCDB 2017 (full)'!$C:$C,'FCDB 2017 (full)'!$BF:$BF)*$H149/100,0)</f>
        <v>0</v>
      </c>
      <c r="BP149" s="16">
        <f ca="1">IFERROR(_xlfn.XLOOKUP($F149,'FCDB 2017 (full)'!$C:$C,'FCDB 2017 (full)'!$BG:$BG)*$H149/100,0)</f>
        <v>0</v>
      </c>
      <c r="BQ149" s="16">
        <f ca="1">IFERROR(_xlfn.XLOOKUP($F149,'FCDB 2017 (full)'!$C:$C,'FCDB 2017 (full)'!$BH:$BH)*$H149/100,0)</f>
        <v>0</v>
      </c>
      <c r="BR149" s="16">
        <f ca="1">IFERROR(_xlfn.XLOOKUP($F149,'FCDB 2017 (full)'!$C:$C,'FCDB 2017 (full)'!$BI:$BI)*$H149/100,0)</f>
        <v>0</v>
      </c>
      <c r="BS149" s="16">
        <f ca="1">IFERROR(_xlfn.XLOOKUP($F149,'FCDB 2017 (full)'!$C:$C,'FCDB 2017 (full)'!$BJ:$BJ)*$H149/100,0)</f>
        <v>0</v>
      </c>
      <c r="BT149" s="16">
        <f ca="1">IFERROR(_xlfn.XLOOKUP($F149,'FCDB 2017 (full)'!$C:$C,'FCDB 2017 (full)'!$BK:$BK)*$H149/100,0)</f>
        <v>0</v>
      </c>
      <c r="BU149" s="16">
        <f ca="1">IFERROR(_xlfn.XLOOKUP($F149,'FCDB 2017 (full)'!$C:$C,'FCDB 2017 (full)'!$BL:$BL)*$H149/100,0)</f>
        <v>0</v>
      </c>
      <c r="BV149" s="16">
        <f ca="1">IFERROR(_xlfn.XLOOKUP($F149,'FCDB 2017 (full)'!$C:$C,'FCDB 2017 (full)'!$BM:$BM)*$H149/100,0)</f>
        <v>0</v>
      </c>
      <c r="BW149" s="16">
        <f ca="1">IFERROR(_xlfn.XLOOKUP($F149,'FCDB 2017 (full)'!$C:$C,'FCDB 2017 (full)'!$BN:$BN)*$H149/100,0)</f>
        <v>0</v>
      </c>
      <c r="BX149" s="16">
        <f ca="1">IFERROR(_xlfn.XLOOKUP($F149,'FCDB 2017 (full)'!$C:$C,'FCDB 2017 (full)'!$BO:$BO)*$H149/100,0)</f>
        <v>0</v>
      </c>
      <c r="BY149" s="16">
        <f ca="1">IFERROR(_xlfn.XLOOKUP($F149,'FCDB 2017 (full)'!$C:$C,'FCDB 2017 (full)'!$BP:$BP)*$H149/100,0)</f>
        <v>0</v>
      </c>
      <c r="BZ149" s="16">
        <f ca="1">IFERROR(_xlfn.XLOOKUP($F149,'FCDB 2017 (full)'!$C:$C,'FCDB 2017 (full)'!$BQ:$BQ)*$H149/100,0)</f>
        <v>0</v>
      </c>
      <c r="CA149" s="16">
        <f ca="1">IFERROR(_xlfn.XLOOKUP($F149,'FCDB 2017 (full)'!$C:$C,'FCDB 2017 (full)'!$BR:$BR)*$H149/100,0)</f>
        <v>0</v>
      </c>
      <c r="CB149" s="16">
        <f ca="1">IFERROR(_xlfn.XLOOKUP($F149,'FCDB 2017 (full)'!$C:$C,'FCDB 2017 (full)'!$BS:$BS)*$H149/100,0)</f>
        <v>0</v>
      </c>
      <c r="CC149" s="16">
        <f ca="1">IFERROR(_xlfn.XLOOKUP($F149,'FCDB 2017 (full)'!$C:$C,'FCDB 2017 (full)'!$BT:$BT)*$H149/100,0)</f>
        <v>0</v>
      </c>
      <c r="CD149" s="16">
        <f ca="1">IFERROR(_xlfn.XLOOKUP($F149,'FCDB 2017 (full)'!$C:$C,'FCDB 2017 (full)'!$BU:$BU)*$H149/100,0)</f>
        <v>0</v>
      </c>
      <c r="CE149" s="16">
        <f ca="1">IFERROR(_xlfn.XLOOKUP($F149,'FCDB 2017 (full)'!$C:$C,'FCDB 2017 (full)'!$BV:$BV)*$H149/100,0)</f>
        <v>0</v>
      </c>
      <c r="CF149" s="16">
        <f ca="1">IFERROR(_xlfn.XLOOKUP($F149,'FCDB 2017 (full)'!$C:$C,'FCDB 2017 (full)'!$BW:$BW)*$H149/100,0)</f>
        <v>0</v>
      </c>
      <c r="CG149" s="16">
        <f ca="1">IFERROR(_xlfn.XLOOKUP($F149,'FCDB 2017 (full)'!$C:$C,'FCDB 2017 (full)'!$BX:$BX)*$H149/100,0)</f>
        <v>0</v>
      </c>
      <c r="CH149" s="16">
        <f ca="1">IFERROR(_xlfn.XLOOKUP($F149,'FCDB 2017 (full)'!$C:$C,'FCDB 2017 (full)'!$BY:$BY)*$H149/100,0)</f>
        <v>0</v>
      </c>
      <c r="CI149" s="16">
        <f ca="1">IFERROR(_xlfn.XLOOKUP($F149,'FCDB 2017 (full)'!$C:$C,'FCDB 2017 (full)'!$BZ:$BZ)*$H149/100,0)</f>
        <v>0</v>
      </c>
      <c r="CJ149" s="16">
        <f ca="1">IFERROR(_xlfn.XLOOKUP($F149,'FCDB 2017 (full)'!$C:$C,'FCDB 2017 (full)'!$CA:$CA)*$H149/100,0)</f>
        <v>0</v>
      </c>
      <c r="CK149" s="16">
        <f ca="1">IFERROR(_xlfn.XLOOKUP($F149,'FCDB 2017 (full)'!$C:$C,'FCDB 2017 (full)'!$CB:$CB)*$H149/100,0)</f>
        <v>0</v>
      </c>
      <c r="CL149" s="16">
        <f ca="1">IFERROR(_xlfn.XLOOKUP($F149,'FCDB 2017 (full)'!$C:$C,'FCDB 2017 (full)'!$CC:$CC)*$H149/100,0)</f>
        <v>0</v>
      </c>
      <c r="CM149" s="16">
        <f ca="1">IFERROR(_xlfn.XLOOKUP($F149,'FCDB 2017 (full)'!$C:$C,'FCDB 2017 (full)'!$CD:$CD)*$H149/100,0)</f>
        <v>0</v>
      </c>
      <c r="CN149" s="16">
        <f ca="1">IFERROR(_xlfn.XLOOKUP($F149,'FCDB 2017 (full)'!$C:$C,'FCDB 2017 (full)'!$CE:$CE)*$H149/100,0)</f>
        <v>0</v>
      </c>
      <c r="CO149" s="16">
        <f ca="1">IFERROR(_xlfn.XLOOKUP($F149,'FCDB 2017 (full)'!$C:$C,'FCDB 2017 (full)'!$CF:$CF)*$H149/100,0)</f>
        <v>0</v>
      </c>
      <c r="CP149" s="16">
        <f ca="1">IFERROR(_xlfn.XLOOKUP($F149,'FCDB 2017 (full)'!$C:$C,'FCDB 2017 (full)'!$CG:$CG)*$H149/100,0)</f>
        <v>0</v>
      </c>
      <c r="CQ149" s="16">
        <f ca="1">IFERROR(_xlfn.XLOOKUP($F149,'FCDB 2017 (full)'!$C:$C,'FCDB 2017 (full)'!$CH:$CH)*$H149/100,0)</f>
        <v>0</v>
      </c>
      <c r="DA149" s="73" t="s">
        <v>985</v>
      </c>
    </row>
    <row r="150" spans="4:105">
      <c r="E150" s="41"/>
      <c r="F150" s="11">
        <f>IFERROR(VLOOKUP($D$139,$D:$AE,7,0),0)</f>
        <v>0</v>
      </c>
      <c r="G150" s="7" cm="1">
        <f t="array" ref="G150">IF(F150=0,0,IF(_xlfn.XLOOKUP(F150,$E$139:$AE$139,$E$140:$AE$140)=0,"Nhập ĐV/TV",_xlfn.XLOOKUP(F150,$E$139:$AE$139,$E$140:$AE$140)))</f>
        <v>0</v>
      </c>
      <c r="H150" s="8" cm="1">
        <f t="array" ref="H150">IFERROR(INDEX($E$141:$AE$141,MATCH(F150,$E$139:$AE$139,0)),0)</f>
        <v>0</v>
      </c>
      <c r="I150" s="9">
        <f ca="1">IFERROR(_xlfn.XLOOKUP($F150,'FCDB 2017 (full)'!$C:$C,'FCDB 2017 (full)'!$E:$E),0)</f>
        <v>0</v>
      </c>
      <c r="J150" s="10">
        <f t="shared" ca="1" si="30"/>
        <v>0</v>
      </c>
      <c r="K150" s="9">
        <f ca="1">IFERROR(_xlfn.XLOOKUP($F150,'FCDB 2017 (full)'!$C:$C,'FCDB 2017 (full)'!$G:$G),0)</f>
        <v>0</v>
      </c>
      <c r="L150" s="13">
        <f t="shared" si="31"/>
        <v>0</v>
      </c>
      <c r="M150" s="13">
        <f t="shared" si="32"/>
        <v>0</v>
      </c>
      <c r="N150" s="9">
        <f ca="1">IFERROR(_xlfn.XLOOKUP($F150,'FCDB 2017 (full)'!$C:$C,'FCDB 2017 (full)'!$H:$H),0)</f>
        <v>0</v>
      </c>
      <c r="O150" s="14">
        <f t="shared" si="33"/>
        <v>0</v>
      </c>
      <c r="P150" s="14">
        <f t="shared" si="34"/>
        <v>0</v>
      </c>
      <c r="Q150" s="9">
        <f ca="1">IFERROR(_xlfn.XLOOKUP($F150,'FCDB 2017 (full)'!$C:$C,'FCDB 2017 (full)'!$I:$I),0)</f>
        <v>0</v>
      </c>
      <c r="R150" s="15">
        <f t="shared" ca="1" si="35"/>
        <v>0</v>
      </c>
      <c r="S150" s="16">
        <f ca="1">IFERROR(_xlfn.XLOOKUP($F150,'FCDB 2017 (full)'!$C:$C,'FCDB 2017 (full)'!$J:$J)*$H150/100,0)</f>
        <v>0</v>
      </c>
      <c r="T150" s="16">
        <f ca="1">IFERROR(_xlfn.XLOOKUP($F150,'FCDB 2017 (full)'!$C:$C,'FCDB 2017 (full)'!$K:$K)*$H150/100,0)</f>
        <v>0</v>
      </c>
      <c r="U150" s="16">
        <f ca="1">IFERROR(_xlfn.XLOOKUP($F150,'FCDB 2017 (full)'!$C:$C,'FCDB 2017 (full)'!$L:$L)*$H150/100,0)</f>
        <v>0</v>
      </c>
      <c r="V150" s="16">
        <f ca="1">IFERROR(_xlfn.XLOOKUP($F150,'FCDB 2017 (full)'!$C:$C,'FCDB 2017 (full)'!$M:$M)*$H150/100,0)</f>
        <v>0</v>
      </c>
      <c r="W150" s="16">
        <f ca="1">IFERROR(_xlfn.XLOOKUP($F150,'FCDB 2017 (full)'!$C:$C,'FCDB 2017 (full)'!$N:$N)*$H150/100,0)</f>
        <v>0</v>
      </c>
      <c r="X150" s="16">
        <f ca="1">IFERROR(_xlfn.XLOOKUP($F150,'FCDB 2017 (full)'!$C:$C,'FCDB 2017 (full)'!$O:$O)*$H150/100,0)</f>
        <v>0</v>
      </c>
      <c r="Y150" s="16">
        <f ca="1">IFERROR(_xlfn.XLOOKUP($F150,'FCDB 2017 (full)'!$C:$C,'FCDB 2017 (full)'!$P:$P)*$H150/100,0)</f>
        <v>0</v>
      </c>
      <c r="Z150" s="16">
        <f ca="1">IFERROR(_xlfn.XLOOKUP($F150,'FCDB 2017 (full)'!$C:$C,'FCDB 2017 (full)'!$Q:$Q)*$H150/100,0)</f>
        <v>0</v>
      </c>
      <c r="AA150" s="16">
        <f ca="1">IFERROR(_xlfn.XLOOKUP($F150,'FCDB 2017 (full)'!$C:$C,'FCDB 2017 (full)'!$R:$R)*$H150/100,0)</f>
        <v>0</v>
      </c>
      <c r="AB150" s="16">
        <f ca="1">IFERROR(_xlfn.XLOOKUP($F150,'FCDB 2017 (full)'!$C:$C,'FCDB 2017 (full)'!$S:$S)*$H150/100,0)</f>
        <v>0</v>
      </c>
      <c r="AC150" s="16">
        <f ca="1">IFERROR(_xlfn.XLOOKUP($F150,'FCDB 2017 (full)'!$C:$C,'FCDB 2017 (full)'!$T:$T)*$H150/100,0)</f>
        <v>0</v>
      </c>
      <c r="AD150" s="16">
        <f ca="1">IFERROR(_xlfn.XLOOKUP($F150,'FCDB 2017 (full)'!$C:$C,'FCDB 2017 (full)'!$U:$U)*$H150/100,0)</f>
        <v>0</v>
      </c>
      <c r="AE150" s="16">
        <f ca="1">IFERROR(_xlfn.XLOOKUP($F150,'FCDB 2017 (full)'!$C:$C,'FCDB 2017 (full)'!$V:$V)*$H150/100,0)</f>
        <v>0</v>
      </c>
      <c r="AF150" s="16">
        <f ca="1">IFERROR(_xlfn.XLOOKUP($F150,'FCDB 2017 (full)'!$C:$C,'FCDB 2017 (full)'!$W:$W)*$H150/100,0)</f>
        <v>0</v>
      </c>
      <c r="AG150" s="16">
        <f ca="1">IFERROR(_xlfn.XLOOKUP($F150,'FCDB 2017 (full)'!$C:$C,'FCDB 2017 (full)'!$X:$X)*$H150/100,0)</f>
        <v>0</v>
      </c>
      <c r="AH150" s="16">
        <f ca="1">IFERROR(_xlfn.XLOOKUP($F150,'FCDB 2017 (full)'!$C:$C,'FCDB 2017 (full)'!$Y:$Y)*$H150/100,0)</f>
        <v>0</v>
      </c>
      <c r="AI150" s="16">
        <f ca="1">IFERROR(_xlfn.XLOOKUP($F150,'FCDB 2017 (full)'!$C:$C,'FCDB 2017 (full)'!$Z:$Z)*$H150/100,0)</f>
        <v>0</v>
      </c>
      <c r="AJ150" s="16">
        <f ca="1">IFERROR(_xlfn.XLOOKUP($F150,'FCDB 2017 (full)'!$C:$C,'FCDB 2017 (full)'!$AA:$AA)*$H150/100,0)</f>
        <v>0</v>
      </c>
      <c r="AK150" s="16">
        <f ca="1">IFERROR(_xlfn.XLOOKUP($F150,'FCDB 2017 (full)'!$C:$C,'FCDB 2017 (full)'!$AB:$AB)*$H150/100,0)</f>
        <v>0</v>
      </c>
      <c r="AL150" s="16">
        <f ca="1">IFERROR(_xlfn.XLOOKUP($F150,'FCDB 2017 (full)'!$C:$C,'FCDB 2017 (full)'!$AC:$AC)*$H150/100,0)</f>
        <v>0</v>
      </c>
      <c r="AM150" s="16">
        <f ca="1">IFERROR(_xlfn.XLOOKUP($F150,'FCDB 2017 (full)'!$C:$C,'FCDB 2017 (full)'!$AD:$AD)*$H150/100,0)</f>
        <v>0</v>
      </c>
      <c r="AN150" s="16">
        <f ca="1">IFERROR(_xlfn.XLOOKUP($F150,'FCDB 2017 (full)'!$C:$C,'FCDB 2017 (full)'!$AE:$AE)*$H150/100,0)</f>
        <v>0</v>
      </c>
      <c r="AO150" s="16">
        <f ca="1">IFERROR(_xlfn.XLOOKUP($F150,'FCDB 2017 (full)'!$C:$C,'FCDB 2017 (full)'!$AF:$AF)*$H150/100,0)</f>
        <v>0</v>
      </c>
      <c r="AP150" s="16">
        <f ca="1">IFERROR(_xlfn.XLOOKUP($F150,'FCDB 2017 (full)'!$C:$C,'FCDB 2017 (full)'!$AG:$AG)*$H150/100,0)</f>
        <v>0</v>
      </c>
      <c r="AQ150" s="16">
        <f ca="1">IFERROR(_xlfn.XLOOKUP($F150,'FCDB 2017 (full)'!$C:$C,'FCDB 2017 (full)'!$AH:$AH)*$H150/100,0)</f>
        <v>0</v>
      </c>
      <c r="AR150" s="16">
        <f ca="1">IFERROR(_xlfn.XLOOKUP($F150,'FCDB 2017 (full)'!$C:$C,'FCDB 2017 (full)'!$AI:$AI)*$H150/100,0)</f>
        <v>0</v>
      </c>
      <c r="AS150" s="16">
        <f ca="1">IFERROR(_xlfn.XLOOKUP($F150,'FCDB 2017 (full)'!$C:$C,'FCDB 2017 (full)'!$AJ:$AJ)*$H150/100,0)</f>
        <v>0</v>
      </c>
      <c r="AT150" s="16">
        <f ca="1">IFERROR(_xlfn.XLOOKUP($F150,'FCDB 2017 (full)'!$C:$C,'FCDB 2017 (full)'!$AK:$AK)*$H150/100,0)</f>
        <v>0</v>
      </c>
      <c r="AU150" s="16">
        <f ca="1">IFERROR(_xlfn.XLOOKUP($F150,'FCDB 2017 (full)'!$C:$C,'FCDB 2017 (full)'!$AK:$AK)*$H150/100,0)</f>
        <v>0</v>
      </c>
      <c r="AV150" s="16">
        <f ca="1">IFERROR(_xlfn.XLOOKUP($F150,'FCDB 2017 (full)'!$C:$C,'FCDB 2017 (full)'!$AM:$AM)*$H150/100,0)</f>
        <v>0</v>
      </c>
      <c r="AW150" s="16">
        <f ca="1">IFERROR(_xlfn.XLOOKUP($F150,'FCDB 2017 (full)'!$C:$C,'FCDB 2017 (full)'!$AN:$AN)*$H150/100,0)</f>
        <v>0</v>
      </c>
      <c r="AX150" s="16">
        <f ca="1">IFERROR(_xlfn.XLOOKUP($F150,'FCDB 2017 (full)'!$C:$C,'FCDB 2017 (full)'!$AO:$AO)*$H150/100,0)</f>
        <v>0</v>
      </c>
      <c r="AY150" s="16">
        <f ca="1">IFERROR(_xlfn.XLOOKUP($F150,'FCDB 2017 (full)'!$C:$C,'FCDB 2017 (full)'!$AP:$AP)*$H150/100,0)</f>
        <v>0</v>
      </c>
      <c r="AZ150" s="16">
        <f ca="1">IFERROR(_xlfn.XLOOKUP($F150,'FCDB 2017 (full)'!$C:$C,'FCDB 2017 (full)'!$AQ:$AQ)*$H150/100,0)</f>
        <v>0</v>
      </c>
      <c r="BA150" s="16">
        <f ca="1">IFERROR(_xlfn.XLOOKUP($F150,'FCDB 2017 (full)'!$C:$C,'FCDB 2017 (full)'!$AR:$AR)*$H150/100,0)</f>
        <v>0</v>
      </c>
      <c r="BB150" s="16">
        <f ca="1">IFERROR(_xlfn.XLOOKUP($F150,'FCDB 2017 (full)'!$C:$C,'FCDB 2017 (full)'!$AS:$AS)*$H150/100,0)</f>
        <v>0</v>
      </c>
      <c r="BC150" s="16">
        <f ca="1">IFERROR(_xlfn.XLOOKUP($F150,'FCDB 2017 (full)'!$C:$C,'FCDB 2017 (full)'!$AT:$AT)*$H150/100,0)</f>
        <v>0</v>
      </c>
      <c r="BD150" s="16">
        <f ca="1">IFERROR(_xlfn.XLOOKUP($F150,'FCDB 2017 (full)'!$C:$C,'FCDB 2017 (full)'!$AU:$AU)*$H150/100,0)</f>
        <v>0</v>
      </c>
      <c r="BE150" s="16">
        <f ca="1">IFERROR(_xlfn.XLOOKUP($F150,'FCDB 2017 (full)'!$C:$C,'FCDB 2017 (full)'!$AV:$AV)*$H150/100,0)</f>
        <v>0</v>
      </c>
      <c r="BF150" s="16">
        <f ca="1">IFERROR(_xlfn.XLOOKUP($F150,'FCDB 2017 (full)'!$C:$C,'FCDB 2017 (full)'!$AW:$AW)*$H150/100,0)</f>
        <v>0</v>
      </c>
      <c r="BG150" s="16">
        <f ca="1">IFERROR(_xlfn.XLOOKUP($F150,'FCDB 2017 (full)'!$C:$C,'FCDB 2017 (full)'!$AX:$AX)*$H150/100,0)</f>
        <v>0</v>
      </c>
      <c r="BH150" s="16">
        <f ca="1">IFERROR(_xlfn.XLOOKUP($F150,'FCDB 2017 (full)'!$C:$C,'FCDB 2017 (full)'!$AY:$AY)*$H150/100,0)</f>
        <v>0</v>
      </c>
      <c r="BI150" s="16">
        <f ca="1">IFERROR(_xlfn.XLOOKUP($F150,'FCDB 2017 (full)'!$C:$C,'FCDB 2017 (full)'!$AZ:$AZ)*$H150/100,0)</f>
        <v>0</v>
      </c>
      <c r="BJ150" s="16">
        <f ca="1">IFERROR(_xlfn.XLOOKUP($F150,'FCDB 2017 (full)'!$C:$C,'FCDB 2017 (full)'!$BA:$BA)*$H150/100,0)</f>
        <v>0</v>
      </c>
      <c r="BK150" s="16">
        <f ca="1">IFERROR(_xlfn.XLOOKUP($F150,'FCDB 2017 (full)'!$C:$C,'FCDB 2017 (full)'!$BB:$BB)*$H150/100,0)</f>
        <v>0</v>
      </c>
      <c r="BL150" s="16">
        <f ca="1">IFERROR(_xlfn.XLOOKUP($F150,'FCDB 2017 (full)'!$C:$C,'FCDB 2017 (full)'!$BC:$BC)*$H150/100,0)</f>
        <v>0</v>
      </c>
      <c r="BM150" s="16">
        <f ca="1">IFERROR(_xlfn.XLOOKUP($F150,'FCDB 2017 (full)'!$C:$C,'FCDB 2017 (full)'!$BD:$BD)*$H150/100,0)</f>
        <v>0</v>
      </c>
      <c r="BN150" s="16">
        <f ca="1">IFERROR(_xlfn.XLOOKUP($F150,'FCDB 2017 (full)'!$C:$C,'FCDB 2017 (full)'!$BE:$BE)*$H150/100,0)</f>
        <v>0</v>
      </c>
      <c r="BO150" s="16">
        <f ca="1">IFERROR(_xlfn.XLOOKUP($F150,'FCDB 2017 (full)'!$C:$C,'FCDB 2017 (full)'!$BF:$BF)*$H150/100,0)</f>
        <v>0</v>
      </c>
      <c r="BP150" s="16">
        <f ca="1">IFERROR(_xlfn.XLOOKUP($F150,'FCDB 2017 (full)'!$C:$C,'FCDB 2017 (full)'!$BG:$BG)*$H150/100,0)</f>
        <v>0</v>
      </c>
      <c r="BQ150" s="16">
        <f ca="1">IFERROR(_xlfn.XLOOKUP($F150,'FCDB 2017 (full)'!$C:$C,'FCDB 2017 (full)'!$BH:$BH)*$H150/100,0)</f>
        <v>0</v>
      </c>
      <c r="BR150" s="16">
        <f ca="1">IFERROR(_xlfn.XLOOKUP($F150,'FCDB 2017 (full)'!$C:$C,'FCDB 2017 (full)'!$BI:$BI)*$H150/100,0)</f>
        <v>0</v>
      </c>
      <c r="BS150" s="16">
        <f ca="1">IFERROR(_xlfn.XLOOKUP($F150,'FCDB 2017 (full)'!$C:$C,'FCDB 2017 (full)'!$BJ:$BJ)*$H150/100,0)</f>
        <v>0</v>
      </c>
      <c r="BT150" s="16">
        <f ca="1">IFERROR(_xlfn.XLOOKUP($F150,'FCDB 2017 (full)'!$C:$C,'FCDB 2017 (full)'!$BK:$BK)*$H150/100,0)</f>
        <v>0</v>
      </c>
      <c r="BU150" s="16">
        <f ca="1">IFERROR(_xlfn.XLOOKUP($F150,'FCDB 2017 (full)'!$C:$C,'FCDB 2017 (full)'!$BL:$BL)*$H150/100,0)</f>
        <v>0</v>
      </c>
      <c r="BV150" s="16">
        <f ca="1">IFERROR(_xlfn.XLOOKUP($F150,'FCDB 2017 (full)'!$C:$C,'FCDB 2017 (full)'!$BM:$BM)*$H150/100,0)</f>
        <v>0</v>
      </c>
      <c r="BW150" s="16">
        <f ca="1">IFERROR(_xlfn.XLOOKUP($F150,'FCDB 2017 (full)'!$C:$C,'FCDB 2017 (full)'!$BN:$BN)*$H150/100,0)</f>
        <v>0</v>
      </c>
      <c r="BX150" s="16">
        <f ca="1">IFERROR(_xlfn.XLOOKUP($F150,'FCDB 2017 (full)'!$C:$C,'FCDB 2017 (full)'!$BO:$BO)*$H150/100,0)</f>
        <v>0</v>
      </c>
      <c r="BY150" s="16">
        <f ca="1">IFERROR(_xlfn.XLOOKUP($F150,'FCDB 2017 (full)'!$C:$C,'FCDB 2017 (full)'!$BP:$BP)*$H150/100,0)</f>
        <v>0</v>
      </c>
      <c r="BZ150" s="16">
        <f ca="1">IFERROR(_xlfn.XLOOKUP($F150,'FCDB 2017 (full)'!$C:$C,'FCDB 2017 (full)'!$BQ:$BQ)*$H150/100,0)</f>
        <v>0</v>
      </c>
      <c r="CA150" s="16">
        <f ca="1">IFERROR(_xlfn.XLOOKUP($F150,'FCDB 2017 (full)'!$C:$C,'FCDB 2017 (full)'!$BR:$BR)*$H150/100,0)</f>
        <v>0</v>
      </c>
      <c r="CB150" s="16">
        <f ca="1">IFERROR(_xlfn.XLOOKUP($F150,'FCDB 2017 (full)'!$C:$C,'FCDB 2017 (full)'!$BS:$BS)*$H150/100,0)</f>
        <v>0</v>
      </c>
      <c r="CC150" s="16">
        <f ca="1">IFERROR(_xlfn.XLOOKUP($F150,'FCDB 2017 (full)'!$C:$C,'FCDB 2017 (full)'!$BT:$BT)*$H150/100,0)</f>
        <v>0</v>
      </c>
      <c r="CD150" s="16">
        <f ca="1">IFERROR(_xlfn.XLOOKUP($F150,'FCDB 2017 (full)'!$C:$C,'FCDB 2017 (full)'!$BU:$BU)*$H150/100,0)</f>
        <v>0</v>
      </c>
      <c r="CE150" s="16">
        <f ca="1">IFERROR(_xlfn.XLOOKUP($F150,'FCDB 2017 (full)'!$C:$C,'FCDB 2017 (full)'!$BV:$BV)*$H150/100,0)</f>
        <v>0</v>
      </c>
      <c r="CF150" s="16">
        <f ca="1">IFERROR(_xlfn.XLOOKUP($F150,'FCDB 2017 (full)'!$C:$C,'FCDB 2017 (full)'!$BW:$BW)*$H150/100,0)</f>
        <v>0</v>
      </c>
      <c r="CG150" s="16">
        <f ca="1">IFERROR(_xlfn.XLOOKUP($F150,'FCDB 2017 (full)'!$C:$C,'FCDB 2017 (full)'!$BX:$BX)*$H150/100,0)</f>
        <v>0</v>
      </c>
      <c r="CH150" s="16">
        <f ca="1">IFERROR(_xlfn.XLOOKUP($F150,'FCDB 2017 (full)'!$C:$C,'FCDB 2017 (full)'!$BY:$BY)*$H150/100,0)</f>
        <v>0</v>
      </c>
      <c r="CI150" s="16">
        <f ca="1">IFERROR(_xlfn.XLOOKUP($F150,'FCDB 2017 (full)'!$C:$C,'FCDB 2017 (full)'!$BZ:$BZ)*$H150/100,0)</f>
        <v>0</v>
      </c>
      <c r="CJ150" s="16">
        <f ca="1">IFERROR(_xlfn.XLOOKUP($F150,'FCDB 2017 (full)'!$C:$C,'FCDB 2017 (full)'!$CA:$CA)*$H150/100,0)</f>
        <v>0</v>
      </c>
      <c r="CK150" s="16">
        <f ca="1">IFERROR(_xlfn.XLOOKUP($F150,'FCDB 2017 (full)'!$C:$C,'FCDB 2017 (full)'!$CB:$CB)*$H150/100,0)</f>
        <v>0</v>
      </c>
      <c r="CL150" s="16">
        <f ca="1">IFERROR(_xlfn.XLOOKUP($F150,'FCDB 2017 (full)'!$C:$C,'FCDB 2017 (full)'!$CC:$CC)*$H150/100,0)</f>
        <v>0</v>
      </c>
      <c r="CM150" s="16">
        <f ca="1">IFERROR(_xlfn.XLOOKUP($F150,'FCDB 2017 (full)'!$C:$C,'FCDB 2017 (full)'!$CD:$CD)*$H150/100,0)</f>
        <v>0</v>
      </c>
      <c r="CN150" s="16">
        <f ca="1">IFERROR(_xlfn.XLOOKUP($F150,'FCDB 2017 (full)'!$C:$C,'FCDB 2017 (full)'!$CE:$CE)*$H150/100,0)</f>
        <v>0</v>
      </c>
      <c r="CO150" s="16">
        <f ca="1">IFERROR(_xlfn.XLOOKUP($F150,'FCDB 2017 (full)'!$C:$C,'FCDB 2017 (full)'!$CF:$CF)*$H150/100,0)</f>
        <v>0</v>
      </c>
      <c r="CP150" s="16">
        <f ca="1">IFERROR(_xlfn.XLOOKUP($F150,'FCDB 2017 (full)'!$C:$C,'FCDB 2017 (full)'!$CG:$CG)*$H150/100,0)</f>
        <v>0</v>
      </c>
      <c r="CQ150" s="16">
        <f ca="1">IFERROR(_xlfn.XLOOKUP($F150,'FCDB 2017 (full)'!$C:$C,'FCDB 2017 (full)'!$CH:$CH)*$H150/100,0)</f>
        <v>0</v>
      </c>
      <c r="DA150" s="73" t="s">
        <v>985</v>
      </c>
    </row>
    <row r="151" spans="4:105" ht="16.8">
      <c r="D151"/>
      <c r="E151"/>
      <c r="F151" s="11">
        <f>IFERROR(VLOOKUP($D$139,$D:$AE,9,0),0)</f>
        <v>0</v>
      </c>
      <c r="G151" s="7" cm="1">
        <f t="array" ref="G151">IF(F151=0,0,IF(_xlfn.XLOOKUP(F151,$E$139:$AE$139,$E$140:$AE$140)=0,"Nhập ĐV/TV",_xlfn.XLOOKUP(F151,$E$139:$AE$139,$E$140:$AE$140)))</f>
        <v>0</v>
      </c>
      <c r="H151" s="8" cm="1">
        <f t="array" ref="H151">IFERROR(INDEX($E$141:$AE$141,MATCH(F151,$E$139:$AE$139,0)),0)</f>
        <v>0</v>
      </c>
      <c r="I151" s="9">
        <f ca="1">IFERROR(_xlfn.XLOOKUP($F151,'FCDB 2017 (full)'!$C:$C,'FCDB 2017 (full)'!$E:$E),0)</f>
        <v>0</v>
      </c>
      <c r="J151" s="10">
        <f t="shared" ca="1" si="30"/>
        <v>0</v>
      </c>
      <c r="K151" s="9">
        <f ca="1">IFERROR(_xlfn.XLOOKUP($F151,'FCDB 2017 (full)'!$C:$C,'FCDB 2017 (full)'!$G:$G),0)</f>
        <v>0</v>
      </c>
      <c r="L151" s="13">
        <f t="shared" si="31"/>
        <v>0</v>
      </c>
      <c r="M151" s="13">
        <f t="shared" si="32"/>
        <v>0</v>
      </c>
      <c r="N151" s="9">
        <f ca="1">IFERROR(_xlfn.XLOOKUP($F151,'FCDB 2017 (full)'!$C:$C,'FCDB 2017 (full)'!$H:$H),0)</f>
        <v>0</v>
      </c>
      <c r="O151" s="14">
        <f t="shared" si="33"/>
        <v>0</v>
      </c>
      <c r="P151" s="14">
        <f t="shared" si="34"/>
        <v>0</v>
      </c>
      <c r="Q151" s="9">
        <f ca="1">IFERROR(_xlfn.XLOOKUP($F151,'FCDB 2017 (full)'!$C:$C,'FCDB 2017 (full)'!$I:$I),0)</f>
        <v>0</v>
      </c>
      <c r="R151" s="15">
        <f t="shared" ca="1" si="35"/>
        <v>0</v>
      </c>
      <c r="S151" s="16">
        <f ca="1">IFERROR(_xlfn.XLOOKUP($F151,'FCDB 2017 (full)'!$C:$C,'FCDB 2017 (full)'!$J:$J)*$H151/100,0)</f>
        <v>0</v>
      </c>
      <c r="T151" s="16">
        <f ca="1">IFERROR(_xlfn.XLOOKUP($F151,'FCDB 2017 (full)'!$C:$C,'FCDB 2017 (full)'!$K:$K)*$H151/100,0)</f>
        <v>0</v>
      </c>
      <c r="U151" s="16">
        <f ca="1">IFERROR(_xlfn.XLOOKUP($F151,'FCDB 2017 (full)'!$C:$C,'FCDB 2017 (full)'!$L:$L)*$H151/100,0)</f>
        <v>0</v>
      </c>
      <c r="V151" s="16">
        <f ca="1">IFERROR(_xlfn.XLOOKUP($F151,'FCDB 2017 (full)'!$C:$C,'FCDB 2017 (full)'!$M:$M)*$H151/100,0)</f>
        <v>0</v>
      </c>
      <c r="W151" s="16">
        <f ca="1">IFERROR(_xlfn.XLOOKUP($F151,'FCDB 2017 (full)'!$C:$C,'FCDB 2017 (full)'!$N:$N)*$H151/100,0)</f>
        <v>0</v>
      </c>
      <c r="X151" s="16">
        <f ca="1">IFERROR(_xlfn.XLOOKUP($F151,'FCDB 2017 (full)'!$C:$C,'FCDB 2017 (full)'!$O:$O)*$H151/100,0)</f>
        <v>0</v>
      </c>
      <c r="Y151" s="16">
        <f ca="1">IFERROR(_xlfn.XLOOKUP($F151,'FCDB 2017 (full)'!$C:$C,'FCDB 2017 (full)'!$P:$P)*$H151/100,0)</f>
        <v>0</v>
      </c>
      <c r="Z151" s="16">
        <f ca="1">IFERROR(_xlfn.XLOOKUP($F151,'FCDB 2017 (full)'!$C:$C,'FCDB 2017 (full)'!$Q:$Q)*$H151/100,0)</f>
        <v>0</v>
      </c>
      <c r="AA151" s="16">
        <f ca="1">IFERROR(_xlfn.XLOOKUP($F151,'FCDB 2017 (full)'!$C:$C,'FCDB 2017 (full)'!$R:$R)*$H151/100,0)</f>
        <v>0</v>
      </c>
      <c r="AB151" s="16">
        <f ca="1">IFERROR(_xlfn.XLOOKUP($F151,'FCDB 2017 (full)'!$C:$C,'FCDB 2017 (full)'!$S:$S)*$H151/100,0)</f>
        <v>0</v>
      </c>
      <c r="AC151" s="16">
        <f ca="1">IFERROR(_xlfn.XLOOKUP($F151,'FCDB 2017 (full)'!$C:$C,'FCDB 2017 (full)'!$T:$T)*$H151/100,0)</f>
        <v>0</v>
      </c>
      <c r="AD151" s="16">
        <f ca="1">IFERROR(_xlfn.XLOOKUP($F151,'FCDB 2017 (full)'!$C:$C,'FCDB 2017 (full)'!$U:$U)*$H151/100,0)</f>
        <v>0</v>
      </c>
      <c r="AE151" s="16">
        <f ca="1">IFERROR(_xlfn.XLOOKUP($F151,'FCDB 2017 (full)'!$C:$C,'FCDB 2017 (full)'!$V:$V)*$H151/100,0)</f>
        <v>0</v>
      </c>
      <c r="AF151" s="16">
        <f ca="1">IFERROR(_xlfn.XLOOKUP($F151,'FCDB 2017 (full)'!$C:$C,'FCDB 2017 (full)'!$W:$W)*$H151/100,0)</f>
        <v>0</v>
      </c>
      <c r="AG151" s="16">
        <f ca="1">IFERROR(_xlfn.XLOOKUP($F151,'FCDB 2017 (full)'!$C:$C,'FCDB 2017 (full)'!$X:$X)*$H151/100,0)</f>
        <v>0</v>
      </c>
      <c r="AH151" s="16">
        <f ca="1">IFERROR(_xlfn.XLOOKUP($F151,'FCDB 2017 (full)'!$C:$C,'FCDB 2017 (full)'!$Y:$Y)*$H151/100,0)</f>
        <v>0</v>
      </c>
      <c r="AI151" s="16">
        <f ca="1">IFERROR(_xlfn.XLOOKUP($F151,'FCDB 2017 (full)'!$C:$C,'FCDB 2017 (full)'!$Z:$Z)*$H151/100,0)</f>
        <v>0</v>
      </c>
      <c r="AJ151" s="16">
        <f ca="1">IFERROR(_xlfn.XLOOKUP($F151,'FCDB 2017 (full)'!$C:$C,'FCDB 2017 (full)'!$AA:$AA)*$H151/100,0)</f>
        <v>0</v>
      </c>
      <c r="AK151" s="16">
        <f ca="1">IFERROR(_xlfn.XLOOKUP($F151,'FCDB 2017 (full)'!$C:$C,'FCDB 2017 (full)'!$AB:$AB)*$H151/100,0)</f>
        <v>0</v>
      </c>
      <c r="AL151" s="16">
        <f ca="1">IFERROR(_xlfn.XLOOKUP($F151,'FCDB 2017 (full)'!$C:$C,'FCDB 2017 (full)'!$AC:$AC)*$H151/100,0)</f>
        <v>0</v>
      </c>
      <c r="AM151" s="16">
        <f ca="1">IFERROR(_xlfn.XLOOKUP($F151,'FCDB 2017 (full)'!$C:$C,'FCDB 2017 (full)'!$AD:$AD)*$H151/100,0)</f>
        <v>0</v>
      </c>
      <c r="AN151" s="16">
        <f ca="1">IFERROR(_xlfn.XLOOKUP($F151,'FCDB 2017 (full)'!$C:$C,'FCDB 2017 (full)'!$AE:$AE)*$H151/100,0)</f>
        <v>0</v>
      </c>
      <c r="AO151" s="16">
        <f ca="1">IFERROR(_xlfn.XLOOKUP($F151,'FCDB 2017 (full)'!$C:$C,'FCDB 2017 (full)'!$AF:$AF)*$H151/100,0)</f>
        <v>0</v>
      </c>
      <c r="AP151" s="16">
        <f ca="1">IFERROR(_xlfn.XLOOKUP($F151,'FCDB 2017 (full)'!$C:$C,'FCDB 2017 (full)'!$AG:$AG)*$H151/100,0)</f>
        <v>0</v>
      </c>
      <c r="AQ151" s="16">
        <f ca="1">IFERROR(_xlfn.XLOOKUP($F151,'FCDB 2017 (full)'!$C:$C,'FCDB 2017 (full)'!$AH:$AH)*$H151/100,0)</f>
        <v>0</v>
      </c>
      <c r="AR151" s="16">
        <f ca="1">IFERROR(_xlfn.XLOOKUP($F151,'FCDB 2017 (full)'!$C:$C,'FCDB 2017 (full)'!$AI:$AI)*$H151/100,0)</f>
        <v>0</v>
      </c>
      <c r="AS151" s="16">
        <f ca="1">IFERROR(_xlfn.XLOOKUP($F151,'FCDB 2017 (full)'!$C:$C,'FCDB 2017 (full)'!$AJ:$AJ)*$H151/100,0)</f>
        <v>0</v>
      </c>
      <c r="AT151" s="16">
        <f ca="1">IFERROR(_xlfn.XLOOKUP($F151,'FCDB 2017 (full)'!$C:$C,'FCDB 2017 (full)'!$AK:$AK)*$H151/100,0)</f>
        <v>0</v>
      </c>
      <c r="AU151" s="16">
        <f ca="1">IFERROR(_xlfn.XLOOKUP($F151,'FCDB 2017 (full)'!$C:$C,'FCDB 2017 (full)'!$AK:$AK)*$H151/100,0)</f>
        <v>0</v>
      </c>
      <c r="AV151" s="16">
        <f ca="1">IFERROR(_xlfn.XLOOKUP($F151,'FCDB 2017 (full)'!$C:$C,'FCDB 2017 (full)'!$AM:$AM)*$H151/100,0)</f>
        <v>0</v>
      </c>
      <c r="AW151" s="16">
        <f ca="1">IFERROR(_xlfn.XLOOKUP($F151,'FCDB 2017 (full)'!$C:$C,'FCDB 2017 (full)'!$AN:$AN)*$H151/100,0)</f>
        <v>0</v>
      </c>
      <c r="AX151" s="16">
        <f ca="1">IFERROR(_xlfn.XLOOKUP($F151,'FCDB 2017 (full)'!$C:$C,'FCDB 2017 (full)'!$AO:$AO)*$H151/100,0)</f>
        <v>0</v>
      </c>
      <c r="AY151" s="16">
        <f ca="1">IFERROR(_xlfn.XLOOKUP($F151,'FCDB 2017 (full)'!$C:$C,'FCDB 2017 (full)'!$AP:$AP)*$H151/100,0)</f>
        <v>0</v>
      </c>
      <c r="AZ151" s="16">
        <f ca="1">IFERROR(_xlfn.XLOOKUP($F151,'FCDB 2017 (full)'!$C:$C,'FCDB 2017 (full)'!$AQ:$AQ)*$H151/100,0)</f>
        <v>0</v>
      </c>
      <c r="BA151" s="16">
        <f ca="1">IFERROR(_xlfn.XLOOKUP($F151,'FCDB 2017 (full)'!$C:$C,'FCDB 2017 (full)'!$AR:$AR)*$H151/100,0)</f>
        <v>0</v>
      </c>
      <c r="BB151" s="16">
        <f ca="1">IFERROR(_xlfn.XLOOKUP($F151,'FCDB 2017 (full)'!$C:$C,'FCDB 2017 (full)'!$AS:$AS)*$H151/100,0)</f>
        <v>0</v>
      </c>
      <c r="BC151" s="16">
        <f ca="1">IFERROR(_xlfn.XLOOKUP($F151,'FCDB 2017 (full)'!$C:$C,'FCDB 2017 (full)'!$AT:$AT)*$H151/100,0)</f>
        <v>0</v>
      </c>
      <c r="BD151" s="16">
        <f ca="1">IFERROR(_xlfn.XLOOKUP($F151,'FCDB 2017 (full)'!$C:$C,'FCDB 2017 (full)'!$AU:$AU)*$H151/100,0)</f>
        <v>0</v>
      </c>
      <c r="BE151" s="16">
        <f ca="1">IFERROR(_xlfn.XLOOKUP($F151,'FCDB 2017 (full)'!$C:$C,'FCDB 2017 (full)'!$AV:$AV)*$H151/100,0)</f>
        <v>0</v>
      </c>
      <c r="BF151" s="16">
        <f ca="1">IFERROR(_xlfn.XLOOKUP($F151,'FCDB 2017 (full)'!$C:$C,'FCDB 2017 (full)'!$AW:$AW)*$H151/100,0)</f>
        <v>0</v>
      </c>
      <c r="BG151" s="16">
        <f ca="1">IFERROR(_xlfn.XLOOKUP($F151,'FCDB 2017 (full)'!$C:$C,'FCDB 2017 (full)'!$AX:$AX)*$H151/100,0)</f>
        <v>0</v>
      </c>
      <c r="BH151" s="16">
        <f ca="1">IFERROR(_xlfn.XLOOKUP($F151,'FCDB 2017 (full)'!$C:$C,'FCDB 2017 (full)'!$AY:$AY)*$H151/100,0)</f>
        <v>0</v>
      </c>
      <c r="BI151" s="16">
        <f ca="1">IFERROR(_xlfn.XLOOKUP($F151,'FCDB 2017 (full)'!$C:$C,'FCDB 2017 (full)'!$AZ:$AZ)*$H151/100,0)</f>
        <v>0</v>
      </c>
      <c r="BJ151" s="16">
        <f ca="1">IFERROR(_xlfn.XLOOKUP($F151,'FCDB 2017 (full)'!$C:$C,'FCDB 2017 (full)'!$BA:$BA)*$H151/100,0)</f>
        <v>0</v>
      </c>
      <c r="BK151" s="16">
        <f ca="1">IFERROR(_xlfn.XLOOKUP($F151,'FCDB 2017 (full)'!$C:$C,'FCDB 2017 (full)'!$BB:$BB)*$H151/100,0)</f>
        <v>0</v>
      </c>
      <c r="BL151" s="16">
        <f ca="1">IFERROR(_xlfn.XLOOKUP($F151,'FCDB 2017 (full)'!$C:$C,'FCDB 2017 (full)'!$BC:$BC)*$H151/100,0)</f>
        <v>0</v>
      </c>
      <c r="BM151" s="16">
        <f ca="1">IFERROR(_xlfn.XLOOKUP($F151,'FCDB 2017 (full)'!$C:$C,'FCDB 2017 (full)'!$BD:$BD)*$H151/100,0)</f>
        <v>0</v>
      </c>
      <c r="BN151" s="16">
        <f ca="1">IFERROR(_xlfn.XLOOKUP($F151,'FCDB 2017 (full)'!$C:$C,'FCDB 2017 (full)'!$BE:$BE)*$H151/100,0)</f>
        <v>0</v>
      </c>
      <c r="BO151" s="16">
        <f ca="1">IFERROR(_xlfn.XLOOKUP($F151,'FCDB 2017 (full)'!$C:$C,'FCDB 2017 (full)'!$BF:$BF)*$H151/100,0)</f>
        <v>0</v>
      </c>
      <c r="BP151" s="16">
        <f ca="1">IFERROR(_xlfn.XLOOKUP($F151,'FCDB 2017 (full)'!$C:$C,'FCDB 2017 (full)'!$BG:$BG)*$H151/100,0)</f>
        <v>0</v>
      </c>
      <c r="BQ151" s="16">
        <f ca="1">IFERROR(_xlfn.XLOOKUP($F151,'FCDB 2017 (full)'!$C:$C,'FCDB 2017 (full)'!$BH:$BH)*$H151/100,0)</f>
        <v>0</v>
      </c>
      <c r="BR151" s="16">
        <f ca="1">IFERROR(_xlfn.XLOOKUP($F151,'FCDB 2017 (full)'!$C:$C,'FCDB 2017 (full)'!$BI:$BI)*$H151/100,0)</f>
        <v>0</v>
      </c>
      <c r="BS151" s="16">
        <f ca="1">IFERROR(_xlfn.XLOOKUP($F151,'FCDB 2017 (full)'!$C:$C,'FCDB 2017 (full)'!$BJ:$BJ)*$H151/100,0)</f>
        <v>0</v>
      </c>
      <c r="BT151" s="16">
        <f ca="1">IFERROR(_xlfn.XLOOKUP($F151,'FCDB 2017 (full)'!$C:$C,'FCDB 2017 (full)'!$BK:$BK)*$H151/100,0)</f>
        <v>0</v>
      </c>
      <c r="BU151" s="16">
        <f ca="1">IFERROR(_xlfn.XLOOKUP($F151,'FCDB 2017 (full)'!$C:$C,'FCDB 2017 (full)'!$BL:$BL)*$H151/100,0)</f>
        <v>0</v>
      </c>
      <c r="BV151" s="16">
        <f ca="1">IFERROR(_xlfn.XLOOKUP($F151,'FCDB 2017 (full)'!$C:$C,'FCDB 2017 (full)'!$BM:$BM)*$H151/100,0)</f>
        <v>0</v>
      </c>
      <c r="BW151" s="16">
        <f ca="1">IFERROR(_xlfn.XLOOKUP($F151,'FCDB 2017 (full)'!$C:$C,'FCDB 2017 (full)'!$BN:$BN)*$H151/100,0)</f>
        <v>0</v>
      </c>
      <c r="BX151" s="16">
        <f ca="1">IFERROR(_xlfn.XLOOKUP($F151,'FCDB 2017 (full)'!$C:$C,'FCDB 2017 (full)'!$BO:$BO)*$H151/100,0)</f>
        <v>0</v>
      </c>
      <c r="BY151" s="16">
        <f ca="1">IFERROR(_xlfn.XLOOKUP($F151,'FCDB 2017 (full)'!$C:$C,'FCDB 2017 (full)'!$BP:$BP)*$H151/100,0)</f>
        <v>0</v>
      </c>
      <c r="BZ151" s="16">
        <f ca="1">IFERROR(_xlfn.XLOOKUP($F151,'FCDB 2017 (full)'!$C:$C,'FCDB 2017 (full)'!$BQ:$BQ)*$H151/100,0)</f>
        <v>0</v>
      </c>
      <c r="CA151" s="16">
        <f ca="1">IFERROR(_xlfn.XLOOKUP($F151,'FCDB 2017 (full)'!$C:$C,'FCDB 2017 (full)'!$BR:$BR)*$H151/100,0)</f>
        <v>0</v>
      </c>
      <c r="CB151" s="16">
        <f ca="1">IFERROR(_xlfn.XLOOKUP($F151,'FCDB 2017 (full)'!$C:$C,'FCDB 2017 (full)'!$BS:$BS)*$H151/100,0)</f>
        <v>0</v>
      </c>
      <c r="CC151" s="16">
        <f ca="1">IFERROR(_xlfn.XLOOKUP($F151,'FCDB 2017 (full)'!$C:$C,'FCDB 2017 (full)'!$BT:$BT)*$H151/100,0)</f>
        <v>0</v>
      </c>
      <c r="CD151" s="16">
        <f ca="1">IFERROR(_xlfn.XLOOKUP($F151,'FCDB 2017 (full)'!$C:$C,'FCDB 2017 (full)'!$BU:$BU)*$H151/100,0)</f>
        <v>0</v>
      </c>
      <c r="CE151" s="16">
        <f ca="1">IFERROR(_xlfn.XLOOKUP($F151,'FCDB 2017 (full)'!$C:$C,'FCDB 2017 (full)'!$BV:$BV)*$H151/100,0)</f>
        <v>0</v>
      </c>
      <c r="CF151" s="16">
        <f ca="1">IFERROR(_xlfn.XLOOKUP($F151,'FCDB 2017 (full)'!$C:$C,'FCDB 2017 (full)'!$BW:$BW)*$H151/100,0)</f>
        <v>0</v>
      </c>
      <c r="CG151" s="16">
        <f ca="1">IFERROR(_xlfn.XLOOKUP($F151,'FCDB 2017 (full)'!$C:$C,'FCDB 2017 (full)'!$BX:$BX)*$H151/100,0)</f>
        <v>0</v>
      </c>
      <c r="CH151" s="16">
        <f ca="1">IFERROR(_xlfn.XLOOKUP($F151,'FCDB 2017 (full)'!$C:$C,'FCDB 2017 (full)'!$BY:$BY)*$H151/100,0)</f>
        <v>0</v>
      </c>
      <c r="CI151" s="16">
        <f ca="1">IFERROR(_xlfn.XLOOKUP($F151,'FCDB 2017 (full)'!$C:$C,'FCDB 2017 (full)'!$BZ:$BZ)*$H151/100,0)</f>
        <v>0</v>
      </c>
      <c r="CJ151" s="16">
        <f ca="1">IFERROR(_xlfn.XLOOKUP($F151,'FCDB 2017 (full)'!$C:$C,'FCDB 2017 (full)'!$CA:$CA)*$H151/100,0)</f>
        <v>0</v>
      </c>
      <c r="CK151" s="16">
        <f ca="1">IFERROR(_xlfn.XLOOKUP($F151,'FCDB 2017 (full)'!$C:$C,'FCDB 2017 (full)'!$CB:$CB)*$H151/100,0)</f>
        <v>0</v>
      </c>
      <c r="CL151" s="16">
        <f ca="1">IFERROR(_xlfn.XLOOKUP($F151,'FCDB 2017 (full)'!$C:$C,'FCDB 2017 (full)'!$CC:$CC)*$H151/100,0)</f>
        <v>0</v>
      </c>
      <c r="CM151" s="16">
        <f ca="1">IFERROR(_xlfn.XLOOKUP($F151,'FCDB 2017 (full)'!$C:$C,'FCDB 2017 (full)'!$CD:$CD)*$H151/100,0)</f>
        <v>0</v>
      </c>
      <c r="CN151" s="16">
        <f ca="1">IFERROR(_xlfn.XLOOKUP($F151,'FCDB 2017 (full)'!$C:$C,'FCDB 2017 (full)'!$CE:$CE)*$H151/100,0)</f>
        <v>0</v>
      </c>
      <c r="CO151" s="16">
        <f ca="1">IFERROR(_xlfn.XLOOKUP($F151,'FCDB 2017 (full)'!$C:$C,'FCDB 2017 (full)'!$CF:$CF)*$H151/100,0)</f>
        <v>0</v>
      </c>
      <c r="CP151" s="16">
        <f ca="1">IFERROR(_xlfn.XLOOKUP($F151,'FCDB 2017 (full)'!$C:$C,'FCDB 2017 (full)'!$CG:$CG)*$H151/100,0)</f>
        <v>0</v>
      </c>
      <c r="CQ151" s="16">
        <f ca="1">IFERROR(_xlfn.XLOOKUP($F151,'FCDB 2017 (full)'!$C:$C,'FCDB 2017 (full)'!$CH:$CH)*$H151/100,0)</f>
        <v>0</v>
      </c>
      <c r="CR151"/>
      <c r="DA151" s="73" t="s">
        <v>985</v>
      </c>
    </row>
    <row r="152" spans="4:105" ht="16.8">
      <c r="D152"/>
      <c r="E152"/>
      <c r="F152" s="11">
        <f>IFERROR(VLOOKUP($D$139,$D:$AE,10,0),0)</f>
        <v>0</v>
      </c>
      <c r="G152" s="7" cm="1">
        <f t="array" ref="G152">IF(F152=0,0,IF(_xlfn.XLOOKUP(F152,$E$139:$AE$139,$E$140:$AE$140)=0,"Nhập ĐV/TV",_xlfn.XLOOKUP(F152,$E$139:$AE$139,$E$140:$AE$140)))</f>
        <v>0</v>
      </c>
      <c r="H152" s="8" cm="1">
        <f t="array" ref="H152">IFERROR(INDEX($E$141:$AE$141,MATCH(F152,$E$139:$AE$139,0)),0)</f>
        <v>0</v>
      </c>
      <c r="I152" s="9">
        <f ca="1">IFERROR(_xlfn.XLOOKUP($F152,'FCDB 2017 (full)'!$C:$C,'FCDB 2017 (full)'!$E:$E),0)</f>
        <v>0</v>
      </c>
      <c r="J152" s="10">
        <f t="shared" ca="1" si="30"/>
        <v>0</v>
      </c>
      <c r="K152" s="9">
        <f ca="1">IFERROR(_xlfn.XLOOKUP($F152,'FCDB 2017 (full)'!$C:$C,'FCDB 2017 (full)'!$G:$G),0)</f>
        <v>0</v>
      </c>
      <c r="L152" s="13">
        <f t="shared" si="31"/>
        <v>0</v>
      </c>
      <c r="M152" s="13">
        <f t="shared" si="32"/>
        <v>0</v>
      </c>
      <c r="N152" s="9">
        <f ca="1">IFERROR(_xlfn.XLOOKUP($F152,'FCDB 2017 (full)'!$C:$C,'FCDB 2017 (full)'!$H:$H),0)</f>
        <v>0</v>
      </c>
      <c r="O152" s="14">
        <f t="shared" si="33"/>
        <v>0</v>
      </c>
      <c r="P152" s="14">
        <f t="shared" si="34"/>
        <v>0</v>
      </c>
      <c r="Q152" s="9">
        <f ca="1">IFERROR(_xlfn.XLOOKUP($F152,'FCDB 2017 (full)'!$C:$C,'FCDB 2017 (full)'!$I:$I),0)</f>
        <v>0</v>
      </c>
      <c r="R152" s="15">
        <f t="shared" ca="1" si="35"/>
        <v>0</v>
      </c>
      <c r="S152" s="16">
        <f ca="1">IFERROR(_xlfn.XLOOKUP($F152,'FCDB 2017 (full)'!$C:$C,'FCDB 2017 (full)'!$J:$J)*$H152/100,0)</f>
        <v>0</v>
      </c>
      <c r="T152" s="16">
        <f ca="1">IFERROR(_xlfn.XLOOKUP($F152,'FCDB 2017 (full)'!$C:$C,'FCDB 2017 (full)'!$K:$K)*$H152/100,0)</f>
        <v>0</v>
      </c>
      <c r="U152" s="16">
        <f ca="1">IFERROR(_xlfn.XLOOKUP($F152,'FCDB 2017 (full)'!$C:$C,'FCDB 2017 (full)'!$L:$L)*$H152/100,0)</f>
        <v>0</v>
      </c>
      <c r="V152" s="16">
        <f ca="1">IFERROR(_xlfn.XLOOKUP($F152,'FCDB 2017 (full)'!$C:$C,'FCDB 2017 (full)'!$M:$M)*$H152/100,0)</f>
        <v>0</v>
      </c>
      <c r="W152" s="16">
        <f ca="1">IFERROR(_xlfn.XLOOKUP($F152,'FCDB 2017 (full)'!$C:$C,'FCDB 2017 (full)'!$N:$N)*$H152/100,0)</f>
        <v>0</v>
      </c>
      <c r="X152" s="16">
        <f ca="1">IFERROR(_xlfn.XLOOKUP($F152,'FCDB 2017 (full)'!$C:$C,'FCDB 2017 (full)'!$O:$O)*$H152/100,0)</f>
        <v>0</v>
      </c>
      <c r="Y152" s="16">
        <f ca="1">IFERROR(_xlfn.XLOOKUP($F152,'FCDB 2017 (full)'!$C:$C,'FCDB 2017 (full)'!$P:$P)*$H152/100,0)</f>
        <v>0</v>
      </c>
      <c r="Z152" s="16">
        <f ca="1">IFERROR(_xlfn.XLOOKUP($F152,'FCDB 2017 (full)'!$C:$C,'FCDB 2017 (full)'!$Q:$Q)*$H152/100,0)</f>
        <v>0</v>
      </c>
      <c r="AA152" s="16">
        <f ca="1">IFERROR(_xlfn.XLOOKUP($F152,'FCDB 2017 (full)'!$C:$C,'FCDB 2017 (full)'!$R:$R)*$H152/100,0)</f>
        <v>0</v>
      </c>
      <c r="AB152" s="16">
        <f ca="1">IFERROR(_xlfn.XLOOKUP($F152,'FCDB 2017 (full)'!$C:$C,'FCDB 2017 (full)'!$S:$S)*$H152/100,0)</f>
        <v>0</v>
      </c>
      <c r="AC152" s="16">
        <f ca="1">IFERROR(_xlfn.XLOOKUP($F152,'FCDB 2017 (full)'!$C:$C,'FCDB 2017 (full)'!$T:$T)*$H152/100,0)</f>
        <v>0</v>
      </c>
      <c r="AD152" s="16">
        <f ca="1">IFERROR(_xlfn.XLOOKUP($F152,'FCDB 2017 (full)'!$C:$C,'FCDB 2017 (full)'!$U:$U)*$H152/100,0)</f>
        <v>0</v>
      </c>
      <c r="AE152" s="16">
        <f ca="1">IFERROR(_xlfn.XLOOKUP($F152,'FCDB 2017 (full)'!$C:$C,'FCDB 2017 (full)'!$V:$V)*$H152/100,0)</f>
        <v>0</v>
      </c>
      <c r="AF152" s="16">
        <f ca="1">IFERROR(_xlfn.XLOOKUP($F152,'FCDB 2017 (full)'!$C:$C,'FCDB 2017 (full)'!$W:$W)*$H152/100,0)</f>
        <v>0</v>
      </c>
      <c r="AG152" s="16">
        <f ca="1">IFERROR(_xlfn.XLOOKUP($F152,'FCDB 2017 (full)'!$C:$C,'FCDB 2017 (full)'!$X:$X)*$H152/100,0)</f>
        <v>0</v>
      </c>
      <c r="AH152" s="16">
        <f ca="1">IFERROR(_xlfn.XLOOKUP($F152,'FCDB 2017 (full)'!$C:$C,'FCDB 2017 (full)'!$Y:$Y)*$H152/100,0)</f>
        <v>0</v>
      </c>
      <c r="AI152" s="16">
        <f ca="1">IFERROR(_xlfn.XLOOKUP($F152,'FCDB 2017 (full)'!$C:$C,'FCDB 2017 (full)'!$Z:$Z)*$H152/100,0)</f>
        <v>0</v>
      </c>
      <c r="AJ152" s="16">
        <f ca="1">IFERROR(_xlfn.XLOOKUP($F152,'FCDB 2017 (full)'!$C:$C,'FCDB 2017 (full)'!$AA:$AA)*$H152/100,0)</f>
        <v>0</v>
      </c>
      <c r="AK152" s="16">
        <f ca="1">IFERROR(_xlfn.XLOOKUP($F152,'FCDB 2017 (full)'!$C:$C,'FCDB 2017 (full)'!$AB:$AB)*$H152/100,0)</f>
        <v>0</v>
      </c>
      <c r="AL152" s="16">
        <f ca="1">IFERROR(_xlfn.XLOOKUP($F152,'FCDB 2017 (full)'!$C:$C,'FCDB 2017 (full)'!$AC:$AC)*$H152/100,0)</f>
        <v>0</v>
      </c>
      <c r="AM152" s="16">
        <f ca="1">IFERROR(_xlfn.XLOOKUP($F152,'FCDB 2017 (full)'!$C:$C,'FCDB 2017 (full)'!$AD:$AD)*$H152/100,0)</f>
        <v>0</v>
      </c>
      <c r="AN152" s="16">
        <f ca="1">IFERROR(_xlfn.XLOOKUP($F152,'FCDB 2017 (full)'!$C:$C,'FCDB 2017 (full)'!$AE:$AE)*$H152/100,0)</f>
        <v>0</v>
      </c>
      <c r="AO152" s="16">
        <f ca="1">IFERROR(_xlfn.XLOOKUP($F152,'FCDB 2017 (full)'!$C:$C,'FCDB 2017 (full)'!$AF:$AF)*$H152/100,0)</f>
        <v>0</v>
      </c>
      <c r="AP152" s="16">
        <f ca="1">IFERROR(_xlfn.XLOOKUP($F152,'FCDB 2017 (full)'!$C:$C,'FCDB 2017 (full)'!$AG:$AG)*$H152/100,0)</f>
        <v>0</v>
      </c>
      <c r="AQ152" s="16">
        <f ca="1">IFERROR(_xlfn.XLOOKUP($F152,'FCDB 2017 (full)'!$C:$C,'FCDB 2017 (full)'!$AH:$AH)*$H152/100,0)</f>
        <v>0</v>
      </c>
      <c r="AR152" s="16">
        <f ca="1">IFERROR(_xlfn.XLOOKUP($F152,'FCDB 2017 (full)'!$C:$C,'FCDB 2017 (full)'!$AI:$AI)*$H152/100,0)</f>
        <v>0</v>
      </c>
      <c r="AS152" s="16">
        <f ca="1">IFERROR(_xlfn.XLOOKUP($F152,'FCDB 2017 (full)'!$C:$C,'FCDB 2017 (full)'!$AJ:$AJ)*$H152/100,0)</f>
        <v>0</v>
      </c>
      <c r="AT152" s="16">
        <f ca="1">IFERROR(_xlfn.XLOOKUP($F152,'FCDB 2017 (full)'!$C:$C,'FCDB 2017 (full)'!$AK:$AK)*$H152/100,0)</f>
        <v>0</v>
      </c>
      <c r="AU152" s="16">
        <f ca="1">IFERROR(_xlfn.XLOOKUP($F152,'FCDB 2017 (full)'!$C:$C,'FCDB 2017 (full)'!$AK:$AK)*$H152/100,0)</f>
        <v>0</v>
      </c>
      <c r="AV152" s="16">
        <f ca="1">IFERROR(_xlfn.XLOOKUP($F152,'FCDB 2017 (full)'!$C:$C,'FCDB 2017 (full)'!$AM:$AM)*$H152/100,0)</f>
        <v>0</v>
      </c>
      <c r="AW152" s="16">
        <f ca="1">IFERROR(_xlfn.XLOOKUP($F152,'FCDB 2017 (full)'!$C:$C,'FCDB 2017 (full)'!$AN:$AN)*$H152/100,0)</f>
        <v>0</v>
      </c>
      <c r="AX152" s="16">
        <f ca="1">IFERROR(_xlfn.XLOOKUP($F152,'FCDB 2017 (full)'!$C:$C,'FCDB 2017 (full)'!$AO:$AO)*$H152/100,0)</f>
        <v>0</v>
      </c>
      <c r="AY152" s="16">
        <f ca="1">IFERROR(_xlfn.XLOOKUP($F152,'FCDB 2017 (full)'!$C:$C,'FCDB 2017 (full)'!$AP:$AP)*$H152/100,0)</f>
        <v>0</v>
      </c>
      <c r="AZ152" s="16">
        <f ca="1">IFERROR(_xlfn.XLOOKUP($F152,'FCDB 2017 (full)'!$C:$C,'FCDB 2017 (full)'!$AQ:$AQ)*$H152/100,0)</f>
        <v>0</v>
      </c>
      <c r="BA152" s="16">
        <f ca="1">IFERROR(_xlfn.XLOOKUP($F152,'FCDB 2017 (full)'!$C:$C,'FCDB 2017 (full)'!$AR:$AR)*$H152/100,0)</f>
        <v>0</v>
      </c>
      <c r="BB152" s="16">
        <f ca="1">IFERROR(_xlfn.XLOOKUP($F152,'FCDB 2017 (full)'!$C:$C,'FCDB 2017 (full)'!$AS:$AS)*$H152/100,0)</f>
        <v>0</v>
      </c>
      <c r="BC152" s="16">
        <f ca="1">IFERROR(_xlfn.XLOOKUP($F152,'FCDB 2017 (full)'!$C:$C,'FCDB 2017 (full)'!$AT:$AT)*$H152/100,0)</f>
        <v>0</v>
      </c>
      <c r="BD152" s="16">
        <f ca="1">IFERROR(_xlfn.XLOOKUP($F152,'FCDB 2017 (full)'!$C:$C,'FCDB 2017 (full)'!$AU:$AU)*$H152/100,0)</f>
        <v>0</v>
      </c>
      <c r="BE152" s="16">
        <f ca="1">IFERROR(_xlfn.XLOOKUP($F152,'FCDB 2017 (full)'!$C:$C,'FCDB 2017 (full)'!$AV:$AV)*$H152/100,0)</f>
        <v>0</v>
      </c>
      <c r="BF152" s="16">
        <f ca="1">IFERROR(_xlfn.XLOOKUP($F152,'FCDB 2017 (full)'!$C:$C,'FCDB 2017 (full)'!$AW:$AW)*$H152/100,0)</f>
        <v>0</v>
      </c>
      <c r="BG152" s="16">
        <f ca="1">IFERROR(_xlfn.XLOOKUP($F152,'FCDB 2017 (full)'!$C:$C,'FCDB 2017 (full)'!$AX:$AX)*$H152/100,0)</f>
        <v>0</v>
      </c>
      <c r="BH152" s="16">
        <f ca="1">IFERROR(_xlfn.XLOOKUP($F152,'FCDB 2017 (full)'!$C:$C,'FCDB 2017 (full)'!$AY:$AY)*$H152/100,0)</f>
        <v>0</v>
      </c>
      <c r="BI152" s="16">
        <f ca="1">IFERROR(_xlfn.XLOOKUP($F152,'FCDB 2017 (full)'!$C:$C,'FCDB 2017 (full)'!$AZ:$AZ)*$H152/100,0)</f>
        <v>0</v>
      </c>
      <c r="BJ152" s="16">
        <f ca="1">IFERROR(_xlfn.XLOOKUP($F152,'FCDB 2017 (full)'!$C:$C,'FCDB 2017 (full)'!$BA:$BA)*$H152/100,0)</f>
        <v>0</v>
      </c>
      <c r="BK152" s="16">
        <f ca="1">IFERROR(_xlfn.XLOOKUP($F152,'FCDB 2017 (full)'!$C:$C,'FCDB 2017 (full)'!$BB:$BB)*$H152/100,0)</f>
        <v>0</v>
      </c>
      <c r="BL152" s="16">
        <f ca="1">IFERROR(_xlfn.XLOOKUP($F152,'FCDB 2017 (full)'!$C:$C,'FCDB 2017 (full)'!$BC:$BC)*$H152/100,0)</f>
        <v>0</v>
      </c>
      <c r="BM152" s="16">
        <f ca="1">IFERROR(_xlfn.XLOOKUP($F152,'FCDB 2017 (full)'!$C:$C,'FCDB 2017 (full)'!$BD:$BD)*$H152/100,0)</f>
        <v>0</v>
      </c>
      <c r="BN152" s="16">
        <f ca="1">IFERROR(_xlfn.XLOOKUP($F152,'FCDB 2017 (full)'!$C:$C,'FCDB 2017 (full)'!$BE:$BE)*$H152/100,0)</f>
        <v>0</v>
      </c>
      <c r="BO152" s="16">
        <f ca="1">IFERROR(_xlfn.XLOOKUP($F152,'FCDB 2017 (full)'!$C:$C,'FCDB 2017 (full)'!$BF:$BF)*$H152/100,0)</f>
        <v>0</v>
      </c>
      <c r="BP152" s="16">
        <f ca="1">IFERROR(_xlfn.XLOOKUP($F152,'FCDB 2017 (full)'!$C:$C,'FCDB 2017 (full)'!$BG:$BG)*$H152/100,0)</f>
        <v>0</v>
      </c>
      <c r="BQ152" s="16">
        <f ca="1">IFERROR(_xlfn.XLOOKUP($F152,'FCDB 2017 (full)'!$C:$C,'FCDB 2017 (full)'!$BH:$BH)*$H152/100,0)</f>
        <v>0</v>
      </c>
      <c r="BR152" s="16">
        <f ca="1">IFERROR(_xlfn.XLOOKUP($F152,'FCDB 2017 (full)'!$C:$C,'FCDB 2017 (full)'!$BI:$BI)*$H152/100,0)</f>
        <v>0</v>
      </c>
      <c r="BS152" s="16">
        <f ca="1">IFERROR(_xlfn.XLOOKUP($F152,'FCDB 2017 (full)'!$C:$C,'FCDB 2017 (full)'!$BJ:$BJ)*$H152/100,0)</f>
        <v>0</v>
      </c>
      <c r="BT152" s="16">
        <f ca="1">IFERROR(_xlfn.XLOOKUP($F152,'FCDB 2017 (full)'!$C:$C,'FCDB 2017 (full)'!$BK:$BK)*$H152/100,0)</f>
        <v>0</v>
      </c>
      <c r="BU152" s="16">
        <f ca="1">IFERROR(_xlfn.XLOOKUP($F152,'FCDB 2017 (full)'!$C:$C,'FCDB 2017 (full)'!$BL:$BL)*$H152/100,0)</f>
        <v>0</v>
      </c>
      <c r="BV152" s="16">
        <f ca="1">IFERROR(_xlfn.XLOOKUP($F152,'FCDB 2017 (full)'!$C:$C,'FCDB 2017 (full)'!$BM:$BM)*$H152/100,0)</f>
        <v>0</v>
      </c>
      <c r="BW152" s="16">
        <f ca="1">IFERROR(_xlfn.XLOOKUP($F152,'FCDB 2017 (full)'!$C:$C,'FCDB 2017 (full)'!$BN:$BN)*$H152/100,0)</f>
        <v>0</v>
      </c>
      <c r="BX152" s="16">
        <f ca="1">IFERROR(_xlfn.XLOOKUP($F152,'FCDB 2017 (full)'!$C:$C,'FCDB 2017 (full)'!$BO:$BO)*$H152/100,0)</f>
        <v>0</v>
      </c>
      <c r="BY152" s="16">
        <f ca="1">IFERROR(_xlfn.XLOOKUP($F152,'FCDB 2017 (full)'!$C:$C,'FCDB 2017 (full)'!$BP:$BP)*$H152/100,0)</f>
        <v>0</v>
      </c>
      <c r="BZ152" s="16">
        <f ca="1">IFERROR(_xlfn.XLOOKUP($F152,'FCDB 2017 (full)'!$C:$C,'FCDB 2017 (full)'!$BQ:$BQ)*$H152/100,0)</f>
        <v>0</v>
      </c>
      <c r="CA152" s="16">
        <f ca="1">IFERROR(_xlfn.XLOOKUP($F152,'FCDB 2017 (full)'!$C:$C,'FCDB 2017 (full)'!$BR:$BR)*$H152/100,0)</f>
        <v>0</v>
      </c>
      <c r="CB152" s="16">
        <f ca="1">IFERROR(_xlfn.XLOOKUP($F152,'FCDB 2017 (full)'!$C:$C,'FCDB 2017 (full)'!$BS:$BS)*$H152/100,0)</f>
        <v>0</v>
      </c>
      <c r="CC152" s="16">
        <f ca="1">IFERROR(_xlfn.XLOOKUP($F152,'FCDB 2017 (full)'!$C:$C,'FCDB 2017 (full)'!$BT:$BT)*$H152/100,0)</f>
        <v>0</v>
      </c>
      <c r="CD152" s="16">
        <f ca="1">IFERROR(_xlfn.XLOOKUP($F152,'FCDB 2017 (full)'!$C:$C,'FCDB 2017 (full)'!$BU:$BU)*$H152/100,0)</f>
        <v>0</v>
      </c>
      <c r="CE152" s="16">
        <f ca="1">IFERROR(_xlfn.XLOOKUP($F152,'FCDB 2017 (full)'!$C:$C,'FCDB 2017 (full)'!$BV:$BV)*$H152/100,0)</f>
        <v>0</v>
      </c>
      <c r="CF152" s="16">
        <f ca="1">IFERROR(_xlfn.XLOOKUP($F152,'FCDB 2017 (full)'!$C:$C,'FCDB 2017 (full)'!$BW:$BW)*$H152/100,0)</f>
        <v>0</v>
      </c>
      <c r="CG152" s="16">
        <f ca="1">IFERROR(_xlfn.XLOOKUP($F152,'FCDB 2017 (full)'!$C:$C,'FCDB 2017 (full)'!$BX:$BX)*$H152/100,0)</f>
        <v>0</v>
      </c>
      <c r="CH152" s="16">
        <f ca="1">IFERROR(_xlfn.XLOOKUP($F152,'FCDB 2017 (full)'!$C:$C,'FCDB 2017 (full)'!$BY:$BY)*$H152/100,0)</f>
        <v>0</v>
      </c>
      <c r="CI152" s="16">
        <f ca="1">IFERROR(_xlfn.XLOOKUP($F152,'FCDB 2017 (full)'!$C:$C,'FCDB 2017 (full)'!$BZ:$BZ)*$H152/100,0)</f>
        <v>0</v>
      </c>
      <c r="CJ152" s="16">
        <f ca="1">IFERROR(_xlfn.XLOOKUP($F152,'FCDB 2017 (full)'!$C:$C,'FCDB 2017 (full)'!$CA:$CA)*$H152/100,0)</f>
        <v>0</v>
      </c>
      <c r="CK152" s="16">
        <f ca="1">IFERROR(_xlfn.XLOOKUP($F152,'FCDB 2017 (full)'!$C:$C,'FCDB 2017 (full)'!$CB:$CB)*$H152/100,0)</f>
        <v>0</v>
      </c>
      <c r="CL152" s="16">
        <f ca="1">IFERROR(_xlfn.XLOOKUP($F152,'FCDB 2017 (full)'!$C:$C,'FCDB 2017 (full)'!$CC:$CC)*$H152/100,0)</f>
        <v>0</v>
      </c>
      <c r="CM152" s="16">
        <f ca="1">IFERROR(_xlfn.XLOOKUP($F152,'FCDB 2017 (full)'!$C:$C,'FCDB 2017 (full)'!$CD:$CD)*$H152/100,0)</f>
        <v>0</v>
      </c>
      <c r="CN152" s="16">
        <f ca="1">IFERROR(_xlfn.XLOOKUP($F152,'FCDB 2017 (full)'!$C:$C,'FCDB 2017 (full)'!$CE:$CE)*$H152/100,0)</f>
        <v>0</v>
      </c>
      <c r="CO152" s="16">
        <f ca="1">IFERROR(_xlfn.XLOOKUP($F152,'FCDB 2017 (full)'!$C:$C,'FCDB 2017 (full)'!$CF:$CF)*$H152/100,0)</f>
        <v>0</v>
      </c>
      <c r="CP152" s="16">
        <f ca="1">IFERROR(_xlfn.XLOOKUP($F152,'FCDB 2017 (full)'!$C:$C,'FCDB 2017 (full)'!$CG:$CG)*$H152/100,0)</f>
        <v>0</v>
      </c>
      <c r="CQ152" s="16">
        <f ca="1">IFERROR(_xlfn.XLOOKUP($F152,'FCDB 2017 (full)'!$C:$C,'FCDB 2017 (full)'!$CH:$CH)*$H152/100,0)</f>
        <v>0</v>
      </c>
      <c r="CR152"/>
      <c r="DA152" s="73" t="s">
        <v>985</v>
      </c>
    </row>
    <row r="153" spans="4:105" ht="16.8">
      <c r="D153"/>
      <c r="E153"/>
      <c r="F153" s="11">
        <f>IFERROR(VLOOKUP($D$139,$D:$AE,12,0),0)</f>
        <v>0</v>
      </c>
      <c r="G153" s="7" cm="1">
        <f t="array" ref="G153">IF(F153=0,0,IF(_xlfn.XLOOKUP(F153,$E$139:$AE$139,$E$140:$AE$140)=0,"Nhập ĐV/TV",_xlfn.XLOOKUP(F153,$E$139:$AE$139,$E$140:$AE$140)))</f>
        <v>0</v>
      </c>
      <c r="H153" s="8" cm="1">
        <f t="array" ref="H153">IFERROR(INDEX($E$141:$AE$141,MATCH(F153,$E$139:$AE$139,0)),0)</f>
        <v>0</v>
      </c>
      <c r="I153" s="9">
        <f ca="1">IFERROR(_xlfn.XLOOKUP($F153,'FCDB 2017 (full)'!$C:$C,'FCDB 2017 (full)'!$E:$E),0)</f>
        <v>0</v>
      </c>
      <c r="J153" s="10">
        <f t="shared" ca="1" si="30"/>
        <v>0</v>
      </c>
      <c r="K153" s="9">
        <f ca="1">IFERROR(_xlfn.XLOOKUP($F153,'FCDB 2017 (full)'!$C:$C,'FCDB 2017 (full)'!$G:$G),0)</f>
        <v>0</v>
      </c>
      <c r="L153" s="13">
        <f t="shared" si="31"/>
        <v>0</v>
      </c>
      <c r="M153" s="13">
        <f t="shared" si="32"/>
        <v>0</v>
      </c>
      <c r="N153" s="9">
        <f ca="1">IFERROR(_xlfn.XLOOKUP($F153,'FCDB 2017 (full)'!$C:$C,'FCDB 2017 (full)'!$H:$H),0)</f>
        <v>0</v>
      </c>
      <c r="O153" s="14">
        <f t="shared" si="33"/>
        <v>0</v>
      </c>
      <c r="P153" s="14">
        <f t="shared" si="34"/>
        <v>0</v>
      </c>
      <c r="Q153" s="9">
        <f ca="1">IFERROR(_xlfn.XLOOKUP($F153,'FCDB 2017 (full)'!$C:$C,'FCDB 2017 (full)'!$I:$I),0)</f>
        <v>0</v>
      </c>
      <c r="R153" s="15">
        <f t="shared" ca="1" si="35"/>
        <v>0</v>
      </c>
      <c r="S153" s="16">
        <f ca="1">IFERROR(_xlfn.XLOOKUP($F153,'FCDB 2017 (full)'!$C:$C,'FCDB 2017 (full)'!$J:$J)*$H153/100,0)</f>
        <v>0</v>
      </c>
      <c r="T153" s="16">
        <f ca="1">IFERROR(_xlfn.XLOOKUP($F153,'FCDB 2017 (full)'!$C:$C,'FCDB 2017 (full)'!$K:$K)*$H153/100,0)</f>
        <v>0</v>
      </c>
      <c r="U153" s="16">
        <f ca="1">IFERROR(_xlfn.XLOOKUP($F153,'FCDB 2017 (full)'!$C:$C,'FCDB 2017 (full)'!$L:$L)*$H153/100,0)</f>
        <v>0</v>
      </c>
      <c r="V153" s="16">
        <f ca="1">IFERROR(_xlfn.XLOOKUP($F153,'FCDB 2017 (full)'!$C:$C,'FCDB 2017 (full)'!$M:$M)*$H153/100,0)</f>
        <v>0</v>
      </c>
      <c r="W153" s="16">
        <f ca="1">IFERROR(_xlfn.XLOOKUP($F153,'FCDB 2017 (full)'!$C:$C,'FCDB 2017 (full)'!$N:$N)*$H153/100,0)</f>
        <v>0</v>
      </c>
      <c r="X153" s="16">
        <f ca="1">IFERROR(_xlfn.XLOOKUP($F153,'FCDB 2017 (full)'!$C:$C,'FCDB 2017 (full)'!$O:$O)*$H153/100,0)</f>
        <v>0</v>
      </c>
      <c r="Y153" s="16">
        <f ca="1">IFERROR(_xlfn.XLOOKUP($F153,'FCDB 2017 (full)'!$C:$C,'FCDB 2017 (full)'!$P:$P)*$H153/100,0)</f>
        <v>0</v>
      </c>
      <c r="Z153" s="16">
        <f ca="1">IFERROR(_xlfn.XLOOKUP($F153,'FCDB 2017 (full)'!$C:$C,'FCDB 2017 (full)'!$Q:$Q)*$H153/100,0)</f>
        <v>0</v>
      </c>
      <c r="AA153" s="16">
        <f ca="1">IFERROR(_xlfn.XLOOKUP($F153,'FCDB 2017 (full)'!$C:$C,'FCDB 2017 (full)'!$R:$R)*$H153/100,0)</f>
        <v>0</v>
      </c>
      <c r="AB153" s="16">
        <f ca="1">IFERROR(_xlfn.XLOOKUP($F153,'FCDB 2017 (full)'!$C:$C,'FCDB 2017 (full)'!$S:$S)*$H153/100,0)</f>
        <v>0</v>
      </c>
      <c r="AC153" s="16">
        <f ca="1">IFERROR(_xlfn.XLOOKUP($F153,'FCDB 2017 (full)'!$C:$C,'FCDB 2017 (full)'!$T:$T)*$H153/100,0)</f>
        <v>0</v>
      </c>
      <c r="AD153" s="16">
        <f ca="1">IFERROR(_xlfn.XLOOKUP($F153,'FCDB 2017 (full)'!$C:$C,'FCDB 2017 (full)'!$U:$U)*$H153/100,0)</f>
        <v>0</v>
      </c>
      <c r="AE153" s="16">
        <f ca="1">IFERROR(_xlfn.XLOOKUP($F153,'FCDB 2017 (full)'!$C:$C,'FCDB 2017 (full)'!$V:$V)*$H153/100,0)</f>
        <v>0</v>
      </c>
      <c r="AF153" s="16">
        <f ca="1">IFERROR(_xlfn.XLOOKUP($F153,'FCDB 2017 (full)'!$C:$C,'FCDB 2017 (full)'!$W:$W)*$H153/100,0)</f>
        <v>0</v>
      </c>
      <c r="AG153" s="16">
        <f ca="1">IFERROR(_xlfn.XLOOKUP($F153,'FCDB 2017 (full)'!$C:$C,'FCDB 2017 (full)'!$X:$X)*$H153/100,0)</f>
        <v>0</v>
      </c>
      <c r="AH153" s="16">
        <f ca="1">IFERROR(_xlfn.XLOOKUP($F153,'FCDB 2017 (full)'!$C:$C,'FCDB 2017 (full)'!$Y:$Y)*$H153/100,0)</f>
        <v>0</v>
      </c>
      <c r="AI153" s="16">
        <f ca="1">IFERROR(_xlfn.XLOOKUP($F153,'FCDB 2017 (full)'!$C:$C,'FCDB 2017 (full)'!$Z:$Z)*$H153/100,0)</f>
        <v>0</v>
      </c>
      <c r="AJ153" s="16">
        <f ca="1">IFERROR(_xlfn.XLOOKUP($F153,'FCDB 2017 (full)'!$C:$C,'FCDB 2017 (full)'!$AA:$AA)*$H153/100,0)</f>
        <v>0</v>
      </c>
      <c r="AK153" s="16">
        <f ca="1">IFERROR(_xlfn.XLOOKUP($F153,'FCDB 2017 (full)'!$C:$C,'FCDB 2017 (full)'!$AB:$AB)*$H153/100,0)</f>
        <v>0</v>
      </c>
      <c r="AL153" s="16">
        <f ca="1">IFERROR(_xlfn.XLOOKUP($F153,'FCDB 2017 (full)'!$C:$C,'FCDB 2017 (full)'!$AC:$AC)*$H153/100,0)</f>
        <v>0</v>
      </c>
      <c r="AM153" s="16">
        <f ca="1">IFERROR(_xlfn.XLOOKUP($F153,'FCDB 2017 (full)'!$C:$C,'FCDB 2017 (full)'!$AD:$AD)*$H153/100,0)</f>
        <v>0</v>
      </c>
      <c r="AN153" s="16">
        <f ca="1">IFERROR(_xlfn.XLOOKUP($F153,'FCDB 2017 (full)'!$C:$C,'FCDB 2017 (full)'!$AE:$AE)*$H153/100,0)</f>
        <v>0</v>
      </c>
      <c r="AO153" s="16">
        <f ca="1">IFERROR(_xlfn.XLOOKUP($F153,'FCDB 2017 (full)'!$C:$C,'FCDB 2017 (full)'!$AF:$AF)*$H153/100,0)</f>
        <v>0</v>
      </c>
      <c r="AP153" s="16">
        <f ca="1">IFERROR(_xlfn.XLOOKUP($F153,'FCDB 2017 (full)'!$C:$C,'FCDB 2017 (full)'!$AG:$AG)*$H153/100,0)</f>
        <v>0</v>
      </c>
      <c r="AQ153" s="16">
        <f ca="1">IFERROR(_xlfn.XLOOKUP($F153,'FCDB 2017 (full)'!$C:$C,'FCDB 2017 (full)'!$AH:$AH)*$H153/100,0)</f>
        <v>0</v>
      </c>
      <c r="AR153" s="16">
        <f ca="1">IFERROR(_xlfn.XLOOKUP($F153,'FCDB 2017 (full)'!$C:$C,'FCDB 2017 (full)'!$AI:$AI)*$H153/100,0)</f>
        <v>0</v>
      </c>
      <c r="AS153" s="16">
        <f ca="1">IFERROR(_xlfn.XLOOKUP($F153,'FCDB 2017 (full)'!$C:$C,'FCDB 2017 (full)'!$AJ:$AJ)*$H153/100,0)</f>
        <v>0</v>
      </c>
      <c r="AT153" s="16">
        <f ca="1">IFERROR(_xlfn.XLOOKUP($F153,'FCDB 2017 (full)'!$C:$C,'FCDB 2017 (full)'!$AK:$AK)*$H153/100,0)</f>
        <v>0</v>
      </c>
      <c r="AU153" s="16">
        <f ca="1">IFERROR(_xlfn.XLOOKUP($F153,'FCDB 2017 (full)'!$C:$C,'FCDB 2017 (full)'!$AK:$AK)*$H153/100,0)</f>
        <v>0</v>
      </c>
      <c r="AV153" s="16">
        <f ca="1">IFERROR(_xlfn.XLOOKUP($F153,'FCDB 2017 (full)'!$C:$C,'FCDB 2017 (full)'!$AM:$AM)*$H153/100,0)</f>
        <v>0</v>
      </c>
      <c r="AW153" s="16">
        <f ca="1">IFERROR(_xlfn.XLOOKUP($F153,'FCDB 2017 (full)'!$C:$C,'FCDB 2017 (full)'!$AN:$AN)*$H153/100,0)</f>
        <v>0</v>
      </c>
      <c r="AX153" s="16">
        <f ca="1">IFERROR(_xlfn.XLOOKUP($F153,'FCDB 2017 (full)'!$C:$C,'FCDB 2017 (full)'!$AO:$AO)*$H153/100,0)</f>
        <v>0</v>
      </c>
      <c r="AY153" s="16">
        <f ca="1">IFERROR(_xlfn.XLOOKUP($F153,'FCDB 2017 (full)'!$C:$C,'FCDB 2017 (full)'!$AP:$AP)*$H153/100,0)</f>
        <v>0</v>
      </c>
      <c r="AZ153" s="16">
        <f ca="1">IFERROR(_xlfn.XLOOKUP($F153,'FCDB 2017 (full)'!$C:$C,'FCDB 2017 (full)'!$AQ:$AQ)*$H153/100,0)</f>
        <v>0</v>
      </c>
      <c r="BA153" s="16">
        <f ca="1">IFERROR(_xlfn.XLOOKUP($F153,'FCDB 2017 (full)'!$C:$C,'FCDB 2017 (full)'!$AR:$AR)*$H153/100,0)</f>
        <v>0</v>
      </c>
      <c r="BB153" s="16">
        <f ca="1">IFERROR(_xlfn.XLOOKUP($F153,'FCDB 2017 (full)'!$C:$C,'FCDB 2017 (full)'!$AS:$AS)*$H153/100,0)</f>
        <v>0</v>
      </c>
      <c r="BC153" s="16">
        <f ca="1">IFERROR(_xlfn.XLOOKUP($F153,'FCDB 2017 (full)'!$C:$C,'FCDB 2017 (full)'!$AT:$AT)*$H153/100,0)</f>
        <v>0</v>
      </c>
      <c r="BD153" s="16">
        <f ca="1">IFERROR(_xlfn.XLOOKUP($F153,'FCDB 2017 (full)'!$C:$C,'FCDB 2017 (full)'!$AU:$AU)*$H153/100,0)</f>
        <v>0</v>
      </c>
      <c r="BE153" s="16">
        <f ca="1">IFERROR(_xlfn.XLOOKUP($F153,'FCDB 2017 (full)'!$C:$C,'FCDB 2017 (full)'!$AV:$AV)*$H153/100,0)</f>
        <v>0</v>
      </c>
      <c r="BF153" s="16">
        <f ca="1">IFERROR(_xlfn.XLOOKUP($F153,'FCDB 2017 (full)'!$C:$C,'FCDB 2017 (full)'!$AW:$AW)*$H153/100,0)</f>
        <v>0</v>
      </c>
      <c r="BG153" s="16">
        <f ca="1">IFERROR(_xlfn.XLOOKUP($F153,'FCDB 2017 (full)'!$C:$C,'FCDB 2017 (full)'!$AX:$AX)*$H153/100,0)</f>
        <v>0</v>
      </c>
      <c r="BH153" s="16">
        <f ca="1">IFERROR(_xlfn.XLOOKUP($F153,'FCDB 2017 (full)'!$C:$C,'FCDB 2017 (full)'!$AY:$AY)*$H153/100,0)</f>
        <v>0</v>
      </c>
      <c r="BI153" s="16">
        <f ca="1">IFERROR(_xlfn.XLOOKUP($F153,'FCDB 2017 (full)'!$C:$C,'FCDB 2017 (full)'!$AZ:$AZ)*$H153/100,0)</f>
        <v>0</v>
      </c>
      <c r="BJ153" s="16">
        <f ca="1">IFERROR(_xlfn.XLOOKUP($F153,'FCDB 2017 (full)'!$C:$C,'FCDB 2017 (full)'!$BA:$BA)*$H153/100,0)</f>
        <v>0</v>
      </c>
      <c r="BK153" s="16">
        <f ca="1">IFERROR(_xlfn.XLOOKUP($F153,'FCDB 2017 (full)'!$C:$C,'FCDB 2017 (full)'!$BB:$BB)*$H153/100,0)</f>
        <v>0</v>
      </c>
      <c r="BL153" s="16">
        <f ca="1">IFERROR(_xlfn.XLOOKUP($F153,'FCDB 2017 (full)'!$C:$C,'FCDB 2017 (full)'!$BC:$BC)*$H153/100,0)</f>
        <v>0</v>
      </c>
      <c r="BM153" s="16">
        <f ca="1">IFERROR(_xlfn.XLOOKUP($F153,'FCDB 2017 (full)'!$C:$C,'FCDB 2017 (full)'!$BD:$BD)*$H153/100,0)</f>
        <v>0</v>
      </c>
      <c r="BN153" s="16">
        <f ca="1">IFERROR(_xlfn.XLOOKUP($F153,'FCDB 2017 (full)'!$C:$C,'FCDB 2017 (full)'!$BE:$BE)*$H153/100,0)</f>
        <v>0</v>
      </c>
      <c r="BO153" s="16">
        <f ca="1">IFERROR(_xlfn.XLOOKUP($F153,'FCDB 2017 (full)'!$C:$C,'FCDB 2017 (full)'!$BF:$BF)*$H153/100,0)</f>
        <v>0</v>
      </c>
      <c r="BP153" s="16">
        <f ca="1">IFERROR(_xlfn.XLOOKUP($F153,'FCDB 2017 (full)'!$C:$C,'FCDB 2017 (full)'!$BG:$BG)*$H153/100,0)</f>
        <v>0</v>
      </c>
      <c r="BQ153" s="16">
        <f ca="1">IFERROR(_xlfn.XLOOKUP($F153,'FCDB 2017 (full)'!$C:$C,'FCDB 2017 (full)'!$BH:$BH)*$H153/100,0)</f>
        <v>0</v>
      </c>
      <c r="BR153" s="16">
        <f ca="1">IFERROR(_xlfn.XLOOKUP($F153,'FCDB 2017 (full)'!$C:$C,'FCDB 2017 (full)'!$BI:$BI)*$H153/100,0)</f>
        <v>0</v>
      </c>
      <c r="BS153" s="16">
        <f ca="1">IFERROR(_xlfn.XLOOKUP($F153,'FCDB 2017 (full)'!$C:$C,'FCDB 2017 (full)'!$BJ:$BJ)*$H153/100,0)</f>
        <v>0</v>
      </c>
      <c r="BT153" s="16">
        <f ca="1">IFERROR(_xlfn.XLOOKUP($F153,'FCDB 2017 (full)'!$C:$C,'FCDB 2017 (full)'!$BK:$BK)*$H153/100,0)</f>
        <v>0</v>
      </c>
      <c r="BU153" s="16">
        <f ca="1">IFERROR(_xlfn.XLOOKUP($F153,'FCDB 2017 (full)'!$C:$C,'FCDB 2017 (full)'!$BL:$BL)*$H153/100,0)</f>
        <v>0</v>
      </c>
      <c r="BV153" s="16">
        <f ca="1">IFERROR(_xlfn.XLOOKUP($F153,'FCDB 2017 (full)'!$C:$C,'FCDB 2017 (full)'!$BM:$BM)*$H153/100,0)</f>
        <v>0</v>
      </c>
      <c r="BW153" s="16">
        <f ca="1">IFERROR(_xlfn.XLOOKUP($F153,'FCDB 2017 (full)'!$C:$C,'FCDB 2017 (full)'!$BN:$BN)*$H153/100,0)</f>
        <v>0</v>
      </c>
      <c r="BX153" s="16">
        <f ca="1">IFERROR(_xlfn.XLOOKUP($F153,'FCDB 2017 (full)'!$C:$C,'FCDB 2017 (full)'!$BO:$BO)*$H153/100,0)</f>
        <v>0</v>
      </c>
      <c r="BY153" s="16">
        <f ca="1">IFERROR(_xlfn.XLOOKUP($F153,'FCDB 2017 (full)'!$C:$C,'FCDB 2017 (full)'!$BP:$BP)*$H153/100,0)</f>
        <v>0</v>
      </c>
      <c r="BZ153" s="16">
        <f ca="1">IFERROR(_xlfn.XLOOKUP($F153,'FCDB 2017 (full)'!$C:$C,'FCDB 2017 (full)'!$BQ:$BQ)*$H153/100,0)</f>
        <v>0</v>
      </c>
      <c r="CA153" s="16">
        <f ca="1">IFERROR(_xlfn.XLOOKUP($F153,'FCDB 2017 (full)'!$C:$C,'FCDB 2017 (full)'!$BR:$BR)*$H153/100,0)</f>
        <v>0</v>
      </c>
      <c r="CB153" s="16">
        <f ca="1">IFERROR(_xlfn.XLOOKUP($F153,'FCDB 2017 (full)'!$C:$C,'FCDB 2017 (full)'!$BS:$BS)*$H153/100,0)</f>
        <v>0</v>
      </c>
      <c r="CC153" s="16">
        <f ca="1">IFERROR(_xlfn.XLOOKUP($F153,'FCDB 2017 (full)'!$C:$C,'FCDB 2017 (full)'!$BT:$BT)*$H153/100,0)</f>
        <v>0</v>
      </c>
      <c r="CD153" s="16">
        <f ca="1">IFERROR(_xlfn.XLOOKUP($F153,'FCDB 2017 (full)'!$C:$C,'FCDB 2017 (full)'!$BU:$BU)*$H153/100,0)</f>
        <v>0</v>
      </c>
      <c r="CE153" s="16">
        <f ca="1">IFERROR(_xlfn.XLOOKUP($F153,'FCDB 2017 (full)'!$C:$C,'FCDB 2017 (full)'!$BV:$BV)*$H153/100,0)</f>
        <v>0</v>
      </c>
      <c r="CF153" s="16">
        <f ca="1">IFERROR(_xlfn.XLOOKUP($F153,'FCDB 2017 (full)'!$C:$C,'FCDB 2017 (full)'!$BW:$BW)*$H153/100,0)</f>
        <v>0</v>
      </c>
      <c r="CG153" s="16">
        <f ca="1">IFERROR(_xlfn.XLOOKUP($F153,'FCDB 2017 (full)'!$C:$C,'FCDB 2017 (full)'!$BX:$BX)*$H153/100,0)</f>
        <v>0</v>
      </c>
      <c r="CH153" s="16">
        <f ca="1">IFERROR(_xlfn.XLOOKUP($F153,'FCDB 2017 (full)'!$C:$C,'FCDB 2017 (full)'!$BY:$BY)*$H153/100,0)</f>
        <v>0</v>
      </c>
      <c r="CI153" s="16">
        <f ca="1">IFERROR(_xlfn.XLOOKUP($F153,'FCDB 2017 (full)'!$C:$C,'FCDB 2017 (full)'!$BZ:$BZ)*$H153/100,0)</f>
        <v>0</v>
      </c>
      <c r="CJ153" s="16">
        <f ca="1">IFERROR(_xlfn.XLOOKUP($F153,'FCDB 2017 (full)'!$C:$C,'FCDB 2017 (full)'!$CA:$CA)*$H153/100,0)</f>
        <v>0</v>
      </c>
      <c r="CK153" s="16">
        <f ca="1">IFERROR(_xlfn.XLOOKUP($F153,'FCDB 2017 (full)'!$C:$C,'FCDB 2017 (full)'!$CB:$CB)*$H153/100,0)</f>
        <v>0</v>
      </c>
      <c r="CL153" s="16">
        <f ca="1">IFERROR(_xlfn.XLOOKUP($F153,'FCDB 2017 (full)'!$C:$C,'FCDB 2017 (full)'!$CC:$CC)*$H153/100,0)</f>
        <v>0</v>
      </c>
      <c r="CM153" s="16">
        <f ca="1">IFERROR(_xlfn.XLOOKUP($F153,'FCDB 2017 (full)'!$C:$C,'FCDB 2017 (full)'!$CD:$CD)*$H153/100,0)</f>
        <v>0</v>
      </c>
      <c r="CN153" s="16">
        <f ca="1">IFERROR(_xlfn.XLOOKUP($F153,'FCDB 2017 (full)'!$C:$C,'FCDB 2017 (full)'!$CE:$CE)*$H153/100,0)</f>
        <v>0</v>
      </c>
      <c r="CO153" s="16">
        <f ca="1">IFERROR(_xlfn.XLOOKUP($F153,'FCDB 2017 (full)'!$C:$C,'FCDB 2017 (full)'!$CF:$CF)*$H153/100,0)</f>
        <v>0</v>
      </c>
      <c r="CP153" s="16">
        <f ca="1">IFERROR(_xlfn.XLOOKUP($F153,'FCDB 2017 (full)'!$C:$C,'FCDB 2017 (full)'!$CG:$CG)*$H153/100,0)</f>
        <v>0</v>
      </c>
      <c r="CQ153" s="16">
        <f ca="1">IFERROR(_xlfn.XLOOKUP($F153,'FCDB 2017 (full)'!$C:$C,'FCDB 2017 (full)'!$CH:$CH)*$H153/100,0)</f>
        <v>0</v>
      </c>
      <c r="CR153"/>
      <c r="DA153" s="73" t="s">
        <v>985</v>
      </c>
    </row>
    <row r="154" spans="4:105" ht="16.8">
      <c r="D154"/>
      <c r="E154"/>
      <c r="F154" s="11">
        <f>IFERROR(VLOOKUP($D$139,$D:$AE,13,0),0)</f>
        <v>0</v>
      </c>
      <c r="G154" s="7" cm="1">
        <f t="array" ref="G154">IF(F154=0,0,IF(_xlfn.XLOOKUP(F154,$E$139:$AE$139,$E$140:$AE$140)=0,"Nhập ĐV/TV",_xlfn.XLOOKUP(F154,$E$139:$AE$139,$E$140:$AE$140)))</f>
        <v>0</v>
      </c>
      <c r="H154" s="8" cm="1">
        <f t="array" ref="H154">IFERROR(INDEX($E$141:$AE$141,MATCH(F154,$E$139:$AE$139,0)),0)</f>
        <v>0</v>
      </c>
      <c r="I154" s="9">
        <f ca="1">IFERROR(_xlfn.XLOOKUP($F154,'FCDB 2017 (full)'!$C:$C,'FCDB 2017 (full)'!$E:$E),0)</f>
        <v>0</v>
      </c>
      <c r="J154" s="10">
        <f t="shared" ca="1" si="30"/>
        <v>0</v>
      </c>
      <c r="K154" s="9">
        <f ca="1">IFERROR(_xlfn.XLOOKUP($F154,'FCDB 2017 (full)'!$C:$C,'FCDB 2017 (full)'!$G:$G),0)</f>
        <v>0</v>
      </c>
      <c r="L154" s="13">
        <f t="shared" si="31"/>
        <v>0</v>
      </c>
      <c r="M154" s="13">
        <f t="shared" si="32"/>
        <v>0</v>
      </c>
      <c r="N154" s="9">
        <f ca="1">IFERROR(_xlfn.XLOOKUP($F154,'FCDB 2017 (full)'!$C:$C,'FCDB 2017 (full)'!$H:$H),0)</f>
        <v>0</v>
      </c>
      <c r="O154" s="14">
        <f t="shared" si="33"/>
        <v>0</v>
      </c>
      <c r="P154" s="14">
        <f t="shared" si="34"/>
        <v>0</v>
      </c>
      <c r="Q154" s="9">
        <f ca="1">IFERROR(_xlfn.XLOOKUP($F154,'FCDB 2017 (full)'!$C:$C,'FCDB 2017 (full)'!$I:$I),0)</f>
        <v>0</v>
      </c>
      <c r="R154" s="15">
        <f t="shared" ca="1" si="35"/>
        <v>0</v>
      </c>
      <c r="S154" s="16">
        <f ca="1">IFERROR(_xlfn.XLOOKUP($F154,'FCDB 2017 (full)'!$C:$C,'FCDB 2017 (full)'!$J:$J)*$H154/100,0)</f>
        <v>0</v>
      </c>
      <c r="T154" s="16">
        <f ca="1">IFERROR(_xlfn.XLOOKUP($F154,'FCDB 2017 (full)'!$C:$C,'FCDB 2017 (full)'!$K:$K)*$H154/100,0)</f>
        <v>0</v>
      </c>
      <c r="U154" s="16">
        <f ca="1">IFERROR(_xlfn.XLOOKUP($F154,'FCDB 2017 (full)'!$C:$C,'FCDB 2017 (full)'!$L:$L)*$H154/100,0)</f>
        <v>0</v>
      </c>
      <c r="V154" s="16">
        <f ca="1">IFERROR(_xlfn.XLOOKUP($F154,'FCDB 2017 (full)'!$C:$C,'FCDB 2017 (full)'!$M:$M)*$H154/100,0)</f>
        <v>0</v>
      </c>
      <c r="W154" s="16">
        <f ca="1">IFERROR(_xlfn.XLOOKUP($F154,'FCDB 2017 (full)'!$C:$C,'FCDB 2017 (full)'!$N:$N)*$H154/100,0)</f>
        <v>0</v>
      </c>
      <c r="X154" s="16">
        <f ca="1">IFERROR(_xlfn.XLOOKUP($F154,'FCDB 2017 (full)'!$C:$C,'FCDB 2017 (full)'!$O:$O)*$H154/100,0)</f>
        <v>0</v>
      </c>
      <c r="Y154" s="16">
        <f ca="1">IFERROR(_xlfn.XLOOKUP($F154,'FCDB 2017 (full)'!$C:$C,'FCDB 2017 (full)'!$P:$P)*$H154/100,0)</f>
        <v>0</v>
      </c>
      <c r="Z154" s="16">
        <f ca="1">IFERROR(_xlfn.XLOOKUP($F154,'FCDB 2017 (full)'!$C:$C,'FCDB 2017 (full)'!$Q:$Q)*$H154/100,0)</f>
        <v>0</v>
      </c>
      <c r="AA154" s="16">
        <f ca="1">IFERROR(_xlfn.XLOOKUP($F154,'FCDB 2017 (full)'!$C:$C,'FCDB 2017 (full)'!$R:$R)*$H154/100,0)</f>
        <v>0</v>
      </c>
      <c r="AB154" s="16">
        <f ca="1">IFERROR(_xlfn.XLOOKUP($F154,'FCDB 2017 (full)'!$C:$C,'FCDB 2017 (full)'!$S:$S)*$H154/100,0)</f>
        <v>0</v>
      </c>
      <c r="AC154" s="16">
        <f ca="1">IFERROR(_xlfn.XLOOKUP($F154,'FCDB 2017 (full)'!$C:$C,'FCDB 2017 (full)'!$T:$T)*$H154/100,0)</f>
        <v>0</v>
      </c>
      <c r="AD154" s="16">
        <f ca="1">IFERROR(_xlfn.XLOOKUP($F154,'FCDB 2017 (full)'!$C:$C,'FCDB 2017 (full)'!$U:$U)*$H154/100,0)</f>
        <v>0</v>
      </c>
      <c r="AE154" s="16">
        <f ca="1">IFERROR(_xlfn.XLOOKUP($F154,'FCDB 2017 (full)'!$C:$C,'FCDB 2017 (full)'!$V:$V)*$H154/100,0)</f>
        <v>0</v>
      </c>
      <c r="AF154" s="16">
        <f ca="1">IFERROR(_xlfn.XLOOKUP($F154,'FCDB 2017 (full)'!$C:$C,'FCDB 2017 (full)'!$W:$W)*$H154/100,0)</f>
        <v>0</v>
      </c>
      <c r="AG154" s="16">
        <f ca="1">IFERROR(_xlfn.XLOOKUP($F154,'FCDB 2017 (full)'!$C:$C,'FCDB 2017 (full)'!$X:$X)*$H154/100,0)</f>
        <v>0</v>
      </c>
      <c r="AH154" s="16">
        <f ca="1">IFERROR(_xlfn.XLOOKUP($F154,'FCDB 2017 (full)'!$C:$C,'FCDB 2017 (full)'!$Y:$Y)*$H154/100,0)</f>
        <v>0</v>
      </c>
      <c r="AI154" s="16">
        <f ca="1">IFERROR(_xlfn.XLOOKUP($F154,'FCDB 2017 (full)'!$C:$C,'FCDB 2017 (full)'!$Z:$Z)*$H154/100,0)</f>
        <v>0</v>
      </c>
      <c r="AJ154" s="16">
        <f ca="1">IFERROR(_xlfn.XLOOKUP($F154,'FCDB 2017 (full)'!$C:$C,'FCDB 2017 (full)'!$AA:$AA)*$H154/100,0)</f>
        <v>0</v>
      </c>
      <c r="AK154" s="16">
        <f ca="1">IFERROR(_xlfn.XLOOKUP($F154,'FCDB 2017 (full)'!$C:$C,'FCDB 2017 (full)'!$AB:$AB)*$H154/100,0)</f>
        <v>0</v>
      </c>
      <c r="AL154" s="16">
        <f ca="1">IFERROR(_xlfn.XLOOKUP($F154,'FCDB 2017 (full)'!$C:$C,'FCDB 2017 (full)'!$AC:$AC)*$H154/100,0)</f>
        <v>0</v>
      </c>
      <c r="AM154" s="16">
        <f ca="1">IFERROR(_xlfn.XLOOKUP($F154,'FCDB 2017 (full)'!$C:$C,'FCDB 2017 (full)'!$AD:$AD)*$H154/100,0)</f>
        <v>0</v>
      </c>
      <c r="AN154" s="16">
        <f ca="1">IFERROR(_xlfn.XLOOKUP($F154,'FCDB 2017 (full)'!$C:$C,'FCDB 2017 (full)'!$AE:$AE)*$H154/100,0)</f>
        <v>0</v>
      </c>
      <c r="AO154" s="16">
        <f ca="1">IFERROR(_xlfn.XLOOKUP($F154,'FCDB 2017 (full)'!$C:$C,'FCDB 2017 (full)'!$AF:$AF)*$H154/100,0)</f>
        <v>0</v>
      </c>
      <c r="AP154" s="16">
        <f ca="1">IFERROR(_xlfn.XLOOKUP($F154,'FCDB 2017 (full)'!$C:$C,'FCDB 2017 (full)'!$AG:$AG)*$H154/100,0)</f>
        <v>0</v>
      </c>
      <c r="AQ154" s="16">
        <f ca="1">IFERROR(_xlfn.XLOOKUP($F154,'FCDB 2017 (full)'!$C:$C,'FCDB 2017 (full)'!$AH:$AH)*$H154/100,0)</f>
        <v>0</v>
      </c>
      <c r="AR154" s="16">
        <f ca="1">IFERROR(_xlfn.XLOOKUP($F154,'FCDB 2017 (full)'!$C:$C,'FCDB 2017 (full)'!$AI:$AI)*$H154/100,0)</f>
        <v>0</v>
      </c>
      <c r="AS154" s="16">
        <f ca="1">IFERROR(_xlfn.XLOOKUP($F154,'FCDB 2017 (full)'!$C:$C,'FCDB 2017 (full)'!$AJ:$AJ)*$H154/100,0)</f>
        <v>0</v>
      </c>
      <c r="AT154" s="16">
        <f ca="1">IFERROR(_xlfn.XLOOKUP($F154,'FCDB 2017 (full)'!$C:$C,'FCDB 2017 (full)'!$AK:$AK)*$H154/100,0)</f>
        <v>0</v>
      </c>
      <c r="AU154" s="16">
        <f ca="1">IFERROR(_xlfn.XLOOKUP($F154,'FCDB 2017 (full)'!$C:$C,'FCDB 2017 (full)'!$AK:$AK)*$H154/100,0)</f>
        <v>0</v>
      </c>
      <c r="AV154" s="16">
        <f ca="1">IFERROR(_xlfn.XLOOKUP($F154,'FCDB 2017 (full)'!$C:$C,'FCDB 2017 (full)'!$AM:$AM)*$H154/100,0)</f>
        <v>0</v>
      </c>
      <c r="AW154" s="16">
        <f ca="1">IFERROR(_xlfn.XLOOKUP($F154,'FCDB 2017 (full)'!$C:$C,'FCDB 2017 (full)'!$AN:$AN)*$H154/100,0)</f>
        <v>0</v>
      </c>
      <c r="AX154" s="16">
        <f ca="1">IFERROR(_xlfn.XLOOKUP($F154,'FCDB 2017 (full)'!$C:$C,'FCDB 2017 (full)'!$AO:$AO)*$H154/100,0)</f>
        <v>0</v>
      </c>
      <c r="AY154" s="16">
        <f ca="1">IFERROR(_xlfn.XLOOKUP($F154,'FCDB 2017 (full)'!$C:$C,'FCDB 2017 (full)'!$AP:$AP)*$H154/100,0)</f>
        <v>0</v>
      </c>
      <c r="AZ154" s="16">
        <f ca="1">IFERROR(_xlfn.XLOOKUP($F154,'FCDB 2017 (full)'!$C:$C,'FCDB 2017 (full)'!$AQ:$AQ)*$H154/100,0)</f>
        <v>0</v>
      </c>
      <c r="BA154" s="16">
        <f ca="1">IFERROR(_xlfn.XLOOKUP($F154,'FCDB 2017 (full)'!$C:$C,'FCDB 2017 (full)'!$AR:$AR)*$H154/100,0)</f>
        <v>0</v>
      </c>
      <c r="BB154" s="16">
        <f ca="1">IFERROR(_xlfn.XLOOKUP($F154,'FCDB 2017 (full)'!$C:$C,'FCDB 2017 (full)'!$AS:$AS)*$H154/100,0)</f>
        <v>0</v>
      </c>
      <c r="BC154" s="16">
        <f ca="1">IFERROR(_xlfn.XLOOKUP($F154,'FCDB 2017 (full)'!$C:$C,'FCDB 2017 (full)'!$AT:$AT)*$H154/100,0)</f>
        <v>0</v>
      </c>
      <c r="BD154" s="16">
        <f ca="1">IFERROR(_xlfn.XLOOKUP($F154,'FCDB 2017 (full)'!$C:$C,'FCDB 2017 (full)'!$AU:$AU)*$H154/100,0)</f>
        <v>0</v>
      </c>
      <c r="BE154" s="16">
        <f ca="1">IFERROR(_xlfn.XLOOKUP($F154,'FCDB 2017 (full)'!$C:$C,'FCDB 2017 (full)'!$AV:$AV)*$H154/100,0)</f>
        <v>0</v>
      </c>
      <c r="BF154" s="16">
        <f ca="1">IFERROR(_xlfn.XLOOKUP($F154,'FCDB 2017 (full)'!$C:$C,'FCDB 2017 (full)'!$AW:$AW)*$H154/100,0)</f>
        <v>0</v>
      </c>
      <c r="BG154" s="16">
        <f ca="1">IFERROR(_xlfn.XLOOKUP($F154,'FCDB 2017 (full)'!$C:$C,'FCDB 2017 (full)'!$AX:$AX)*$H154/100,0)</f>
        <v>0</v>
      </c>
      <c r="BH154" s="16">
        <f ca="1">IFERROR(_xlfn.XLOOKUP($F154,'FCDB 2017 (full)'!$C:$C,'FCDB 2017 (full)'!$AY:$AY)*$H154/100,0)</f>
        <v>0</v>
      </c>
      <c r="BI154" s="16">
        <f ca="1">IFERROR(_xlfn.XLOOKUP($F154,'FCDB 2017 (full)'!$C:$C,'FCDB 2017 (full)'!$AZ:$AZ)*$H154/100,0)</f>
        <v>0</v>
      </c>
      <c r="BJ154" s="16">
        <f ca="1">IFERROR(_xlfn.XLOOKUP($F154,'FCDB 2017 (full)'!$C:$C,'FCDB 2017 (full)'!$BA:$BA)*$H154/100,0)</f>
        <v>0</v>
      </c>
      <c r="BK154" s="16">
        <f ca="1">IFERROR(_xlfn.XLOOKUP($F154,'FCDB 2017 (full)'!$C:$C,'FCDB 2017 (full)'!$BB:$BB)*$H154/100,0)</f>
        <v>0</v>
      </c>
      <c r="BL154" s="16">
        <f ca="1">IFERROR(_xlfn.XLOOKUP($F154,'FCDB 2017 (full)'!$C:$C,'FCDB 2017 (full)'!$BC:$BC)*$H154/100,0)</f>
        <v>0</v>
      </c>
      <c r="BM154" s="16">
        <f ca="1">IFERROR(_xlfn.XLOOKUP($F154,'FCDB 2017 (full)'!$C:$C,'FCDB 2017 (full)'!$BD:$BD)*$H154/100,0)</f>
        <v>0</v>
      </c>
      <c r="BN154" s="16">
        <f ca="1">IFERROR(_xlfn.XLOOKUP($F154,'FCDB 2017 (full)'!$C:$C,'FCDB 2017 (full)'!$BE:$BE)*$H154/100,0)</f>
        <v>0</v>
      </c>
      <c r="BO154" s="16">
        <f ca="1">IFERROR(_xlfn.XLOOKUP($F154,'FCDB 2017 (full)'!$C:$C,'FCDB 2017 (full)'!$BF:$BF)*$H154/100,0)</f>
        <v>0</v>
      </c>
      <c r="BP154" s="16">
        <f ca="1">IFERROR(_xlfn.XLOOKUP($F154,'FCDB 2017 (full)'!$C:$C,'FCDB 2017 (full)'!$BG:$BG)*$H154/100,0)</f>
        <v>0</v>
      </c>
      <c r="BQ154" s="16">
        <f ca="1">IFERROR(_xlfn.XLOOKUP($F154,'FCDB 2017 (full)'!$C:$C,'FCDB 2017 (full)'!$BH:$BH)*$H154/100,0)</f>
        <v>0</v>
      </c>
      <c r="BR154" s="16">
        <f ca="1">IFERROR(_xlfn.XLOOKUP($F154,'FCDB 2017 (full)'!$C:$C,'FCDB 2017 (full)'!$BI:$BI)*$H154/100,0)</f>
        <v>0</v>
      </c>
      <c r="BS154" s="16">
        <f ca="1">IFERROR(_xlfn.XLOOKUP($F154,'FCDB 2017 (full)'!$C:$C,'FCDB 2017 (full)'!$BJ:$BJ)*$H154/100,0)</f>
        <v>0</v>
      </c>
      <c r="BT154" s="16">
        <f ca="1">IFERROR(_xlfn.XLOOKUP($F154,'FCDB 2017 (full)'!$C:$C,'FCDB 2017 (full)'!$BK:$BK)*$H154/100,0)</f>
        <v>0</v>
      </c>
      <c r="BU154" s="16">
        <f ca="1">IFERROR(_xlfn.XLOOKUP($F154,'FCDB 2017 (full)'!$C:$C,'FCDB 2017 (full)'!$BL:$BL)*$H154/100,0)</f>
        <v>0</v>
      </c>
      <c r="BV154" s="16">
        <f ca="1">IFERROR(_xlfn.XLOOKUP($F154,'FCDB 2017 (full)'!$C:$C,'FCDB 2017 (full)'!$BM:$BM)*$H154/100,0)</f>
        <v>0</v>
      </c>
      <c r="BW154" s="16">
        <f ca="1">IFERROR(_xlfn.XLOOKUP($F154,'FCDB 2017 (full)'!$C:$C,'FCDB 2017 (full)'!$BN:$BN)*$H154/100,0)</f>
        <v>0</v>
      </c>
      <c r="BX154" s="16">
        <f ca="1">IFERROR(_xlfn.XLOOKUP($F154,'FCDB 2017 (full)'!$C:$C,'FCDB 2017 (full)'!$BO:$BO)*$H154/100,0)</f>
        <v>0</v>
      </c>
      <c r="BY154" s="16">
        <f ca="1">IFERROR(_xlfn.XLOOKUP($F154,'FCDB 2017 (full)'!$C:$C,'FCDB 2017 (full)'!$BP:$BP)*$H154/100,0)</f>
        <v>0</v>
      </c>
      <c r="BZ154" s="16">
        <f ca="1">IFERROR(_xlfn.XLOOKUP($F154,'FCDB 2017 (full)'!$C:$C,'FCDB 2017 (full)'!$BQ:$BQ)*$H154/100,0)</f>
        <v>0</v>
      </c>
      <c r="CA154" s="16">
        <f ca="1">IFERROR(_xlfn.XLOOKUP($F154,'FCDB 2017 (full)'!$C:$C,'FCDB 2017 (full)'!$BR:$BR)*$H154/100,0)</f>
        <v>0</v>
      </c>
      <c r="CB154" s="16">
        <f ca="1">IFERROR(_xlfn.XLOOKUP($F154,'FCDB 2017 (full)'!$C:$C,'FCDB 2017 (full)'!$BS:$BS)*$H154/100,0)</f>
        <v>0</v>
      </c>
      <c r="CC154" s="16">
        <f ca="1">IFERROR(_xlfn.XLOOKUP($F154,'FCDB 2017 (full)'!$C:$C,'FCDB 2017 (full)'!$BT:$BT)*$H154/100,0)</f>
        <v>0</v>
      </c>
      <c r="CD154" s="16">
        <f ca="1">IFERROR(_xlfn.XLOOKUP($F154,'FCDB 2017 (full)'!$C:$C,'FCDB 2017 (full)'!$BU:$BU)*$H154/100,0)</f>
        <v>0</v>
      </c>
      <c r="CE154" s="16">
        <f ca="1">IFERROR(_xlfn.XLOOKUP($F154,'FCDB 2017 (full)'!$C:$C,'FCDB 2017 (full)'!$BV:$BV)*$H154/100,0)</f>
        <v>0</v>
      </c>
      <c r="CF154" s="16">
        <f ca="1">IFERROR(_xlfn.XLOOKUP($F154,'FCDB 2017 (full)'!$C:$C,'FCDB 2017 (full)'!$BW:$BW)*$H154/100,0)</f>
        <v>0</v>
      </c>
      <c r="CG154" s="16">
        <f ca="1">IFERROR(_xlfn.XLOOKUP($F154,'FCDB 2017 (full)'!$C:$C,'FCDB 2017 (full)'!$BX:$BX)*$H154/100,0)</f>
        <v>0</v>
      </c>
      <c r="CH154" s="16">
        <f ca="1">IFERROR(_xlfn.XLOOKUP($F154,'FCDB 2017 (full)'!$C:$C,'FCDB 2017 (full)'!$BY:$BY)*$H154/100,0)</f>
        <v>0</v>
      </c>
      <c r="CI154" s="16">
        <f ca="1">IFERROR(_xlfn.XLOOKUP($F154,'FCDB 2017 (full)'!$C:$C,'FCDB 2017 (full)'!$BZ:$BZ)*$H154/100,0)</f>
        <v>0</v>
      </c>
      <c r="CJ154" s="16">
        <f ca="1">IFERROR(_xlfn.XLOOKUP($F154,'FCDB 2017 (full)'!$C:$C,'FCDB 2017 (full)'!$CA:$CA)*$H154/100,0)</f>
        <v>0</v>
      </c>
      <c r="CK154" s="16">
        <f ca="1">IFERROR(_xlfn.XLOOKUP($F154,'FCDB 2017 (full)'!$C:$C,'FCDB 2017 (full)'!$CB:$CB)*$H154/100,0)</f>
        <v>0</v>
      </c>
      <c r="CL154" s="16">
        <f ca="1">IFERROR(_xlfn.XLOOKUP($F154,'FCDB 2017 (full)'!$C:$C,'FCDB 2017 (full)'!$CC:$CC)*$H154/100,0)</f>
        <v>0</v>
      </c>
      <c r="CM154" s="16">
        <f ca="1">IFERROR(_xlfn.XLOOKUP($F154,'FCDB 2017 (full)'!$C:$C,'FCDB 2017 (full)'!$CD:$CD)*$H154/100,0)</f>
        <v>0</v>
      </c>
      <c r="CN154" s="16">
        <f ca="1">IFERROR(_xlfn.XLOOKUP($F154,'FCDB 2017 (full)'!$C:$C,'FCDB 2017 (full)'!$CE:$CE)*$H154/100,0)</f>
        <v>0</v>
      </c>
      <c r="CO154" s="16">
        <f ca="1">IFERROR(_xlfn.XLOOKUP($F154,'FCDB 2017 (full)'!$C:$C,'FCDB 2017 (full)'!$CF:$CF)*$H154/100,0)</f>
        <v>0</v>
      </c>
      <c r="CP154" s="16">
        <f ca="1">IFERROR(_xlfn.XLOOKUP($F154,'FCDB 2017 (full)'!$C:$C,'FCDB 2017 (full)'!$CG:$CG)*$H154/100,0)</f>
        <v>0</v>
      </c>
      <c r="CQ154" s="16">
        <f ca="1">IFERROR(_xlfn.XLOOKUP($F154,'FCDB 2017 (full)'!$C:$C,'FCDB 2017 (full)'!$CH:$CH)*$H154/100,0)</f>
        <v>0</v>
      </c>
      <c r="CR154"/>
      <c r="DA154" s="73" t="s">
        <v>985</v>
      </c>
    </row>
    <row r="155" spans="4:105" ht="16.8">
      <c r="D155"/>
      <c r="E155"/>
      <c r="F155" s="11">
        <f>IFERROR(VLOOKUP($D$139,$D:$AE,15,0),0)</f>
        <v>0</v>
      </c>
      <c r="G155" s="7" cm="1">
        <f t="array" ref="G155">IF(F155=0,0,IF(_xlfn.XLOOKUP(F155,$E$139:$AE$139,$E$140:$AE$140)=0,"Nhập ĐV/TV",_xlfn.XLOOKUP(F155,$E$139:$AE$139,$E$140:$AE$140)))</f>
        <v>0</v>
      </c>
      <c r="H155" s="8" cm="1">
        <f t="array" ref="H155">IFERROR(INDEX($E$141:$AE$141,MATCH(F155,$E$139:$AE$139,0)),0)</f>
        <v>0</v>
      </c>
      <c r="I155" s="9">
        <f ca="1">IFERROR(_xlfn.XLOOKUP($F155,'FCDB 2017 (full)'!$C:$C,'FCDB 2017 (full)'!$E:$E),0)</f>
        <v>0</v>
      </c>
      <c r="J155" s="10">
        <f t="shared" ca="1" si="30"/>
        <v>0</v>
      </c>
      <c r="K155" s="9">
        <f ca="1">IFERROR(_xlfn.XLOOKUP($F155,'FCDB 2017 (full)'!$C:$C,'FCDB 2017 (full)'!$G:$G),0)</f>
        <v>0</v>
      </c>
      <c r="L155" s="13">
        <f t="shared" si="31"/>
        <v>0</v>
      </c>
      <c r="M155" s="13">
        <f t="shared" si="32"/>
        <v>0</v>
      </c>
      <c r="N155" s="9">
        <f ca="1">IFERROR(_xlfn.XLOOKUP($F155,'FCDB 2017 (full)'!$C:$C,'FCDB 2017 (full)'!$H:$H),0)</f>
        <v>0</v>
      </c>
      <c r="O155" s="14">
        <f t="shared" si="33"/>
        <v>0</v>
      </c>
      <c r="P155" s="14">
        <f t="shared" si="34"/>
        <v>0</v>
      </c>
      <c r="Q155" s="9">
        <f ca="1">IFERROR(_xlfn.XLOOKUP($F155,'FCDB 2017 (full)'!$C:$C,'FCDB 2017 (full)'!$I:$I),0)</f>
        <v>0</v>
      </c>
      <c r="R155" s="15">
        <f t="shared" ca="1" si="35"/>
        <v>0</v>
      </c>
      <c r="S155" s="16">
        <f ca="1">IFERROR(_xlfn.XLOOKUP($F155,'FCDB 2017 (full)'!$C:$C,'FCDB 2017 (full)'!$J:$J)*$H155/100,0)</f>
        <v>0</v>
      </c>
      <c r="T155" s="16">
        <f ca="1">IFERROR(_xlfn.XLOOKUP($F155,'FCDB 2017 (full)'!$C:$C,'FCDB 2017 (full)'!$K:$K)*$H155/100,0)</f>
        <v>0</v>
      </c>
      <c r="U155" s="16">
        <f ca="1">IFERROR(_xlfn.XLOOKUP($F155,'FCDB 2017 (full)'!$C:$C,'FCDB 2017 (full)'!$L:$L)*$H155/100,0)</f>
        <v>0</v>
      </c>
      <c r="V155" s="16">
        <f ca="1">IFERROR(_xlfn.XLOOKUP($F155,'FCDB 2017 (full)'!$C:$C,'FCDB 2017 (full)'!$M:$M)*$H155/100,0)</f>
        <v>0</v>
      </c>
      <c r="W155" s="16">
        <f ca="1">IFERROR(_xlfn.XLOOKUP($F155,'FCDB 2017 (full)'!$C:$C,'FCDB 2017 (full)'!$N:$N)*$H155/100,0)</f>
        <v>0</v>
      </c>
      <c r="X155" s="16">
        <f ca="1">IFERROR(_xlfn.XLOOKUP($F155,'FCDB 2017 (full)'!$C:$C,'FCDB 2017 (full)'!$O:$O)*$H155/100,0)</f>
        <v>0</v>
      </c>
      <c r="Y155" s="16">
        <f ca="1">IFERROR(_xlfn.XLOOKUP($F155,'FCDB 2017 (full)'!$C:$C,'FCDB 2017 (full)'!$P:$P)*$H155/100,0)</f>
        <v>0</v>
      </c>
      <c r="Z155" s="16">
        <f ca="1">IFERROR(_xlfn.XLOOKUP($F155,'FCDB 2017 (full)'!$C:$C,'FCDB 2017 (full)'!$Q:$Q)*$H155/100,0)</f>
        <v>0</v>
      </c>
      <c r="AA155" s="16">
        <f ca="1">IFERROR(_xlfn.XLOOKUP($F155,'FCDB 2017 (full)'!$C:$C,'FCDB 2017 (full)'!$R:$R)*$H155/100,0)</f>
        <v>0</v>
      </c>
      <c r="AB155" s="16">
        <f ca="1">IFERROR(_xlfn.XLOOKUP($F155,'FCDB 2017 (full)'!$C:$C,'FCDB 2017 (full)'!$S:$S)*$H155/100,0)</f>
        <v>0</v>
      </c>
      <c r="AC155" s="16">
        <f ca="1">IFERROR(_xlfn.XLOOKUP($F155,'FCDB 2017 (full)'!$C:$C,'FCDB 2017 (full)'!$T:$T)*$H155/100,0)</f>
        <v>0</v>
      </c>
      <c r="AD155" s="16">
        <f ca="1">IFERROR(_xlfn.XLOOKUP($F155,'FCDB 2017 (full)'!$C:$C,'FCDB 2017 (full)'!$U:$U)*$H155/100,0)</f>
        <v>0</v>
      </c>
      <c r="AE155" s="16">
        <f ca="1">IFERROR(_xlfn.XLOOKUP($F155,'FCDB 2017 (full)'!$C:$C,'FCDB 2017 (full)'!$V:$V)*$H155/100,0)</f>
        <v>0</v>
      </c>
      <c r="AF155" s="16">
        <f ca="1">IFERROR(_xlfn.XLOOKUP($F155,'FCDB 2017 (full)'!$C:$C,'FCDB 2017 (full)'!$W:$W)*$H155/100,0)</f>
        <v>0</v>
      </c>
      <c r="AG155" s="16">
        <f ca="1">IFERROR(_xlfn.XLOOKUP($F155,'FCDB 2017 (full)'!$C:$C,'FCDB 2017 (full)'!$X:$X)*$H155/100,0)</f>
        <v>0</v>
      </c>
      <c r="AH155" s="16">
        <f ca="1">IFERROR(_xlfn.XLOOKUP($F155,'FCDB 2017 (full)'!$C:$C,'FCDB 2017 (full)'!$Y:$Y)*$H155/100,0)</f>
        <v>0</v>
      </c>
      <c r="AI155" s="16">
        <f ca="1">IFERROR(_xlfn.XLOOKUP($F155,'FCDB 2017 (full)'!$C:$C,'FCDB 2017 (full)'!$Z:$Z)*$H155/100,0)</f>
        <v>0</v>
      </c>
      <c r="AJ155" s="16">
        <f ca="1">IFERROR(_xlfn.XLOOKUP($F155,'FCDB 2017 (full)'!$C:$C,'FCDB 2017 (full)'!$AA:$AA)*$H155/100,0)</f>
        <v>0</v>
      </c>
      <c r="AK155" s="16">
        <f ca="1">IFERROR(_xlfn.XLOOKUP($F155,'FCDB 2017 (full)'!$C:$C,'FCDB 2017 (full)'!$AB:$AB)*$H155/100,0)</f>
        <v>0</v>
      </c>
      <c r="AL155" s="16">
        <f ca="1">IFERROR(_xlfn.XLOOKUP($F155,'FCDB 2017 (full)'!$C:$C,'FCDB 2017 (full)'!$AC:$AC)*$H155/100,0)</f>
        <v>0</v>
      </c>
      <c r="AM155" s="16">
        <f ca="1">IFERROR(_xlfn.XLOOKUP($F155,'FCDB 2017 (full)'!$C:$C,'FCDB 2017 (full)'!$AD:$AD)*$H155/100,0)</f>
        <v>0</v>
      </c>
      <c r="AN155" s="16">
        <f ca="1">IFERROR(_xlfn.XLOOKUP($F155,'FCDB 2017 (full)'!$C:$C,'FCDB 2017 (full)'!$AE:$AE)*$H155/100,0)</f>
        <v>0</v>
      </c>
      <c r="AO155" s="16">
        <f ca="1">IFERROR(_xlfn.XLOOKUP($F155,'FCDB 2017 (full)'!$C:$C,'FCDB 2017 (full)'!$AF:$AF)*$H155/100,0)</f>
        <v>0</v>
      </c>
      <c r="AP155" s="16">
        <f ca="1">IFERROR(_xlfn.XLOOKUP($F155,'FCDB 2017 (full)'!$C:$C,'FCDB 2017 (full)'!$AG:$AG)*$H155/100,0)</f>
        <v>0</v>
      </c>
      <c r="AQ155" s="16">
        <f ca="1">IFERROR(_xlfn.XLOOKUP($F155,'FCDB 2017 (full)'!$C:$C,'FCDB 2017 (full)'!$AH:$AH)*$H155/100,0)</f>
        <v>0</v>
      </c>
      <c r="AR155" s="16">
        <f ca="1">IFERROR(_xlfn.XLOOKUP($F155,'FCDB 2017 (full)'!$C:$C,'FCDB 2017 (full)'!$AI:$AI)*$H155/100,0)</f>
        <v>0</v>
      </c>
      <c r="AS155" s="16">
        <f ca="1">IFERROR(_xlfn.XLOOKUP($F155,'FCDB 2017 (full)'!$C:$C,'FCDB 2017 (full)'!$AJ:$AJ)*$H155/100,0)</f>
        <v>0</v>
      </c>
      <c r="AT155" s="16">
        <f ca="1">IFERROR(_xlfn.XLOOKUP($F155,'FCDB 2017 (full)'!$C:$C,'FCDB 2017 (full)'!$AK:$AK)*$H155/100,0)</f>
        <v>0</v>
      </c>
      <c r="AU155" s="16">
        <f ca="1">IFERROR(_xlfn.XLOOKUP($F155,'FCDB 2017 (full)'!$C:$C,'FCDB 2017 (full)'!$AK:$AK)*$H155/100,0)</f>
        <v>0</v>
      </c>
      <c r="AV155" s="16">
        <f ca="1">IFERROR(_xlfn.XLOOKUP($F155,'FCDB 2017 (full)'!$C:$C,'FCDB 2017 (full)'!$AM:$AM)*$H155/100,0)</f>
        <v>0</v>
      </c>
      <c r="AW155" s="16">
        <f ca="1">IFERROR(_xlfn.XLOOKUP($F155,'FCDB 2017 (full)'!$C:$C,'FCDB 2017 (full)'!$AN:$AN)*$H155/100,0)</f>
        <v>0</v>
      </c>
      <c r="AX155" s="16">
        <f ca="1">IFERROR(_xlfn.XLOOKUP($F155,'FCDB 2017 (full)'!$C:$C,'FCDB 2017 (full)'!$AO:$AO)*$H155/100,0)</f>
        <v>0</v>
      </c>
      <c r="AY155" s="16">
        <f ca="1">IFERROR(_xlfn.XLOOKUP($F155,'FCDB 2017 (full)'!$C:$C,'FCDB 2017 (full)'!$AP:$AP)*$H155/100,0)</f>
        <v>0</v>
      </c>
      <c r="AZ155" s="16">
        <f ca="1">IFERROR(_xlfn.XLOOKUP($F155,'FCDB 2017 (full)'!$C:$C,'FCDB 2017 (full)'!$AQ:$AQ)*$H155/100,0)</f>
        <v>0</v>
      </c>
      <c r="BA155" s="16">
        <f ca="1">IFERROR(_xlfn.XLOOKUP($F155,'FCDB 2017 (full)'!$C:$C,'FCDB 2017 (full)'!$AR:$AR)*$H155/100,0)</f>
        <v>0</v>
      </c>
      <c r="BB155" s="16">
        <f ca="1">IFERROR(_xlfn.XLOOKUP($F155,'FCDB 2017 (full)'!$C:$C,'FCDB 2017 (full)'!$AS:$AS)*$H155/100,0)</f>
        <v>0</v>
      </c>
      <c r="BC155" s="16">
        <f ca="1">IFERROR(_xlfn.XLOOKUP($F155,'FCDB 2017 (full)'!$C:$C,'FCDB 2017 (full)'!$AT:$AT)*$H155/100,0)</f>
        <v>0</v>
      </c>
      <c r="BD155" s="16">
        <f ca="1">IFERROR(_xlfn.XLOOKUP($F155,'FCDB 2017 (full)'!$C:$C,'FCDB 2017 (full)'!$AU:$AU)*$H155/100,0)</f>
        <v>0</v>
      </c>
      <c r="BE155" s="16">
        <f ca="1">IFERROR(_xlfn.XLOOKUP($F155,'FCDB 2017 (full)'!$C:$C,'FCDB 2017 (full)'!$AV:$AV)*$H155/100,0)</f>
        <v>0</v>
      </c>
      <c r="BF155" s="16">
        <f ca="1">IFERROR(_xlfn.XLOOKUP($F155,'FCDB 2017 (full)'!$C:$C,'FCDB 2017 (full)'!$AW:$AW)*$H155/100,0)</f>
        <v>0</v>
      </c>
      <c r="BG155" s="16">
        <f ca="1">IFERROR(_xlfn.XLOOKUP($F155,'FCDB 2017 (full)'!$C:$C,'FCDB 2017 (full)'!$AX:$AX)*$H155/100,0)</f>
        <v>0</v>
      </c>
      <c r="BH155" s="16">
        <f ca="1">IFERROR(_xlfn.XLOOKUP($F155,'FCDB 2017 (full)'!$C:$C,'FCDB 2017 (full)'!$AY:$AY)*$H155/100,0)</f>
        <v>0</v>
      </c>
      <c r="BI155" s="16">
        <f ca="1">IFERROR(_xlfn.XLOOKUP($F155,'FCDB 2017 (full)'!$C:$C,'FCDB 2017 (full)'!$AZ:$AZ)*$H155/100,0)</f>
        <v>0</v>
      </c>
      <c r="BJ155" s="16">
        <f ca="1">IFERROR(_xlfn.XLOOKUP($F155,'FCDB 2017 (full)'!$C:$C,'FCDB 2017 (full)'!$BA:$BA)*$H155/100,0)</f>
        <v>0</v>
      </c>
      <c r="BK155" s="16">
        <f ca="1">IFERROR(_xlfn.XLOOKUP($F155,'FCDB 2017 (full)'!$C:$C,'FCDB 2017 (full)'!$BB:$BB)*$H155/100,0)</f>
        <v>0</v>
      </c>
      <c r="BL155" s="16">
        <f ca="1">IFERROR(_xlfn.XLOOKUP($F155,'FCDB 2017 (full)'!$C:$C,'FCDB 2017 (full)'!$BC:$BC)*$H155/100,0)</f>
        <v>0</v>
      </c>
      <c r="BM155" s="16">
        <f ca="1">IFERROR(_xlfn.XLOOKUP($F155,'FCDB 2017 (full)'!$C:$C,'FCDB 2017 (full)'!$BD:$BD)*$H155/100,0)</f>
        <v>0</v>
      </c>
      <c r="BN155" s="16">
        <f ca="1">IFERROR(_xlfn.XLOOKUP($F155,'FCDB 2017 (full)'!$C:$C,'FCDB 2017 (full)'!$BE:$BE)*$H155/100,0)</f>
        <v>0</v>
      </c>
      <c r="BO155" s="16">
        <f ca="1">IFERROR(_xlfn.XLOOKUP($F155,'FCDB 2017 (full)'!$C:$C,'FCDB 2017 (full)'!$BF:$BF)*$H155/100,0)</f>
        <v>0</v>
      </c>
      <c r="BP155" s="16">
        <f ca="1">IFERROR(_xlfn.XLOOKUP($F155,'FCDB 2017 (full)'!$C:$C,'FCDB 2017 (full)'!$BG:$BG)*$H155/100,0)</f>
        <v>0</v>
      </c>
      <c r="BQ155" s="16">
        <f ca="1">IFERROR(_xlfn.XLOOKUP($F155,'FCDB 2017 (full)'!$C:$C,'FCDB 2017 (full)'!$BH:$BH)*$H155/100,0)</f>
        <v>0</v>
      </c>
      <c r="BR155" s="16">
        <f ca="1">IFERROR(_xlfn.XLOOKUP($F155,'FCDB 2017 (full)'!$C:$C,'FCDB 2017 (full)'!$BI:$BI)*$H155/100,0)</f>
        <v>0</v>
      </c>
      <c r="BS155" s="16">
        <f ca="1">IFERROR(_xlfn.XLOOKUP($F155,'FCDB 2017 (full)'!$C:$C,'FCDB 2017 (full)'!$BJ:$BJ)*$H155/100,0)</f>
        <v>0</v>
      </c>
      <c r="BT155" s="16">
        <f ca="1">IFERROR(_xlfn.XLOOKUP($F155,'FCDB 2017 (full)'!$C:$C,'FCDB 2017 (full)'!$BK:$BK)*$H155/100,0)</f>
        <v>0</v>
      </c>
      <c r="BU155" s="16">
        <f ca="1">IFERROR(_xlfn.XLOOKUP($F155,'FCDB 2017 (full)'!$C:$C,'FCDB 2017 (full)'!$BL:$BL)*$H155/100,0)</f>
        <v>0</v>
      </c>
      <c r="BV155" s="16">
        <f ca="1">IFERROR(_xlfn.XLOOKUP($F155,'FCDB 2017 (full)'!$C:$C,'FCDB 2017 (full)'!$BM:$BM)*$H155/100,0)</f>
        <v>0</v>
      </c>
      <c r="BW155" s="16">
        <f ca="1">IFERROR(_xlfn.XLOOKUP($F155,'FCDB 2017 (full)'!$C:$C,'FCDB 2017 (full)'!$BN:$BN)*$H155/100,0)</f>
        <v>0</v>
      </c>
      <c r="BX155" s="16">
        <f ca="1">IFERROR(_xlfn.XLOOKUP($F155,'FCDB 2017 (full)'!$C:$C,'FCDB 2017 (full)'!$BO:$BO)*$H155/100,0)</f>
        <v>0</v>
      </c>
      <c r="BY155" s="16">
        <f ca="1">IFERROR(_xlfn.XLOOKUP($F155,'FCDB 2017 (full)'!$C:$C,'FCDB 2017 (full)'!$BP:$BP)*$H155/100,0)</f>
        <v>0</v>
      </c>
      <c r="BZ155" s="16">
        <f ca="1">IFERROR(_xlfn.XLOOKUP($F155,'FCDB 2017 (full)'!$C:$C,'FCDB 2017 (full)'!$BQ:$BQ)*$H155/100,0)</f>
        <v>0</v>
      </c>
      <c r="CA155" s="16">
        <f ca="1">IFERROR(_xlfn.XLOOKUP($F155,'FCDB 2017 (full)'!$C:$C,'FCDB 2017 (full)'!$BR:$BR)*$H155/100,0)</f>
        <v>0</v>
      </c>
      <c r="CB155" s="16">
        <f ca="1">IFERROR(_xlfn.XLOOKUP($F155,'FCDB 2017 (full)'!$C:$C,'FCDB 2017 (full)'!$BS:$BS)*$H155/100,0)</f>
        <v>0</v>
      </c>
      <c r="CC155" s="16">
        <f ca="1">IFERROR(_xlfn.XLOOKUP($F155,'FCDB 2017 (full)'!$C:$C,'FCDB 2017 (full)'!$BT:$BT)*$H155/100,0)</f>
        <v>0</v>
      </c>
      <c r="CD155" s="16">
        <f ca="1">IFERROR(_xlfn.XLOOKUP($F155,'FCDB 2017 (full)'!$C:$C,'FCDB 2017 (full)'!$BU:$BU)*$H155/100,0)</f>
        <v>0</v>
      </c>
      <c r="CE155" s="16">
        <f ca="1">IFERROR(_xlfn.XLOOKUP($F155,'FCDB 2017 (full)'!$C:$C,'FCDB 2017 (full)'!$BV:$BV)*$H155/100,0)</f>
        <v>0</v>
      </c>
      <c r="CF155" s="16">
        <f ca="1">IFERROR(_xlfn.XLOOKUP($F155,'FCDB 2017 (full)'!$C:$C,'FCDB 2017 (full)'!$BW:$BW)*$H155/100,0)</f>
        <v>0</v>
      </c>
      <c r="CG155" s="16">
        <f ca="1">IFERROR(_xlfn.XLOOKUP($F155,'FCDB 2017 (full)'!$C:$C,'FCDB 2017 (full)'!$BX:$BX)*$H155/100,0)</f>
        <v>0</v>
      </c>
      <c r="CH155" s="16">
        <f ca="1">IFERROR(_xlfn.XLOOKUP($F155,'FCDB 2017 (full)'!$C:$C,'FCDB 2017 (full)'!$BY:$BY)*$H155/100,0)</f>
        <v>0</v>
      </c>
      <c r="CI155" s="16">
        <f ca="1">IFERROR(_xlfn.XLOOKUP($F155,'FCDB 2017 (full)'!$C:$C,'FCDB 2017 (full)'!$BZ:$BZ)*$H155/100,0)</f>
        <v>0</v>
      </c>
      <c r="CJ155" s="16">
        <f ca="1">IFERROR(_xlfn.XLOOKUP($F155,'FCDB 2017 (full)'!$C:$C,'FCDB 2017 (full)'!$CA:$CA)*$H155/100,0)</f>
        <v>0</v>
      </c>
      <c r="CK155" s="16">
        <f ca="1">IFERROR(_xlfn.XLOOKUP($F155,'FCDB 2017 (full)'!$C:$C,'FCDB 2017 (full)'!$CB:$CB)*$H155/100,0)</f>
        <v>0</v>
      </c>
      <c r="CL155" s="16">
        <f ca="1">IFERROR(_xlfn.XLOOKUP($F155,'FCDB 2017 (full)'!$C:$C,'FCDB 2017 (full)'!$CC:$CC)*$H155/100,0)</f>
        <v>0</v>
      </c>
      <c r="CM155" s="16">
        <f ca="1">IFERROR(_xlfn.XLOOKUP($F155,'FCDB 2017 (full)'!$C:$C,'FCDB 2017 (full)'!$CD:$CD)*$H155/100,0)</f>
        <v>0</v>
      </c>
      <c r="CN155" s="16">
        <f ca="1">IFERROR(_xlfn.XLOOKUP($F155,'FCDB 2017 (full)'!$C:$C,'FCDB 2017 (full)'!$CE:$CE)*$H155/100,0)</f>
        <v>0</v>
      </c>
      <c r="CO155" s="16">
        <f ca="1">IFERROR(_xlfn.XLOOKUP($F155,'FCDB 2017 (full)'!$C:$C,'FCDB 2017 (full)'!$CF:$CF)*$H155/100,0)</f>
        <v>0</v>
      </c>
      <c r="CP155" s="16">
        <f ca="1">IFERROR(_xlfn.XLOOKUP($F155,'FCDB 2017 (full)'!$C:$C,'FCDB 2017 (full)'!$CG:$CG)*$H155/100,0)</f>
        <v>0</v>
      </c>
      <c r="CQ155" s="16">
        <f ca="1">IFERROR(_xlfn.XLOOKUP($F155,'FCDB 2017 (full)'!$C:$C,'FCDB 2017 (full)'!$CH:$CH)*$H155/100,0)</f>
        <v>0</v>
      </c>
      <c r="CR155"/>
      <c r="DA155" s="73" t="s">
        <v>985</v>
      </c>
    </row>
    <row r="156" spans="4:105" ht="16.8">
      <c r="D156"/>
      <c r="E156"/>
      <c r="F156" s="11">
        <f>IFERROR(VLOOKUP($D$139,$D:$AE,16,0),0)</f>
        <v>0</v>
      </c>
      <c r="G156" s="7" cm="1">
        <f t="array" ref="G156">IF(F156=0,0,IF(_xlfn.XLOOKUP(F156,$E$139:$AE$139,$E$140:$AE$140)=0,"Nhập ĐV/TV",_xlfn.XLOOKUP(F156,$E$139:$AE$139,$E$140:$AE$140)))</f>
        <v>0</v>
      </c>
      <c r="H156" s="8" cm="1">
        <f t="array" ref="H156">IFERROR(INDEX($E$141:$AE$141,MATCH(F156,$E$139:$AE$139,0)),0)</f>
        <v>0</v>
      </c>
      <c r="I156" s="9">
        <f ca="1">IFERROR(_xlfn.XLOOKUP($F156,'FCDB 2017 (full)'!$C:$C,'FCDB 2017 (full)'!$E:$E),0)</f>
        <v>0</v>
      </c>
      <c r="J156" s="10">
        <f t="shared" ca="1" si="30"/>
        <v>0</v>
      </c>
      <c r="K156" s="9">
        <f ca="1">IFERROR(_xlfn.XLOOKUP($F156,'FCDB 2017 (full)'!$C:$C,'FCDB 2017 (full)'!$G:$G),0)</f>
        <v>0</v>
      </c>
      <c r="L156" s="13">
        <f t="shared" si="31"/>
        <v>0</v>
      </c>
      <c r="M156" s="13">
        <f t="shared" si="32"/>
        <v>0</v>
      </c>
      <c r="N156" s="9">
        <f ca="1">IFERROR(_xlfn.XLOOKUP($F156,'FCDB 2017 (full)'!$C:$C,'FCDB 2017 (full)'!$H:$H),0)</f>
        <v>0</v>
      </c>
      <c r="O156" s="14">
        <f t="shared" si="33"/>
        <v>0</v>
      </c>
      <c r="P156" s="14">
        <f t="shared" si="34"/>
        <v>0</v>
      </c>
      <c r="Q156" s="9">
        <f ca="1">IFERROR(_xlfn.XLOOKUP($F156,'FCDB 2017 (full)'!$C:$C,'FCDB 2017 (full)'!$I:$I),0)</f>
        <v>0</v>
      </c>
      <c r="R156" s="15">
        <f t="shared" ca="1" si="35"/>
        <v>0</v>
      </c>
      <c r="S156" s="16">
        <f ca="1">IFERROR(_xlfn.XLOOKUP($F156,'FCDB 2017 (full)'!$C:$C,'FCDB 2017 (full)'!$J:$J)*$H156/100,0)</f>
        <v>0</v>
      </c>
      <c r="T156" s="16">
        <f ca="1">IFERROR(_xlfn.XLOOKUP($F156,'FCDB 2017 (full)'!$C:$C,'FCDB 2017 (full)'!$K:$K)*$H156/100,0)</f>
        <v>0</v>
      </c>
      <c r="U156" s="16">
        <f ca="1">IFERROR(_xlfn.XLOOKUP($F156,'FCDB 2017 (full)'!$C:$C,'FCDB 2017 (full)'!$L:$L)*$H156/100,0)</f>
        <v>0</v>
      </c>
      <c r="V156" s="16">
        <f ca="1">IFERROR(_xlfn.XLOOKUP($F156,'FCDB 2017 (full)'!$C:$C,'FCDB 2017 (full)'!$M:$M)*$H156/100,0)</f>
        <v>0</v>
      </c>
      <c r="W156" s="16">
        <f ca="1">IFERROR(_xlfn.XLOOKUP($F156,'FCDB 2017 (full)'!$C:$C,'FCDB 2017 (full)'!$N:$N)*$H156/100,0)</f>
        <v>0</v>
      </c>
      <c r="X156" s="16">
        <f ca="1">IFERROR(_xlfn.XLOOKUP($F156,'FCDB 2017 (full)'!$C:$C,'FCDB 2017 (full)'!$O:$O)*$H156/100,0)</f>
        <v>0</v>
      </c>
      <c r="Y156" s="16">
        <f ca="1">IFERROR(_xlfn.XLOOKUP($F156,'FCDB 2017 (full)'!$C:$C,'FCDB 2017 (full)'!$P:$P)*$H156/100,0)</f>
        <v>0</v>
      </c>
      <c r="Z156" s="16">
        <f ca="1">IFERROR(_xlfn.XLOOKUP($F156,'FCDB 2017 (full)'!$C:$C,'FCDB 2017 (full)'!$Q:$Q)*$H156/100,0)</f>
        <v>0</v>
      </c>
      <c r="AA156" s="16">
        <f ca="1">IFERROR(_xlfn.XLOOKUP($F156,'FCDB 2017 (full)'!$C:$C,'FCDB 2017 (full)'!$R:$R)*$H156/100,0)</f>
        <v>0</v>
      </c>
      <c r="AB156" s="16">
        <f ca="1">IFERROR(_xlfn.XLOOKUP($F156,'FCDB 2017 (full)'!$C:$C,'FCDB 2017 (full)'!$S:$S)*$H156/100,0)</f>
        <v>0</v>
      </c>
      <c r="AC156" s="16">
        <f ca="1">IFERROR(_xlfn.XLOOKUP($F156,'FCDB 2017 (full)'!$C:$C,'FCDB 2017 (full)'!$T:$T)*$H156/100,0)</f>
        <v>0</v>
      </c>
      <c r="AD156" s="16">
        <f ca="1">IFERROR(_xlfn.XLOOKUP($F156,'FCDB 2017 (full)'!$C:$C,'FCDB 2017 (full)'!$U:$U)*$H156/100,0)</f>
        <v>0</v>
      </c>
      <c r="AE156" s="16">
        <f ca="1">IFERROR(_xlfn.XLOOKUP($F156,'FCDB 2017 (full)'!$C:$C,'FCDB 2017 (full)'!$V:$V)*$H156/100,0)</f>
        <v>0</v>
      </c>
      <c r="AF156" s="16">
        <f ca="1">IFERROR(_xlfn.XLOOKUP($F156,'FCDB 2017 (full)'!$C:$C,'FCDB 2017 (full)'!$W:$W)*$H156/100,0)</f>
        <v>0</v>
      </c>
      <c r="AG156" s="16">
        <f ca="1">IFERROR(_xlfn.XLOOKUP($F156,'FCDB 2017 (full)'!$C:$C,'FCDB 2017 (full)'!$X:$X)*$H156/100,0)</f>
        <v>0</v>
      </c>
      <c r="AH156" s="16">
        <f ca="1">IFERROR(_xlfn.XLOOKUP($F156,'FCDB 2017 (full)'!$C:$C,'FCDB 2017 (full)'!$Y:$Y)*$H156/100,0)</f>
        <v>0</v>
      </c>
      <c r="AI156" s="16">
        <f ca="1">IFERROR(_xlfn.XLOOKUP($F156,'FCDB 2017 (full)'!$C:$C,'FCDB 2017 (full)'!$Z:$Z)*$H156/100,0)</f>
        <v>0</v>
      </c>
      <c r="AJ156" s="16">
        <f ca="1">IFERROR(_xlfn.XLOOKUP($F156,'FCDB 2017 (full)'!$C:$C,'FCDB 2017 (full)'!$AA:$AA)*$H156/100,0)</f>
        <v>0</v>
      </c>
      <c r="AK156" s="16">
        <f ca="1">IFERROR(_xlfn.XLOOKUP($F156,'FCDB 2017 (full)'!$C:$C,'FCDB 2017 (full)'!$AB:$AB)*$H156/100,0)</f>
        <v>0</v>
      </c>
      <c r="AL156" s="16">
        <f ca="1">IFERROR(_xlfn.XLOOKUP($F156,'FCDB 2017 (full)'!$C:$C,'FCDB 2017 (full)'!$AC:$AC)*$H156/100,0)</f>
        <v>0</v>
      </c>
      <c r="AM156" s="16">
        <f ca="1">IFERROR(_xlfn.XLOOKUP($F156,'FCDB 2017 (full)'!$C:$C,'FCDB 2017 (full)'!$AD:$AD)*$H156/100,0)</f>
        <v>0</v>
      </c>
      <c r="AN156" s="16">
        <f ca="1">IFERROR(_xlfn.XLOOKUP($F156,'FCDB 2017 (full)'!$C:$C,'FCDB 2017 (full)'!$AE:$AE)*$H156/100,0)</f>
        <v>0</v>
      </c>
      <c r="AO156" s="16">
        <f ca="1">IFERROR(_xlfn.XLOOKUP($F156,'FCDB 2017 (full)'!$C:$C,'FCDB 2017 (full)'!$AF:$AF)*$H156/100,0)</f>
        <v>0</v>
      </c>
      <c r="AP156" s="16">
        <f ca="1">IFERROR(_xlfn.XLOOKUP($F156,'FCDB 2017 (full)'!$C:$C,'FCDB 2017 (full)'!$AG:$AG)*$H156/100,0)</f>
        <v>0</v>
      </c>
      <c r="AQ156" s="16">
        <f ca="1">IFERROR(_xlfn.XLOOKUP($F156,'FCDB 2017 (full)'!$C:$C,'FCDB 2017 (full)'!$AH:$AH)*$H156/100,0)</f>
        <v>0</v>
      </c>
      <c r="AR156" s="16">
        <f ca="1">IFERROR(_xlfn.XLOOKUP($F156,'FCDB 2017 (full)'!$C:$C,'FCDB 2017 (full)'!$AI:$AI)*$H156/100,0)</f>
        <v>0</v>
      </c>
      <c r="AS156" s="16">
        <f ca="1">IFERROR(_xlfn.XLOOKUP($F156,'FCDB 2017 (full)'!$C:$C,'FCDB 2017 (full)'!$AJ:$AJ)*$H156/100,0)</f>
        <v>0</v>
      </c>
      <c r="AT156" s="16">
        <f ca="1">IFERROR(_xlfn.XLOOKUP($F156,'FCDB 2017 (full)'!$C:$C,'FCDB 2017 (full)'!$AK:$AK)*$H156/100,0)</f>
        <v>0</v>
      </c>
      <c r="AU156" s="16">
        <f ca="1">IFERROR(_xlfn.XLOOKUP($F156,'FCDB 2017 (full)'!$C:$C,'FCDB 2017 (full)'!$AK:$AK)*$H156/100,0)</f>
        <v>0</v>
      </c>
      <c r="AV156" s="16">
        <f ca="1">IFERROR(_xlfn.XLOOKUP($F156,'FCDB 2017 (full)'!$C:$C,'FCDB 2017 (full)'!$AM:$AM)*$H156/100,0)</f>
        <v>0</v>
      </c>
      <c r="AW156" s="16">
        <f ca="1">IFERROR(_xlfn.XLOOKUP($F156,'FCDB 2017 (full)'!$C:$C,'FCDB 2017 (full)'!$AN:$AN)*$H156/100,0)</f>
        <v>0</v>
      </c>
      <c r="AX156" s="16">
        <f ca="1">IFERROR(_xlfn.XLOOKUP($F156,'FCDB 2017 (full)'!$C:$C,'FCDB 2017 (full)'!$AO:$AO)*$H156/100,0)</f>
        <v>0</v>
      </c>
      <c r="AY156" s="16">
        <f ca="1">IFERROR(_xlfn.XLOOKUP($F156,'FCDB 2017 (full)'!$C:$C,'FCDB 2017 (full)'!$AP:$AP)*$H156/100,0)</f>
        <v>0</v>
      </c>
      <c r="AZ156" s="16">
        <f ca="1">IFERROR(_xlfn.XLOOKUP($F156,'FCDB 2017 (full)'!$C:$C,'FCDB 2017 (full)'!$AQ:$AQ)*$H156/100,0)</f>
        <v>0</v>
      </c>
      <c r="BA156" s="16">
        <f ca="1">IFERROR(_xlfn.XLOOKUP($F156,'FCDB 2017 (full)'!$C:$C,'FCDB 2017 (full)'!$AR:$AR)*$H156/100,0)</f>
        <v>0</v>
      </c>
      <c r="BB156" s="16">
        <f ca="1">IFERROR(_xlfn.XLOOKUP($F156,'FCDB 2017 (full)'!$C:$C,'FCDB 2017 (full)'!$AS:$AS)*$H156/100,0)</f>
        <v>0</v>
      </c>
      <c r="BC156" s="16">
        <f ca="1">IFERROR(_xlfn.XLOOKUP($F156,'FCDB 2017 (full)'!$C:$C,'FCDB 2017 (full)'!$AT:$AT)*$H156/100,0)</f>
        <v>0</v>
      </c>
      <c r="BD156" s="16">
        <f ca="1">IFERROR(_xlfn.XLOOKUP($F156,'FCDB 2017 (full)'!$C:$C,'FCDB 2017 (full)'!$AU:$AU)*$H156/100,0)</f>
        <v>0</v>
      </c>
      <c r="BE156" s="16">
        <f ca="1">IFERROR(_xlfn.XLOOKUP($F156,'FCDB 2017 (full)'!$C:$C,'FCDB 2017 (full)'!$AV:$AV)*$H156/100,0)</f>
        <v>0</v>
      </c>
      <c r="BF156" s="16">
        <f ca="1">IFERROR(_xlfn.XLOOKUP($F156,'FCDB 2017 (full)'!$C:$C,'FCDB 2017 (full)'!$AW:$AW)*$H156/100,0)</f>
        <v>0</v>
      </c>
      <c r="BG156" s="16">
        <f ca="1">IFERROR(_xlfn.XLOOKUP($F156,'FCDB 2017 (full)'!$C:$C,'FCDB 2017 (full)'!$AX:$AX)*$H156/100,0)</f>
        <v>0</v>
      </c>
      <c r="BH156" s="16">
        <f ca="1">IFERROR(_xlfn.XLOOKUP($F156,'FCDB 2017 (full)'!$C:$C,'FCDB 2017 (full)'!$AY:$AY)*$H156/100,0)</f>
        <v>0</v>
      </c>
      <c r="BI156" s="16">
        <f ca="1">IFERROR(_xlfn.XLOOKUP($F156,'FCDB 2017 (full)'!$C:$C,'FCDB 2017 (full)'!$AZ:$AZ)*$H156/100,0)</f>
        <v>0</v>
      </c>
      <c r="BJ156" s="16">
        <f ca="1">IFERROR(_xlfn.XLOOKUP($F156,'FCDB 2017 (full)'!$C:$C,'FCDB 2017 (full)'!$BA:$BA)*$H156/100,0)</f>
        <v>0</v>
      </c>
      <c r="BK156" s="16">
        <f ca="1">IFERROR(_xlfn.XLOOKUP($F156,'FCDB 2017 (full)'!$C:$C,'FCDB 2017 (full)'!$BB:$BB)*$H156/100,0)</f>
        <v>0</v>
      </c>
      <c r="BL156" s="16">
        <f ca="1">IFERROR(_xlfn.XLOOKUP($F156,'FCDB 2017 (full)'!$C:$C,'FCDB 2017 (full)'!$BC:$BC)*$H156/100,0)</f>
        <v>0</v>
      </c>
      <c r="BM156" s="16">
        <f ca="1">IFERROR(_xlfn.XLOOKUP($F156,'FCDB 2017 (full)'!$C:$C,'FCDB 2017 (full)'!$BD:$BD)*$H156/100,0)</f>
        <v>0</v>
      </c>
      <c r="BN156" s="16">
        <f ca="1">IFERROR(_xlfn.XLOOKUP($F156,'FCDB 2017 (full)'!$C:$C,'FCDB 2017 (full)'!$BE:$BE)*$H156/100,0)</f>
        <v>0</v>
      </c>
      <c r="BO156" s="16">
        <f ca="1">IFERROR(_xlfn.XLOOKUP($F156,'FCDB 2017 (full)'!$C:$C,'FCDB 2017 (full)'!$BF:$BF)*$H156/100,0)</f>
        <v>0</v>
      </c>
      <c r="BP156" s="16">
        <f ca="1">IFERROR(_xlfn.XLOOKUP($F156,'FCDB 2017 (full)'!$C:$C,'FCDB 2017 (full)'!$BG:$BG)*$H156/100,0)</f>
        <v>0</v>
      </c>
      <c r="BQ156" s="16">
        <f ca="1">IFERROR(_xlfn.XLOOKUP($F156,'FCDB 2017 (full)'!$C:$C,'FCDB 2017 (full)'!$BH:$BH)*$H156/100,0)</f>
        <v>0</v>
      </c>
      <c r="BR156" s="16">
        <f ca="1">IFERROR(_xlfn.XLOOKUP($F156,'FCDB 2017 (full)'!$C:$C,'FCDB 2017 (full)'!$BI:$BI)*$H156/100,0)</f>
        <v>0</v>
      </c>
      <c r="BS156" s="16">
        <f ca="1">IFERROR(_xlfn.XLOOKUP($F156,'FCDB 2017 (full)'!$C:$C,'FCDB 2017 (full)'!$BJ:$BJ)*$H156/100,0)</f>
        <v>0</v>
      </c>
      <c r="BT156" s="16">
        <f ca="1">IFERROR(_xlfn.XLOOKUP($F156,'FCDB 2017 (full)'!$C:$C,'FCDB 2017 (full)'!$BK:$BK)*$H156/100,0)</f>
        <v>0</v>
      </c>
      <c r="BU156" s="16">
        <f ca="1">IFERROR(_xlfn.XLOOKUP($F156,'FCDB 2017 (full)'!$C:$C,'FCDB 2017 (full)'!$BL:$BL)*$H156/100,0)</f>
        <v>0</v>
      </c>
      <c r="BV156" s="16">
        <f ca="1">IFERROR(_xlfn.XLOOKUP($F156,'FCDB 2017 (full)'!$C:$C,'FCDB 2017 (full)'!$BM:$BM)*$H156/100,0)</f>
        <v>0</v>
      </c>
      <c r="BW156" s="16">
        <f ca="1">IFERROR(_xlfn.XLOOKUP($F156,'FCDB 2017 (full)'!$C:$C,'FCDB 2017 (full)'!$BN:$BN)*$H156/100,0)</f>
        <v>0</v>
      </c>
      <c r="BX156" s="16">
        <f ca="1">IFERROR(_xlfn.XLOOKUP($F156,'FCDB 2017 (full)'!$C:$C,'FCDB 2017 (full)'!$BO:$BO)*$H156/100,0)</f>
        <v>0</v>
      </c>
      <c r="BY156" s="16">
        <f ca="1">IFERROR(_xlfn.XLOOKUP($F156,'FCDB 2017 (full)'!$C:$C,'FCDB 2017 (full)'!$BP:$BP)*$H156/100,0)</f>
        <v>0</v>
      </c>
      <c r="BZ156" s="16">
        <f ca="1">IFERROR(_xlfn.XLOOKUP($F156,'FCDB 2017 (full)'!$C:$C,'FCDB 2017 (full)'!$BQ:$BQ)*$H156/100,0)</f>
        <v>0</v>
      </c>
      <c r="CA156" s="16">
        <f ca="1">IFERROR(_xlfn.XLOOKUP($F156,'FCDB 2017 (full)'!$C:$C,'FCDB 2017 (full)'!$BR:$BR)*$H156/100,0)</f>
        <v>0</v>
      </c>
      <c r="CB156" s="16">
        <f ca="1">IFERROR(_xlfn.XLOOKUP($F156,'FCDB 2017 (full)'!$C:$C,'FCDB 2017 (full)'!$BS:$BS)*$H156/100,0)</f>
        <v>0</v>
      </c>
      <c r="CC156" s="16">
        <f ca="1">IFERROR(_xlfn.XLOOKUP($F156,'FCDB 2017 (full)'!$C:$C,'FCDB 2017 (full)'!$BT:$BT)*$H156/100,0)</f>
        <v>0</v>
      </c>
      <c r="CD156" s="16">
        <f ca="1">IFERROR(_xlfn.XLOOKUP($F156,'FCDB 2017 (full)'!$C:$C,'FCDB 2017 (full)'!$BU:$BU)*$H156/100,0)</f>
        <v>0</v>
      </c>
      <c r="CE156" s="16">
        <f ca="1">IFERROR(_xlfn.XLOOKUP($F156,'FCDB 2017 (full)'!$C:$C,'FCDB 2017 (full)'!$BV:$BV)*$H156/100,0)</f>
        <v>0</v>
      </c>
      <c r="CF156" s="16">
        <f ca="1">IFERROR(_xlfn.XLOOKUP($F156,'FCDB 2017 (full)'!$C:$C,'FCDB 2017 (full)'!$BW:$BW)*$H156/100,0)</f>
        <v>0</v>
      </c>
      <c r="CG156" s="16">
        <f ca="1">IFERROR(_xlfn.XLOOKUP($F156,'FCDB 2017 (full)'!$C:$C,'FCDB 2017 (full)'!$BX:$BX)*$H156/100,0)</f>
        <v>0</v>
      </c>
      <c r="CH156" s="16">
        <f ca="1">IFERROR(_xlfn.XLOOKUP($F156,'FCDB 2017 (full)'!$C:$C,'FCDB 2017 (full)'!$BY:$BY)*$H156/100,0)</f>
        <v>0</v>
      </c>
      <c r="CI156" s="16">
        <f ca="1">IFERROR(_xlfn.XLOOKUP($F156,'FCDB 2017 (full)'!$C:$C,'FCDB 2017 (full)'!$BZ:$BZ)*$H156/100,0)</f>
        <v>0</v>
      </c>
      <c r="CJ156" s="16">
        <f ca="1">IFERROR(_xlfn.XLOOKUP($F156,'FCDB 2017 (full)'!$C:$C,'FCDB 2017 (full)'!$CA:$CA)*$H156/100,0)</f>
        <v>0</v>
      </c>
      <c r="CK156" s="16">
        <f ca="1">IFERROR(_xlfn.XLOOKUP($F156,'FCDB 2017 (full)'!$C:$C,'FCDB 2017 (full)'!$CB:$CB)*$H156/100,0)</f>
        <v>0</v>
      </c>
      <c r="CL156" s="16">
        <f ca="1">IFERROR(_xlfn.XLOOKUP($F156,'FCDB 2017 (full)'!$C:$C,'FCDB 2017 (full)'!$CC:$CC)*$H156/100,0)</f>
        <v>0</v>
      </c>
      <c r="CM156" s="16">
        <f ca="1">IFERROR(_xlfn.XLOOKUP($F156,'FCDB 2017 (full)'!$C:$C,'FCDB 2017 (full)'!$CD:$CD)*$H156/100,0)</f>
        <v>0</v>
      </c>
      <c r="CN156" s="16">
        <f ca="1">IFERROR(_xlfn.XLOOKUP($F156,'FCDB 2017 (full)'!$C:$C,'FCDB 2017 (full)'!$CE:$CE)*$H156/100,0)</f>
        <v>0</v>
      </c>
      <c r="CO156" s="16">
        <f ca="1">IFERROR(_xlfn.XLOOKUP($F156,'FCDB 2017 (full)'!$C:$C,'FCDB 2017 (full)'!$CF:$CF)*$H156/100,0)</f>
        <v>0</v>
      </c>
      <c r="CP156" s="16">
        <f ca="1">IFERROR(_xlfn.XLOOKUP($F156,'FCDB 2017 (full)'!$C:$C,'FCDB 2017 (full)'!$CG:$CG)*$H156/100,0)</f>
        <v>0</v>
      </c>
      <c r="CQ156" s="16">
        <f ca="1">IFERROR(_xlfn.XLOOKUP($F156,'FCDB 2017 (full)'!$C:$C,'FCDB 2017 (full)'!$CH:$CH)*$H156/100,0)</f>
        <v>0</v>
      </c>
      <c r="CR156"/>
      <c r="DA156" s="73" t="s">
        <v>985</v>
      </c>
    </row>
    <row r="157" spans="4:105" ht="16.8">
      <c r="D157"/>
      <c r="E157"/>
      <c r="F157" s="11">
        <f>IFERROR(VLOOKUP($D$139,$D:$AE,17,0),0)</f>
        <v>0</v>
      </c>
      <c r="G157" s="7" cm="1">
        <f t="array" ref="G157">IF(F157=0,0,IF(_xlfn.XLOOKUP(F157,$E$139:$AE$139,$E$140:$AE$140)=0,"Nhập ĐV/TV",_xlfn.XLOOKUP(F157,$E$139:$AE$139,$E$140:$AE$140)))</f>
        <v>0</v>
      </c>
      <c r="H157" s="8" cm="1">
        <f t="array" ref="H157">IFERROR(INDEX($E$141:$AE$141,MATCH(F157,$E$139:$AE$139,0)),0)</f>
        <v>0</v>
      </c>
      <c r="I157" s="9">
        <f ca="1">IFERROR(_xlfn.XLOOKUP($F157,'FCDB 2017 (full)'!$C:$C,'FCDB 2017 (full)'!$E:$E),0)</f>
        <v>0</v>
      </c>
      <c r="J157" s="10">
        <f t="shared" ca="1" si="30"/>
        <v>0</v>
      </c>
      <c r="K157" s="9">
        <f ca="1">IFERROR(_xlfn.XLOOKUP($F157,'FCDB 2017 (full)'!$C:$C,'FCDB 2017 (full)'!$G:$G),0)</f>
        <v>0</v>
      </c>
      <c r="L157" s="13">
        <f t="shared" si="31"/>
        <v>0</v>
      </c>
      <c r="M157" s="13">
        <f t="shared" si="32"/>
        <v>0</v>
      </c>
      <c r="N157" s="9">
        <f ca="1">IFERROR(_xlfn.XLOOKUP($F157,'FCDB 2017 (full)'!$C:$C,'FCDB 2017 (full)'!$H:$H),0)</f>
        <v>0</v>
      </c>
      <c r="O157" s="14">
        <f t="shared" si="33"/>
        <v>0</v>
      </c>
      <c r="P157" s="14">
        <f t="shared" si="34"/>
        <v>0</v>
      </c>
      <c r="Q157" s="9">
        <f ca="1">IFERROR(_xlfn.XLOOKUP($F157,'FCDB 2017 (full)'!$C:$C,'FCDB 2017 (full)'!$I:$I),0)</f>
        <v>0</v>
      </c>
      <c r="R157" s="15">
        <f t="shared" ca="1" si="35"/>
        <v>0</v>
      </c>
      <c r="S157" s="16">
        <f ca="1">IFERROR(_xlfn.XLOOKUP($F157,'FCDB 2017 (full)'!$C:$C,'FCDB 2017 (full)'!$J:$J)*$H157/100,0)</f>
        <v>0</v>
      </c>
      <c r="T157" s="16">
        <f ca="1">IFERROR(_xlfn.XLOOKUP($F157,'FCDB 2017 (full)'!$C:$C,'FCDB 2017 (full)'!$K:$K)*$H157/100,0)</f>
        <v>0</v>
      </c>
      <c r="U157" s="16">
        <f ca="1">IFERROR(_xlfn.XLOOKUP($F157,'FCDB 2017 (full)'!$C:$C,'FCDB 2017 (full)'!$L:$L)*$H157/100,0)</f>
        <v>0</v>
      </c>
      <c r="V157" s="16">
        <f ca="1">IFERROR(_xlfn.XLOOKUP($F157,'FCDB 2017 (full)'!$C:$C,'FCDB 2017 (full)'!$M:$M)*$H157/100,0)</f>
        <v>0</v>
      </c>
      <c r="W157" s="16">
        <f ca="1">IFERROR(_xlfn.XLOOKUP($F157,'FCDB 2017 (full)'!$C:$C,'FCDB 2017 (full)'!$N:$N)*$H157/100,0)</f>
        <v>0</v>
      </c>
      <c r="X157" s="16">
        <f ca="1">IFERROR(_xlfn.XLOOKUP($F157,'FCDB 2017 (full)'!$C:$C,'FCDB 2017 (full)'!$O:$O)*$H157/100,0)</f>
        <v>0</v>
      </c>
      <c r="Y157" s="16">
        <f ca="1">IFERROR(_xlfn.XLOOKUP($F157,'FCDB 2017 (full)'!$C:$C,'FCDB 2017 (full)'!$P:$P)*$H157/100,0)</f>
        <v>0</v>
      </c>
      <c r="Z157" s="16">
        <f ca="1">IFERROR(_xlfn.XLOOKUP($F157,'FCDB 2017 (full)'!$C:$C,'FCDB 2017 (full)'!$Q:$Q)*$H157/100,0)</f>
        <v>0</v>
      </c>
      <c r="AA157" s="16">
        <f ca="1">IFERROR(_xlfn.XLOOKUP($F157,'FCDB 2017 (full)'!$C:$C,'FCDB 2017 (full)'!$R:$R)*$H157/100,0)</f>
        <v>0</v>
      </c>
      <c r="AB157" s="16">
        <f ca="1">IFERROR(_xlfn.XLOOKUP($F157,'FCDB 2017 (full)'!$C:$C,'FCDB 2017 (full)'!$S:$S)*$H157/100,0)</f>
        <v>0</v>
      </c>
      <c r="AC157" s="16">
        <f ca="1">IFERROR(_xlfn.XLOOKUP($F157,'FCDB 2017 (full)'!$C:$C,'FCDB 2017 (full)'!$T:$T)*$H157/100,0)</f>
        <v>0</v>
      </c>
      <c r="AD157" s="16">
        <f ca="1">IFERROR(_xlfn.XLOOKUP($F157,'FCDB 2017 (full)'!$C:$C,'FCDB 2017 (full)'!$U:$U)*$H157/100,0)</f>
        <v>0</v>
      </c>
      <c r="AE157" s="16">
        <f ca="1">IFERROR(_xlfn.XLOOKUP($F157,'FCDB 2017 (full)'!$C:$C,'FCDB 2017 (full)'!$V:$V)*$H157/100,0)</f>
        <v>0</v>
      </c>
      <c r="AF157" s="16">
        <f ca="1">IFERROR(_xlfn.XLOOKUP($F157,'FCDB 2017 (full)'!$C:$C,'FCDB 2017 (full)'!$W:$W)*$H157/100,0)</f>
        <v>0</v>
      </c>
      <c r="AG157" s="16">
        <f ca="1">IFERROR(_xlfn.XLOOKUP($F157,'FCDB 2017 (full)'!$C:$C,'FCDB 2017 (full)'!$X:$X)*$H157/100,0)</f>
        <v>0</v>
      </c>
      <c r="AH157" s="16">
        <f ca="1">IFERROR(_xlfn.XLOOKUP($F157,'FCDB 2017 (full)'!$C:$C,'FCDB 2017 (full)'!$Y:$Y)*$H157/100,0)</f>
        <v>0</v>
      </c>
      <c r="AI157" s="16">
        <f ca="1">IFERROR(_xlfn.XLOOKUP($F157,'FCDB 2017 (full)'!$C:$C,'FCDB 2017 (full)'!$Z:$Z)*$H157/100,0)</f>
        <v>0</v>
      </c>
      <c r="AJ157" s="16">
        <f ca="1">IFERROR(_xlfn.XLOOKUP($F157,'FCDB 2017 (full)'!$C:$C,'FCDB 2017 (full)'!$AA:$AA)*$H157/100,0)</f>
        <v>0</v>
      </c>
      <c r="AK157" s="16">
        <f ca="1">IFERROR(_xlfn.XLOOKUP($F157,'FCDB 2017 (full)'!$C:$C,'FCDB 2017 (full)'!$AB:$AB)*$H157/100,0)</f>
        <v>0</v>
      </c>
      <c r="AL157" s="16">
        <f ca="1">IFERROR(_xlfn.XLOOKUP($F157,'FCDB 2017 (full)'!$C:$C,'FCDB 2017 (full)'!$AC:$AC)*$H157/100,0)</f>
        <v>0</v>
      </c>
      <c r="AM157" s="16">
        <f ca="1">IFERROR(_xlfn.XLOOKUP($F157,'FCDB 2017 (full)'!$C:$C,'FCDB 2017 (full)'!$AD:$AD)*$H157/100,0)</f>
        <v>0</v>
      </c>
      <c r="AN157" s="16">
        <f ca="1">IFERROR(_xlfn.XLOOKUP($F157,'FCDB 2017 (full)'!$C:$C,'FCDB 2017 (full)'!$AE:$AE)*$H157/100,0)</f>
        <v>0</v>
      </c>
      <c r="AO157" s="16">
        <f ca="1">IFERROR(_xlfn.XLOOKUP($F157,'FCDB 2017 (full)'!$C:$C,'FCDB 2017 (full)'!$AF:$AF)*$H157/100,0)</f>
        <v>0</v>
      </c>
      <c r="AP157" s="16">
        <f ca="1">IFERROR(_xlfn.XLOOKUP($F157,'FCDB 2017 (full)'!$C:$C,'FCDB 2017 (full)'!$AG:$AG)*$H157/100,0)</f>
        <v>0</v>
      </c>
      <c r="AQ157" s="16">
        <f ca="1">IFERROR(_xlfn.XLOOKUP($F157,'FCDB 2017 (full)'!$C:$C,'FCDB 2017 (full)'!$AH:$AH)*$H157/100,0)</f>
        <v>0</v>
      </c>
      <c r="AR157" s="16">
        <f ca="1">IFERROR(_xlfn.XLOOKUP($F157,'FCDB 2017 (full)'!$C:$C,'FCDB 2017 (full)'!$AI:$AI)*$H157/100,0)</f>
        <v>0</v>
      </c>
      <c r="AS157" s="16">
        <f ca="1">IFERROR(_xlfn.XLOOKUP($F157,'FCDB 2017 (full)'!$C:$C,'FCDB 2017 (full)'!$AJ:$AJ)*$H157/100,0)</f>
        <v>0</v>
      </c>
      <c r="AT157" s="16">
        <f ca="1">IFERROR(_xlfn.XLOOKUP($F157,'FCDB 2017 (full)'!$C:$C,'FCDB 2017 (full)'!$AK:$AK)*$H157/100,0)</f>
        <v>0</v>
      </c>
      <c r="AU157" s="16">
        <f ca="1">IFERROR(_xlfn.XLOOKUP($F157,'FCDB 2017 (full)'!$C:$C,'FCDB 2017 (full)'!$AK:$AK)*$H157/100,0)</f>
        <v>0</v>
      </c>
      <c r="AV157" s="16">
        <f ca="1">IFERROR(_xlfn.XLOOKUP($F157,'FCDB 2017 (full)'!$C:$C,'FCDB 2017 (full)'!$AM:$AM)*$H157/100,0)</f>
        <v>0</v>
      </c>
      <c r="AW157" s="16">
        <f ca="1">IFERROR(_xlfn.XLOOKUP($F157,'FCDB 2017 (full)'!$C:$C,'FCDB 2017 (full)'!$AN:$AN)*$H157/100,0)</f>
        <v>0</v>
      </c>
      <c r="AX157" s="16">
        <f ca="1">IFERROR(_xlfn.XLOOKUP($F157,'FCDB 2017 (full)'!$C:$C,'FCDB 2017 (full)'!$AO:$AO)*$H157/100,0)</f>
        <v>0</v>
      </c>
      <c r="AY157" s="16">
        <f ca="1">IFERROR(_xlfn.XLOOKUP($F157,'FCDB 2017 (full)'!$C:$C,'FCDB 2017 (full)'!$AP:$AP)*$H157/100,0)</f>
        <v>0</v>
      </c>
      <c r="AZ157" s="16">
        <f ca="1">IFERROR(_xlfn.XLOOKUP($F157,'FCDB 2017 (full)'!$C:$C,'FCDB 2017 (full)'!$AQ:$AQ)*$H157/100,0)</f>
        <v>0</v>
      </c>
      <c r="BA157" s="16">
        <f ca="1">IFERROR(_xlfn.XLOOKUP($F157,'FCDB 2017 (full)'!$C:$C,'FCDB 2017 (full)'!$AR:$AR)*$H157/100,0)</f>
        <v>0</v>
      </c>
      <c r="BB157" s="16">
        <f ca="1">IFERROR(_xlfn.XLOOKUP($F157,'FCDB 2017 (full)'!$C:$C,'FCDB 2017 (full)'!$AS:$AS)*$H157/100,0)</f>
        <v>0</v>
      </c>
      <c r="BC157" s="16">
        <f ca="1">IFERROR(_xlfn.XLOOKUP($F157,'FCDB 2017 (full)'!$C:$C,'FCDB 2017 (full)'!$AT:$AT)*$H157/100,0)</f>
        <v>0</v>
      </c>
      <c r="BD157" s="16">
        <f ca="1">IFERROR(_xlfn.XLOOKUP($F157,'FCDB 2017 (full)'!$C:$C,'FCDB 2017 (full)'!$AU:$AU)*$H157/100,0)</f>
        <v>0</v>
      </c>
      <c r="BE157" s="16">
        <f ca="1">IFERROR(_xlfn.XLOOKUP($F157,'FCDB 2017 (full)'!$C:$C,'FCDB 2017 (full)'!$AV:$AV)*$H157/100,0)</f>
        <v>0</v>
      </c>
      <c r="BF157" s="16">
        <f ca="1">IFERROR(_xlfn.XLOOKUP($F157,'FCDB 2017 (full)'!$C:$C,'FCDB 2017 (full)'!$AW:$AW)*$H157/100,0)</f>
        <v>0</v>
      </c>
      <c r="BG157" s="16">
        <f ca="1">IFERROR(_xlfn.XLOOKUP($F157,'FCDB 2017 (full)'!$C:$C,'FCDB 2017 (full)'!$AX:$AX)*$H157/100,0)</f>
        <v>0</v>
      </c>
      <c r="BH157" s="16">
        <f ca="1">IFERROR(_xlfn.XLOOKUP($F157,'FCDB 2017 (full)'!$C:$C,'FCDB 2017 (full)'!$AY:$AY)*$H157/100,0)</f>
        <v>0</v>
      </c>
      <c r="BI157" s="16">
        <f ca="1">IFERROR(_xlfn.XLOOKUP($F157,'FCDB 2017 (full)'!$C:$C,'FCDB 2017 (full)'!$AZ:$AZ)*$H157/100,0)</f>
        <v>0</v>
      </c>
      <c r="BJ157" s="16">
        <f ca="1">IFERROR(_xlfn.XLOOKUP($F157,'FCDB 2017 (full)'!$C:$C,'FCDB 2017 (full)'!$BA:$BA)*$H157/100,0)</f>
        <v>0</v>
      </c>
      <c r="BK157" s="16">
        <f ca="1">IFERROR(_xlfn.XLOOKUP($F157,'FCDB 2017 (full)'!$C:$C,'FCDB 2017 (full)'!$BB:$BB)*$H157/100,0)</f>
        <v>0</v>
      </c>
      <c r="BL157" s="16">
        <f ca="1">IFERROR(_xlfn.XLOOKUP($F157,'FCDB 2017 (full)'!$C:$C,'FCDB 2017 (full)'!$BC:$BC)*$H157/100,0)</f>
        <v>0</v>
      </c>
      <c r="BM157" s="16">
        <f ca="1">IFERROR(_xlfn.XLOOKUP($F157,'FCDB 2017 (full)'!$C:$C,'FCDB 2017 (full)'!$BD:$BD)*$H157/100,0)</f>
        <v>0</v>
      </c>
      <c r="BN157" s="16">
        <f ca="1">IFERROR(_xlfn.XLOOKUP($F157,'FCDB 2017 (full)'!$C:$C,'FCDB 2017 (full)'!$BE:$BE)*$H157/100,0)</f>
        <v>0</v>
      </c>
      <c r="BO157" s="16">
        <f ca="1">IFERROR(_xlfn.XLOOKUP($F157,'FCDB 2017 (full)'!$C:$C,'FCDB 2017 (full)'!$BF:$BF)*$H157/100,0)</f>
        <v>0</v>
      </c>
      <c r="BP157" s="16">
        <f ca="1">IFERROR(_xlfn.XLOOKUP($F157,'FCDB 2017 (full)'!$C:$C,'FCDB 2017 (full)'!$BG:$BG)*$H157/100,0)</f>
        <v>0</v>
      </c>
      <c r="BQ157" s="16">
        <f ca="1">IFERROR(_xlfn.XLOOKUP($F157,'FCDB 2017 (full)'!$C:$C,'FCDB 2017 (full)'!$BH:$BH)*$H157/100,0)</f>
        <v>0</v>
      </c>
      <c r="BR157" s="16">
        <f ca="1">IFERROR(_xlfn.XLOOKUP($F157,'FCDB 2017 (full)'!$C:$C,'FCDB 2017 (full)'!$BI:$BI)*$H157/100,0)</f>
        <v>0</v>
      </c>
      <c r="BS157" s="16">
        <f ca="1">IFERROR(_xlfn.XLOOKUP($F157,'FCDB 2017 (full)'!$C:$C,'FCDB 2017 (full)'!$BJ:$BJ)*$H157/100,0)</f>
        <v>0</v>
      </c>
      <c r="BT157" s="16">
        <f ca="1">IFERROR(_xlfn.XLOOKUP($F157,'FCDB 2017 (full)'!$C:$C,'FCDB 2017 (full)'!$BK:$BK)*$H157/100,0)</f>
        <v>0</v>
      </c>
      <c r="BU157" s="16">
        <f ca="1">IFERROR(_xlfn.XLOOKUP($F157,'FCDB 2017 (full)'!$C:$C,'FCDB 2017 (full)'!$BL:$BL)*$H157/100,0)</f>
        <v>0</v>
      </c>
      <c r="BV157" s="16">
        <f ca="1">IFERROR(_xlfn.XLOOKUP($F157,'FCDB 2017 (full)'!$C:$C,'FCDB 2017 (full)'!$BM:$BM)*$H157/100,0)</f>
        <v>0</v>
      </c>
      <c r="BW157" s="16">
        <f ca="1">IFERROR(_xlfn.XLOOKUP($F157,'FCDB 2017 (full)'!$C:$C,'FCDB 2017 (full)'!$BN:$BN)*$H157/100,0)</f>
        <v>0</v>
      </c>
      <c r="BX157" s="16">
        <f ca="1">IFERROR(_xlfn.XLOOKUP($F157,'FCDB 2017 (full)'!$C:$C,'FCDB 2017 (full)'!$BO:$BO)*$H157/100,0)</f>
        <v>0</v>
      </c>
      <c r="BY157" s="16">
        <f ca="1">IFERROR(_xlfn.XLOOKUP($F157,'FCDB 2017 (full)'!$C:$C,'FCDB 2017 (full)'!$BP:$BP)*$H157/100,0)</f>
        <v>0</v>
      </c>
      <c r="BZ157" s="16">
        <f ca="1">IFERROR(_xlfn.XLOOKUP($F157,'FCDB 2017 (full)'!$C:$C,'FCDB 2017 (full)'!$BQ:$BQ)*$H157/100,0)</f>
        <v>0</v>
      </c>
      <c r="CA157" s="16">
        <f ca="1">IFERROR(_xlfn.XLOOKUP($F157,'FCDB 2017 (full)'!$C:$C,'FCDB 2017 (full)'!$BR:$BR)*$H157/100,0)</f>
        <v>0</v>
      </c>
      <c r="CB157" s="16">
        <f ca="1">IFERROR(_xlfn.XLOOKUP($F157,'FCDB 2017 (full)'!$C:$C,'FCDB 2017 (full)'!$BS:$BS)*$H157/100,0)</f>
        <v>0</v>
      </c>
      <c r="CC157" s="16">
        <f ca="1">IFERROR(_xlfn.XLOOKUP($F157,'FCDB 2017 (full)'!$C:$C,'FCDB 2017 (full)'!$BT:$BT)*$H157/100,0)</f>
        <v>0</v>
      </c>
      <c r="CD157" s="16">
        <f ca="1">IFERROR(_xlfn.XLOOKUP($F157,'FCDB 2017 (full)'!$C:$C,'FCDB 2017 (full)'!$BU:$BU)*$H157/100,0)</f>
        <v>0</v>
      </c>
      <c r="CE157" s="16">
        <f ca="1">IFERROR(_xlfn.XLOOKUP($F157,'FCDB 2017 (full)'!$C:$C,'FCDB 2017 (full)'!$BV:$BV)*$H157/100,0)</f>
        <v>0</v>
      </c>
      <c r="CF157" s="16">
        <f ca="1">IFERROR(_xlfn.XLOOKUP($F157,'FCDB 2017 (full)'!$C:$C,'FCDB 2017 (full)'!$BW:$BW)*$H157/100,0)</f>
        <v>0</v>
      </c>
      <c r="CG157" s="16">
        <f ca="1">IFERROR(_xlfn.XLOOKUP($F157,'FCDB 2017 (full)'!$C:$C,'FCDB 2017 (full)'!$BX:$BX)*$H157/100,0)</f>
        <v>0</v>
      </c>
      <c r="CH157" s="16">
        <f ca="1">IFERROR(_xlfn.XLOOKUP($F157,'FCDB 2017 (full)'!$C:$C,'FCDB 2017 (full)'!$BY:$BY)*$H157/100,0)</f>
        <v>0</v>
      </c>
      <c r="CI157" s="16">
        <f ca="1">IFERROR(_xlfn.XLOOKUP($F157,'FCDB 2017 (full)'!$C:$C,'FCDB 2017 (full)'!$BZ:$BZ)*$H157/100,0)</f>
        <v>0</v>
      </c>
      <c r="CJ157" s="16">
        <f ca="1">IFERROR(_xlfn.XLOOKUP($F157,'FCDB 2017 (full)'!$C:$C,'FCDB 2017 (full)'!$CA:$CA)*$H157/100,0)</f>
        <v>0</v>
      </c>
      <c r="CK157" s="16">
        <f ca="1">IFERROR(_xlfn.XLOOKUP($F157,'FCDB 2017 (full)'!$C:$C,'FCDB 2017 (full)'!$CB:$CB)*$H157/100,0)</f>
        <v>0</v>
      </c>
      <c r="CL157" s="16">
        <f ca="1">IFERROR(_xlfn.XLOOKUP($F157,'FCDB 2017 (full)'!$C:$C,'FCDB 2017 (full)'!$CC:$CC)*$H157/100,0)</f>
        <v>0</v>
      </c>
      <c r="CM157" s="16">
        <f ca="1">IFERROR(_xlfn.XLOOKUP($F157,'FCDB 2017 (full)'!$C:$C,'FCDB 2017 (full)'!$CD:$CD)*$H157/100,0)</f>
        <v>0</v>
      </c>
      <c r="CN157" s="16">
        <f ca="1">IFERROR(_xlfn.XLOOKUP($F157,'FCDB 2017 (full)'!$C:$C,'FCDB 2017 (full)'!$CE:$CE)*$H157/100,0)</f>
        <v>0</v>
      </c>
      <c r="CO157" s="16">
        <f ca="1">IFERROR(_xlfn.XLOOKUP($F157,'FCDB 2017 (full)'!$C:$C,'FCDB 2017 (full)'!$CF:$CF)*$H157/100,0)</f>
        <v>0</v>
      </c>
      <c r="CP157" s="16">
        <f ca="1">IFERROR(_xlfn.XLOOKUP($F157,'FCDB 2017 (full)'!$C:$C,'FCDB 2017 (full)'!$CG:$CG)*$H157/100,0)</f>
        <v>0</v>
      </c>
      <c r="CQ157" s="16">
        <f ca="1">IFERROR(_xlfn.XLOOKUP($F157,'FCDB 2017 (full)'!$C:$C,'FCDB 2017 (full)'!$CH:$CH)*$H157/100,0)</f>
        <v>0</v>
      </c>
      <c r="CR157"/>
      <c r="DA157" s="73" t="s">
        <v>985</v>
      </c>
    </row>
    <row r="158" spans="4:105" ht="16.8">
      <c r="D158"/>
      <c r="E158"/>
      <c r="F158" s="11" t="str">
        <f>IFERROR(VLOOKUP($D$139,$D:$AE,18,0),0)</f>
        <v>Tép khô</v>
      </c>
      <c r="G158" s="7" t="e" cm="1">
        <f t="array" aca="1" ref="G158" ca="1">IF(F158=0,0,IF(_xlfn.XLOOKUP(F158,$E$139:$AE$139,$E$140:$AE$140)=0,"Nhập ĐV/TV",_xlfn.XLOOKUP(F158,$E$139:$AE$139,$E$140:$AE$140)))</f>
        <v>#NAME?</v>
      </c>
      <c r="H158" s="8" cm="1">
        <f t="array" ref="H158">IFERROR(INDEX($E$141:$AE$141,MATCH(F158,$E$139:$AE$139,0)),0)</f>
        <v>10</v>
      </c>
      <c r="I158" s="9">
        <f ca="1">IFERROR(_xlfn.XLOOKUP($F158,'FCDB 2017 (full)'!$C:$C,'FCDB 2017 (full)'!$E:$E),0)</f>
        <v>0</v>
      </c>
      <c r="J158" s="10">
        <f t="shared" ca="1" si="30"/>
        <v>0</v>
      </c>
      <c r="K158" s="9">
        <f ca="1">IFERROR(_xlfn.XLOOKUP($F158,'FCDB 2017 (full)'!$C:$C,'FCDB 2017 (full)'!$G:$G),0)</f>
        <v>0</v>
      </c>
      <c r="L158" s="13" t="e">
        <f t="shared" ca="1" si="31"/>
        <v>#NAME?</v>
      </c>
      <c r="M158" s="13" t="e">
        <f t="shared" ca="1" si="32"/>
        <v>#NAME?</v>
      </c>
      <c r="N158" s="9">
        <f ca="1">IFERROR(_xlfn.XLOOKUP($F158,'FCDB 2017 (full)'!$C:$C,'FCDB 2017 (full)'!$H:$H),0)</f>
        <v>0</v>
      </c>
      <c r="O158" s="14" t="e">
        <f t="shared" ca="1" si="33"/>
        <v>#NAME?</v>
      </c>
      <c r="P158" s="14" t="e">
        <f t="shared" ca="1" si="34"/>
        <v>#NAME?</v>
      </c>
      <c r="Q158" s="9">
        <f ca="1">IFERROR(_xlfn.XLOOKUP($F158,'FCDB 2017 (full)'!$C:$C,'FCDB 2017 (full)'!$I:$I),0)</f>
        <v>0</v>
      </c>
      <c r="R158" s="15">
        <f t="shared" ca="1" si="35"/>
        <v>0</v>
      </c>
      <c r="S158" s="16">
        <f ca="1">IFERROR(_xlfn.XLOOKUP($F158,'FCDB 2017 (full)'!$C:$C,'FCDB 2017 (full)'!$J:$J)*$H158/100,0)</f>
        <v>0</v>
      </c>
      <c r="T158" s="16">
        <f ca="1">IFERROR(_xlfn.XLOOKUP($F158,'FCDB 2017 (full)'!$C:$C,'FCDB 2017 (full)'!$K:$K)*$H158/100,0)</f>
        <v>0</v>
      </c>
      <c r="U158" s="16">
        <f ca="1">IFERROR(_xlfn.XLOOKUP($F158,'FCDB 2017 (full)'!$C:$C,'FCDB 2017 (full)'!$L:$L)*$H158/100,0)</f>
        <v>0</v>
      </c>
      <c r="V158" s="16">
        <f ca="1">IFERROR(_xlfn.XLOOKUP($F158,'FCDB 2017 (full)'!$C:$C,'FCDB 2017 (full)'!$M:$M)*$H158/100,0)</f>
        <v>0</v>
      </c>
      <c r="W158" s="16">
        <f ca="1">IFERROR(_xlfn.XLOOKUP($F158,'FCDB 2017 (full)'!$C:$C,'FCDB 2017 (full)'!$N:$N)*$H158/100,0)</f>
        <v>0</v>
      </c>
      <c r="X158" s="16">
        <f ca="1">IFERROR(_xlfn.XLOOKUP($F158,'FCDB 2017 (full)'!$C:$C,'FCDB 2017 (full)'!$O:$O)*$H158/100,0)</f>
        <v>0</v>
      </c>
      <c r="Y158" s="16">
        <f ca="1">IFERROR(_xlfn.XLOOKUP($F158,'FCDB 2017 (full)'!$C:$C,'FCDB 2017 (full)'!$P:$P)*$H158/100,0)</f>
        <v>0</v>
      </c>
      <c r="Z158" s="16">
        <f ca="1">IFERROR(_xlfn.XLOOKUP($F158,'FCDB 2017 (full)'!$C:$C,'FCDB 2017 (full)'!$Q:$Q)*$H158/100,0)</f>
        <v>0</v>
      </c>
      <c r="AA158" s="16">
        <f ca="1">IFERROR(_xlfn.XLOOKUP($F158,'FCDB 2017 (full)'!$C:$C,'FCDB 2017 (full)'!$R:$R)*$H158/100,0)</f>
        <v>0</v>
      </c>
      <c r="AB158" s="16">
        <f ca="1">IFERROR(_xlfn.XLOOKUP($F158,'FCDB 2017 (full)'!$C:$C,'FCDB 2017 (full)'!$S:$S)*$H158/100,0)</f>
        <v>0</v>
      </c>
      <c r="AC158" s="16">
        <f ca="1">IFERROR(_xlfn.XLOOKUP($F158,'FCDB 2017 (full)'!$C:$C,'FCDB 2017 (full)'!$T:$T)*$H158/100,0)</f>
        <v>0</v>
      </c>
      <c r="AD158" s="16">
        <f ca="1">IFERROR(_xlfn.XLOOKUP($F158,'FCDB 2017 (full)'!$C:$C,'FCDB 2017 (full)'!$U:$U)*$H158/100,0)</f>
        <v>0</v>
      </c>
      <c r="AE158" s="16">
        <f ca="1">IFERROR(_xlfn.XLOOKUP($F158,'FCDB 2017 (full)'!$C:$C,'FCDB 2017 (full)'!$V:$V)*$H158/100,0)</f>
        <v>0</v>
      </c>
      <c r="AF158" s="16">
        <f ca="1">IFERROR(_xlfn.XLOOKUP($F158,'FCDB 2017 (full)'!$C:$C,'FCDB 2017 (full)'!$W:$W)*$H158/100,0)</f>
        <v>0</v>
      </c>
      <c r="AG158" s="16">
        <f ca="1">IFERROR(_xlfn.XLOOKUP($F158,'FCDB 2017 (full)'!$C:$C,'FCDB 2017 (full)'!$X:$X)*$H158/100,0)</f>
        <v>0</v>
      </c>
      <c r="AH158" s="16">
        <f ca="1">IFERROR(_xlfn.XLOOKUP($F158,'FCDB 2017 (full)'!$C:$C,'FCDB 2017 (full)'!$Y:$Y)*$H158/100,0)</f>
        <v>0</v>
      </c>
      <c r="AI158" s="16">
        <f ca="1">IFERROR(_xlfn.XLOOKUP($F158,'FCDB 2017 (full)'!$C:$C,'FCDB 2017 (full)'!$Z:$Z)*$H158/100,0)</f>
        <v>0</v>
      </c>
      <c r="AJ158" s="16">
        <f ca="1">IFERROR(_xlfn.XLOOKUP($F158,'FCDB 2017 (full)'!$C:$C,'FCDB 2017 (full)'!$AA:$AA)*$H158/100,0)</f>
        <v>0</v>
      </c>
      <c r="AK158" s="16">
        <f ca="1">IFERROR(_xlfn.XLOOKUP($F158,'FCDB 2017 (full)'!$C:$C,'FCDB 2017 (full)'!$AB:$AB)*$H158/100,0)</f>
        <v>0</v>
      </c>
      <c r="AL158" s="16">
        <f ca="1">IFERROR(_xlfn.XLOOKUP($F158,'FCDB 2017 (full)'!$C:$C,'FCDB 2017 (full)'!$AC:$AC)*$H158/100,0)</f>
        <v>0</v>
      </c>
      <c r="AM158" s="16">
        <f ca="1">IFERROR(_xlfn.XLOOKUP($F158,'FCDB 2017 (full)'!$C:$C,'FCDB 2017 (full)'!$AD:$AD)*$H158/100,0)</f>
        <v>0</v>
      </c>
      <c r="AN158" s="16">
        <f ca="1">IFERROR(_xlfn.XLOOKUP($F158,'FCDB 2017 (full)'!$C:$C,'FCDB 2017 (full)'!$AE:$AE)*$H158/100,0)</f>
        <v>0</v>
      </c>
      <c r="AO158" s="16">
        <f ca="1">IFERROR(_xlfn.XLOOKUP($F158,'FCDB 2017 (full)'!$C:$C,'FCDB 2017 (full)'!$AF:$AF)*$H158/100,0)</f>
        <v>0</v>
      </c>
      <c r="AP158" s="16">
        <f ca="1">IFERROR(_xlfn.XLOOKUP($F158,'FCDB 2017 (full)'!$C:$C,'FCDB 2017 (full)'!$AG:$AG)*$H158/100,0)</f>
        <v>0</v>
      </c>
      <c r="AQ158" s="16">
        <f ca="1">IFERROR(_xlfn.XLOOKUP($F158,'FCDB 2017 (full)'!$C:$C,'FCDB 2017 (full)'!$AH:$AH)*$H158/100,0)</f>
        <v>0</v>
      </c>
      <c r="AR158" s="16">
        <f ca="1">IFERROR(_xlfn.XLOOKUP($F158,'FCDB 2017 (full)'!$C:$C,'FCDB 2017 (full)'!$AI:$AI)*$H158/100,0)</f>
        <v>0</v>
      </c>
      <c r="AS158" s="16">
        <f ca="1">IFERROR(_xlfn.XLOOKUP($F158,'FCDB 2017 (full)'!$C:$C,'FCDB 2017 (full)'!$AJ:$AJ)*$H158/100,0)</f>
        <v>0</v>
      </c>
      <c r="AT158" s="16">
        <f ca="1">IFERROR(_xlfn.XLOOKUP($F158,'FCDB 2017 (full)'!$C:$C,'FCDB 2017 (full)'!$AK:$AK)*$H158/100,0)</f>
        <v>0</v>
      </c>
      <c r="AU158" s="16">
        <f ca="1">IFERROR(_xlfn.XLOOKUP($F158,'FCDB 2017 (full)'!$C:$C,'FCDB 2017 (full)'!$AK:$AK)*$H158/100,0)</f>
        <v>0</v>
      </c>
      <c r="AV158" s="16">
        <f ca="1">IFERROR(_xlfn.XLOOKUP($F158,'FCDB 2017 (full)'!$C:$C,'FCDB 2017 (full)'!$AM:$AM)*$H158/100,0)</f>
        <v>0</v>
      </c>
      <c r="AW158" s="16">
        <f ca="1">IFERROR(_xlfn.XLOOKUP($F158,'FCDB 2017 (full)'!$C:$C,'FCDB 2017 (full)'!$AN:$AN)*$H158/100,0)</f>
        <v>0</v>
      </c>
      <c r="AX158" s="16">
        <f ca="1">IFERROR(_xlfn.XLOOKUP($F158,'FCDB 2017 (full)'!$C:$C,'FCDB 2017 (full)'!$AO:$AO)*$H158/100,0)</f>
        <v>0</v>
      </c>
      <c r="AY158" s="16">
        <f ca="1">IFERROR(_xlfn.XLOOKUP($F158,'FCDB 2017 (full)'!$C:$C,'FCDB 2017 (full)'!$AP:$AP)*$H158/100,0)</f>
        <v>0</v>
      </c>
      <c r="AZ158" s="16">
        <f ca="1">IFERROR(_xlfn.XLOOKUP($F158,'FCDB 2017 (full)'!$C:$C,'FCDB 2017 (full)'!$AQ:$AQ)*$H158/100,0)</f>
        <v>0</v>
      </c>
      <c r="BA158" s="16">
        <f ca="1">IFERROR(_xlfn.XLOOKUP($F158,'FCDB 2017 (full)'!$C:$C,'FCDB 2017 (full)'!$AR:$AR)*$H158/100,0)</f>
        <v>0</v>
      </c>
      <c r="BB158" s="16">
        <f ca="1">IFERROR(_xlfn.XLOOKUP($F158,'FCDB 2017 (full)'!$C:$C,'FCDB 2017 (full)'!$AS:$AS)*$H158/100,0)</f>
        <v>0</v>
      </c>
      <c r="BC158" s="16">
        <f ca="1">IFERROR(_xlfn.XLOOKUP($F158,'FCDB 2017 (full)'!$C:$C,'FCDB 2017 (full)'!$AT:$AT)*$H158/100,0)</f>
        <v>0</v>
      </c>
      <c r="BD158" s="16">
        <f ca="1">IFERROR(_xlfn.XLOOKUP($F158,'FCDB 2017 (full)'!$C:$C,'FCDB 2017 (full)'!$AU:$AU)*$H158/100,0)</f>
        <v>0</v>
      </c>
      <c r="BE158" s="16">
        <f ca="1">IFERROR(_xlfn.XLOOKUP($F158,'FCDB 2017 (full)'!$C:$C,'FCDB 2017 (full)'!$AV:$AV)*$H158/100,0)</f>
        <v>0</v>
      </c>
      <c r="BF158" s="16">
        <f ca="1">IFERROR(_xlfn.XLOOKUP($F158,'FCDB 2017 (full)'!$C:$C,'FCDB 2017 (full)'!$AW:$AW)*$H158/100,0)</f>
        <v>0</v>
      </c>
      <c r="BG158" s="16">
        <f ca="1">IFERROR(_xlfn.XLOOKUP($F158,'FCDB 2017 (full)'!$C:$C,'FCDB 2017 (full)'!$AX:$AX)*$H158/100,0)</f>
        <v>0</v>
      </c>
      <c r="BH158" s="16">
        <f ca="1">IFERROR(_xlfn.XLOOKUP($F158,'FCDB 2017 (full)'!$C:$C,'FCDB 2017 (full)'!$AY:$AY)*$H158/100,0)</f>
        <v>0</v>
      </c>
      <c r="BI158" s="16">
        <f ca="1">IFERROR(_xlfn.XLOOKUP($F158,'FCDB 2017 (full)'!$C:$C,'FCDB 2017 (full)'!$AZ:$AZ)*$H158/100,0)</f>
        <v>0</v>
      </c>
      <c r="BJ158" s="16">
        <f ca="1">IFERROR(_xlfn.XLOOKUP($F158,'FCDB 2017 (full)'!$C:$C,'FCDB 2017 (full)'!$BA:$BA)*$H158/100,0)</f>
        <v>0</v>
      </c>
      <c r="BK158" s="16">
        <f ca="1">IFERROR(_xlfn.XLOOKUP($F158,'FCDB 2017 (full)'!$C:$C,'FCDB 2017 (full)'!$BB:$BB)*$H158/100,0)</f>
        <v>0</v>
      </c>
      <c r="BL158" s="16">
        <f ca="1">IFERROR(_xlfn.XLOOKUP($F158,'FCDB 2017 (full)'!$C:$C,'FCDB 2017 (full)'!$BC:$BC)*$H158/100,0)</f>
        <v>0</v>
      </c>
      <c r="BM158" s="16">
        <f ca="1">IFERROR(_xlfn.XLOOKUP($F158,'FCDB 2017 (full)'!$C:$C,'FCDB 2017 (full)'!$BD:$BD)*$H158/100,0)</f>
        <v>0</v>
      </c>
      <c r="BN158" s="16">
        <f ca="1">IFERROR(_xlfn.XLOOKUP($F158,'FCDB 2017 (full)'!$C:$C,'FCDB 2017 (full)'!$BE:$BE)*$H158/100,0)</f>
        <v>0</v>
      </c>
      <c r="BO158" s="16">
        <f ca="1">IFERROR(_xlfn.XLOOKUP($F158,'FCDB 2017 (full)'!$C:$C,'FCDB 2017 (full)'!$BF:$BF)*$H158/100,0)</f>
        <v>0</v>
      </c>
      <c r="BP158" s="16">
        <f ca="1">IFERROR(_xlfn.XLOOKUP($F158,'FCDB 2017 (full)'!$C:$C,'FCDB 2017 (full)'!$BG:$BG)*$H158/100,0)</f>
        <v>0</v>
      </c>
      <c r="BQ158" s="16">
        <f ca="1">IFERROR(_xlfn.XLOOKUP($F158,'FCDB 2017 (full)'!$C:$C,'FCDB 2017 (full)'!$BH:$BH)*$H158/100,0)</f>
        <v>0</v>
      </c>
      <c r="BR158" s="16">
        <f ca="1">IFERROR(_xlfn.XLOOKUP($F158,'FCDB 2017 (full)'!$C:$C,'FCDB 2017 (full)'!$BI:$BI)*$H158/100,0)</f>
        <v>0</v>
      </c>
      <c r="BS158" s="16">
        <f ca="1">IFERROR(_xlfn.XLOOKUP($F158,'FCDB 2017 (full)'!$C:$C,'FCDB 2017 (full)'!$BJ:$BJ)*$H158/100,0)</f>
        <v>0</v>
      </c>
      <c r="BT158" s="16">
        <f ca="1">IFERROR(_xlfn.XLOOKUP($F158,'FCDB 2017 (full)'!$C:$C,'FCDB 2017 (full)'!$BK:$BK)*$H158/100,0)</f>
        <v>0</v>
      </c>
      <c r="BU158" s="16">
        <f ca="1">IFERROR(_xlfn.XLOOKUP($F158,'FCDB 2017 (full)'!$C:$C,'FCDB 2017 (full)'!$BL:$BL)*$H158/100,0)</f>
        <v>0</v>
      </c>
      <c r="BV158" s="16">
        <f ca="1">IFERROR(_xlfn.XLOOKUP($F158,'FCDB 2017 (full)'!$C:$C,'FCDB 2017 (full)'!$BM:$BM)*$H158/100,0)</f>
        <v>0</v>
      </c>
      <c r="BW158" s="16">
        <f ca="1">IFERROR(_xlfn.XLOOKUP($F158,'FCDB 2017 (full)'!$C:$C,'FCDB 2017 (full)'!$BN:$BN)*$H158/100,0)</f>
        <v>0</v>
      </c>
      <c r="BX158" s="16">
        <f ca="1">IFERROR(_xlfn.XLOOKUP($F158,'FCDB 2017 (full)'!$C:$C,'FCDB 2017 (full)'!$BO:$BO)*$H158/100,0)</f>
        <v>0</v>
      </c>
      <c r="BY158" s="16">
        <f ca="1">IFERROR(_xlfn.XLOOKUP($F158,'FCDB 2017 (full)'!$C:$C,'FCDB 2017 (full)'!$BP:$BP)*$H158/100,0)</f>
        <v>0</v>
      </c>
      <c r="BZ158" s="16">
        <f ca="1">IFERROR(_xlfn.XLOOKUP($F158,'FCDB 2017 (full)'!$C:$C,'FCDB 2017 (full)'!$BQ:$BQ)*$H158/100,0)</f>
        <v>0</v>
      </c>
      <c r="CA158" s="16">
        <f ca="1">IFERROR(_xlfn.XLOOKUP($F158,'FCDB 2017 (full)'!$C:$C,'FCDB 2017 (full)'!$BR:$BR)*$H158/100,0)</f>
        <v>0</v>
      </c>
      <c r="CB158" s="16">
        <f ca="1">IFERROR(_xlfn.XLOOKUP($F158,'FCDB 2017 (full)'!$C:$C,'FCDB 2017 (full)'!$BS:$BS)*$H158/100,0)</f>
        <v>0</v>
      </c>
      <c r="CC158" s="16">
        <f ca="1">IFERROR(_xlfn.XLOOKUP($F158,'FCDB 2017 (full)'!$C:$C,'FCDB 2017 (full)'!$BT:$BT)*$H158/100,0)</f>
        <v>0</v>
      </c>
      <c r="CD158" s="16">
        <f ca="1">IFERROR(_xlfn.XLOOKUP($F158,'FCDB 2017 (full)'!$C:$C,'FCDB 2017 (full)'!$BU:$BU)*$H158/100,0)</f>
        <v>0</v>
      </c>
      <c r="CE158" s="16">
        <f ca="1">IFERROR(_xlfn.XLOOKUP($F158,'FCDB 2017 (full)'!$C:$C,'FCDB 2017 (full)'!$BV:$BV)*$H158/100,0)</f>
        <v>0</v>
      </c>
      <c r="CF158" s="16">
        <f ca="1">IFERROR(_xlfn.XLOOKUP($F158,'FCDB 2017 (full)'!$C:$C,'FCDB 2017 (full)'!$BW:$BW)*$H158/100,0)</f>
        <v>0</v>
      </c>
      <c r="CG158" s="16">
        <f ca="1">IFERROR(_xlfn.XLOOKUP($F158,'FCDB 2017 (full)'!$C:$C,'FCDB 2017 (full)'!$BX:$BX)*$H158/100,0)</f>
        <v>0</v>
      </c>
      <c r="CH158" s="16">
        <f ca="1">IFERROR(_xlfn.XLOOKUP($F158,'FCDB 2017 (full)'!$C:$C,'FCDB 2017 (full)'!$BY:$BY)*$H158/100,0)</f>
        <v>0</v>
      </c>
      <c r="CI158" s="16">
        <f ca="1">IFERROR(_xlfn.XLOOKUP($F158,'FCDB 2017 (full)'!$C:$C,'FCDB 2017 (full)'!$BZ:$BZ)*$H158/100,0)</f>
        <v>0</v>
      </c>
      <c r="CJ158" s="16">
        <f ca="1">IFERROR(_xlfn.XLOOKUP($F158,'FCDB 2017 (full)'!$C:$C,'FCDB 2017 (full)'!$CA:$CA)*$H158/100,0)</f>
        <v>0</v>
      </c>
      <c r="CK158" s="16">
        <f ca="1">IFERROR(_xlfn.XLOOKUP($F158,'FCDB 2017 (full)'!$C:$C,'FCDB 2017 (full)'!$CB:$CB)*$H158/100,0)</f>
        <v>0</v>
      </c>
      <c r="CL158" s="16">
        <f ca="1">IFERROR(_xlfn.XLOOKUP($F158,'FCDB 2017 (full)'!$C:$C,'FCDB 2017 (full)'!$CC:$CC)*$H158/100,0)</f>
        <v>0</v>
      </c>
      <c r="CM158" s="16">
        <f ca="1">IFERROR(_xlfn.XLOOKUP($F158,'FCDB 2017 (full)'!$C:$C,'FCDB 2017 (full)'!$CD:$CD)*$H158/100,0)</f>
        <v>0</v>
      </c>
      <c r="CN158" s="16">
        <f ca="1">IFERROR(_xlfn.XLOOKUP($F158,'FCDB 2017 (full)'!$C:$C,'FCDB 2017 (full)'!$CE:$CE)*$H158/100,0)</f>
        <v>0</v>
      </c>
      <c r="CO158" s="16">
        <f ca="1">IFERROR(_xlfn.XLOOKUP($F158,'FCDB 2017 (full)'!$C:$C,'FCDB 2017 (full)'!$CF:$CF)*$H158/100,0)</f>
        <v>0</v>
      </c>
      <c r="CP158" s="16">
        <f ca="1">IFERROR(_xlfn.XLOOKUP($F158,'FCDB 2017 (full)'!$C:$C,'FCDB 2017 (full)'!$CG:$CG)*$H158/100,0)</f>
        <v>0</v>
      </c>
      <c r="CQ158" s="16">
        <f ca="1">IFERROR(_xlfn.XLOOKUP($F158,'FCDB 2017 (full)'!$C:$C,'FCDB 2017 (full)'!$CH:$CH)*$H158/100,0)</f>
        <v>0</v>
      </c>
      <c r="CR158"/>
      <c r="DA158" s="73" t="s">
        <v>985</v>
      </c>
    </row>
    <row r="159" spans="4:105">
      <c r="D159" s="29"/>
      <c r="E159" s="29"/>
      <c r="F159" s="11">
        <f>IFERROR(VLOOKUP($D$139,$D:$AE,19,0),0)</f>
        <v>0</v>
      </c>
      <c r="G159" s="7" cm="1">
        <f t="array" ref="G159">IF(F159=0,0,IF(_xlfn.XLOOKUP(F159,$E$139:$AE$139,$E$140:$AE$140)=0,"Nhập ĐV/TV",_xlfn.XLOOKUP(F159,$E$139:$AE$139,$E$140:$AE$140)))</f>
        <v>0</v>
      </c>
      <c r="H159" s="8" cm="1">
        <f t="array" ref="H159">IFERROR(INDEX($E$141:$AE$141,MATCH(F159,$E$139:$AE$139,0)),0)</f>
        <v>0</v>
      </c>
      <c r="I159" s="9">
        <f ca="1">IFERROR(_xlfn.XLOOKUP($F159,'FCDB 2017 (full)'!$C:$C,'FCDB 2017 (full)'!$E:$E),0)</f>
        <v>0</v>
      </c>
      <c r="J159" s="10">
        <f t="shared" ca="1" si="30"/>
        <v>0</v>
      </c>
      <c r="K159" s="9">
        <f ca="1">IFERROR(_xlfn.XLOOKUP($F159,'FCDB 2017 (full)'!$C:$C,'FCDB 2017 (full)'!$G:$G),0)</f>
        <v>0</v>
      </c>
      <c r="L159" s="13">
        <f t="shared" si="31"/>
        <v>0</v>
      </c>
      <c r="M159" s="13">
        <f t="shared" si="32"/>
        <v>0</v>
      </c>
      <c r="N159" s="9">
        <f ca="1">IFERROR(_xlfn.XLOOKUP($F159,'FCDB 2017 (full)'!$C:$C,'FCDB 2017 (full)'!$H:$H),0)</f>
        <v>0</v>
      </c>
      <c r="O159" s="14">
        <f t="shared" si="33"/>
        <v>0</v>
      </c>
      <c r="P159" s="14">
        <f t="shared" si="34"/>
        <v>0</v>
      </c>
      <c r="Q159" s="9">
        <f ca="1">IFERROR(_xlfn.XLOOKUP($F159,'FCDB 2017 (full)'!$C:$C,'FCDB 2017 (full)'!$I:$I),0)</f>
        <v>0</v>
      </c>
      <c r="R159" s="15">
        <f t="shared" ca="1" si="35"/>
        <v>0</v>
      </c>
      <c r="S159" s="16">
        <f ca="1">IFERROR(_xlfn.XLOOKUP($F159,'FCDB 2017 (full)'!$C:$C,'FCDB 2017 (full)'!$J:$J)*$H159/100,0)</f>
        <v>0</v>
      </c>
      <c r="T159" s="16">
        <f ca="1">IFERROR(_xlfn.XLOOKUP($F159,'FCDB 2017 (full)'!$C:$C,'FCDB 2017 (full)'!$K:$K)*$H159/100,0)</f>
        <v>0</v>
      </c>
      <c r="U159" s="16">
        <f ca="1">IFERROR(_xlfn.XLOOKUP($F159,'FCDB 2017 (full)'!$C:$C,'FCDB 2017 (full)'!$L:$L)*$H159/100,0)</f>
        <v>0</v>
      </c>
      <c r="V159" s="16">
        <f ca="1">IFERROR(_xlfn.XLOOKUP($F159,'FCDB 2017 (full)'!$C:$C,'FCDB 2017 (full)'!$M:$M)*$H159/100,0)</f>
        <v>0</v>
      </c>
      <c r="W159" s="16">
        <f ca="1">IFERROR(_xlfn.XLOOKUP($F159,'FCDB 2017 (full)'!$C:$C,'FCDB 2017 (full)'!$N:$N)*$H159/100,0)</f>
        <v>0</v>
      </c>
      <c r="X159" s="16">
        <f ca="1">IFERROR(_xlfn.XLOOKUP($F159,'FCDB 2017 (full)'!$C:$C,'FCDB 2017 (full)'!$O:$O)*$H159/100,0)</f>
        <v>0</v>
      </c>
      <c r="Y159" s="16">
        <f ca="1">IFERROR(_xlfn.XLOOKUP($F159,'FCDB 2017 (full)'!$C:$C,'FCDB 2017 (full)'!$P:$P)*$H159/100,0)</f>
        <v>0</v>
      </c>
      <c r="Z159" s="16">
        <f ca="1">IFERROR(_xlfn.XLOOKUP($F159,'FCDB 2017 (full)'!$C:$C,'FCDB 2017 (full)'!$Q:$Q)*$H159/100,0)</f>
        <v>0</v>
      </c>
      <c r="AA159" s="16">
        <f ca="1">IFERROR(_xlfn.XLOOKUP($F159,'FCDB 2017 (full)'!$C:$C,'FCDB 2017 (full)'!$R:$R)*$H159/100,0)</f>
        <v>0</v>
      </c>
      <c r="AB159" s="16">
        <f ca="1">IFERROR(_xlfn.XLOOKUP($F159,'FCDB 2017 (full)'!$C:$C,'FCDB 2017 (full)'!$S:$S)*$H159/100,0)</f>
        <v>0</v>
      </c>
      <c r="AC159" s="16">
        <f ca="1">IFERROR(_xlfn.XLOOKUP($F159,'FCDB 2017 (full)'!$C:$C,'FCDB 2017 (full)'!$T:$T)*$H159/100,0)</f>
        <v>0</v>
      </c>
      <c r="AD159" s="16">
        <f ca="1">IFERROR(_xlfn.XLOOKUP($F159,'FCDB 2017 (full)'!$C:$C,'FCDB 2017 (full)'!$U:$U)*$H159/100,0)</f>
        <v>0</v>
      </c>
      <c r="AE159" s="16">
        <f ca="1">IFERROR(_xlfn.XLOOKUP($F159,'FCDB 2017 (full)'!$C:$C,'FCDB 2017 (full)'!$V:$V)*$H159/100,0)</f>
        <v>0</v>
      </c>
      <c r="AF159" s="16">
        <f ca="1">IFERROR(_xlfn.XLOOKUP($F159,'FCDB 2017 (full)'!$C:$C,'FCDB 2017 (full)'!$W:$W)*$H159/100,0)</f>
        <v>0</v>
      </c>
      <c r="AG159" s="16">
        <f ca="1">IFERROR(_xlfn.XLOOKUP($F159,'FCDB 2017 (full)'!$C:$C,'FCDB 2017 (full)'!$X:$X)*$H159/100,0)</f>
        <v>0</v>
      </c>
      <c r="AH159" s="16">
        <f ca="1">IFERROR(_xlfn.XLOOKUP($F159,'FCDB 2017 (full)'!$C:$C,'FCDB 2017 (full)'!$Y:$Y)*$H159/100,0)</f>
        <v>0</v>
      </c>
      <c r="AI159" s="16">
        <f ca="1">IFERROR(_xlfn.XLOOKUP($F159,'FCDB 2017 (full)'!$C:$C,'FCDB 2017 (full)'!$Z:$Z)*$H159/100,0)</f>
        <v>0</v>
      </c>
      <c r="AJ159" s="16">
        <f ca="1">IFERROR(_xlfn.XLOOKUP($F159,'FCDB 2017 (full)'!$C:$C,'FCDB 2017 (full)'!$AA:$AA)*$H159/100,0)</f>
        <v>0</v>
      </c>
      <c r="AK159" s="16">
        <f ca="1">IFERROR(_xlfn.XLOOKUP($F159,'FCDB 2017 (full)'!$C:$C,'FCDB 2017 (full)'!$AB:$AB)*$H159/100,0)</f>
        <v>0</v>
      </c>
      <c r="AL159" s="16">
        <f ca="1">IFERROR(_xlfn.XLOOKUP($F159,'FCDB 2017 (full)'!$C:$C,'FCDB 2017 (full)'!$AC:$AC)*$H159/100,0)</f>
        <v>0</v>
      </c>
      <c r="AM159" s="16">
        <f ca="1">IFERROR(_xlfn.XLOOKUP($F159,'FCDB 2017 (full)'!$C:$C,'FCDB 2017 (full)'!$AD:$AD)*$H159/100,0)</f>
        <v>0</v>
      </c>
      <c r="AN159" s="16">
        <f ca="1">IFERROR(_xlfn.XLOOKUP($F159,'FCDB 2017 (full)'!$C:$C,'FCDB 2017 (full)'!$AE:$AE)*$H159/100,0)</f>
        <v>0</v>
      </c>
      <c r="AO159" s="16">
        <f ca="1">IFERROR(_xlfn.XLOOKUP($F159,'FCDB 2017 (full)'!$C:$C,'FCDB 2017 (full)'!$AF:$AF)*$H159/100,0)</f>
        <v>0</v>
      </c>
      <c r="AP159" s="16">
        <f ca="1">IFERROR(_xlfn.XLOOKUP($F159,'FCDB 2017 (full)'!$C:$C,'FCDB 2017 (full)'!$AG:$AG)*$H159/100,0)</f>
        <v>0</v>
      </c>
      <c r="AQ159" s="16">
        <f ca="1">IFERROR(_xlfn.XLOOKUP($F159,'FCDB 2017 (full)'!$C:$C,'FCDB 2017 (full)'!$AH:$AH)*$H159/100,0)</f>
        <v>0</v>
      </c>
      <c r="AR159" s="16">
        <f ca="1">IFERROR(_xlfn.XLOOKUP($F159,'FCDB 2017 (full)'!$C:$C,'FCDB 2017 (full)'!$AI:$AI)*$H159/100,0)</f>
        <v>0</v>
      </c>
      <c r="AS159" s="16">
        <f ca="1">IFERROR(_xlfn.XLOOKUP($F159,'FCDB 2017 (full)'!$C:$C,'FCDB 2017 (full)'!$AJ:$AJ)*$H159/100,0)</f>
        <v>0</v>
      </c>
      <c r="AT159" s="16">
        <f ca="1">IFERROR(_xlfn.XLOOKUP($F159,'FCDB 2017 (full)'!$C:$C,'FCDB 2017 (full)'!$AK:$AK)*$H159/100,0)</f>
        <v>0</v>
      </c>
      <c r="AU159" s="16">
        <f ca="1">IFERROR(_xlfn.XLOOKUP($F159,'FCDB 2017 (full)'!$C:$C,'FCDB 2017 (full)'!$AK:$AK)*$H159/100,0)</f>
        <v>0</v>
      </c>
      <c r="AV159" s="16">
        <f ca="1">IFERROR(_xlfn.XLOOKUP($F159,'FCDB 2017 (full)'!$C:$C,'FCDB 2017 (full)'!$AM:$AM)*$H159/100,0)</f>
        <v>0</v>
      </c>
      <c r="AW159" s="16">
        <f ca="1">IFERROR(_xlfn.XLOOKUP($F159,'FCDB 2017 (full)'!$C:$C,'FCDB 2017 (full)'!$AN:$AN)*$H159/100,0)</f>
        <v>0</v>
      </c>
      <c r="AX159" s="16">
        <f ca="1">IFERROR(_xlfn.XLOOKUP($F159,'FCDB 2017 (full)'!$C:$C,'FCDB 2017 (full)'!$AO:$AO)*$H159/100,0)</f>
        <v>0</v>
      </c>
      <c r="AY159" s="16">
        <f ca="1">IFERROR(_xlfn.XLOOKUP($F159,'FCDB 2017 (full)'!$C:$C,'FCDB 2017 (full)'!$AP:$AP)*$H159/100,0)</f>
        <v>0</v>
      </c>
      <c r="AZ159" s="16">
        <f ca="1">IFERROR(_xlfn.XLOOKUP($F159,'FCDB 2017 (full)'!$C:$C,'FCDB 2017 (full)'!$AQ:$AQ)*$H159/100,0)</f>
        <v>0</v>
      </c>
      <c r="BA159" s="16">
        <f ca="1">IFERROR(_xlfn.XLOOKUP($F159,'FCDB 2017 (full)'!$C:$C,'FCDB 2017 (full)'!$AR:$AR)*$H159/100,0)</f>
        <v>0</v>
      </c>
      <c r="BB159" s="16">
        <f ca="1">IFERROR(_xlfn.XLOOKUP($F159,'FCDB 2017 (full)'!$C:$C,'FCDB 2017 (full)'!$AS:$AS)*$H159/100,0)</f>
        <v>0</v>
      </c>
      <c r="BC159" s="16">
        <f ca="1">IFERROR(_xlfn.XLOOKUP($F159,'FCDB 2017 (full)'!$C:$C,'FCDB 2017 (full)'!$AT:$AT)*$H159/100,0)</f>
        <v>0</v>
      </c>
      <c r="BD159" s="16">
        <f ca="1">IFERROR(_xlfn.XLOOKUP($F159,'FCDB 2017 (full)'!$C:$C,'FCDB 2017 (full)'!$AU:$AU)*$H159/100,0)</f>
        <v>0</v>
      </c>
      <c r="BE159" s="16">
        <f ca="1">IFERROR(_xlfn.XLOOKUP($F159,'FCDB 2017 (full)'!$C:$C,'FCDB 2017 (full)'!$AV:$AV)*$H159/100,0)</f>
        <v>0</v>
      </c>
      <c r="BF159" s="16">
        <f ca="1">IFERROR(_xlfn.XLOOKUP($F159,'FCDB 2017 (full)'!$C:$C,'FCDB 2017 (full)'!$AW:$AW)*$H159/100,0)</f>
        <v>0</v>
      </c>
      <c r="BG159" s="16">
        <f ca="1">IFERROR(_xlfn.XLOOKUP($F159,'FCDB 2017 (full)'!$C:$C,'FCDB 2017 (full)'!$AX:$AX)*$H159/100,0)</f>
        <v>0</v>
      </c>
      <c r="BH159" s="16">
        <f ca="1">IFERROR(_xlfn.XLOOKUP($F159,'FCDB 2017 (full)'!$C:$C,'FCDB 2017 (full)'!$AY:$AY)*$H159/100,0)</f>
        <v>0</v>
      </c>
      <c r="BI159" s="16">
        <f ca="1">IFERROR(_xlfn.XLOOKUP($F159,'FCDB 2017 (full)'!$C:$C,'FCDB 2017 (full)'!$AZ:$AZ)*$H159/100,0)</f>
        <v>0</v>
      </c>
      <c r="BJ159" s="16">
        <f ca="1">IFERROR(_xlfn.XLOOKUP($F159,'FCDB 2017 (full)'!$C:$C,'FCDB 2017 (full)'!$BA:$BA)*$H159/100,0)</f>
        <v>0</v>
      </c>
      <c r="BK159" s="16">
        <f ca="1">IFERROR(_xlfn.XLOOKUP($F159,'FCDB 2017 (full)'!$C:$C,'FCDB 2017 (full)'!$BB:$BB)*$H159/100,0)</f>
        <v>0</v>
      </c>
      <c r="BL159" s="16">
        <f ca="1">IFERROR(_xlfn.XLOOKUP($F159,'FCDB 2017 (full)'!$C:$C,'FCDB 2017 (full)'!$BC:$BC)*$H159/100,0)</f>
        <v>0</v>
      </c>
      <c r="BM159" s="16">
        <f ca="1">IFERROR(_xlfn.XLOOKUP($F159,'FCDB 2017 (full)'!$C:$C,'FCDB 2017 (full)'!$BD:$BD)*$H159/100,0)</f>
        <v>0</v>
      </c>
      <c r="BN159" s="16">
        <f ca="1">IFERROR(_xlfn.XLOOKUP($F159,'FCDB 2017 (full)'!$C:$C,'FCDB 2017 (full)'!$BE:$BE)*$H159/100,0)</f>
        <v>0</v>
      </c>
      <c r="BO159" s="16">
        <f ca="1">IFERROR(_xlfn.XLOOKUP($F159,'FCDB 2017 (full)'!$C:$C,'FCDB 2017 (full)'!$BF:$BF)*$H159/100,0)</f>
        <v>0</v>
      </c>
      <c r="BP159" s="16">
        <f ca="1">IFERROR(_xlfn.XLOOKUP($F159,'FCDB 2017 (full)'!$C:$C,'FCDB 2017 (full)'!$BG:$BG)*$H159/100,0)</f>
        <v>0</v>
      </c>
      <c r="BQ159" s="16">
        <f ca="1">IFERROR(_xlfn.XLOOKUP($F159,'FCDB 2017 (full)'!$C:$C,'FCDB 2017 (full)'!$BH:$BH)*$H159/100,0)</f>
        <v>0</v>
      </c>
      <c r="BR159" s="16">
        <f ca="1">IFERROR(_xlfn.XLOOKUP($F159,'FCDB 2017 (full)'!$C:$C,'FCDB 2017 (full)'!$BI:$BI)*$H159/100,0)</f>
        <v>0</v>
      </c>
      <c r="BS159" s="16">
        <f ca="1">IFERROR(_xlfn.XLOOKUP($F159,'FCDB 2017 (full)'!$C:$C,'FCDB 2017 (full)'!$BJ:$BJ)*$H159/100,0)</f>
        <v>0</v>
      </c>
      <c r="BT159" s="16">
        <f ca="1">IFERROR(_xlfn.XLOOKUP($F159,'FCDB 2017 (full)'!$C:$C,'FCDB 2017 (full)'!$BK:$BK)*$H159/100,0)</f>
        <v>0</v>
      </c>
      <c r="BU159" s="16">
        <f ca="1">IFERROR(_xlfn.XLOOKUP($F159,'FCDB 2017 (full)'!$C:$C,'FCDB 2017 (full)'!$BL:$BL)*$H159/100,0)</f>
        <v>0</v>
      </c>
      <c r="BV159" s="16">
        <f ca="1">IFERROR(_xlfn.XLOOKUP($F159,'FCDB 2017 (full)'!$C:$C,'FCDB 2017 (full)'!$BM:$BM)*$H159/100,0)</f>
        <v>0</v>
      </c>
      <c r="BW159" s="16">
        <f ca="1">IFERROR(_xlfn.XLOOKUP($F159,'FCDB 2017 (full)'!$C:$C,'FCDB 2017 (full)'!$BN:$BN)*$H159/100,0)</f>
        <v>0</v>
      </c>
      <c r="BX159" s="16">
        <f ca="1">IFERROR(_xlfn.XLOOKUP($F159,'FCDB 2017 (full)'!$C:$C,'FCDB 2017 (full)'!$BO:$BO)*$H159/100,0)</f>
        <v>0</v>
      </c>
      <c r="BY159" s="16">
        <f ca="1">IFERROR(_xlfn.XLOOKUP($F159,'FCDB 2017 (full)'!$C:$C,'FCDB 2017 (full)'!$BP:$BP)*$H159/100,0)</f>
        <v>0</v>
      </c>
      <c r="BZ159" s="16">
        <f ca="1">IFERROR(_xlfn.XLOOKUP($F159,'FCDB 2017 (full)'!$C:$C,'FCDB 2017 (full)'!$BQ:$BQ)*$H159/100,0)</f>
        <v>0</v>
      </c>
      <c r="CA159" s="16">
        <f ca="1">IFERROR(_xlfn.XLOOKUP($F159,'FCDB 2017 (full)'!$C:$C,'FCDB 2017 (full)'!$BR:$BR)*$H159/100,0)</f>
        <v>0</v>
      </c>
      <c r="CB159" s="16">
        <f ca="1">IFERROR(_xlfn.XLOOKUP($F159,'FCDB 2017 (full)'!$C:$C,'FCDB 2017 (full)'!$BS:$BS)*$H159/100,0)</f>
        <v>0</v>
      </c>
      <c r="CC159" s="16">
        <f ca="1">IFERROR(_xlfn.XLOOKUP($F159,'FCDB 2017 (full)'!$C:$C,'FCDB 2017 (full)'!$BT:$BT)*$H159/100,0)</f>
        <v>0</v>
      </c>
      <c r="CD159" s="16">
        <f ca="1">IFERROR(_xlfn.XLOOKUP($F159,'FCDB 2017 (full)'!$C:$C,'FCDB 2017 (full)'!$BU:$BU)*$H159/100,0)</f>
        <v>0</v>
      </c>
      <c r="CE159" s="16">
        <f ca="1">IFERROR(_xlfn.XLOOKUP($F159,'FCDB 2017 (full)'!$C:$C,'FCDB 2017 (full)'!$BV:$BV)*$H159/100,0)</f>
        <v>0</v>
      </c>
      <c r="CF159" s="16">
        <f ca="1">IFERROR(_xlfn.XLOOKUP($F159,'FCDB 2017 (full)'!$C:$C,'FCDB 2017 (full)'!$BW:$BW)*$H159/100,0)</f>
        <v>0</v>
      </c>
      <c r="CG159" s="16">
        <f ca="1">IFERROR(_xlfn.XLOOKUP($F159,'FCDB 2017 (full)'!$C:$C,'FCDB 2017 (full)'!$BX:$BX)*$H159/100,0)</f>
        <v>0</v>
      </c>
      <c r="CH159" s="16">
        <f ca="1">IFERROR(_xlfn.XLOOKUP($F159,'FCDB 2017 (full)'!$C:$C,'FCDB 2017 (full)'!$BY:$BY)*$H159/100,0)</f>
        <v>0</v>
      </c>
      <c r="CI159" s="16">
        <f ca="1">IFERROR(_xlfn.XLOOKUP($F159,'FCDB 2017 (full)'!$C:$C,'FCDB 2017 (full)'!$BZ:$BZ)*$H159/100,0)</f>
        <v>0</v>
      </c>
      <c r="CJ159" s="16">
        <f ca="1">IFERROR(_xlfn.XLOOKUP($F159,'FCDB 2017 (full)'!$C:$C,'FCDB 2017 (full)'!$CA:$CA)*$H159/100,0)</f>
        <v>0</v>
      </c>
      <c r="CK159" s="16">
        <f ca="1">IFERROR(_xlfn.XLOOKUP($F159,'FCDB 2017 (full)'!$C:$C,'FCDB 2017 (full)'!$CB:$CB)*$H159/100,0)</f>
        <v>0</v>
      </c>
      <c r="CL159" s="16">
        <f ca="1">IFERROR(_xlfn.XLOOKUP($F159,'FCDB 2017 (full)'!$C:$C,'FCDB 2017 (full)'!$CC:$CC)*$H159/100,0)</f>
        <v>0</v>
      </c>
      <c r="CM159" s="16">
        <f ca="1">IFERROR(_xlfn.XLOOKUP($F159,'FCDB 2017 (full)'!$C:$C,'FCDB 2017 (full)'!$CD:$CD)*$H159/100,0)</f>
        <v>0</v>
      </c>
      <c r="CN159" s="16">
        <f ca="1">IFERROR(_xlfn.XLOOKUP($F159,'FCDB 2017 (full)'!$C:$C,'FCDB 2017 (full)'!$CE:$CE)*$H159/100,0)</f>
        <v>0</v>
      </c>
      <c r="CO159" s="16">
        <f ca="1">IFERROR(_xlfn.XLOOKUP($F159,'FCDB 2017 (full)'!$C:$C,'FCDB 2017 (full)'!$CF:$CF)*$H159/100,0)</f>
        <v>0</v>
      </c>
      <c r="CP159" s="16">
        <f ca="1">IFERROR(_xlfn.XLOOKUP($F159,'FCDB 2017 (full)'!$C:$C,'FCDB 2017 (full)'!$CG:$CG)*$H159/100,0)</f>
        <v>0</v>
      </c>
      <c r="CQ159" s="16">
        <f ca="1">IFERROR(_xlfn.XLOOKUP($F159,'FCDB 2017 (full)'!$C:$C,'FCDB 2017 (full)'!$CH:$CH)*$H159/100,0)</f>
        <v>0</v>
      </c>
      <c r="CR159" s="29"/>
      <c r="DA159" s="73" t="s">
        <v>985</v>
      </c>
    </row>
    <row r="160" spans="4:105">
      <c r="D160" s="29"/>
      <c r="E160" s="29"/>
      <c r="F160" s="11">
        <f>IFERROR(VLOOKUP($D$139,$D:$AE,20,0),0)</f>
        <v>0</v>
      </c>
      <c r="G160" s="7" cm="1">
        <f t="array" ref="G160">IF(F160=0,0,IF(_xlfn.XLOOKUP(F160,$E$139:$AE$139,$E$140:$AE$140)=0,"Nhập ĐV/TV",_xlfn.XLOOKUP(F160,$E$139:$AE$139,$E$140:$AE$140)))</f>
        <v>0</v>
      </c>
      <c r="H160" s="8" cm="1">
        <f t="array" ref="H160">IFERROR(INDEX($E$141:$AE$141,MATCH(F160,$E$139:$AE$139,0)),0)</f>
        <v>0</v>
      </c>
      <c r="I160" s="9">
        <f ca="1">IFERROR(_xlfn.XLOOKUP($F160,'FCDB 2017 (full)'!$C:$C,'FCDB 2017 (full)'!$E:$E),0)</f>
        <v>0</v>
      </c>
      <c r="J160" s="10">
        <f t="shared" ca="1" si="30"/>
        <v>0</v>
      </c>
      <c r="K160" s="9">
        <f ca="1">IFERROR(_xlfn.XLOOKUP($F160,'FCDB 2017 (full)'!$C:$C,'FCDB 2017 (full)'!$G:$G),0)</f>
        <v>0</v>
      </c>
      <c r="L160" s="13">
        <f t="shared" si="31"/>
        <v>0</v>
      </c>
      <c r="M160" s="13">
        <f t="shared" si="32"/>
        <v>0</v>
      </c>
      <c r="N160" s="9">
        <f ca="1">IFERROR(_xlfn.XLOOKUP($F160,'FCDB 2017 (full)'!$C:$C,'FCDB 2017 (full)'!$H:$H),0)</f>
        <v>0</v>
      </c>
      <c r="O160" s="14">
        <f t="shared" si="33"/>
        <v>0</v>
      </c>
      <c r="P160" s="14">
        <f t="shared" si="34"/>
        <v>0</v>
      </c>
      <c r="Q160" s="9">
        <f ca="1">IFERROR(_xlfn.XLOOKUP($F160,'FCDB 2017 (full)'!$C:$C,'FCDB 2017 (full)'!$I:$I),0)</f>
        <v>0</v>
      </c>
      <c r="R160" s="15">
        <f t="shared" ca="1" si="35"/>
        <v>0</v>
      </c>
      <c r="S160" s="16">
        <f ca="1">IFERROR(_xlfn.XLOOKUP($F160,'FCDB 2017 (full)'!$C:$C,'FCDB 2017 (full)'!$J:$J)*$H160/100,0)</f>
        <v>0</v>
      </c>
      <c r="T160" s="16">
        <f ca="1">IFERROR(_xlfn.XLOOKUP($F160,'FCDB 2017 (full)'!$C:$C,'FCDB 2017 (full)'!$K:$K)*$H160/100,0)</f>
        <v>0</v>
      </c>
      <c r="U160" s="16">
        <f ca="1">IFERROR(_xlfn.XLOOKUP($F160,'FCDB 2017 (full)'!$C:$C,'FCDB 2017 (full)'!$L:$L)*$H160/100,0)</f>
        <v>0</v>
      </c>
      <c r="V160" s="16">
        <f ca="1">IFERROR(_xlfn.XLOOKUP($F160,'FCDB 2017 (full)'!$C:$C,'FCDB 2017 (full)'!$M:$M)*$H160/100,0)</f>
        <v>0</v>
      </c>
      <c r="W160" s="16">
        <f ca="1">IFERROR(_xlfn.XLOOKUP($F160,'FCDB 2017 (full)'!$C:$C,'FCDB 2017 (full)'!$N:$N)*$H160/100,0)</f>
        <v>0</v>
      </c>
      <c r="X160" s="16">
        <f ca="1">IFERROR(_xlfn.XLOOKUP($F160,'FCDB 2017 (full)'!$C:$C,'FCDB 2017 (full)'!$O:$O)*$H160/100,0)</f>
        <v>0</v>
      </c>
      <c r="Y160" s="16">
        <f ca="1">IFERROR(_xlfn.XLOOKUP($F160,'FCDB 2017 (full)'!$C:$C,'FCDB 2017 (full)'!$P:$P)*$H160/100,0)</f>
        <v>0</v>
      </c>
      <c r="Z160" s="16">
        <f ca="1">IFERROR(_xlfn.XLOOKUP($F160,'FCDB 2017 (full)'!$C:$C,'FCDB 2017 (full)'!$Q:$Q)*$H160/100,0)</f>
        <v>0</v>
      </c>
      <c r="AA160" s="16">
        <f ca="1">IFERROR(_xlfn.XLOOKUP($F160,'FCDB 2017 (full)'!$C:$C,'FCDB 2017 (full)'!$R:$R)*$H160/100,0)</f>
        <v>0</v>
      </c>
      <c r="AB160" s="16">
        <f ca="1">IFERROR(_xlfn.XLOOKUP($F160,'FCDB 2017 (full)'!$C:$C,'FCDB 2017 (full)'!$S:$S)*$H160/100,0)</f>
        <v>0</v>
      </c>
      <c r="AC160" s="16">
        <f ca="1">IFERROR(_xlfn.XLOOKUP($F160,'FCDB 2017 (full)'!$C:$C,'FCDB 2017 (full)'!$T:$T)*$H160/100,0)</f>
        <v>0</v>
      </c>
      <c r="AD160" s="16">
        <f ca="1">IFERROR(_xlfn.XLOOKUP($F160,'FCDB 2017 (full)'!$C:$C,'FCDB 2017 (full)'!$U:$U)*$H160/100,0)</f>
        <v>0</v>
      </c>
      <c r="AE160" s="16">
        <f ca="1">IFERROR(_xlfn.XLOOKUP($F160,'FCDB 2017 (full)'!$C:$C,'FCDB 2017 (full)'!$V:$V)*$H160/100,0)</f>
        <v>0</v>
      </c>
      <c r="AF160" s="16">
        <f ca="1">IFERROR(_xlfn.XLOOKUP($F160,'FCDB 2017 (full)'!$C:$C,'FCDB 2017 (full)'!$W:$W)*$H160/100,0)</f>
        <v>0</v>
      </c>
      <c r="AG160" s="16">
        <f ca="1">IFERROR(_xlfn.XLOOKUP($F160,'FCDB 2017 (full)'!$C:$C,'FCDB 2017 (full)'!$X:$X)*$H160/100,0)</f>
        <v>0</v>
      </c>
      <c r="AH160" s="16">
        <f ca="1">IFERROR(_xlfn.XLOOKUP($F160,'FCDB 2017 (full)'!$C:$C,'FCDB 2017 (full)'!$Y:$Y)*$H160/100,0)</f>
        <v>0</v>
      </c>
      <c r="AI160" s="16">
        <f ca="1">IFERROR(_xlfn.XLOOKUP($F160,'FCDB 2017 (full)'!$C:$C,'FCDB 2017 (full)'!$Z:$Z)*$H160/100,0)</f>
        <v>0</v>
      </c>
      <c r="AJ160" s="16">
        <f ca="1">IFERROR(_xlfn.XLOOKUP($F160,'FCDB 2017 (full)'!$C:$C,'FCDB 2017 (full)'!$AA:$AA)*$H160/100,0)</f>
        <v>0</v>
      </c>
      <c r="AK160" s="16">
        <f ca="1">IFERROR(_xlfn.XLOOKUP($F160,'FCDB 2017 (full)'!$C:$C,'FCDB 2017 (full)'!$AB:$AB)*$H160/100,0)</f>
        <v>0</v>
      </c>
      <c r="AL160" s="16">
        <f ca="1">IFERROR(_xlfn.XLOOKUP($F160,'FCDB 2017 (full)'!$C:$C,'FCDB 2017 (full)'!$AC:$AC)*$H160/100,0)</f>
        <v>0</v>
      </c>
      <c r="AM160" s="16">
        <f ca="1">IFERROR(_xlfn.XLOOKUP($F160,'FCDB 2017 (full)'!$C:$C,'FCDB 2017 (full)'!$AD:$AD)*$H160/100,0)</f>
        <v>0</v>
      </c>
      <c r="AN160" s="16">
        <f ca="1">IFERROR(_xlfn.XLOOKUP($F160,'FCDB 2017 (full)'!$C:$C,'FCDB 2017 (full)'!$AE:$AE)*$H160/100,0)</f>
        <v>0</v>
      </c>
      <c r="AO160" s="16">
        <f ca="1">IFERROR(_xlfn.XLOOKUP($F160,'FCDB 2017 (full)'!$C:$C,'FCDB 2017 (full)'!$AF:$AF)*$H160/100,0)</f>
        <v>0</v>
      </c>
      <c r="AP160" s="16">
        <f ca="1">IFERROR(_xlfn.XLOOKUP($F160,'FCDB 2017 (full)'!$C:$C,'FCDB 2017 (full)'!$AG:$AG)*$H160/100,0)</f>
        <v>0</v>
      </c>
      <c r="AQ160" s="16">
        <f ca="1">IFERROR(_xlfn.XLOOKUP($F160,'FCDB 2017 (full)'!$C:$C,'FCDB 2017 (full)'!$AH:$AH)*$H160/100,0)</f>
        <v>0</v>
      </c>
      <c r="AR160" s="16">
        <f ca="1">IFERROR(_xlfn.XLOOKUP($F160,'FCDB 2017 (full)'!$C:$C,'FCDB 2017 (full)'!$AI:$AI)*$H160/100,0)</f>
        <v>0</v>
      </c>
      <c r="AS160" s="16">
        <f ca="1">IFERROR(_xlfn.XLOOKUP($F160,'FCDB 2017 (full)'!$C:$C,'FCDB 2017 (full)'!$AJ:$AJ)*$H160/100,0)</f>
        <v>0</v>
      </c>
      <c r="AT160" s="16">
        <f ca="1">IFERROR(_xlfn.XLOOKUP($F160,'FCDB 2017 (full)'!$C:$C,'FCDB 2017 (full)'!$AK:$AK)*$H160/100,0)</f>
        <v>0</v>
      </c>
      <c r="AU160" s="16">
        <f ca="1">IFERROR(_xlfn.XLOOKUP($F160,'FCDB 2017 (full)'!$C:$C,'FCDB 2017 (full)'!$AK:$AK)*$H160/100,0)</f>
        <v>0</v>
      </c>
      <c r="AV160" s="16">
        <f ca="1">IFERROR(_xlfn.XLOOKUP($F160,'FCDB 2017 (full)'!$C:$C,'FCDB 2017 (full)'!$AM:$AM)*$H160/100,0)</f>
        <v>0</v>
      </c>
      <c r="AW160" s="16">
        <f ca="1">IFERROR(_xlfn.XLOOKUP($F160,'FCDB 2017 (full)'!$C:$C,'FCDB 2017 (full)'!$AN:$AN)*$H160/100,0)</f>
        <v>0</v>
      </c>
      <c r="AX160" s="16">
        <f ca="1">IFERROR(_xlfn.XLOOKUP($F160,'FCDB 2017 (full)'!$C:$C,'FCDB 2017 (full)'!$AO:$AO)*$H160/100,0)</f>
        <v>0</v>
      </c>
      <c r="AY160" s="16">
        <f ca="1">IFERROR(_xlfn.XLOOKUP($F160,'FCDB 2017 (full)'!$C:$C,'FCDB 2017 (full)'!$AP:$AP)*$H160/100,0)</f>
        <v>0</v>
      </c>
      <c r="AZ160" s="16">
        <f ca="1">IFERROR(_xlfn.XLOOKUP($F160,'FCDB 2017 (full)'!$C:$C,'FCDB 2017 (full)'!$AQ:$AQ)*$H160/100,0)</f>
        <v>0</v>
      </c>
      <c r="BA160" s="16">
        <f ca="1">IFERROR(_xlfn.XLOOKUP($F160,'FCDB 2017 (full)'!$C:$C,'FCDB 2017 (full)'!$AR:$AR)*$H160/100,0)</f>
        <v>0</v>
      </c>
      <c r="BB160" s="16">
        <f ca="1">IFERROR(_xlfn.XLOOKUP($F160,'FCDB 2017 (full)'!$C:$C,'FCDB 2017 (full)'!$AS:$AS)*$H160/100,0)</f>
        <v>0</v>
      </c>
      <c r="BC160" s="16">
        <f ca="1">IFERROR(_xlfn.XLOOKUP($F160,'FCDB 2017 (full)'!$C:$C,'FCDB 2017 (full)'!$AT:$AT)*$H160/100,0)</f>
        <v>0</v>
      </c>
      <c r="BD160" s="16">
        <f ca="1">IFERROR(_xlfn.XLOOKUP($F160,'FCDB 2017 (full)'!$C:$C,'FCDB 2017 (full)'!$AU:$AU)*$H160/100,0)</f>
        <v>0</v>
      </c>
      <c r="BE160" s="16">
        <f ca="1">IFERROR(_xlfn.XLOOKUP($F160,'FCDB 2017 (full)'!$C:$C,'FCDB 2017 (full)'!$AV:$AV)*$H160/100,0)</f>
        <v>0</v>
      </c>
      <c r="BF160" s="16">
        <f ca="1">IFERROR(_xlfn.XLOOKUP($F160,'FCDB 2017 (full)'!$C:$C,'FCDB 2017 (full)'!$AW:$AW)*$H160/100,0)</f>
        <v>0</v>
      </c>
      <c r="BG160" s="16">
        <f ca="1">IFERROR(_xlfn.XLOOKUP($F160,'FCDB 2017 (full)'!$C:$C,'FCDB 2017 (full)'!$AX:$AX)*$H160/100,0)</f>
        <v>0</v>
      </c>
      <c r="BH160" s="16">
        <f ca="1">IFERROR(_xlfn.XLOOKUP($F160,'FCDB 2017 (full)'!$C:$C,'FCDB 2017 (full)'!$AY:$AY)*$H160/100,0)</f>
        <v>0</v>
      </c>
      <c r="BI160" s="16">
        <f ca="1">IFERROR(_xlfn.XLOOKUP($F160,'FCDB 2017 (full)'!$C:$C,'FCDB 2017 (full)'!$AZ:$AZ)*$H160/100,0)</f>
        <v>0</v>
      </c>
      <c r="BJ160" s="16">
        <f ca="1">IFERROR(_xlfn.XLOOKUP($F160,'FCDB 2017 (full)'!$C:$C,'FCDB 2017 (full)'!$BA:$BA)*$H160/100,0)</f>
        <v>0</v>
      </c>
      <c r="BK160" s="16">
        <f ca="1">IFERROR(_xlfn.XLOOKUP($F160,'FCDB 2017 (full)'!$C:$C,'FCDB 2017 (full)'!$BB:$BB)*$H160/100,0)</f>
        <v>0</v>
      </c>
      <c r="BL160" s="16">
        <f ca="1">IFERROR(_xlfn.XLOOKUP($F160,'FCDB 2017 (full)'!$C:$C,'FCDB 2017 (full)'!$BC:$BC)*$H160/100,0)</f>
        <v>0</v>
      </c>
      <c r="BM160" s="16">
        <f ca="1">IFERROR(_xlfn.XLOOKUP($F160,'FCDB 2017 (full)'!$C:$C,'FCDB 2017 (full)'!$BD:$BD)*$H160/100,0)</f>
        <v>0</v>
      </c>
      <c r="BN160" s="16">
        <f ca="1">IFERROR(_xlfn.XLOOKUP($F160,'FCDB 2017 (full)'!$C:$C,'FCDB 2017 (full)'!$BE:$BE)*$H160/100,0)</f>
        <v>0</v>
      </c>
      <c r="BO160" s="16">
        <f ca="1">IFERROR(_xlfn.XLOOKUP($F160,'FCDB 2017 (full)'!$C:$C,'FCDB 2017 (full)'!$BF:$BF)*$H160/100,0)</f>
        <v>0</v>
      </c>
      <c r="BP160" s="16">
        <f ca="1">IFERROR(_xlfn.XLOOKUP($F160,'FCDB 2017 (full)'!$C:$C,'FCDB 2017 (full)'!$BG:$BG)*$H160/100,0)</f>
        <v>0</v>
      </c>
      <c r="BQ160" s="16">
        <f ca="1">IFERROR(_xlfn.XLOOKUP($F160,'FCDB 2017 (full)'!$C:$C,'FCDB 2017 (full)'!$BH:$BH)*$H160/100,0)</f>
        <v>0</v>
      </c>
      <c r="BR160" s="16">
        <f ca="1">IFERROR(_xlfn.XLOOKUP($F160,'FCDB 2017 (full)'!$C:$C,'FCDB 2017 (full)'!$BI:$BI)*$H160/100,0)</f>
        <v>0</v>
      </c>
      <c r="BS160" s="16">
        <f ca="1">IFERROR(_xlfn.XLOOKUP($F160,'FCDB 2017 (full)'!$C:$C,'FCDB 2017 (full)'!$BJ:$BJ)*$H160/100,0)</f>
        <v>0</v>
      </c>
      <c r="BT160" s="16">
        <f ca="1">IFERROR(_xlfn.XLOOKUP($F160,'FCDB 2017 (full)'!$C:$C,'FCDB 2017 (full)'!$BK:$BK)*$H160/100,0)</f>
        <v>0</v>
      </c>
      <c r="BU160" s="16">
        <f ca="1">IFERROR(_xlfn.XLOOKUP($F160,'FCDB 2017 (full)'!$C:$C,'FCDB 2017 (full)'!$BL:$BL)*$H160/100,0)</f>
        <v>0</v>
      </c>
      <c r="BV160" s="16">
        <f ca="1">IFERROR(_xlfn.XLOOKUP($F160,'FCDB 2017 (full)'!$C:$C,'FCDB 2017 (full)'!$BM:$BM)*$H160/100,0)</f>
        <v>0</v>
      </c>
      <c r="BW160" s="16">
        <f ca="1">IFERROR(_xlfn.XLOOKUP($F160,'FCDB 2017 (full)'!$C:$C,'FCDB 2017 (full)'!$BN:$BN)*$H160/100,0)</f>
        <v>0</v>
      </c>
      <c r="BX160" s="16">
        <f ca="1">IFERROR(_xlfn.XLOOKUP($F160,'FCDB 2017 (full)'!$C:$C,'FCDB 2017 (full)'!$BO:$BO)*$H160/100,0)</f>
        <v>0</v>
      </c>
      <c r="BY160" s="16">
        <f ca="1">IFERROR(_xlfn.XLOOKUP($F160,'FCDB 2017 (full)'!$C:$C,'FCDB 2017 (full)'!$BP:$BP)*$H160/100,0)</f>
        <v>0</v>
      </c>
      <c r="BZ160" s="16">
        <f ca="1">IFERROR(_xlfn.XLOOKUP($F160,'FCDB 2017 (full)'!$C:$C,'FCDB 2017 (full)'!$BQ:$BQ)*$H160/100,0)</f>
        <v>0</v>
      </c>
      <c r="CA160" s="16">
        <f ca="1">IFERROR(_xlfn.XLOOKUP($F160,'FCDB 2017 (full)'!$C:$C,'FCDB 2017 (full)'!$BR:$BR)*$H160/100,0)</f>
        <v>0</v>
      </c>
      <c r="CB160" s="16">
        <f ca="1">IFERROR(_xlfn.XLOOKUP($F160,'FCDB 2017 (full)'!$C:$C,'FCDB 2017 (full)'!$BS:$BS)*$H160/100,0)</f>
        <v>0</v>
      </c>
      <c r="CC160" s="16">
        <f ca="1">IFERROR(_xlfn.XLOOKUP($F160,'FCDB 2017 (full)'!$C:$C,'FCDB 2017 (full)'!$BT:$BT)*$H160/100,0)</f>
        <v>0</v>
      </c>
      <c r="CD160" s="16">
        <f ca="1">IFERROR(_xlfn.XLOOKUP($F160,'FCDB 2017 (full)'!$C:$C,'FCDB 2017 (full)'!$BU:$BU)*$H160/100,0)</f>
        <v>0</v>
      </c>
      <c r="CE160" s="16">
        <f ca="1">IFERROR(_xlfn.XLOOKUP($F160,'FCDB 2017 (full)'!$C:$C,'FCDB 2017 (full)'!$BV:$BV)*$H160/100,0)</f>
        <v>0</v>
      </c>
      <c r="CF160" s="16">
        <f ca="1">IFERROR(_xlfn.XLOOKUP($F160,'FCDB 2017 (full)'!$C:$C,'FCDB 2017 (full)'!$BW:$BW)*$H160/100,0)</f>
        <v>0</v>
      </c>
      <c r="CG160" s="16">
        <f ca="1">IFERROR(_xlfn.XLOOKUP($F160,'FCDB 2017 (full)'!$C:$C,'FCDB 2017 (full)'!$BX:$BX)*$H160/100,0)</f>
        <v>0</v>
      </c>
      <c r="CH160" s="16">
        <f ca="1">IFERROR(_xlfn.XLOOKUP($F160,'FCDB 2017 (full)'!$C:$C,'FCDB 2017 (full)'!$BY:$BY)*$H160/100,0)</f>
        <v>0</v>
      </c>
      <c r="CI160" s="16">
        <f ca="1">IFERROR(_xlfn.XLOOKUP($F160,'FCDB 2017 (full)'!$C:$C,'FCDB 2017 (full)'!$BZ:$BZ)*$H160/100,0)</f>
        <v>0</v>
      </c>
      <c r="CJ160" s="16">
        <f ca="1">IFERROR(_xlfn.XLOOKUP($F160,'FCDB 2017 (full)'!$C:$C,'FCDB 2017 (full)'!$CA:$CA)*$H160/100,0)</f>
        <v>0</v>
      </c>
      <c r="CK160" s="16">
        <f ca="1">IFERROR(_xlfn.XLOOKUP($F160,'FCDB 2017 (full)'!$C:$C,'FCDB 2017 (full)'!$CB:$CB)*$H160/100,0)</f>
        <v>0</v>
      </c>
      <c r="CL160" s="16">
        <f ca="1">IFERROR(_xlfn.XLOOKUP($F160,'FCDB 2017 (full)'!$C:$C,'FCDB 2017 (full)'!$CC:$CC)*$H160/100,0)</f>
        <v>0</v>
      </c>
      <c r="CM160" s="16">
        <f ca="1">IFERROR(_xlfn.XLOOKUP($F160,'FCDB 2017 (full)'!$C:$C,'FCDB 2017 (full)'!$CD:$CD)*$H160/100,0)</f>
        <v>0</v>
      </c>
      <c r="CN160" s="16">
        <f ca="1">IFERROR(_xlfn.XLOOKUP($F160,'FCDB 2017 (full)'!$C:$C,'FCDB 2017 (full)'!$CE:$CE)*$H160/100,0)</f>
        <v>0</v>
      </c>
      <c r="CO160" s="16">
        <f ca="1">IFERROR(_xlfn.XLOOKUP($F160,'FCDB 2017 (full)'!$C:$C,'FCDB 2017 (full)'!$CF:$CF)*$H160/100,0)</f>
        <v>0</v>
      </c>
      <c r="CP160" s="16">
        <f ca="1">IFERROR(_xlfn.XLOOKUP($F160,'FCDB 2017 (full)'!$C:$C,'FCDB 2017 (full)'!$CG:$CG)*$H160/100,0)</f>
        <v>0</v>
      </c>
      <c r="CQ160" s="16">
        <f ca="1">IFERROR(_xlfn.XLOOKUP($F160,'FCDB 2017 (full)'!$C:$C,'FCDB 2017 (full)'!$CH:$CH)*$H160/100,0)</f>
        <v>0</v>
      </c>
      <c r="CR160" s="29"/>
      <c r="DA160" s="73" t="s">
        <v>985</v>
      </c>
    </row>
    <row r="161" spans="4:105">
      <c r="D161" s="29"/>
      <c r="E161" s="29"/>
      <c r="F161" s="11">
        <f>IFERROR(VLOOKUP($D$139,$D:$AE,21,0),0)</f>
        <v>0</v>
      </c>
      <c r="G161" s="7" cm="1">
        <f t="array" ref="G161">IF(F161=0,0,IF(_xlfn.XLOOKUP(F161,$E$139:$AE$139,$E$140:$AE$140)=0,"Nhập ĐV/TV",_xlfn.XLOOKUP(F161,$E$139:$AE$139,$E$140:$AE$140)))</f>
        <v>0</v>
      </c>
      <c r="H161" s="8" cm="1">
        <f t="array" ref="H161">IFERROR(INDEX($E$141:$AE$141,MATCH(F161,$E$139:$AE$139,0)),0)</f>
        <v>0</v>
      </c>
      <c r="I161" s="9">
        <f ca="1">IFERROR(_xlfn.XLOOKUP($F161,'FCDB 2017 (full)'!$C:$C,'FCDB 2017 (full)'!$E:$E),0)</f>
        <v>0</v>
      </c>
      <c r="J161" s="10">
        <f t="shared" ca="1" si="30"/>
        <v>0</v>
      </c>
      <c r="K161" s="9">
        <f ca="1">IFERROR(_xlfn.XLOOKUP($F161,'FCDB 2017 (full)'!$C:$C,'FCDB 2017 (full)'!$G:$G),0)</f>
        <v>0</v>
      </c>
      <c r="L161" s="13">
        <f t="shared" si="31"/>
        <v>0</v>
      </c>
      <c r="M161" s="13">
        <f t="shared" si="32"/>
        <v>0</v>
      </c>
      <c r="N161" s="9">
        <f ca="1">IFERROR(_xlfn.XLOOKUP($F161,'FCDB 2017 (full)'!$C:$C,'FCDB 2017 (full)'!$H:$H),0)</f>
        <v>0</v>
      </c>
      <c r="O161" s="14">
        <f t="shared" si="33"/>
        <v>0</v>
      </c>
      <c r="P161" s="14">
        <f t="shared" si="34"/>
        <v>0</v>
      </c>
      <c r="Q161" s="9">
        <f ca="1">IFERROR(_xlfn.XLOOKUP($F161,'FCDB 2017 (full)'!$C:$C,'FCDB 2017 (full)'!$I:$I),0)</f>
        <v>0</v>
      </c>
      <c r="R161" s="15">
        <f t="shared" ca="1" si="35"/>
        <v>0</v>
      </c>
      <c r="S161" s="16">
        <f ca="1">IFERROR(_xlfn.XLOOKUP($F161,'FCDB 2017 (full)'!$C:$C,'FCDB 2017 (full)'!$J:$J)*$H161/100,0)</f>
        <v>0</v>
      </c>
      <c r="T161" s="16">
        <f ca="1">IFERROR(_xlfn.XLOOKUP($F161,'FCDB 2017 (full)'!$C:$C,'FCDB 2017 (full)'!$K:$K)*$H161/100,0)</f>
        <v>0</v>
      </c>
      <c r="U161" s="16">
        <f ca="1">IFERROR(_xlfn.XLOOKUP($F161,'FCDB 2017 (full)'!$C:$C,'FCDB 2017 (full)'!$L:$L)*$H161/100,0)</f>
        <v>0</v>
      </c>
      <c r="V161" s="16">
        <f ca="1">IFERROR(_xlfn.XLOOKUP($F161,'FCDB 2017 (full)'!$C:$C,'FCDB 2017 (full)'!$M:$M)*$H161/100,0)</f>
        <v>0</v>
      </c>
      <c r="W161" s="16">
        <f ca="1">IFERROR(_xlfn.XLOOKUP($F161,'FCDB 2017 (full)'!$C:$C,'FCDB 2017 (full)'!$N:$N)*$H161/100,0)</f>
        <v>0</v>
      </c>
      <c r="X161" s="16">
        <f ca="1">IFERROR(_xlfn.XLOOKUP($F161,'FCDB 2017 (full)'!$C:$C,'FCDB 2017 (full)'!$O:$O)*$H161/100,0)</f>
        <v>0</v>
      </c>
      <c r="Y161" s="16">
        <f ca="1">IFERROR(_xlfn.XLOOKUP($F161,'FCDB 2017 (full)'!$C:$C,'FCDB 2017 (full)'!$P:$P)*$H161/100,0)</f>
        <v>0</v>
      </c>
      <c r="Z161" s="16">
        <f ca="1">IFERROR(_xlfn.XLOOKUP($F161,'FCDB 2017 (full)'!$C:$C,'FCDB 2017 (full)'!$Q:$Q)*$H161/100,0)</f>
        <v>0</v>
      </c>
      <c r="AA161" s="16">
        <f ca="1">IFERROR(_xlfn.XLOOKUP($F161,'FCDB 2017 (full)'!$C:$C,'FCDB 2017 (full)'!$R:$R)*$H161/100,0)</f>
        <v>0</v>
      </c>
      <c r="AB161" s="16">
        <f ca="1">IFERROR(_xlfn.XLOOKUP($F161,'FCDB 2017 (full)'!$C:$C,'FCDB 2017 (full)'!$S:$S)*$H161/100,0)</f>
        <v>0</v>
      </c>
      <c r="AC161" s="16">
        <f ca="1">IFERROR(_xlfn.XLOOKUP($F161,'FCDB 2017 (full)'!$C:$C,'FCDB 2017 (full)'!$T:$T)*$H161/100,0)</f>
        <v>0</v>
      </c>
      <c r="AD161" s="16">
        <f ca="1">IFERROR(_xlfn.XLOOKUP($F161,'FCDB 2017 (full)'!$C:$C,'FCDB 2017 (full)'!$U:$U)*$H161/100,0)</f>
        <v>0</v>
      </c>
      <c r="AE161" s="16">
        <f ca="1">IFERROR(_xlfn.XLOOKUP($F161,'FCDB 2017 (full)'!$C:$C,'FCDB 2017 (full)'!$V:$V)*$H161/100,0)</f>
        <v>0</v>
      </c>
      <c r="AF161" s="16">
        <f ca="1">IFERROR(_xlfn.XLOOKUP($F161,'FCDB 2017 (full)'!$C:$C,'FCDB 2017 (full)'!$W:$W)*$H161/100,0)</f>
        <v>0</v>
      </c>
      <c r="AG161" s="16">
        <f ca="1">IFERROR(_xlfn.XLOOKUP($F161,'FCDB 2017 (full)'!$C:$C,'FCDB 2017 (full)'!$X:$X)*$H161/100,0)</f>
        <v>0</v>
      </c>
      <c r="AH161" s="16">
        <f ca="1">IFERROR(_xlfn.XLOOKUP($F161,'FCDB 2017 (full)'!$C:$C,'FCDB 2017 (full)'!$Y:$Y)*$H161/100,0)</f>
        <v>0</v>
      </c>
      <c r="AI161" s="16">
        <f ca="1">IFERROR(_xlfn.XLOOKUP($F161,'FCDB 2017 (full)'!$C:$C,'FCDB 2017 (full)'!$Z:$Z)*$H161/100,0)</f>
        <v>0</v>
      </c>
      <c r="AJ161" s="16">
        <f ca="1">IFERROR(_xlfn.XLOOKUP($F161,'FCDB 2017 (full)'!$C:$C,'FCDB 2017 (full)'!$AA:$AA)*$H161/100,0)</f>
        <v>0</v>
      </c>
      <c r="AK161" s="16">
        <f ca="1">IFERROR(_xlfn.XLOOKUP($F161,'FCDB 2017 (full)'!$C:$C,'FCDB 2017 (full)'!$AB:$AB)*$H161/100,0)</f>
        <v>0</v>
      </c>
      <c r="AL161" s="16">
        <f ca="1">IFERROR(_xlfn.XLOOKUP($F161,'FCDB 2017 (full)'!$C:$C,'FCDB 2017 (full)'!$AC:$AC)*$H161/100,0)</f>
        <v>0</v>
      </c>
      <c r="AM161" s="16">
        <f ca="1">IFERROR(_xlfn.XLOOKUP($F161,'FCDB 2017 (full)'!$C:$C,'FCDB 2017 (full)'!$AD:$AD)*$H161/100,0)</f>
        <v>0</v>
      </c>
      <c r="AN161" s="16">
        <f ca="1">IFERROR(_xlfn.XLOOKUP($F161,'FCDB 2017 (full)'!$C:$C,'FCDB 2017 (full)'!$AE:$AE)*$H161/100,0)</f>
        <v>0</v>
      </c>
      <c r="AO161" s="16">
        <f ca="1">IFERROR(_xlfn.XLOOKUP($F161,'FCDB 2017 (full)'!$C:$C,'FCDB 2017 (full)'!$AF:$AF)*$H161/100,0)</f>
        <v>0</v>
      </c>
      <c r="AP161" s="16">
        <f ca="1">IFERROR(_xlfn.XLOOKUP($F161,'FCDB 2017 (full)'!$C:$C,'FCDB 2017 (full)'!$AG:$AG)*$H161/100,0)</f>
        <v>0</v>
      </c>
      <c r="AQ161" s="16">
        <f ca="1">IFERROR(_xlfn.XLOOKUP($F161,'FCDB 2017 (full)'!$C:$C,'FCDB 2017 (full)'!$AH:$AH)*$H161/100,0)</f>
        <v>0</v>
      </c>
      <c r="AR161" s="16">
        <f ca="1">IFERROR(_xlfn.XLOOKUP($F161,'FCDB 2017 (full)'!$C:$C,'FCDB 2017 (full)'!$AI:$AI)*$H161/100,0)</f>
        <v>0</v>
      </c>
      <c r="AS161" s="16">
        <f ca="1">IFERROR(_xlfn.XLOOKUP($F161,'FCDB 2017 (full)'!$C:$C,'FCDB 2017 (full)'!$AJ:$AJ)*$H161/100,0)</f>
        <v>0</v>
      </c>
      <c r="AT161" s="16">
        <f ca="1">IFERROR(_xlfn.XLOOKUP($F161,'FCDB 2017 (full)'!$C:$C,'FCDB 2017 (full)'!$AK:$AK)*$H161/100,0)</f>
        <v>0</v>
      </c>
      <c r="AU161" s="16">
        <f ca="1">IFERROR(_xlfn.XLOOKUP($F161,'FCDB 2017 (full)'!$C:$C,'FCDB 2017 (full)'!$AK:$AK)*$H161/100,0)</f>
        <v>0</v>
      </c>
      <c r="AV161" s="16">
        <f ca="1">IFERROR(_xlfn.XLOOKUP($F161,'FCDB 2017 (full)'!$C:$C,'FCDB 2017 (full)'!$AM:$AM)*$H161/100,0)</f>
        <v>0</v>
      </c>
      <c r="AW161" s="16">
        <f ca="1">IFERROR(_xlfn.XLOOKUP($F161,'FCDB 2017 (full)'!$C:$C,'FCDB 2017 (full)'!$AN:$AN)*$H161/100,0)</f>
        <v>0</v>
      </c>
      <c r="AX161" s="16">
        <f ca="1">IFERROR(_xlfn.XLOOKUP($F161,'FCDB 2017 (full)'!$C:$C,'FCDB 2017 (full)'!$AO:$AO)*$H161/100,0)</f>
        <v>0</v>
      </c>
      <c r="AY161" s="16">
        <f ca="1">IFERROR(_xlfn.XLOOKUP($F161,'FCDB 2017 (full)'!$C:$C,'FCDB 2017 (full)'!$AP:$AP)*$H161/100,0)</f>
        <v>0</v>
      </c>
      <c r="AZ161" s="16">
        <f ca="1">IFERROR(_xlfn.XLOOKUP($F161,'FCDB 2017 (full)'!$C:$C,'FCDB 2017 (full)'!$AQ:$AQ)*$H161/100,0)</f>
        <v>0</v>
      </c>
      <c r="BA161" s="16">
        <f ca="1">IFERROR(_xlfn.XLOOKUP($F161,'FCDB 2017 (full)'!$C:$C,'FCDB 2017 (full)'!$AR:$AR)*$H161/100,0)</f>
        <v>0</v>
      </c>
      <c r="BB161" s="16">
        <f ca="1">IFERROR(_xlfn.XLOOKUP($F161,'FCDB 2017 (full)'!$C:$C,'FCDB 2017 (full)'!$AS:$AS)*$H161/100,0)</f>
        <v>0</v>
      </c>
      <c r="BC161" s="16">
        <f ca="1">IFERROR(_xlfn.XLOOKUP($F161,'FCDB 2017 (full)'!$C:$C,'FCDB 2017 (full)'!$AT:$AT)*$H161/100,0)</f>
        <v>0</v>
      </c>
      <c r="BD161" s="16">
        <f ca="1">IFERROR(_xlfn.XLOOKUP($F161,'FCDB 2017 (full)'!$C:$C,'FCDB 2017 (full)'!$AU:$AU)*$H161/100,0)</f>
        <v>0</v>
      </c>
      <c r="BE161" s="16">
        <f ca="1">IFERROR(_xlfn.XLOOKUP($F161,'FCDB 2017 (full)'!$C:$C,'FCDB 2017 (full)'!$AV:$AV)*$H161/100,0)</f>
        <v>0</v>
      </c>
      <c r="BF161" s="16">
        <f ca="1">IFERROR(_xlfn.XLOOKUP($F161,'FCDB 2017 (full)'!$C:$C,'FCDB 2017 (full)'!$AW:$AW)*$H161/100,0)</f>
        <v>0</v>
      </c>
      <c r="BG161" s="16">
        <f ca="1">IFERROR(_xlfn.XLOOKUP($F161,'FCDB 2017 (full)'!$C:$C,'FCDB 2017 (full)'!$AX:$AX)*$H161/100,0)</f>
        <v>0</v>
      </c>
      <c r="BH161" s="16">
        <f ca="1">IFERROR(_xlfn.XLOOKUP($F161,'FCDB 2017 (full)'!$C:$C,'FCDB 2017 (full)'!$AY:$AY)*$H161/100,0)</f>
        <v>0</v>
      </c>
      <c r="BI161" s="16">
        <f ca="1">IFERROR(_xlfn.XLOOKUP($F161,'FCDB 2017 (full)'!$C:$C,'FCDB 2017 (full)'!$AZ:$AZ)*$H161/100,0)</f>
        <v>0</v>
      </c>
      <c r="BJ161" s="16">
        <f ca="1">IFERROR(_xlfn.XLOOKUP($F161,'FCDB 2017 (full)'!$C:$C,'FCDB 2017 (full)'!$BA:$BA)*$H161/100,0)</f>
        <v>0</v>
      </c>
      <c r="BK161" s="16">
        <f ca="1">IFERROR(_xlfn.XLOOKUP($F161,'FCDB 2017 (full)'!$C:$C,'FCDB 2017 (full)'!$BB:$BB)*$H161/100,0)</f>
        <v>0</v>
      </c>
      <c r="BL161" s="16">
        <f ca="1">IFERROR(_xlfn.XLOOKUP($F161,'FCDB 2017 (full)'!$C:$C,'FCDB 2017 (full)'!$BC:$BC)*$H161/100,0)</f>
        <v>0</v>
      </c>
      <c r="BM161" s="16">
        <f ca="1">IFERROR(_xlfn.XLOOKUP($F161,'FCDB 2017 (full)'!$C:$C,'FCDB 2017 (full)'!$BD:$BD)*$H161/100,0)</f>
        <v>0</v>
      </c>
      <c r="BN161" s="16">
        <f ca="1">IFERROR(_xlfn.XLOOKUP($F161,'FCDB 2017 (full)'!$C:$C,'FCDB 2017 (full)'!$BE:$BE)*$H161/100,0)</f>
        <v>0</v>
      </c>
      <c r="BO161" s="16">
        <f ca="1">IFERROR(_xlfn.XLOOKUP($F161,'FCDB 2017 (full)'!$C:$C,'FCDB 2017 (full)'!$BF:$BF)*$H161/100,0)</f>
        <v>0</v>
      </c>
      <c r="BP161" s="16">
        <f ca="1">IFERROR(_xlfn.XLOOKUP($F161,'FCDB 2017 (full)'!$C:$C,'FCDB 2017 (full)'!$BG:$BG)*$H161/100,0)</f>
        <v>0</v>
      </c>
      <c r="BQ161" s="16">
        <f ca="1">IFERROR(_xlfn.XLOOKUP($F161,'FCDB 2017 (full)'!$C:$C,'FCDB 2017 (full)'!$BH:$BH)*$H161/100,0)</f>
        <v>0</v>
      </c>
      <c r="BR161" s="16">
        <f ca="1">IFERROR(_xlfn.XLOOKUP($F161,'FCDB 2017 (full)'!$C:$C,'FCDB 2017 (full)'!$BI:$BI)*$H161/100,0)</f>
        <v>0</v>
      </c>
      <c r="BS161" s="16">
        <f ca="1">IFERROR(_xlfn.XLOOKUP($F161,'FCDB 2017 (full)'!$C:$C,'FCDB 2017 (full)'!$BJ:$BJ)*$H161/100,0)</f>
        <v>0</v>
      </c>
      <c r="BT161" s="16">
        <f ca="1">IFERROR(_xlfn.XLOOKUP($F161,'FCDB 2017 (full)'!$C:$C,'FCDB 2017 (full)'!$BK:$BK)*$H161/100,0)</f>
        <v>0</v>
      </c>
      <c r="BU161" s="16">
        <f ca="1">IFERROR(_xlfn.XLOOKUP($F161,'FCDB 2017 (full)'!$C:$C,'FCDB 2017 (full)'!$BL:$BL)*$H161/100,0)</f>
        <v>0</v>
      </c>
      <c r="BV161" s="16">
        <f ca="1">IFERROR(_xlfn.XLOOKUP($F161,'FCDB 2017 (full)'!$C:$C,'FCDB 2017 (full)'!$BM:$BM)*$H161/100,0)</f>
        <v>0</v>
      </c>
      <c r="BW161" s="16">
        <f ca="1">IFERROR(_xlfn.XLOOKUP($F161,'FCDB 2017 (full)'!$C:$C,'FCDB 2017 (full)'!$BN:$BN)*$H161/100,0)</f>
        <v>0</v>
      </c>
      <c r="BX161" s="16">
        <f ca="1">IFERROR(_xlfn.XLOOKUP($F161,'FCDB 2017 (full)'!$C:$C,'FCDB 2017 (full)'!$BO:$BO)*$H161/100,0)</f>
        <v>0</v>
      </c>
      <c r="BY161" s="16">
        <f ca="1">IFERROR(_xlfn.XLOOKUP($F161,'FCDB 2017 (full)'!$C:$C,'FCDB 2017 (full)'!$BP:$BP)*$H161/100,0)</f>
        <v>0</v>
      </c>
      <c r="BZ161" s="16">
        <f ca="1">IFERROR(_xlfn.XLOOKUP($F161,'FCDB 2017 (full)'!$C:$C,'FCDB 2017 (full)'!$BQ:$BQ)*$H161/100,0)</f>
        <v>0</v>
      </c>
      <c r="CA161" s="16">
        <f ca="1">IFERROR(_xlfn.XLOOKUP($F161,'FCDB 2017 (full)'!$C:$C,'FCDB 2017 (full)'!$BR:$BR)*$H161/100,0)</f>
        <v>0</v>
      </c>
      <c r="CB161" s="16">
        <f ca="1">IFERROR(_xlfn.XLOOKUP($F161,'FCDB 2017 (full)'!$C:$C,'FCDB 2017 (full)'!$BS:$BS)*$H161/100,0)</f>
        <v>0</v>
      </c>
      <c r="CC161" s="16">
        <f ca="1">IFERROR(_xlfn.XLOOKUP($F161,'FCDB 2017 (full)'!$C:$C,'FCDB 2017 (full)'!$BT:$BT)*$H161/100,0)</f>
        <v>0</v>
      </c>
      <c r="CD161" s="16">
        <f ca="1">IFERROR(_xlfn.XLOOKUP($F161,'FCDB 2017 (full)'!$C:$C,'FCDB 2017 (full)'!$BU:$BU)*$H161/100,0)</f>
        <v>0</v>
      </c>
      <c r="CE161" s="16">
        <f ca="1">IFERROR(_xlfn.XLOOKUP($F161,'FCDB 2017 (full)'!$C:$C,'FCDB 2017 (full)'!$BV:$BV)*$H161/100,0)</f>
        <v>0</v>
      </c>
      <c r="CF161" s="16">
        <f ca="1">IFERROR(_xlfn.XLOOKUP($F161,'FCDB 2017 (full)'!$C:$C,'FCDB 2017 (full)'!$BW:$BW)*$H161/100,0)</f>
        <v>0</v>
      </c>
      <c r="CG161" s="16">
        <f ca="1">IFERROR(_xlfn.XLOOKUP($F161,'FCDB 2017 (full)'!$C:$C,'FCDB 2017 (full)'!$BX:$BX)*$H161/100,0)</f>
        <v>0</v>
      </c>
      <c r="CH161" s="16">
        <f ca="1">IFERROR(_xlfn.XLOOKUP($F161,'FCDB 2017 (full)'!$C:$C,'FCDB 2017 (full)'!$BY:$BY)*$H161/100,0)</f>
        <v>0</v>
      </c>
      <c r="CI161" s="16">
        <f ca="1">IFERROR(_xlfn.XLOOKUP($F161,'FCDB 2017 (full)'!$C:$C,'FCDB 2017 (full)'!$BZ:$BZ)*$H161/100,0)</f>
        <v>0</v>
      </c>
      <c r="CJ161" s="16">
        <f ca="1">IFERROR(_xlfn.XLOOKUP($F161,'FCDB 2017 (full)'!$C:$C,'FCDB 2017 (full)'!$CA:$CA)*$H161/100,0)</f>
        <v>0</v>
      </c>
      <c r="CK161" s="16">
        <f ca="1">IFERROR(_xlfn.XLOOKUP($F161,'FCDB 2017 (full)'!$C:$C,'FCDB 2017 (full)'!$CB:$CB)*$H161/100,0)</f>
        <v>0</v>
      </c>
      <c r="CL161" s="16">
        <f ca="1">IFERROR(_xlfn.XLOOKUP($F161,'FCDB 2017 (full)'!$C:$C,'FCDB 2017 (full)'!$CC:$CC)*$H161/100,0)</f>
        <v>0</v>
      </c>
      <c r="CM161" s="16">
        <f ca="1">IFERROR(_xlfn.XLOOKUP($F161,'FCDB 2017 (full)'!$C:$C,'FCDB 2017 (full)'!$CD:$CD)*$H161/100,0)</f>
        <v>0</v>
      </c>
      <c r="CN161" s="16">
        <f ca="1">IFERROR(_xlfn.XLOOKUP($F161,'FCDB 2017 (full)'!$C:$C,'FCDB 2017 (full)'!$CE:$CE)*$H161/100,0)</f>
        <v>0</v>
      </c>
      <c r="CO161" s="16">
        <f ca="1">IFERROR(_xlfn.XLOOKUP($F161,'FCDB 2017 (full)'!$C:$C,'FCDB 2017 (full)'!$CF:$CF)*$H161/100,0)</f>
        <v>0</v>
      </c>
      <c r="CP161" s="16">
        <f ca="1">IFERROR(_xlfn.XLOOKUP($F161,'FCDB 2017 (full)'!$C:$C,'FCDB 2017 (full)'!$CG:$CG)*$H161/100,0)</f>
        <v>0</v>
      </c>
      <c r="CQ161" s="16">
        <f ca="1">IFERROR(_xlfn.XLOOKUP($F161,'FCDB 2017 (full)'!$C:$C,'FCDB 2017 (full)'!$CH:$CH)*$H161/100,0)</f>
        <v>0</v>
      </c>
      <c r="CR161" s="29"/>
      <c r="DA161" s="73" t="s">
        <v>985</v>
      </c>
    </row>
    <row r="162" spans="4:105">
      <c r="D162" s="29"/>
      <c r="E162" s="29"/>
      <c r="F162" s="11" t="str">
        <f>IFERROR(VLOOKUP($D$139,$D:$AE,22,0),0)</f>
        <v>Bơ thực vật</v>
      </c>
      <c r="G162" s="7" t="e" cm="1">
        <f t="array" aca="1" ref="G162" ca="1">IF(F162=0,0,IF(_xlfn.XLOOKUP(F162,$E$139:$AE$139,$E$140:$AE$140)=0,"Nhập ĐV/TV",_xlfn.XLOOKUP(F162,$E$139:$AE$139,$E$140:$AE$140)))</f>
        <v>#NAME?</v>
      </c>
      <c r="H162" s="8" cm="1">
        <f t="array" ref="H162">IFERROR(INDEX($E$141:$AE$141,MATCH(F162,$E$139:$AE$139,0)),0)</f>
        <v>3.7</v>
      </c>
      <c r="I162" s="9">
        <f ca="1">IFERROR(_xlfn.XLOOKUP($F162,'FCDB 2017 (full)'!$C:$C,'FCDB 2017 (full)'!$E:$E),0)</f>
        <v>0</v>
      </c>
      <c r="J162" s="10">
        <f t="shared" ca="1" si="30"/>
        <v>0</v>
      </c>
      <c r="K162" s="9">
        <f ca="1">IFERROR(_xlfn.XLOOKUP($F162,'FCDB 2017 (full)'!$C:$C,'FCDB 2017 (full)'!$G:$G),0)</f>
        <v>0</v>
      </c>
      <c r="L162" s="13" t="e">
        <f t="shared" ca="1" si="31"/>
        <v>#NAME?</v>
      </c>
      <c r="M162" s="13" t="e">
        <f t="shared" ca="1" si="32"/>
        <v>#NAME?</v>
      </c>
      <c r="N162" s="9">
        <f ca="1">IFERROR(_xlfn.XLOOKUP($F162,'FCDB 2017 (full)'!$C:$C,'FCDB 2017 (full)'!$H:$H),0)</f>
        <v>0</v>
      </c>
      <c r="O162" s="14" t="e">
        <f t="shared" ca="1" si="33"/>
        <v>#NAME?</v>
      </c>
      <c r="P162" s="14" t="e">
        <f t="shared" ca="1" si="34"/>
        <v>#NAME?</v>
      </c>
      <c r="Q162" s="9">
        <f ca="1">IFERROR(_xlfn.XLOOKUP($F162,'FCDB 2017 (full)'!$C:$C,'FCDB 2017 (full)'!$I:$I),0)</f>
        <v>0</v>
      </c>
      <c r="R162" s="15">
        <f t="shared" ca="1" si="35"/>
        <v>0</v>
      </c>
      <c r="S162" s="16">
        <f ca="1">IFERROR(_xlfn.XLOOKUP($F162,'FCDB 2017 (full)'!$C:$C,'FCDB 2017 (full)'!$J:$J)*$H162/100,0)</f>
        <v>0</v>
      </c>
      <c r="T162" s="16">
        <f ca="1">IFERROR(_xlfn.XLOOKUP($F162,'FCDB 2017 (full)'!$C:$C,'FCDB 2017 (full)'!$K:$K)*$H162/100,0)</f>
        <v>0</v>
      </c>
      <c r="U162" s="16">
        <f ca="1">IFERROR(_xlfn.XLOOKUP($F162,'FCDB 2017 (full)'!$C:$C,'FCDB 2017 (full)'!$L:$L)*$H162/100,0)</f>
        <v>0</v>
      </c>
      <c r="V162" s="16">
        <f ca="1">IFERROR(_xlfn.XLOOKUP($F162,'FCDB 2017 (full)'!$C:$C,'FCDB 2017 (full)'!$M:$M)*$H162/100,0)</f>
        <v>0</v>
      </c>
      <c r="W162" s="16">
        <f ca="1">IFERROR(_xlfn.XLOOKUP($F162,'FCDB 2017 (full)'!$C:$C,'FCDB 2017 (full)'!$N:$N)*$H162/100,0)</f>
        <v>0</v>
      </c>
      <c r="X162" s="16">
        <f ca="1">IFERROR(_xlfn.XLOOKUP($F162,'FCDB 2017 (full)'!$C:$C,'FCDB 2017 (full)'!$O:$O)*$H162/100,0)</f>
        <v>0</v>
      </c>
      <c r="Y162" s="16">
        <f ca="1">IFERROR(_xlfn.XLOOKUP($F162,'FCDB 2017 (full)'!$C:$C,'FCDB 2017 (full)'!$P:$P)*$H162/100,0)</f>
        <v>0</v>
      </c>
      <c r="Z162" s="16">
        <f ca="1">IFERROR(_xlfn.XLOOKUP($F162,'FCDB 2017 (full)'!$C:$C,'FCDB 2017 (full)'!$Q:$Q)*$H162/100,0)</f>
        <v>0</v>
      </c>
      <c r="AA162" s="16">
        <f ca="1">IFERROR(_xlfn.XLOOKUP($F162,'FCDB 2017 (full)'!$C:$C,'FCDB 2017 (full)'!$R:$R)*$H162/100,0)</f>
        <v>0</v>
      </c>
      <c r="AB162" s="16">
        <f ca="1">IFERROR(_xlfn.XLOOKUP($F162,'FCDB 2017 (full)'!$C:$C,'FCDB 2017 (full)'!$S:$S)*$H162/100,0)</f>
        <v>0</v>
      </c>
      <c r="AC162" s="16">
        <f ca="1">IFERROR(_xlfn.XLOOKUP($F162,'FCDB 2017 (full)'!$C:$C,'FCDB 2017 (full)'!$T:$T)*$H162/100,0)</f>
        <v>0</v>
      </c>
      <c r="AD162" s="16">
        <f ca="1">IFERROR(_xlfn.XLOOKUP($F162,'FCDB 2017 (full)'!$C:$C,'FCDB 2017 (full)'!$U:$U)*$H162/100,0)</f>
        <v>0</v>
      </c>
      <c r="AE162" s="16">
        <f ca="1">IFERROR(_xlfn.XLOOKUP($F162,'FCDB 2017 (full)'!$C:$C,'FCDB 2017 (full)'!$V:$V)*$H162/100,0)</f>
        <v>0</v>
      </c>
      <c r="AF162" s="16">
        <f ca="1">IFERROR(_xlfn.XLOOKUP($F162,'FCDB 2017 (full)'!$C:$C,'FCDB 2017 (full)'!$W:$W)*$H162/100,0)</f>
        <v>0</v>
      </c>
      <c r="AG162" s="16">
        <f ca="1">IFERROR(_xlfn.XLOOKUP($F162,'FCDB 2017 (full)'!$C:$C,'FCDB 2017 (full)'!$X:$X)*$H162/100,0)</f>
        <v>0</v>
      </c>
      <c r="AH162" s="16">
        <f ca="1">IFERROR(_xlfn.XLOOKUP($F162,'FCDB 2017 (full)'!$C:$C,'FCDB 2017 (full)'!$Y:$Y)*$H162/100,0)</f>
        <v>0</v>
      </c>
      <c r="AI162" s="16">
        <f ca="1">IFERROR(_xlfn.XLOOKUP($F162,'FCDB 2017 (full)'!$C:$C,'FCDB 2017 (full)'!$Z:$Z)*$H162/100,0)</f>
        <v>0</v>
      </c>
      <c r="AJ162" s="16">
        <f ca="1">IFERROR(_xlfn.XLOOKUP($F162,'FCDB 2017 (full)'!$C:$C,'FCDB 2017 (full)'!$AA:$AA)*$H162/100,0)</f>
        <v>0</v>
      </c>
      <c r="AK162" s="16">
        <f ca="1">IFERROR(_xlfn.XLOOKUP($F162,'FCDB 2017 (full)'!$C:$C,'FCDB 2017 (full)'!$AB:$AB)*$H162/100,0)</f>
        <v>0</v>
      </c>
      <c r="AL162" s="16">
        <f ca="1">IFERROR(_xlfn.XLOOKUP($F162,'FCDB 2017 (full)'!$C:$C,'FCDB 2017 (full)'!$AC:$AC)*$H162/100,0)</f>
        <v>0</v>
      </c>
      <c r="AM162" s="16">
        <f ca="1">IFERROR(_xlfn.XLOOKUP($F162,'FCDB 2017 (full)'!$C:$C,'FCDB 2017 (full)'!$AD:$AD)*$H162/100,0)</f>
        <v>0</v>
      </c>
      <c r="AN162" s="16">
        <f ca="1">IFERROR(_xlfn.XLOOKUP($F162,'FCDB 2017 (full)'!$C:$C,'FCDB 2017 (full)'!$AE:$AE)*$H162/100,0)</f>
        <v>0</v>
      </c>
      <c r="AO162" s="16">
        <f ca="1">IFERROR(_xlfn.XLOOKUP($F162,'FCDB 2017 (full)'!$C:$C,'FCDB 2017 (full)'!$AF:$AF)*$H162/100,0)</f>
        <v>0</v>
      </c>
      <c r="AP162" s="16">
        <f ca="1">IFERROR(_xlfn.XLOOKUP($F162,'FCDB 2017 (full)'!$C:$C,'FCDB 2017 (full)'!$AG:$AG)*$H162/100,0)</f>
        <v>0</v>
      </c>
      <c r="AQ162" s="16">
        <f ca="1">IFERROR(_xlfn.XLOOKUP($F162,'FCDB 2017 (full)'!$C:$C,'FCDB 2017 (full)'!$AH:$AH)*$H162/100,0)</f>
        <v>0</v>
      </c>
      <c r="AR162" s="16">
        <f ca="1">IFERROR(_xlfn.XLOOKUP($F162,'FCDB 2017 (full)'!$C:$C,'FCDB 2017 (full)'!$AI:$AI)*$H162/100,0)</f>
        <v>0</v>
      </c>
      <c r="AS162" s="16">
        <f ca="1">IFERROR(_xlfn.XLOOKUP($F162,'FCDB 2017 (full)'!$C:$C,'FCDB 2017 (full)'!$AJ:$AJ)*$H162/100,0)</f>
        <v>0</v>
      </c>
      <c r="AT162" s="16">
        <f ca="1">IFERROR(_xlfn.XLOOKUP($F162,'FCDB 2017 (full)'!$C:$C,'FCDB 2017 (full)'!$AK:$AK)*$H162/100,0)</f>
        <v>0</v>
      </c>
      <c r="AU162" s="16">
        <f ca="1">IFERROR(_xlfn.XLOOKUP($F162,'FCDB 2017 (full)'!$C:$C,'FCDB 2017 (full)'!$AK:$AK)*$H162/100,0)</f>
        <v>0</v>
      </c>
      <c r="AV162" s="16">
        <f ca="1">IFERROR(_xlfn.XLOOKUP($F162,'FCDB 2017 (full)'!$C:$C,'FCDB 2017 (full)'!$AM:$AM)*$H162/100,0)</f>
        <v>0</v>
      </c>
      <c r="AW162" s="16">
        <f ca="1">IFERROR(_xlfn.XLOOKUP($F162,'FCDB 2017 (full)'!$C:$C,'FCDB 2017 (full)'!$AN:$AN)*$H162/100,0)</f>
        <v>0</v>
      </c>
      <c r="AX162" s="16">
        <f ca="1">IFERROR(_xlfn.XLOOKUP($F162,'FCDB 2017 (full)'!$C:$C,'FCDB 2017 (full)'!$AO:$AO)*$H162/100,0)</f>
        <v>0</v>
      </c>
      <c r="AY162" s="16">
        <f ca="1">IFERROR(_xlfn.XLOOKUP($F162,'FCDB 2017 (full)'!$C:$C,'FCDB 2017 (full)'!$AP:$AP)*$H162/100,0)</f>
        <v>0</v>
      </c>
      <c r="AZ162" s="16">
        <f ca="1">IFERROR(_xlfn.XLOOKUP($F162,'FCDB 2017 (full)'!$C:$C,'FCDB 2017 (full)'!$AQ:$AQ)*$H162/100,0)</f>
        <v>0</v>
      </c>
      <c r="BA162" s="16">
        <f ca="1">IFERROR(_xlfn.XLOOKUP($F162,'FCDB 2017 (full)'!$C:$C,'FCDB 2017 (full)'!$AR:$AR)*$H162/100,0)</f>
        <v>0</v>
      </c>
      <c r="BB162" s="16">
        <f ca="1">IFERROR(_xlfn.XLOOKUP($F162,'FCDB 2017 (full)'!$C:$C,'FCDB 2017 (full)'!$AS:$AS)*$H162/100,0)</f>
        <v>0</v>
      </c>
      <c r="BC162" s="16">
        <f ca="1">IFERROR(_xlfn.XLOOKUP($F162,'FCDB 2017 (full)'!$C:$C,'FCDB 2017 (full)'!$AT:$AT)*$H162/100,0)</f>
        <v>0</v>
      </c>
      <c r="BD162" s="16">
        <f ca="1">IFERROR(_xlfn.XLOOKUP($F162,'FCDB 2017 (full)'!$C:$C,'FCDB 2017 (full)'!$AU:$AU)*$H162/100,0)</f>
        <v>0</v>
      </c>
      <c r="BE162" s="16">
        <f ca="1">IFERROR(_xlfn.XLOOKUP($F162,'FCDB 2017 (full)'!$C:$C,'FCDB 2017 (full)'!$AV:$AV)*$H162/100,0)</f>
        <v>0</v>
      </c>
      <c r="BF162" s="16">
        <f ca="1">IFERROR(_xlfn.XLOOKUP($F162,'FCDB 2017 (full)'!$C:$C,'FCDB 2017 (full)'!$AW:$AW)*$H162/100,0)</f>
        <v>0</v>
      </c>
      <c r="BG162" s="16">
        <f ca="1">IFERROR(_xlfn.XLOOKUP($F162,'FCDB 2017 (full)'!$C:$C,'FCDB 2017 (full)'!$AX:$AX)*$H162/100,0)</f>
        <v>0</v>
      </c>
      <c r="BH162" s="16">
        <f ca="1">IFERROR(_xlfn.XLOOKUP($F162,'FCDB 2017 (full)'!$C:$C,'FCDB 2017 (full)'!$AY:$AY)*$H162/100,0)</f>
        <v>0</v>
      </c>
      <c r="BI162" s="16">
        <f ca="1">IFERROR(_xlfn.XLOOKUP($F162,'FCDB 2017 (full)'!$C:$C,'FCDB 2017 (full)'!$AZ:$AZ)*$H162/100,0)</f>
        <v>0</v>
      </c>
      <c r="BJ162" s="16">
        <f ca="1">IFERROR(_xlfn.XLOOKUP($F162,'FCDB 2017 (full)'!$C:$C,'FCDB 2017 (full)'!$BA:$BA)*$H162/100,0)</f>
        <v>0</v>
      </c>
      <c r="BK162" s="16">
        <f ca="1">IFERROR(_xlfn.XLOOKUP($F162,'FCDB 2017 (full)'!$C:$C,'FCDB 2017 (full)'!$BB:$BB)*$H162/100,0)</f>
        <v>0</v>
      </c>
      <c r="BL162" s="16">
        <f ca="1">IFERROR(_xlfn.XLOOKUP($F162,'FCDB 2017 (full)'!$C:$C,'FCDB 2017 (full)'!$BC:$BC)*$H162/100,0)</f>
        <v>0</v>
      </c>
      <c r="BM162" s="16">
        <f ca="1">IFERROR(_xlfn.XLOOKUP($F162,'FCDB 2017 (full)'!$C:$C,'FCDB 2017 (full)'!$BD:$BD)*$H162/100,0)</f>
        <v>0</v>
      </c>
      <c r="BN162" s="16">
        <f ca="1">IFERROR(_xlfn.XLOOKUP($F162,'FCDB 2017 (full)'!$C:$C,'FCDB 2017 (full)'!$BE:$BE)*$H162/100,0)</f>
        <v>0</v>
      </c>
      <c r="BO162" s="16">
        <f ca="1">IFERROR(_xlfn.XLOOKUP($F162,'FCDB 2017 (full)'!$C:$C,'FCDB 2017 (full)'!$BF:$BF)*$H162/100,0)</f>
        <v>0</v>
      </c>
      <c r="BP162" s="16">
        <f ca="1">IFERROR(_xlfn.XLOOKUP($F162,'FCDB 2017 (full)'!$C:$C,'FCDB 2017 (full)'!$BG:$BG)*$H162/100,0)</f>
        <v>0</v>
      </c>
      <c r="BQ162" s="16">
        <f ca="1">IFERROR(_xlfn.XLOOKUP($F162,'FCDB 2017 (full)'!$C:$C,'FCDB 2017 (full)'!$BH:$BH)*$H162/100,0)</f>
        <v>0</v>
      </c>
      <c r="BR162" s="16">
        <f ca="1">IFERROR(_xlfn.XLOOKUP($F162,'FCDB 2017 (full)'!$C:$C,'FCDB 2017 (full)'!$BI:$BI)*$H162/100,0)</f>
        <v>0</v>
      </c>
      <c r="BS162" s="16">
        <f ca="1">IFERROR(_xlfn.XLOOKUP($F162,'FCDB 2017 (full)'!$C:$C,'FCDB 2017 (full)'!$BJ:$BJ)*$H162/100,0)</f>
        <v>0</v>
      </c>
      <c r="BT162" s="16">
        <f ca="1">IFERROR(_xlfn.XLOOKUP($F162,'FCDB 2017 (full)'!$C:$C,'FCDB 2017 (full)'!$BK:$BK)*$H162/100,0)</f>
        <v>0</v>
      </c>
      <c r="BU162" s="16">
        <f ca="1">IFERROR(_xlfn.XLOOKUP($F162,'FCDB 2017 (full)'!$C:$C,'FCDB 2017 (full)'!$BL:$BL)*$H162/100,0)</f>
        <v>0</v>
      </c>
      <c r="BV162" s="16">
        <f ca="1">IFERROR(_xlfn.XLOOKUP($F162,'FCDB 2017 (full)'!$C:$C,'FCDB 2017 (full)'!$BM:$BM)*$H162/100,0)</f>
        <v>0</v>
      </c>
      <c r="BW162" s="16">
        <f ca="1">IFERROR(_xlfn.XLOOKUP($F162,'FCDB 2017 (full)'!$C:$C,'FCDB 2017 (full)'!$BN:$BN)*$H162/100,0)</f>
        <v>0</v>
      </c>
      <c r="BX162" s="16">
        <f ca="1">IFERROR(_xlfn.XLOOKUP($F162,'FCDB 2017 (full)'!$C:$C,'FCDB 2017 (full)'!$BO:$BO)*$H162/100,0)</f>
        <v>0</v>
      </c>
      <c r="BY162" s="16">
        <f ca="1">IFERROR(_xlfn.XLOOKUP($F162,'FCDB 2017 (full)'!$C:$C,'FCDB 2017 (full)'!$BP:$BP)*$H162/100,0)</f>
        <v>0</v>
      </c>
      <c r="BZ162" s="16">
        <f ca="1">IFERROR(_xlfn.XLOOKUP($F162,'FCDB 2017 (full)'!$C:$C,'FCDB 2017 (full)'!$BQ:$BQ)*$H162/100,0)</f>
        <v>0</v>
      </c>
      <c r="CA162" s="16">
        <f ca="1">IFERROR(_xlfn.XLOOKUP($F162,'FCDB 2017 (full)'!$C:$C,'FCDB 2017 (full)'!$BR:$BR)*$H162/100,0)</f>
        <v>0</v>
      </c>
      <c r="CB162" s="16">
        <f ca="1">IFERROR(_xlfn.XLOOKUP($F162,'FCDB 2017 (full)'!$C:$C,'FCDB 2017 (full)'!$BS:$BS)*$H162/100,0)</f>
        <v>0</v>
      </c>
      <c r="CC162" s="16">
        <f ca="1">IFERROR(_xlfn.XLOOKUP($F162,'FCDB 2017 (full)'!$C:$C,'FCDB 2017 (full)'!$BT:$BT)*$H162/100,0)</f>
        <v>0</v>
      </c>
      <c r="CD162" s="16">
        <f ca="1">IFERROR(_xlfn.XLOOKUP($F162,'FCDB 2017 (full)'!$C:$C,'FCDB 2017 (full)'!$BU:$BU)*$H162/100,0)</f>
        <v>0</v>
      </c>
      <c r="CE162" s="16">
        <f ca="1">IFERROR(_xlfn.XLOOKUP($F162,'FCDB 2017 (full)'!$C:$C,'FCDB 2017 (full)'!$BV:$BV)*$H162/100,0)</f>
        <v>0</v>
      </c>
      <c r="CF162" s="16">
        <f ca="1">IFERROR(_xlfn.XLOOKUP($F162,'FCDB 2017 (full)'!$C:$C,'FCDB 2017 (full)'!$BW:$BW)*$H162/100,0)</f>
        <v>0</v>
      </c>
      <c r="CG162" s="16">
        <f ca="1">IFERROR(_xlfn.XLOOKUP($F162,'FCDB 2017 (full)'!$C:$C,'FCDB 2017 (full)'!$BX:$BX)*$H162/100,0)</f>
        <v>0</v>
      </c>
      <c r="CH162" s="16">
        <f ca="1">IFERROR(_xlfn.XLOOKUP($F162,'FCDB 2017 (full)'!$C:$C,'FCDB 2017 (full)'!$BY:$BY)*$H162/100,0)</f>
        <v>0</v>
      </c>
      <c r="CI162" s="16">
        <f ca="1">IFERROR(_xlfn.XLOOKUP($F162,'FCDB 2017 (full)'!$C:$C,'FCDB 2017 (full)'!$BZ:$BZ)*$H162/100,0)</f>
        <v>0</v>
      </c>
      <c r="CJ162" s="16">
        <f ca="1">IFERROR(_xlfn.XLOOKUP($F162,'FCDB 2017 (full)'!$C:$C,'FCDB 2017 (full)'!$CA:$CA)*$H162/100,0)</f>
        <v>0</v>
      </c>
      <c r="CK162" s="16">
        <f ca="1">IFERROR(_xlfn.XLOOKUP($F162,'FCDB 2017 (full)'!$C:$C,'FCDB 2017 (full)'!$CB:$CB)*$H162/100,0)</f>
        <v>0</v>
      </c>
      <c r="CL162" s="16">
        <f ca="1">IFERROR(_xlfn.XLOOKUP($F162,'FCDB 2017 (full)'!$C:$C,'FCDB 2017 (full)'!$CC:$CC)*$H162/100,0)</f>
        <v>0</v>
      </c>
      <c r="CM162" s="16">
        <f ca="1">IFERROR(_xlfn.XLOOKUP($F162,'FCDB 2017 (full)'!$C:$C,'FCDB 2017 (full)'!$CD:$CD)*$H162/100,0)</f>
        <v>0</v>
      </c>
      <c r="CN162" s="16">
        <f ca="1">IFERROR(_xlfn.XLOOKUP($F162,'FCDB 2017 (full)'!$C:$C,'FCDB 2017 (full)'!$CE:$CE)*$H162/100,0)</f>
        <v>0</v>
      </c>
      <c r="CO162" s="16">
        <f ca="1">IFERROR(_xlfn.XLOOKUP($F162,'FCDB 2017 (full)'!$C:$C,'FCDB 2017 (full)'!$CF:$CF)*$H162/100,0)</f>
        <v>0</v>
      </c>
      <c r="CP162" s="16">
        <f ca="1">IFERROR(_xlfn.XLOOKUP($F162,'FCDB 2017 (full)'!$C:$C,'FCDB 2017 (full)'!$CG:$CG)*$H162/100,0)</f>
        <v>0</v>
      </c>
      <c r="CQ162" s="16">
        <f ca="1">IFERROR(_xlfn.XLOOKUP($F162,'FCDB 2017 (full)'!$C:$C,'FCDB 2017 (full)'!$CH:$CH)*$H162/100,0)</f>
        <v>0</v>
      </c>
      <c r="CR162" s="29"/>
      <c r="DA162" s="73" t="s">
        <v>985</v>
      </c>
    </row>
    <row r="163" spans="4:105">
      <c r="D163" s="29"/>
      <c r="E163" s="29"/>
      <c r="F163" s="11">
        <f>IFERROR(VLOOKUP($D$139,$D:$AE,23,0),0)</f>
        <v>0</v>
      </c>
      <c r="G163" s="7" cm="1">
        <f t="array" ref="G163">IF(F163=0,0,IF(_xlfn.XLOOKUP(F163,$E$139:$AE$139,$E$140:$AE$140)=0,"Nhập ĐV/TV",_xlfn.XLOOKUP(F163,$E$139:$AE$139,$E$140:$AE$140)))</f>
        <v>0</v>
      </c>
      <c r="H163" s="8" cm="1">
        <f t="array" ref="H163">IFERROR(INDEX($E$141:$AE$141,MATCH(F163,$E$139:$AE$139,0)),0)</f>
        <v>0</v>
      </c>
      <c r="I163" s="9">
        <f ca="1">IFERROR(_xlfn.XLOOKUP($F163,'FCDB 2017 (full)'!$C:$C,'FCDB 2017 (full)'!$E:$E),0)</f>
        <v>0</v>
      </c>
      <c r="J163" s="10">
        <f t="shared" ca="1" si="30"/>
        <v>0</v>
      </c>
      <c r="K163" s="9">
        <f ca="1">IFERROR(_xlfn.XLOOKUP($F163,'FCDB 2017 (full)'!$C:$C,'FCDB 2017 (full)'!$G:$G),0)</f>
        <v>0</v>
      </c>
      <c r="L163" s="13">
        <f t="shared" si="31"/>
        <v>0</v>
      </c>
      <c r="M163" s="13">
        <f t="shared" si="32"/>
        <v>0</v>
      </c>
      <c r="N163" s="9">
        <f ca="1">IFERROR(_xlfn.XLOOKUP($F163,'FCDB 2017 (full)'!$C:$C,'FCDB 2017 (full)'!$H:$H),0)</f>
        <v>0</v>
      </c>
      <c r="O163" s="14">
        <f t="shared" si="33"/>
        <v>0</v>
      </c>
      <c r="P163" s="14">
        <f t="shared" si="34"/>
        <v>0</v>
      </c>
      <c r="Q163" s="9">
        <f ca="1">IFERROR(_xlfn.XLOOKUP($F163,'FCDB 2017 (full)'!$C:$C,'FCDB 2017 (full)'!$I:$I),0)</f>
        <v>0</v>
      </c>
      <c r="R163" s="15">
        <f t="shared" ca="1" si="35"/>
        <v>0</v>
      </c>
      <c r="S163" s="16">
        <f ca="1">IFERROR(_xlfn.XLOOKUP($F163,'FCDB 2017 (full)'!$C:$C,'FCDB 2017 (full)'!$J:$J)*$H163/100,0)</f>
        <v>0</v>
      </c>
      <c r="T163" s="16">
        <f ca="1">IFERROR(_xlfn.XLOOKUP($F163,'FCDB 2017 (full)'!$C:$C,'FCDB 2017 (full)'!$K:$K)*$H163/100,0)</f>
        <v>0</v>
      </c>
      <c r="U163" s="16">
        <f ca="1">IFERROR(_xlfn.XLOOKUP($F163,'FCDB 2017 (full)'!$C:$C,'FCDB 2017 (full)'!$L:$L)*$H163/100,0)</f>
        <v>0</v>
      </c>
      <c r="V163" s="16">
        <f ca="1">IFERROR(_xlfn.XLOOKUP($F163,'FCDB 2017 (full)'!$C:$C,'FCDB 2017 (full)'!$M:$M)*$H163/100,0)</f>
        <v>0</v>
      </c>
      <c r="W163" s="16">
        <f ca="1">IFERROR(_xlfn.XLOOKUP($F163,'FCDB 2017 (full)'!$C:$C,'FCDB 2017 (full)'!$N:$N)*$H163/100,0)</f>
        <v>0</v>
      </c>
      <c r="X163" s="16">
        <f ca="1">IFERROR(_xlfn.XLOOKUP($F163,'FCDB 2017 (full)'!$C:$C,'FCDB 2017 (full)'!$O:$O)*$H163/100,0)</f>
        <v>0</v>
      </c>
      <c r="Y163" s="16">
        <f ca="1">IFERROR(_xlfn.XLOOKUP($F163,'FCDB 2017 (full)'!$C:$C,'FCDB 2017 (full)'!$P:$P)*$H163/100,0)</f>
        <v>0</v>
      </c>
      <c r="Z163" s="16">
        <f ca="1">IFERROR(_xlfn.XLOOKUP($F163,'FCDB 2017 (full)'!$C:$C,'FCDB 2017 (full)'!$Q:$Q)*$H163/100,0)</f>
        <v>0</v>
      </c>
      <c r="AA163" s="16">
        <f ca="1">IFERROR(_xlfn.XLOOKUP($F163,'FCDB 2017 (full)'!$C:$C,'FCDB 2017 (full)'!$R:$R)*$H163/100,0)</f>
        <v>0</v>
      </c>
      <c r="AB163" s="16">
        <f ca="1">IFERROR(_xlfn.XLOOKUP($F163,'FCDB 2017 (full)'!$C:$C,'FCDB 2017 (full)'!$S:$S)*$H163/100,0)</f>
        <v>0</v>
      </c>
      <c r="AC163" s="16">
        <f ca="1">IFERROR(_xlfn.XLOOKUP($F163,'FCDB 2017 (full)'!$C:$C,'FCDB 2017 (full)'!$T:$T)*$H163/100,0)</f>
        <v>0</v>
      </c>
      <c r="AD163" s="16">
        <f ca="1">IFERROR(_xlfn.XLOOKUP($F163,'FCDB 2017 (full)'!$C:$C,'FCDB 2017 (full)'!$U:$U)*$H163/100,0)</f>
        <v>0</v>
      </c>
      <c r="AE163" s="16">
        <f ca="1">IFERROR(_xlfn.XLOOKUP($F163,'FCDB 2017 (full)'!$C:$C,'FCDB 2017 (full)'!$V:$V)*$H163/100,0)</f>
        <v>0</v>
      </c>
      <c r="AF163" s="16">
        <f ca="1">IFERROR(_xlfn.XLOOKUP($F163,'FCDB 2017 (full)'!$C:$C,'FCDB 2017 (full)'!$W:$W)*$H163/100,0)</f>
        <v>0</v>
      </c>
      <c r="AG163" s="16">
        <f ca="1">IFERROR(_xlfn.XLOOKUP($F163,'FCDB 2017 (full)'!$C:$C,'FCDB 2017 (full)'!$X:$X)*$H163/100,0)</f>
        <v>0</v>
      </c>
      <c r="AH163" s="16">
        <f ca="1">IFERROR(_xlfn.XLOOKUP($F163,'FCDB 2017 (full)'!$C:$C,'FCDB 2017 (full)'!$Y:$Y)*$H163/100,0)</f>
        <v>0</v>
      </c>
      <c r="AI163" s="16">
        <f ca="1">IFERROR(_xlfn.XLOOKUP($F163,'FCDB 2017 (full)'!$C:$C,'FCDB 2017 (full)'!$Z:$Z)*$H163/100,0)</f>
        <v>0</v>
      </c>
      <c r="AJ163" s="16">
        <f ca="1">IFERROR(_xlfn.XLOOKUP($F163,'FCDB 2017 (full)'!$C:$C,'FCDB 2017 (full)'!$AA:$AA)*$H163/100,0)</f>
        <v>0</v>
      </c>
      <c r="AK163" s="16">
        <f ca="1">IFERROR(_xlfn.XLOOKUP($F163,'FCDB 2017 (full)'!$C:$C,'FCDB 2017 (full)'!$AB:$AB)*$H163/100,0)</f>
        <v>0</v>
      </c>
      <c r="AL163" s="16">
        <f ca="1">IFERROR(_xlfn.XLOOKUP($F163,'FCDB 2017 (full)'!$C:$C,'FCDB 2017 (full)'!$AC:$AC)*$H163/100,0)</f>
        <v>0</v>
      </c>
      <c r="AM163" s="16">
        <f ca="1">IFERROR(_xlfn.XLOOKUP($F163,'FCDB 2017 (full)'!$C:$C,'FCDB 2017 (full)'!$AD:$AD)*$H163/100,0)</f>
        <v>0</v>
      </c>
      <c r="AN163" s="16">
        <f ca="1">IFERROR(_xlfn.XLOOKUP($F163,'FCDB 2017 (full)'!$C:$C,'FCDB 2017 (full)'!$AE:$AE)*$H163/100,0)</f>
        <v>0</v>
      </c>
      <c r="AO163" s="16">
        <f ca="1">IFERROR(_xlfn.XLOOKUP($F163,'FCDB 2017 (full)'!$C:$C,'FCDB 2017 (full)'!$AF:$AF)*$H163/100,0)</f>
        <v>0</v>
      </c>
      <c r="AP163" s="16">
        <f ca="1">IFERROR(_xlfn.XLOOKUP($F163,'FCDB 2017 (full)'!$C:$C,'FCDB 2017 (full)'!$AG:$AG)*$H163/100,0)</f>
        <v>0</v>
      </c>
      <c r="AQ163" s="16">
        <f ca="1">IFERROR(_xlfn.XLOOKUP($F163,'FCDB 2017 (full)'!$C:$C,'FCDB 2017 (full)'!$AH:$AH)*$H163/100,0)</f>
        <v>0</v>
      </c>
      <c r="AR163" s="16">
        <f ca="1">IFERROR(_xlfn.XLOOKUP($F163,'FCDB 2017 (full)'!$C:$C,'FCDB 2017 (full)'!$AI:$AI)*$H163/100,0)</f>
        <v>0</v>
      </c>
      <c r="AS163" s="16">
        <f ca="1">IFERROR(_xlfn.XLOOKUP($F163,'FCDB 2017 (full)'!$C:$C,'FCDB 2017 (full)'!$AJ:$AJ)*$H163/100,0)</f>
        <v>0</v>
      </c>
      <c r="AT163" s="16">
        <f ca="1">IFERROR(_xlfn.XLOOKUP($F163,'FCDB 2017 (full)'!$C:$C,'FCDB 2017 (full)'!$AK:$AK)*$H163/100,0)</f>
        <v>0</v>
      </c>
      <c r="AU163" s="16">
        <f ca="1">IFERROR(_xlfn.XLOOKUP($F163,'FCDB 2017 (full)'!$C:$C,'FCDB 2017 (full)'!$AK:$AK)*$H163/100,0)</f>
        <v>0</v>
      </c>
      <c r="AV163" s="16">
        <f ca="1">IFERROR(_xlfn.XLOOKUP($F163,'FCDB 2017 (full)'!$C:$C,'FCDB 2017 (full)'!$AM:$AM)*$H163/100,0)</f>
        <v>0</v>
      </c>
      <c r="AW163" s="16">
        <f ca="1">IFERROR(_xlfn.XLOOKUP($F163,'FCDB 2017 (full)'!$C:$C,'FCDB 2017 (full)'!$AN:$AN)*$H163/100,0)</f>
        <v>0</v>
      </c>
      <c r="AX163" s="16">
        <f ca="1">IFERROR(_xlfn.XLOOKUP($F163,'FCDB 2017 (full)'!$C:$C,'FCDB 2017 (full)'!$AO:$AO)*$H163/100,0)</f>
        <v>0</v>
      </c>
      <c r="AY163" s="16">
        <f ca="1">IFERROR(_xlfn.XLOOKUP($F163,'FCDB 2017 (full)'!$C:$C,'FCDB 2017 (full)'!$AP:$AP)*$H163/100,0)</f>
        <v>0</v>
      </c>
      <c r="AZ163" s="16">
        <f ca="1">IFERROR(_xlfn.XLOOKUP($F163,'FCDB 2017 (full)'!$C:$C,'FCDB 2017 (full)'!$AQ:$AQ)*$H163/100,0)</f>
        <v>0</v>
      </c>
      <c r="BA163" s="16">
        <f ca="1">IFERROR(_xlfn.XLOOKUP($F163,'FCDB 2017 (full)'!$C:$C,'FCDB 2017 (full)'!$AR:$AR)*$H163/100,0)</f>
        <v>0</v>
      </c>
      <c r="BB163" s="16">
        <f ca="1">IFERROR(_xlfn.XLOOKUP($F163,'FCDB 2017 (full)'!$C:$C,'FCDB 2017 (full)'!$AS:$AS)*$H163/100,0)</f>
        <v>0</v>
      </c>
      <c r="BC163" s="16">
        <f ca="1">IFERROR(_xlfn.XLOOKUP($F163,'FCDB 2017 (full)'!$C:$C,'FCDB 2017 (full)'!$AT:$AT)*$H163/100,0)</f>
        <v>0</v>
      </c>
      <c r="BD163" s="16">
        <f ca="1">IFERROR(_xlfn.XLOOKUP($F163,'FCDB 2017 (full)'!$C:$C,'FCDB 2017 (full)'!$AU:$AU)*$H163/100,0)</f>
        <v>0</v>
      </c>
      <c r="BE163" s="16">
        <f ca="1">IFERROR(_xlfn.XLOOKUP($F163,'FCDB 2017 (full)'!$C:$C,'FCDB 2017 (full)'!$AV:$AV)*$H163/100,0)</f>
        <v>0</v>
      </c>
      <c r="BF163" s="16">
        <f ca="1">IFERROR(_xlfn.XLOOKUP($F163,'FCDB 2017 (full)'!$C:$C,'FCDB 2017 (full)'!$AW:$AW)*$H163/100,0)</f>
        <v>0</v>
      </c>
      <c r="BG163" s="16">
        <f ca="1">IFERROR(_xlfn.XLOOKUP($F163,'FCDB 2017 (full)'!$C:$C,'FCDB 2017 (full)'!$AX:$AX)*$H163/100,0)</f>
        <v>0</v>
      </c>
      <c r="BH163" s="16">
        <f ca="1">IFERROR(_xlfn.XLOOKUP($F163,'FCDB 2017 (full)'!$C:$C,'FCDB 2017 (full)'!$AY:$AY)*$H163/100,0)</f>
        <v>0</v>
      </c>
      <c r="BI163" s="16">
        <f ca="1">IFERROR(_xlfn.XLOOKUP($F163,'FCDB 2017 (full)'!$C:$C,'FCDB 2017 (full)'!$AZ:$AZ)*$H163/100,0)</f>
        <v>0</v>
      </c>
      <c r="BJ163" s="16">
        <f ca="1">IFERROR(_xlfn.XLOOKUP($F163,'FCDB 2017 (full)'!$C:$C,'FCDB 2017 (full)'!$BA:$BA)*$H163/100,0)</f>
        <v>0</v>
      </c>
      <c r="BK163" s="16">
        <f ca="1">IFERROR(_xlfn.XLOOKUP($F163,'FCDB 2017 (full)'!$C:$C,'FCDB 2017 (full)'!$BB:$BB)*$H163/100,0)</f>
        <v>0</v>
      </c>
      <c r="BL163" s="16">
        <f ca="1">IFERROR(_xlfn.XLOOKUP($F163,'FCDB 2017 (full)'!$C:$C,'FCDB 2017 (full)'!$BC:$BC)*$H163/100,0)</f>
        <v>0</v>
      </c>
      <c r="BM163" s="16">
        <f ca="1">IFERROR(_xlfn.XLOOKUP($F163,'FCDB 2017 (full)'!$C:$C,'FCDB 2017 (full)'!$BD:$BD)*$H163/100,0)</f>
        <v>0</v>
      </c>
      <c r="BN163" s="16">
        <f ca="1">IFERROR(_xlfn.XLOOKUP($F163,'FCDB 2017 (full)'!$C:$C,'FCDB 2017 (full)'!$BE:$BE)*$H163/100,0)</f>
        <v>0</v>
      </c>
      <c r="BO163" s="16">
        <f ca="1">IFERROR(_xlfn.XLOOKUP($F163,'FCDB 2017 (full)'!$C:$C,'FCDB 2017 (full)'!$BF:$BF)*$H163/100,0)</f>
        <v>0</v>
      </c>
      <c r="BP163" s="16">
        <f ca="1">IFERROR(_xlfn.XLOOKUP($F163,'FCDB 2017 (full)'!$C:$C,'FCDB 2017 (full)'!$BG:$BG)*$H163/100,0)</f>
        <v>0</v>
      </c>
      <c r="BQ163" s="16">
        <f ca="1">IFERROR(_xlfn.XLOOKUP($F163,'FCDB 2017 (full)'!$C:$C,'FCDB 2017 (full)'!$BH:$BH)*$H163/100,0)</f>
        <v>0</v>
      </c>
      <c r="BR163" s="16">
        <f ca="1">IFERROR(_xlfn.XLOOKUP($F163,'FCDB 2017 (full)'!$C:$C,'FCDB 2017 (full)'!$BI:$BI)*$H163/100,0)</f>
        <v>0</v>
      </c>
      <c r="BS163" s="16">
        <f ca="1">IFERROR(_xlfn.XLOOKUP($F163,'FCDB 2017 (full)'!$C:$C,'FCDB 2017 (full)'!$BJ:$BJ)*$H163/100,0)</f>
        <v>0</v>
      </c>
      <c r="BT163" s="16">
        <f ca="1">IFERROR(_xlfn.XLOOKUP($F163,'FCDB 2017 (full)'!$C:$C,'FCDB 2017 (full)'!$BK:$BK)*$H163/100,0)</f>
        <v>0</v>
      </c>
      <c r="BU163" s="16">
        <f ca="1">IFERROR(_xlfn.XLOOKUP($F163,'FCDB 2017 (full)'!$C:$C,'FCDB 2017 (full)'!$BL:$BL)*$H163/100,0)</f>
        <v>0</v>
      </c>
      <c r="BV163" s="16">
        <f ca="1">IFERROR(_xlfn.XLOOKUP($F163,'FCDB 2017 (full)'!$C:$C,'FCDB 2017 (full)'!$BM:$BM)*$H163/100,0)</f>
        <v>0</v>
      </c>
      <c r="BW163" s="16">
        <f ca="1">IFERROR(_xlfn.XLOOKUP($F163,'FCDB 2017 (full)'!$C:$C,'FCDB 2017 (full)'!$BN:$BN)*$H163/100,0)</f>
        <v>0</v>
      </c>
      <c r="BX163" s="16">
        <f ca="1">IFERROR(_xlfn.XLOOKUP($F163,'FCDB 2017 (full)'!$C:$C,'FCDB 2017 (full)'!$BO:$BO)*$H163/100,0)</f>
        <v>0</v>
      </c>
      <c r="BY163" s="16">
        <f ca="1">IFERROR(_xlfn.XLOOKUP($F163,'FCDB 2017 (full)'!$C:$C,'FCDB 2017 (full)'!$BP:$BP)*$H163/100,0)</f>
        <v>0</v>
      </c>
      <c r="BZ163" s="16">
        <f ca="1">IFERROR(_xlfn.XLOOKUP($F163,'FCDB 2017 (full)'!$C:$C,'FCDB 2017 (full)'!$BQ:$BQ)*$H163/100,0)</f>
        <v>0</v>
      </c>
      <c r="CA163" s="16">
        <f ca="1">IFERROR(_xlfn.XLOOKUP($F163,'FCDB 2017 (full)'!$C:$C,'FCDB 2017 (full)'!$BR:$BR)*$H163/100,0)</f>
        <v>0</v>
      </c>
      <c r="CB163" s="16">
        <f ca="1">IFERROR(_xlfn.XLOOKUP($F163,'FCDB 2017 (full)'!$C:$C,'FCDB 2017 (full)'!$BS:$BS)*$H163/100,0)</f>
        <v>0</v>
      </c>
      <c r="CC163" s="16">
        <f ca="1">IFERROR(_xlfn.XLOOKUP($F163,'FCDB 2017 (full)'!$C:$C,'FCDB 2017 (full)'!$BT:$BT)*$H163/100,0)</f>
        <v>0</v>
      </c>
      <c r="CD163" s="16">
        <f ca="1">IFERROR(_xlfn.XLOOKUP($F163,'FCDB 2017 (full)'!$C:$C,'FCDB 2017 (full)'!$BU:$BU)*$H163/100,0)</f>
        <v>0</v>
      </c>
      <c r="CE163" s="16">
        <f ca="1">IFERROR(_xlfn.XLOOKUP($F163,'FCDB 2017 (full)'!$C:$C,'FCDB 2017 (full)'!$BV:$BV)*$H163/100,0)</f>
        <v>0</v>
      </c>
      <c r="CF163" s="16">
        <f ca="1">IFERROR(_xlfn.XLOOKUP($F163,'FCDB 2017 (full)'!$C:$C,'FCDB 2017 (full)'!$BW:$BW)*$H163/100,0)</f>
        <v>0</v>
      </c>
      <c r="CG163" s="16">
        <f ca="1">IFERROR(_xlfn.XLOOKUP($F163,'FCDB 2017 (full)'!$C:$C,'FCDB 2017 (full)'!$BX:$BX)*$H163/100,0)</f>
        <v>0</v>
      </c>
      <c r="CH163" s="16">
        <f ca="1">IFERROR(_xlfn.XLOOKUP($F163,'FCDB 2017 (full)'!$C:$C,'FCDB 2017 (full)'!$BY:$BY)*$H163/100,0)</f>
        <v>0</v>
      </c>
      <c r="CI163" s="16">
        <f ca="1">IFERROR(_xlfn.XLOOKUP($F163,'FCDB 2017 (full)'!$C:$C,'FCDB 2017 (full)'!$BZ:$BZ)*$H163/100,0)</f>
        <v>0</v>
      </c>
      <c r="CJ163" s="16">
        <f ca="1">IFERROR(_xlfn.XLOOKUP($F163,'FCDB 2017 (full)'!$C:$C,'FCDB 2017 (full)'!$CA:$CA)*$H163/100,0)</f>
        <v>0</v>
      </c>
      <c r="CK163" s="16">
        <f ca="1">IFERROR(_xlfn.XLOOKUP($F163,'FCDB 2017 (full)'!$C:$C,'FCDB 2017 (full)'!$CB:$CB)*$H163/100,0)</f>
        <v>0</v>
      </c>
      <c r="CL163" s="16">
        <f ca="1">IFERROR(_xlfn.XLOOKUP($F163,'FCDB 2017 (full)'!$C:$C,'FCDB 2017 (full)'!$CC:$CC)*$H163/100,0)</f>
        <v>0</v>
      </c>
      <c r="CM163" s="16">
        <f ca="1">IFERROR(_xlfn.XLOOKUP($F163,'FCDB 2017 (full)'!$C:$C,'FCDB 2017 (full)'!$CD:$CD)*$H163/100,0)</f>
        <v>0</v>
      </c>
      <c r="CN163" s="16">
        <f ca="1">IFERROR(_xlfn.XLOOKUP($F163,'FCDB 2017 (full)'!$C:$C,'FCDB 2017 (full)'!$CE:$CE)*$H163/100,0)</f>
        <v>0</v>
      </c>
      <c r="CO163" s="16">
        <f ca="1">IFERROR(_xlfn.XLOOKUP($F163,'FCDB 2017 (full)'!$C:$C,'FCDB 2017 (full)'!$CF:$CF)*$H163/100,0)</f>
        <v>0</v>
      </c>
      <c r="CP163" s="16">
        <f ca="1">IFERROR(_xlfn.XLOOKUP($F163,'FCDB 2017 (full)'!$C:$C,'FCDB 2017 (full)'!$CG:$CG)*$H163/100,0)</f>
        <v>0</v>
      </c>
      <c r="CQ163" s="16">
        <f ca="1">IFERROR(_xlfn.XLOOKUP($F163,'FCDB 2017 (full)'!$C:$C,'FCDB 2017 (full)'!$CH:$CH)*$H163/100,0)</f>
        <v>0</v>
      </c>
      <c r="CR163" s="29"/>
      <c r="DA163" s="73" t="s">
        <v>985</v>
      </c>
    </row>
    <row r="164" spans="4:105">
      <c r="D164" s="29"/>
      <c r="E164" s="29"/>
      <c r="F164" s="11">
        <f>IFERROR(VLOOKUP($D$139,$D:$AE,24,0),0)</f>
        <v>0</v>
      </c>
      <c r="G164" s="7" cm="1">
        <f t="array" ref="G164">IF(F164=0,0,IF(_xlfn.XLOOKUP(F164,$E$139:$AE$139,$E$140:$AE$140)=0,"Nhập ĐV/TV",_xlfn.XLOOKUP(F164,$E$139:$AE$139,$E$140:$AE$140)))</f>
        <v>0</v>
      </c>
      <c r="H164" s="8" cm="1">
        <f t="array" ref="H164">IFERROR(INDEX($E$141:$AE$141,MATCH(F164,$E$139:$AE$139,0)),0)</f>
        <v>0</v>
      </c>
      <c r="I164" s="9">
        <f ca="1">IFERROR(_xlfn.XLOOKUP($F164,'FCDB 2017 (full)'!$C:$C,'FCDB 2017 (full)'!$E:$E),0)</f>
        <v>0</v>
      </c>
      <c r="J164" s="10">
        <f t="shared" ca="1" si="30"/>
        <v>0</v>
      </c>
      <c r="K164" s="9">
        <f ca="1">IFERROR(_xlfn.XLOOKUP($F164,'FCDB 2017 (full)'!$C:$C,'FCDB 2017 (full)'!$G:$G),0)</f>
        <v>0</v>
      </c>
      <c r="L164" s="13">
        <f t="shared" si="31"/>
        <v>0</v>
      </c>
      <c r="M164" s="13">
        <f t="shared" si="32"/>
        <v>0</v>
      </c>
      <c r="N164" s="9">
        <f ca="1">IFERROR(_xlfn.XLOOKUP($F164,'FCDB 2017 (full)'!$C:$C,'FCDB 2017 (full)'!$H:$H),0)</f>
        <v>0</v>
      </c>
      <c r="O164" s="14">
        <f t="shared" si="33"/>
        <v>0</v>
      </c>
      <c r="P164" s="14">
        <f t="shared" si="34"/>
        <v>0</v>
      </c>
      <c r="Q164" s="9">
        <f ca="1">IFERROR(_xlfn.XLOOKUP($F164,'FCDB 2017 (full)'!$C:$C,'FCDB 2017 (full)'!$I:$I),0)</f>
        <v>0</v>
      </c>
      <c r="R164" s="15">
        <f t="shared" ca="1" si="35"/>
        <v>0</v>
      </c>
      <c r="S164" s="16">
        <f ca="1">IFERROR(_xlfn.XLOOKUP($F164,'FCDB 2017 (full)'!$C:$C,'FCDB 2017 (full)'!$J:$J)*$H164/100,0)</f>
        <v>0</v>
      </c>
      <c r="T164" s="16">
        <f ca="1">IFERROR(_xlfn.XLOOKUP($F164,'FCDB 2017 (full)'!$C:$C,'FCDB 2017 (full)'!$K:$K)*$H164/100,0)</f>
        <v>0</v>
      </c>
      <c r="U164" s="16">
        <f ca="1">IFERROR(_xlfn.XLOOKUP($F164,'FCDB 2017 (full)'!$C:$C,'FCDB 2017 (full)'!$L:$L)*$H164/100,0)</f>
        <v>0</v>
      </c>
      <c r="V164" s="16">
        <f ca="1">IFERROR(_xlfn.XLOOKUP($F164,'FCDB 2017 (full)'!$C:$C,'FCDB 2017 (full)'!$M:$M)*$H164/100,0)</f>
        <v>0</v>
      </c>
      <c r="W164" s="16">
        <f ca="1">IFERROR(_xlfn.XLOOKUP($F164,'FCDB 2017 (full)'!$C:$C,'FCDB 2017 (full)'!$N:$N)*$H164/100,0)</f>
        <v>0</v>
      </c>
      <c r="X164" s="16">
        <f ca="1">IFERROR(_xlfn.XLOOKUP($F164,'FCDB 2017 (full)'!$C:$C,'FCDB 2017 (full)'!$O:$O)*$H164/100,0)</f>
        <v>0</v>
      </c>
      <c r="Y164" s="16">
        <f ca="1">IFERROR(_xlfn.XLOOKUP($F164,'FCDB 2017 (full)'!$C:$C,'FCDB 2017 (full)'!$P:$P)*$H164/100,0)</f>
        <v>0</v>
      </c>
      <c r="Z164" s="16">
        <f ca="1">IFERROR(_xlfn.XLOOKUP($F164,'FCDB 2017 (full)'!$C:$C,'FCDB 2017 (full)'!$Q:$Q)*$H164/100,0)</f>
        <v>0</v>
      </c>
      <c r="AA164" s="16">
        <f ca="1">IFERROR(_xlfn.XLOOKUP($F164,'FCDB 2017 (full)'!$C:$C,'FCDB 2017 (full)'!$R:$R)*$H164/100,0)</f>
        <v>0</v>
      </c>
      <c r="AB164" s="16">
        <f ca="1">IFERROR(_xlfn.XLOOKUP($F164,'FCDB 2017 (full)'!$C:$C,'FCDB 2017 (full)'!$S:$S)*$H164/100,0)</f>
        <v>0</v>
      </c>
      <c r="AC164" s="16">
        <f ca="1">IFERROR(_xlfn.XLOOKUP($F164,'FCDB 2017 (full)'!$C:$C,'FCDB 2017 (full)'!$T:$T)*$H164/100,0)</f>
        <v>0</v>
      </c>
      <c r="AD164" s="16">
        <f ca="1">IFERROR(_xlfn.XLOOKUP($F164,'FCDB 2017 (full)'!$C:$C,'FCDB 2017 (full)'!$U:$U)*$H164/100,0)</f>
        <v>0</v>
      </c>
      <c r="AE164" s="16">
        <f ca="1">IFERROR(_xlfn.XLOOKUP($F164,'FCDB 2017 (full)'!$C:$C,'FCDB 2017 (full)'!$V:$V)*$H164/100,0)</f>
        <v>0</v>
      </c>
      <c r="AF164" s="16">
        <f ca="1">IFERROR(_xlfn.XLOOKUP($F164,'FCDB 2017 (full)'!$C:$C,'FCDB 2017 (full)'!$W:$W)*$H164/100,0)</f>
        <v>0</v>
      </c>
      <c r="AG164" s="16">
        <f ca="1">IFERROR(_xlfn.XLOOKUP($F164,'FCDB 2017 (full)'!$C:$C,'FCDB 2017 (full)'!$X:$X)*$H164/100,0)</f>
        <v>0</v>
      </c>
      <c r="AH164" s="16">
        <f ca="1">IFERROR(_xlfn.XLOOKUP($F164,'FCDB 2017 (full)'!$C:$C,'FCDB 2017 (full)'!$Y:$Y)*$H164/100,0)</f>
        <v>0</v>
      </c>
      <c r="AI164" s="16">
        <f ca="1">IFERROR(_xlfn.XLOOKUP($F164,'FCDB 2017 (full)'!$C:$C,'FCDB 2017 (full)'!$Z:$Z)*$H164/100,0)</f>
        <v>0</v>
      </c>
      <c r="AJ164" s="16">
        <f ca="1">IFERROR(_xlfn.XLOOKUP($F164,'FCDB 2017 (full)'!$C:$C,'FCDB 2017 (full)'!$AA:$AA)*$H164/100,0)</f>
        <v>0</v>
      </c>
      <c r="AK164" s="16">
        <f ca="1">IFERROR(_xlfn.XLOOKUP($F164,'FCDB 2017 (full)'!$C:$C,'FCDB 2017 (full)'!$AB:$AB)*$H164/100,0)</f>
        <v>0</v>
      </c>
      <c r="AL164" s="16">
        <f ca="1">IFERROR(_xlfn.XLOOKUP($F164,'FCDB 2017 (full)'!$C:$C,'FCDB 2017 (full)'!$AC:$AC)*$H164/100,0)</f>
        <v>0</v>
      </c>
      <c r="AM164" s="16">
        <f ca="1">IFERROR(_xlfn.XLOOKUP($F164,'FCDB 2017 (full)'!$C:$C,'FCDB 2017 (full)'!$AD:$AD)*$H164/100,0)</f>
        <v>0</v>
      </c>
      <c r="AN164" s="16">
        <f ca="1">IFERROR(_xlfn.XLOOKUP($F164,'FCDB 2017 (full)'!$C:$C,'FCDB 2017 (full)'!$AE:$AE)*$H164/100,0)</f>
        <v>0</v>
      </c>
      <c r="AO164" s="16">
        <f ca="1">IFERROR(_xlfn.XLOOKUP($F164,'FCDB 2017 (full)'!$C:$C,'FCDB 2017 (full)'!$AF:$AF)*$H164/100,0)</f>
        <v>0</v>
      </c>
      <c r="AP164" s="16">
        <f ca="1">IFERROR(_xlfn.XLOOKUP($F164,'FCDB 2017 (full)'!$C:$C,'FCDB 2017 (full)'!$AG:$AG)*$H164/100,0)</f>
        <v>0</v>
      </c>
      <c r="AQ164" s="16">
        <f ca="1">IFERROR(_xlfn.XLOOKUP($F164,'FCDB 2017 (full)'!$C:$C,'FCDB 2017 (full)'!$AH:$AH)*$H164/100,0)</f>
        <v>0</v>
      </c>
      <c r="AR164" s="16">
        <f ca="1">IFERROR(_xlfn.XLOOKUP($F164,'FCDB 2017 (full)'!$C:$C,'FCDB 2017 (full)'!$AI:$AI)*$H164/100,0)</f>
        <v>0</v>
      </c>
      <c r="AS164" s="16">
        <f ca="1">IFERROR(_xlfn.XLOOKUP($F164,'FCDB 2017 (full)'!$C:$C,'FCDB 2017 (full)'!$AJ:$AJ)*$H164/100,0)</f>
        <v>0</v>
      </c>
      <c r="AT164" s="16">
        <f ca="1">IFERROR(_xlfn.XLOOKUP($F164,'FCDB 2017 (full)'!$C:$C,'FCDB 2017 (full)'!$AK:$AK)*$H164/100,0)</f>
        <v>0</v>
      </c>
      <c r="AU164" s="16">
        <f ca="1">IFERROR(_xlfn.XLOOKUP($F164,'FCDB 2017 (full)'!$C:$C,'FCDB 2017 (full)'!$AK:$AK)*$H164/100,0)</f>
        <v>0</v>
      </c>
      <c r="AV164" s="16">
        <f ca="1">IFERROR(_xlfn.XLOOKUP($F164,'FCDB 2017 (full)'!$C:$C,'FCDB 2017 (full)'!$AM:$AM)*$H164/100,0)</f>
        <v>0</v>
      </c>
      <c r="AW164" s="16">
        <f ca="1">IFERROR(_xlfn.XLOOKUP($F164,'FCDB 2017 (full)'!$C:$C,'FCDB 2017 (full)'!$AN:$AN)*$H164/100,0)</f>
        <v>0</v>
      </c>
      <c r="AX164" s="16">
        <f ca="1">IFERROR(_xlfn.XLOOKUP($F164,'FCDB 2017 (full)'!$C:$C,'FCDB 2017 (full)'!$AO:$AO)*$H164/100,0)</f>
        <v>0</v>
      </c>
      <c r="AY164" s="16">
        <f ca="1">IFERROR(_xlfn.XLOOKUP($F164,'FCDB 2017 (full)'!$C:$C,'FCDB 2017 (full)'!$AP:$AP)*$H164/100,0)</f>
        <v>0</v>
      </c>
      <c r="AZ164" s="16">
        <f ca="1">IFERROR(_xlfn.XLOOKUP($F164,'FCDB 2017 (full)'!$C:$C,'FCDB 2017 (full)'!$AQ:$AQ)*$H164/100,0)</f>
        <v>0</v>
      </c>
      <c r="BA164" s="16">
        <f ca="1">IFERROR(_xlfn.XLOOKUP($F164,'FCDB 2017 (full)'!$C:$C,'FCDB 2017 (full)'!$AR:$AR)*$H164/100,0)</f>
        <v>0</v>
      </c>
      <c r="BB164" s="16">
        <f ca="1">IFERROR(_xlfn.XLOOKUP($F164,'FCDB 2017 (full)'!$C:$C,'FCDB 2017 (full)'!$AS:$AS)*$H164/100,0)</f>
        <v>0</v>
      </c>
      <c r="BC164" s="16">
        <f ca="1">IFERROR(_xlfn.XLOOKUP($F164,'FCDB 2017 (full)'!$C:$C,'FCDB 2017 (full)'!$AT:$AT)*$H164/100,0)</f>
        <v>0</v>
      </c>
      <c r="BD164" s="16">
        <f ca="1">IFERROR(_xlfn.XLOOKUP($F164,'FCDB 2017 (full)'!$C:$C,'FCDB 2017 (full)'!$AU:$AU)*$H164/100,0)</f>
        <v>0</v>
      </c>
      <c r="BE164" s="16">
        <f ca="1">IFERROR(_xlfn.XLOOKUP($F164,'FCDB 2017 (full)'!$C:$C,'FCDB 2017 (full)'!$AV:$AV)*$H164/100,0)</f>
        <v>0</v>
      </c>
      <c r="BF164" s="16">
        <f ca="1">IFERROR(_xlfn.XLOOKUP($F164,'FCDB 2017 (full)'!$C:$C,'FCDB 2017 (full)'!$AW:$AW)*$H164/100,0)</f>
        <v>0</v>
      </c>
      <c r="BG164" s="16">
        <f ca="1">IFERROR(_xlfn.XLOOKUP($F164,'FCDB 2017 (full)'!$C:$C,'FCDB 2017 (full)'!$AX:$AX)*$H164/100,0)</f>
        <v>0</v>
      </c>
      <c r="BH164" s="16">
        <f ca="1">IFERROR(_xlfn.XLOOKUP($F164,'FCDB 2017 (full)'!$C:$C,'FCDB 2017 (full)'!$AY:$AY)*$H164/100,0)</f>
        <v>0</v>
      </c>
      <c r="BI164" s="16">
        <f ca="1">IFERROR(_xlfn.XLOOKUP($F164,'FCDB 2017 (full)'!$C:$C,'FCDB 2017 (full)'!$AZ:$AZ)*$H164/100,0)</f>
        <v>0</v>
      </c>
      <c r="BJ164" s="16">
        <f ca="1">IFERROR(_xlfn.XLOOKUP($F164,'FCDB 2017 (full)'!$C:$C,'FCDB 2017 (full)'!$BA:$BA)*$H164/100,0)</f>
        <v>0</v>
      </c>
      <c r="BK164" s="16">
        <f ca="1">IFERROR(_xlfn.XLOOKUP($F164,'FCDB 2017 (full)'!$C:$C,'FCDB 2017 (full)'!$BB:$BB)*$H164/100,0)</f>
        <v>0</v>
      </c>
      <c r="BL164" s="16">
        <f ca="1">IFERROR(_xlfn.XLOOKUP($F164,'FCDB 2017 (full)'!$C:$C,'FCDB 2017 (full)'!$BC:$BC)*$H164/100,0)</f>
        <v>0</v>
      </c>
      <c r="BM164" s="16">
        <f ca="1">IFERROR(_xlfn.XLOOKUP($F164,'FCDB 2017 (full)'!$C:$C,'FCDB 2017 (full)'!$BD:$BD)*$H164/100,0)</f>
        <v>0</v>
      </c>
      <c r="BN164" s="16">
        <f ca="1">IFERROR(_xlfn.XLOOKUP($F164,'FCDB 2017 (full)'!$C:$C,'FCDB 2017 (full)'!$BE:$BE)*$H164/100,0)</f>
        <v>0</v>
      </c>
      <c r="BO164" s="16">
        <f ca="1">IFERROR(_xlfn.XLOOKUP($F164,'FCDB 2017 (full)'!$C:$C,'FCDB 2017 (full)'!$BF:$BF)*$H164/100,0)</f>
        <v>0</v>
      </c>
      <c r="BP164" s="16">
        <f ca="1">IFERROR(_xlfn.XLOOKUP($F164,'FCDB 2017 (full)'!$C:$C,'FCDB 2017 (full)'!$BG:$BG)*$H164/100,0)</f>
        <v>0</v>
      </c>
      <c r="BQ164" s="16">
        <f ca="1">IFERROR(_xlfn.XLOOKUP($F164,'FCDB 2017 (full)'!$C:$C,'FCDB 2017 (full)'!$BH:$BH)*$H164/100,0)</f>
        <v>0</v>
      </c>
      <c r="BR164" s="16">
        <f ca="1">IFERROR(_xlfn.XLOOKUP($F164,'FCDB 2017 (full)'!$C:$C,'FCDB 2017 (full)'!$BI:$BI)*$H164/100,0)</f>
        <v>0</v>
      </c>
      <c r="BS164" s="16">
        <f ca="1">IFERROR(_xlfn.XLOOKUP($F164,'FCDB 2017 (full)'!$C:$C,'FCDB 2017 (full)'!$BJ:$BJ)*$H164/100,0)</f>
        <v>0</v>
      </c>
      <c r="BT164" s="16">
        <f ca="1">IFERROR(_xlfn.XLOOKUP($F164,'FCDB 2017 (full)'!$C:$C,'FCDB 2017 (full)'!$BK:$BK)*$H164/100,0)</f>
        <v>0</v>
      </c>
      <c r="BU164" s="16">
        <f ca="1">IFERROR(_xlfn.XLOOKUP($F164,'FCDB 2017 (full)'!$C:$C,'FCDB 2017 (full)'!$BL:$BL)*$H164/100,0)</f>
        <v>0</v>
      </c>
      <c r="BV164" s="16">
        <f ca="1">IFERROR(_xlfn.XLOOKUP($F164,'FCDB 2017 (full)'!$C:$C,'FCDB 2017 (full)'!$BM:$BM)*$H164/100,0)</f>
        <v>0</v>
      </c>
      <c r="BW164" s="16">
        <f ca="1">IFERROR(_xlfn.XLOOKUP($F164,'FCDB 2017 (full)'!$C:$C,'FCDB 2017 (full)'!$BN:$BN)*$H164/100,0)</f>
        <v>0</v>
      </c>
      <c r="BX164" s="16">
        <f ca="1">IFERROR(_xlfn.XLOOKUP($F164,'FCDB 2017 (full)'!$C:$C,'FCDB 2017 (full)'!$BO:$BO)*$H164/100,0)</f>
        <v>0</v>
      </c>
      <c r="BY164" s="16">
        <f ca="1">IFERROR(_xlfn.XLOOKUP($F164,'FCDB 2017 (full)'!$C:$C,'FCDB 2017 (full)'!$BP:$BP)*$H164/100,0)</f>
        <v>0</v>
      </c>
      <c r="BZ164" s="16">
        <f ca="1">IFERROR(_xlfn.XLOOKUP($F164,'FCDB 2017 (full)'!$C:$C,'FCDB 2017 (full)'!$BQ:$BQ)*$H164/100,0)</f>
        <v>0</v>
      </c>
      <c r="CA164" s="16">
        <f ca="1">IFERROR(_xlfn.XLOOKUP($F164,'FCDB 2017 (full)'!$C:$C,'FCDB 2017 (full)'!$BR:$BR)*$H164/100,0)</f>
        <v>0</v>
      </c>
      <c r="CB164" s="16">
        <f ca="1">IFERROR(_xlfn.XLOOKUP($F164,'FCDB 2017 (full)'!$C:$C,'FCDB 2017 (full)'!$BS:$BS)*$H164/100,0)</f>
        <v>0</v>
      </c>
      <c r="CC164" s="16">
        <f ca="1">IFERROR(_xlfn.XLOOKUP($F164,'FCDB 2017 (full)'!$C:$C,'FCDB 2017 (full)'!$BT:$BT)*$H164/100,0)</f>
        <v>0</v>
      </c>
      <c r="CD164" s="16">
        <f ca="1">IFERROR(_xlfn.XLOOKUP($F164,'FCDB 2017 (full)'!$C:$C,'FCDB 2017 (full)'!$BU:$BU)*$H164/100,0)</f>
        <v>0</v>
      </c>
      <c r="CE164" s="16">
        <f ca="1">IFERROR(_xlfn.XLOOKUP($F164,'FCDB 2017 (full)'!$C:$C,'FCDB 2017 (full)'!$BV:$BV)*$H164/100,0)</f>
        <v>0</v>
      </c>
      <c r="CF164" s="16">
        <f ca="1">IFERROR(_xlfn.XLOOKUP($F164,'FCDB 2017 (full)'!$C:$C,'FCDB 2017 (full)'!$BW:$BW)*$H164/100,0)</f>
        <v>0</v>
      </c>
      <c r="CG164" s="16">
        <f ca="1">IFERROR(_xlfn.XLOOKUP($F164,'FCDB 2017 (full)'!$C:$C,'FCDB 2017 (full)'!$BX:$BX)*$H164/100,0)</f>
        <v>0</v>
      </c>
      <c r="CH164" s="16">
        <f ca="1">IFERROR(_xlfn.XLOOKUP($F164,'FCDB 2017 (full)'!$C:$C,'FCDB 2017 (full)'!$BY:$BY)*$H164/100,0)</f>
        <v>0</v>
      </c>
      <c r="CI164" s="16">
        <f ca="1">IFERROR(_xlfn.XLOOKUP($F164,'FCDB 2017 (full)'!$C:$C,'FCDB 2017 (full)'!$BZ:$BZ)*$H164/100,0)</f>
        <v>0</v>
      </c>
      <c r="CJ164" s="16">
        <f ca="1">IFERROR(_xlfn.XLOOKUP($F164,'FCDB 2017 (full)'!$C:$C,'FCDB 2017 (full)'!$CA:$CA)*$H164/100,0)</f>
        <v>0</v>
      </c>
      <c r="CK164" s="16">
        <f ca="1">IFERROR(_xlfn.XLOOKUP($F164,'FCDB 2017 (full)'!$C:$C,'FCDB 2017 (full)'!$CB:$CB)*$H164/100,0)</f>
        <v>0</v>
      </c>
      <c r="CL164" s="16">
        <f ca="1">IFERROR(_xlfn.XLOOKUP($F164,'FCDB 2017 (full)'!$C:$C,'FCDB 2017 (full)'!$CC:$CC)*$H164/100,0)</f>
        <v>0</v>
      </c>
      <c r="CM164" s="16">
        <f ca="1">IFERROR(_xlfn.XLOOKUP($F164,'FCDB 2017 (full)'!$C:$C,'FCDB 2017 (full)'!$CD:$CD)*$H164/100,0)</f>
        <v>0</v>
      </c>
      <c r="CN164" s="16">
        <f ca="1">IFERROR(_xlfn.XLOOKUP($F164,'FCDB 2017 (full)'!$C:$C,'FCDB 2017 (full)'!$CE:$CE)*$H164/100,0)</f>
        <v>0</v>
      </c>
      <c r="CO164" s="16">
        <f ca="1">IFERROR(_xlfn.XLOOKUP($F164,'FCDB 2017 (full)'!$C:$C,'FCDB 2017 (full)'!$CF:$CF)*$H164/100,0)</f>
        <v>0</v>
      </c>
      <c r="CP164" s="16">
        <f ca="1">IFERROR(_xlfn.XLOOKUP($F164,'FCDB 2017 (full)'!$C:$C,'FCDB 2017 (full)'!$CG:$CG)*$H164/100,0)</f>
        <v>0</v>
      </c>
      <c r="CQ164" s="16">
        <f ca="1">IFERROR(_xlfn.XLOOKUP($F164,'FCDB 2017 (full)'!$C:$C,'FCDB 2017 (full)'!$CH:$CH)*$H164/100,0)</f>
        <v>0</v>
      </c>
      <c r="CR164" s="29"/>
      <c r="DA164" s="73" t="s">
        <v>985</v>
      </c>
    </row>
    <row r="165" spans="4:105">
      <c r="D165" s="29"/>
      <c r="E165" s="29"/>
      <c r="F165" s="11">
        <f>IFERROR(VLOOKUP($D$139,$D:$AE,25,0),0)</f>
        <v>0</v>
      </c>
      <c r="G165" s="7" cm="1">
        <f t="array" ref="G165">IF(F165=0,0,IF(_xlfn.XLOOKUP(F165,$E$139:$AE$139,$E$140:$AE$140)=0,"Nhập ĐV/TV",_xlfn.XLOOKUP(F165,$E$139:$AE$139,$E$140:$AE$140)))</f>
        <v>0</v>
      </c>
      <c r="H165" s="8" cm="1">
        <f t="array" ref="H165">IFERROR(INDEX($E$141:$AE$141,MATCH(F165,$E$139:$AE$139,0)),0)</f>
        <v>0</v>
      </c>
      <c r="I165" s="9">
        <f ca="1">IFERROR(_xlfn.XLOOKUP($F165,'FCDB 2017 (full)'!$C:$C,'FCDB 2017 (full)'!$E:$E),0)</f>
        <v>0</v>
      </c>
      <c r="J165" s="10">
        <f t="shared" ca="1" si="30"/>
        <v>0</v>
      </c>
      <c r="K165" s="9">
        <f ca="1">IFERROR(_xlfn.XLOOKUP($F165,'FCDB 2017 (full)'!$C:$C,'FCDB 2017 (full)'!$G:$G),0)</f>
        <v>0</v>
      </c>
      <c r="L165" s="13">
        <f t="shared" si="31"/>
        <v>0</v>
      </c>
      <c r="M165" s="13">
        <f t="shared" si="32"/>
        <v>0</v>
      </c>
      <c r="N165" s="9">
        <f ca="1">IFERROR(_xlfn.XLOOKUP($F165,'FCDB 2017 (full)'!$C:$C,'FCDB 2017 (full)'!$H:$H),0)</f>
        <v>0</v>
      </c>
      <c r="O165" s="14">
        <f t="shared" si="33"/>
        <v>0</v>
      </c>
      <c r="P165" s="14">
        <f t="shared" si="34"/>
        <v>0</v>
      </c>
      <c r="Q165" s="9">
        <f ca="1">IFERROR(_xlfn.XLOOKUP($F165,'FCDB 2017 (full)'!$C:$C,'FCDB 2017 (full)'!$I:$I),0)</f>
        <v>0</v>
      </c>
      <c r="R165" s="15">
        <f t="shared" ca="1" si="35"/>
        <v>0</v>
      </c>
      <c r="S165" s="16">
        <f ca="1">IFERROR(_xlfn.XLOOKUP($F165,'FCDB 2017 (full)'!$C:$C,'FCDB 2017 (full)'!$J:$J)*$H165/100,0)</f>
        <v>0</v>
      </c>
      <c r="T165" s="16">
        <f ca="1">IFERROR(_xlfn.XLOOKUP($F165,'FCDB 2017 (full)'!$C:$C,'FCDB 2017 (full)'!$K:$K)*$H165/100,0)</f>
        <v>0</v>
      </c>
      <c r="U165" s="16">
        <f ca="1">IFERROR(_xlfn.XLOOKUP($F165,'FCDB 2017 (full)'!$C:$C,'FCDB 2017 (full)'!$L:$L)*$H165/100,0)</f>
        <v>0</v>
      </c>
      <c r="V165" s="16">
        <f ca="1">IFERROR(_xlfn.XLOOKUP($F165,'FCDB 2017 (full)'!$C:$C,'FCDB 2017 (full)'!$M:$M)*$H165/100,0)</f>
        <v>0</v>
      </c>
      <c r="W165" s="16">
        <f ca="1">IFERROR(_xlfn.XLOOKUP($F165,'FCDB 2017 (full)'!$C:$C,'FCDB 2017 (full)'!$N:$N)*$H165/100,0)</f>
        <v>0</v>
      </c>
      <c r="X165" s="16">
        <f ca="1">IFERROR(_xlfn.XLOOKUP($F165,'FCDB 2017 (full)'!$C:$C,'FCDB 2017 (full)'!$O:$O)*$H165/100,0)</f>
        <v>0</v>
      </c>
      <c r="Y165" s="16">
        <f ca="1">IFERROR(_xlfn.XLOOKUP($F165,'FCDB 2017 (full)'!$C:$C,'FCDB 2017 (full)'!$P:$P)*$H165/100,0)</f>
        <v>0</v>
      </c>
      <c r="Z165" s="16">
        <f ca="1">IFERROR(_xlfn.XLOOKUP($F165,'FCDB 2017 (full)'!$C:$C,'FCDB 2017 (full)'!$Q:$Q)*$H165/100,0)</f>
        <v>0</v>
      </c>
      <c r="AA165" s="16">
        <f ca="1">IFERROR(_xlfn.XLOOKUP($F165,'FCDB 2017 (full)'!$C:$C,'FCDB 2017 (full)'!$R:$R)*$H165/100,0)</f>
        <v>0</v>
      </c>
      <c r="AB165" s="16">
        <f ca="1">IFERROR(_xlfn.XLOOKUP($F165,'FCDB 2017 (full)'!$C:$C,'FCDB 2017 (full)'!$S:$S)*$H165/100,0)</f>
        <v>0</v>
      </c>
      <c r="AC165" s="16">
        <f ca="1">IFERROR(_xlfn.XLOOKUP($F165,'FCDB 2017 (full)'!$C:$C,'FCDB 2017 (full)'!$T:$T)*$H165/100,0)</f>
        <v>0</v>
      </c>
      <c r="AD165" s="16">
        <f ca="1">IFERROR(_xlfn.XLOOKUP($F165,'FCDB 2017 (full)'!$C:$C,'FCDB 2017 (full)'!$U:$U)*$H165/100,0)</f>
        <v>0</v>
      </c>
      <c r="AE165" s="16">
        <f ca="1">IFERROR(_xlfn.XLOOKUP($F165,'FCDB 2017 (full)'!$C:$C,'FCDB 2017 (full)'!$V:$V)*$H165/100,0)</f>
        <v>0</v>
      </c>
      <c r="AF165" s="16">
        <f ca="1">IFERROR(_xlfn.XLOOKUP($F165,'FCDB 2017 (full)'!$C:$C,'FCDB 2017 (full)'!$W:$W)*$H165/100,0)</f>
        <v>0</v>
      </c>
      <c r="AG165" s="16">
        <f ca="1">IFERROR(_xlfn.XLOOKUP($F165,'FCDB 2017 (full)'!$C:$C,'FCDB 2017 (full)'!$X:$X)*$H165/100,0)</f>
        <v>0</v>
      </c>
      <c r="AH165" s="16">
        <f ca="1">IFERROR(_xlfn.XLOOKUP($F165,'FCDB 2017 (full)'!$C:$C,'FCDB 2017 (full)'!$Y:$Y)*$H165/100,0)</f>
        <v>0</v>
      </c>
      <c r="AI165" s="16">
        <f ca="1">IFERROR(_xlfn.XLOOKUP($F165,'FCDB 2017 (full)'!$C:$C,'FCDB 2017 (full)'!$Z:$Z)*$H165/100,0)</f>
        <v>0</v>
      </c>
      <c r="AJ165" s="16">
        <f ca="1">IFERROR(_xlfn.XLOOKUP($F165,'FCDB 2017 (full)'!$C:$C,'FCDB 2017 (full)'!$AA:$AA)*$H165/100,0)</f>
        <v>0</v>
      </c>
      <c r="AK165" s="16">
        <f ca="1">IFERROR(_xlfn.XLOOKUP($F165,'FCDB 2017 (full)'!$C:$C,'FCDB 2017 (full)'!$AB:$AB)*$H165/100,0)</f>
        <v>0</v>
      </c>
      <c r="AL165" s="16">
        <f ca="1">IFERROR(_xlfn.XLOOKUP($F165,'FCDB 2017 (full)'!$C:$C,'FCDB 2017 (full)'!$AC:$AC)*$H165/100,0)</f>
        <v>0</v>
      </c>
      <c r="AM165" s="16">
        <f ca="1">IFERROR(_xlfn.XLOOKUP($F165,'FCDB 2017 (full)'!$C:$C,'FCDB 2017 (full)'!$AD:$AD)*$H165/100,0)</f>
        <v>0</v>
      </c>
      <c r="AN165" s="16">
        <f ca="1">IFERROR(_xlfn.XLOOKUP($F165,'FCDB 2017 (full)'!$C:$C,'FCDB 2017 (full)'!$AE:$AE)*$H165/100,0)</f>
        <v>0</v>
      </c>
      <c r="AO165" s="16">
        <f ca="1">IFERROR(_xlfn.XLOOKUP($F165,'FCDB 2017 (full)'!$C:$C,'FCDB 2017 (full)'!$AF:$AF)*$H165/100,0)</f>
        <v>0</v>
      </c>
      <c r="AP165" s="16">
        <f ca="1">IFERROR(_xlfn.XLOOKUP($F165,'FCDB 2017 (full)'!$C:$C,'FCDB 2017 (full)'!$AG:$AG)*$H165/100,0)</f>
        <v>0</v>
      </c>
      <c r="AQ165" s="16">
        <f ca="1">IFERROR(_xlfn.XLOOKUP($F165,'FCDB 2017 (full)'!$C:$C,'FCDB 2017 (full)'!$AH:$AH)*$H165/100,0)</f>
        <v>0</v>
      </c>
      <c r="AR165" s="16">
        <f ca="1">IFERROR(_xlfn.XLOOKUP($F165,'FCDB 2017 (full)'!$C:$C,'FCDB 2017 (full)'!$AI:$AI)*$H165/100,0)</f>
        <v>0</v>
      </c>
      <c r="AS165" s="16">
        <f ca="1">IFERROR(_xlfn.XLOOKUP($F165,'FCDB 2017 (full)'!$C:$C,'FCDB 2017 (full)'!$AJ:$AJ)*$H165/100,0)</f>
        <v>0</v>
      </c>
      <c r="AT165" s="16">
        <f ca="1">IFERROR(_xlfn.XLOOKUP($F165,'FCDB 2017 (full)'!$C:$C,'FCDB 2017 (full)'!$AK:$AK)*$H165/100,0)</f>
        <v>0</v>
      </c>
      <c r="AU165" s="16">
        <f ca="1">IFERROR(_xlfn.XLOOKUP($F165,'FCDB 2017 (full)'!$C:$C,'FCDB 2017 (full)'!$AK:$AK)*$H165/100,0)</f>
        <v>0</v>
      </c>
      <c r="AV165" s="16">
        <f ca="1">IFERROR(_xlfn.XLOOKUP($F165,'FCDB 2017 (full)'!$C:$C,'FCDB 2017 (full)'!$AM:$AM)*$H165/100,0)</f>
        <v>0</v>
      </c>
      <c r="AW165" s="16">
        <f ca="1">IFERROR(_xlfn.XLOOKUP($F165,'FCDB 2017 (full)'!$C:$C,'FCDB 2017 (full)'!$AN:$AN)*$H165/100,0)</f>
        <v>0</v>
      </c>
      <c r="AX165" s="16">
        <f ca="1">IFERROR(_xlfn.XLOOKUP($F165,'FCDB 2017 (full)'!$C:$C,'FCDB 2017 (full)'!$AO:$AO)*$H165/100,0)</f>
        <v>0</v>
      </c>
      <c r="AY165" s="16">
        <f ca="1">IFERROR(_xlfn.XLOOKUP($F165,'FCDB 2017 (full)'!$C:$C,'FCDB 2017 (full)'!$AP:$AP)*$H165/100,0)</f>
        <v>0</v>
      </c>
      <c r="AZ165" s="16">
        <f ca="1">IFERROR(_xlfn.XLOOKUP($F165,'FCDB 2017 (full)'!$C:$C,'FCDB 2017 (full)'!$AQ:$AQ)*$H165/100,0)</f>
        <v>0</v>
      </c>
      <c r="BA165" s="16">
        <f ca="1">IFERROR(_xlfn.XLOOKUP($F165,'FCDB 2017 (full)'!$C:$C,'FCDB 2017 (full)'!$AR:$AR)*$H165/100,0)</f>
        <v>0</v>
      </c>
      <c r="BB165" s="16">
        <f ca="1">IFERROR(_xlfn.XLOOKUP($F165,'FCDB 2017 (full)'!$C:$C,'FCDB 2017 (full)'!$AS:$AS)*$H165/100,0)</f>
        <v>0</v>
      </c>
      <c r="BC165" s="16">
        <f ca="1">IFERROR(_xlfn.XLOOKUP($F165,'FCDB 2017 (full)'!$C:$C,'FCDB 2017 (full)'!$AT:$AT)*$H165/100,0)</f>
        <v>0</v>
      </c>
      <c r="BD165" s="16">
        <f ca="1">IFERROR(_xlfn.XLOOKUP($F165,'FCDB 2017 (full)'!$C:$C,'FCDB 2017 (full)'!$AU:$AU)*$H165/100,0)</f>
        <v>0</v>
      </c>
      <c r="BE165" s="16">
        <f ca="1">IFERROR(_xlfn.XLOOKUP($F165,'FCDB 2017 (full)'!$C:$C,'FCDB 2017 (full)'!$AV:$AV)*$H165/100,0)</f>
        <v>0</v>
      </c>
      <c r="BF165" s="16">
        <f ca="1">IFERROR(_xlfn.XLOOKUP($F165,'FCDB 2017 (full)'!$C:$C,'FCDB 2017 (full)'!$AW:$AW)*$H165/100,0)</f>
        <v>0</v>
      </c>
      <c r="BG165" s="16">
        <f ca="1">IFERROR(_xlfn.XLOOKUP($F165,'FCDB 2017 (full)'!$C:$C,'FCDB 2017 (full)'!$AX:$AX)*$H165/100,0)</f>
        <v>0</v>
      </c>
      <c r="BH165" s="16">
        <f ca="1">IFERROR(_xlfn.XLOOKUP($F165,'FCDB 2017 (full)'!$C:$C,'FCDB 2017 (full)'!$AY:$AY)*$H165/100,0)</f>
        <v>0</v>
      </c>
      <c r="BI165" s="16">
        <f ca="1">IFERROR(_xlfn.XLOOKUP($F165,'FCDB 2017 (full)'!$C:$C,'FCDB 2017 (full)'!$AZ:$AZ)*$H165/100,0)</f>
        <v>0</v>
      </c>
      <c r="BJ165" s="16">
        <f ca="1">IFERROR(_xlfn.XLOOKUP($F165,'FCDB 2017 (full)'!$C:$C,'FCDB 2017 (full)'!$BA:$BA)*$H165/100,0)</f>
        <v>0</v>
      </c>
      <c r="BK165" s="16">
        <f ca="1">IFERROR(_xlfn.XLOOKUP($F165,'FCDB 2017 (full)'!$C:$C,'FCDB 2017 (full)'!$BB:$BB)*$H165/100,0)</f>
        <v>0</v>
      </c>
      <c r="BL165" s="16">
        <f ca="1">IFERROR(_xlfn.XLOOKUP($F165,'FCDB 2017 (full)'!$C:$C,'FCDB 2017 (full)'!$BC:$BC)*$H165/100,0)</f>
        <v>0</v>
      </c>
      <c r="BM165" s="16">
        <f ca="1">IFERROR(_xlfn.XLOOKUP($F165,'FCDB 2017 (full)'!$C:$C,'FCDB 2017 (full)'!$BD:$BD)*$H165/100,0)</f>
        <v>0</v>
      </c>
      <c r="BN165" s="16">
        <f ca="1">IFERROR(_xlfn.XLOOKUP($F165,'FCDB 2017 (full)'!$C:$C,'FCDB 2017 (full)'!$BE:$BE)*$H165/100,0)</f>
        <v>0</v>
      </c>
      <c r="BO165" s="16">
        <f ca="1">IFERROR(_xlfn.XLOOKUP($F165,'FCDB 2017 (full)'!$C:$C,'FCDB 2017 (full)'!$BF:$BF)*$H165/100,0)</f>
        <v>0</v>
      </c>
      <c r="BP165" s="16">
        <f ca="1">IFERROR(_xlfn.XLOOKUP($F165,'FCDB 2017 (full)'!$C:$C,'FCDB 2017 (full)'!$BG:$BG)*$H165/100,0)</f>
        <v>0</v>
      </c>
      <c r="BQ165" s="16">
        <f ca="1">IFERROR(_xlfn.XLOOKUP($F165,'FCDB 2017 (full)'!$C:$C,'FCDB 2017 (full)'!$BH:$BH)*$H165/100,0)</f>
        <v>0</v>
      </c>
      <c r="BR165" s="16">
        <f ca="1">IFERROR(_xlfn.XLOOKUP($F165,'FCDB 2017 (full)'!$C:$C,'FCDB 2017 (full)'!$BI:$BI)*$H165/100,0)</f>
        <v>0</v>
      </c>
      <c r="BS165" s="16">
        <f ca="1">IFERROR(_xlfn.XLOOKUP($F165,'FCDB 2017 (full)'!$C:$C,'FCDB 2017 (full)'!$BJ:$BJ)*$H165/100,0)</f>
        <v>0</v>
      </c>
      <c r="BT165" s="16">
        <f ca="1">IFERROR(_xlfn.XLOOKUP($F165,'FCDB 2017 (full)'!$C:$C,'FCDB 2017 (full)'!$BK:$BK)*$H165/100,0)</f>
        <v>0</v>
      </c>
      <c r="BU165" s="16">
        <f ca="1">IFERROR(_xlfn.XLOOKUP($F165,'FCDB 2017 (full)'!$C:$C,'FCDB 2017 (full)'!$BL:$BL)*$H165/100,0)</f>
        <v>0</v>
      </c>
      <c r="BV165" s="16">
        <f ca="1">IFERROR(_xlfn.XLOOKUP($F165,'FCDB 2017 (full)'!$C:$C,'FCDB 2017 (full)'!$BM:$BM)*$H165/100,0)</f>
        <v>0</v>
      </c>
      <c r="BW165" s="16">
        <f ca="1">IFERROR(_xlfn.XLOOKUP($F165,'FCDB 2017 (full)'!$C:$C,'FCDB 2017 (full)'!$BN:$BN)*$H165/100,0)</f>
        <v>0</v>
      </c>
      <c r="BX165" s="16">
        <f ca="1">IFERROR(_xlfn.XLOOKUP($F165,'FCDB 2017 (full)'!$C:$C,'FCDB 2017 (full)'!$BO:$BO)*$H165/100,0)</f>
        <v>0</v>
      </c>
      <c r="BY165" s="16">
        <f ca="1">IFERROR(_xlfn.XLOOKUP($F165,'FCDB 2017 (full)'!$C:$C,'FCDB 2017 (full)'!$BP:$BP)*$H165/100,0)</f>
        <v>0</v>
      </c>
      <c r="BZ165" s="16">
        <f ca="1">IFERROR(_xlfn.XLOOKUP($F165,'FCDB 2017 (full)'!$C:$C,'FCDB 2017 (full)'!$BQ:$BQ)*$H165/100,0)</f>
        <v>0</v>
      </c>
      <c r="CA165" s="16">
        <f ca="1">IFERROR(_xlfn.XLOOKUP($F165,'FCDB 2017 (full)'!$C:$C,'FCDB 2017 (full)'!$BR:$BR)*$H165/100,0)</f>
        <v>0</v>
      </c>
      <c r="CB165" s="16">
        <f ca="1">IFERROR(_xlfn.XLOOKUP($F165,'FCDB 2017 (full)'!$C:$C,'FCDB 2017 (full)'!$BS:$BS)*$H165/100,0)</f>
        <v>0</v>
      </c>
      <c r="CC165" s="16">
        <f ca="1">IFERROR(_xlfn.XLOOKUP($F165,'FCDB 2017 (full)'!$C:$C,'FCDB 2017 (full)'!$BT:$BT)*$H165/100,0)</f>
        <v>0</v>
      </c>
      <c r="CD165" s="16">
        <f ca="1">IFERROR(_xlfn.XLOOKUP($F165,'FCDB 2017 (full)'!$C:$C,'FCDB 2017 (full)'!$BU:$BU)*$H165/100,0)</f>
        <v>0</v>
      </c>
      <c r="CE165" s="16">
        <f ca="1">IFERROR(_xlfn.XLOOKUP($F165,'FCDB 2017 (full)'!$C:$C,'FCDB 2017 (full)'!$BV:$BV)*$H165/100,0)</f>
        <v>0</v>
      </c>
      <c r="CF165" s="16">
        <f ca="1">IFERROR(_xlfn.XLOOKUP($F165,'FCDB 2017 (full)'!$C:$C,'FCDB 2017 (full)'!$BW:$BW)*$H165/100,0)</f>
        <v>0</v>
      </c>
      <c r="CG165" s="16">
        <f ca="1">IFERROR(_xlfn.XLOOKUP($F165,'FCDB 2017 (full)'!$C:$C,'FCDB 2017 (full)'!$BX:$BX)*$H165/100,0)</f>
        <v>0</v>
      </c>
      <c r="CH165" s="16">
        <f ca="1">IFERROR(_xlfn.XLOOKUP($F165,'FCDB 2017 (full)'!$C:$C,'FCDB 2017 (full)'!$BY:$BY)*$H165/100,0)</f>
        <v>0</v>
      </c>
      <c r="CI165" s="16">
        <f ca="1">IFERROR(_xlfn.XLOOKUP($F165,'FCDB 2017 (full)'!$C:$C,'FCDB 2017 (full)'!$BZ:$BZ)*$H165/100,0)</f>
        <v>0</v>
      </c>
      <c r="CJ165" s="16">
        <f ca="1">IFERROR(_xlfn.XLOOKUP($F165,'FCDB 2017 (full)'!$C:$C,'FCDB 2017 (full)'!$CA:$CA)*$H165/100,0)</f>
        <v>0</v>
      </c>
      <c r="CK165" s="16">
        <f ca="1">IFERROR(_xlfn.XLOOKUP($F165,'FCDB 2017 (full)'!$C:$C,'FCDB 2017 (full)'!$CB:$CB)*$H165/100,0)</f>
        <v>0</v>
      </c>
      <c r="CL165" s="16">
        <f ca="1">IFERROR(_xlfn.XLOOKUP($F165,'FCDB 2017 (full)'!$C:$C,'FCDB 2017 (full)'!$CC:$CC)*$H165/100,0)</f>
        <v>0</v>
      </c>
      <c r="CM165" s="16">
        <f ca="1">IFERROR(_xlfn.XLOOKUP($F165,'FCDB 2017 (full)'!$C:$C,'FCDB 2017 (full)'!$CD:$CD)*$H165/100,0)</f>
        <v>0</v>
      </c>
      <c r="CN165" s="16">
        <f ca="1">IFERROR(_xlfn.XLOOKUP($F165,'FCDB 2017 (full)'!$C:$C,'FCDB 2017 (full)'!$CE:$CE)*$H165/100,0)</f>
        <v>0</v>
      </c>
      <c r="CO165" s="16">
        <f ca="1">IFERROR(_xlfn.XLOOKUP($F165,'FCDB 2017 (full)'!$C:$C,'FCDB 2017 (full)'!$CF:$CF)*$H165/100,0)</f>
        <v>0</v>
      </c>
      <c r="CP165" s="16">
        <f ca="1">IFERROR(_xlfn.XLOOKUP($F165,'FCDB 2017 (full)'!$C:$C,'FCDB 2017 (full)'!$CG:$CG)*$H165/100,0)</f>
        <v>0</v>
      </c>
      <c r="CQ165" s="16">
        <f ca="1">IFERROR(_xlfn.XLOOKUP($F165,'FCDB 2017 (full)'!$C:$C,'FCDB 2017 (full)'!$CH:$CH)*$H165/100,0)</f>
        <v>0</v>
      </c>
      <c r="CR165" s="29"/>
      <c r="DA165" s="73" t="s">
        <v>985</v>
      </c>
    </row>
    <row r="166" spans="4:105">
      <c r="D166" s="29"/>
      <c r="E166" s="29"/>
      <c r="F166" s="11">
        <f>IFERROR(VLOOKUP($D$139,$D:$AE,26,0),0)</f>
        <v>0</v>
      </c>
      <c r="G166" s="7" cm="1">
        <f t="array" ref="G166">IF(F166=0,0,IF(_xlfn.XLOOKUP(F166,$E$139:$AE$139,$E$140:$AE$140)=0,"Nhập ĐV/TV",_xlfn.XLOOKUP(F166,$E$139:$AE$139,$E$140:$AE$140)))</f>
        <v>0</v>
      </c>
      <c r="H166" s="8" cm="1">
        <f t="array" ref="H166">IFERROR(INDEX($E$141:$AE$141,MATCH(F166,$E$139:$AE$139,0)),0)</f>
        <v>0</v>
      </c>
      <c r="I166" s="9">
        <f ca="1">IFERROR(_xlfn.XLOOKUP($F166,'FCDB 2017 (full)'!$C:$C,'FCDB 2017 (full)'!$E:$E),0)</f>
        <v>0</v>
      </c>
      <c r="J166" s="10">
        <f t="shared" ca="1" si="30"/>
        <v>0</v>
      </c>
      <c r="K166" s="9">
        <f ca="1">IFERROR(_xlfn.XLOOKUP($F166,'FCDB 2017 (full)'!$C:$C,'FCDB 2017 (full)'!$G:$G),0)</f>
        <v>0</v>
      </c>
      <c r="L166" s="13">
        <f t="shared" si="31"/>
        <v>0</v>
      </c>
      <c r="M166" s="13">
        <f t="shared" si="32"/>
        <v>0</v>
      </c>
      <c r="N166" s="9">
        <f ca="1">IFERROR(_xlfn.XLOOKUP($F166,'FCDB 2017 (full)'!$C:$C,'FCDB 2017 (full)'!$H:$H),0)</f>
        <v>0</v>
      </c>
      <c r="O166" s="14">
        <f t="shared" si="33"/>
        <v>0</v>
      </c>
      <c r="P166" s="14">
        <f t="shared" si="34"/>
        <v>0</v>
      </c>
      <c r="Q166" s="9">
        <f ca="1">IFERROR(_xlfn.XLOOKUP($F166,'FCDB 2017 (full)'!$C:$C,'FCDB 2017 (full)'!$I:$I),0)</f>
        <v>0</v>
      </c>
      <c r="R166" s="15">
        <f t="shared" ca="1" si="35"/>
        <v>0</v>
      </c>
      <c r="S166" s="16">
        <f ca="1">IFERROR(_xlfn.XLOOKUP($F166,'FCDB 2017 (full)'!$C:$C,'FCDB 2017 (full)'!$J:$J)*$H166/100,0)</f>
        <v>0</v>
      </c>
      <c r="T166" s="16">
        <f ca="1">IFERROR(_xlfn.XLOOKUP($F166,'FCDB 2017 (full)'!$C:$C,'FCDB 2017 (full)'!$K:$K)*$H166/100,0)</f>
        <v>0</v>
      </c>
      <c r="U166" s="16">
        <f ca="1">IFERROR(_xlfn.XLOOKUP($F166,'FCDB 2017 (full)'!$C:$C,'FCDB 2017 (full)'!$L:$L)*$H166/100,0)</f>
        <v>0</v>
      </c>
      <c r="V166" s="16">
        <f ca="1">IFERROR(_xlfn.XLOOKUP($F166,'FCDB 2017 (full)'!$C:$C,'FCDB 2017 (full)'!$M:$M)*$H166/100,0)</f>
        <v>0</v>
      </c>
      <c r="W166" s="16">
        <f ca="1">IFERROR(_xlfn.XLOOKUP($F166,'FCDB 2017 (full)'!$C:$C,'FCDB 2017 (full)'!$N:$N)*$H166/100,0)</f>
        <v>0</v>
      </c>
      <c r="X166" s="16">
        <f ca="1">IFERROR(_xlfn.XLOOKUP($F166,'FCDB 2017 (full)'!$C:$C,'FCDB 2017 (full)'!$O:$O)*$H166/100,0)</f>
        <v>0</v>
      </c>
      <c r="Y166" s="16">
        <f ca="1">IFERROR(_xlfn.XLOOKUP($F166,'FCDB 2017 (full)'!$C:$C,'FCDB 2017 (full)'!$P:$P)*$H166/100,0)</f>
        <v>0</v>
      </c>
      <c r="Z166" s="16">
        <f ca="1">IFERROR(_xlfn.XLOOKUP($F166,'FCDB 2017 (full)'!$C:$C,'FCDB 2017 (full)'!$Q:$Q)*$H166/100,0)</f>
        <v>0</v>
      </c>
      <c r="AA166" s="16">
        <f ca="1">IFERROR(_xlfn.XLOOKUP($F166,'FCDB 2017 (full)'!$C:$C,'FCDB 2017 (full)'!$R:$R)*$H166/100,0)</f>
        <v>0</v>
      </c>
      <c r="AB166" s="16">
        <f ca="1">IFERROR(_xlfn.XLOOKUP($F166,'FCDB 2017 (full)'!$C:$C,'FCDB 2017 (full)'!$S:$S)*$H166/100,0)</f>
        <v>0</v>
      </c>
      <c r="AC166" s="16">
        <f ca="1">IFERROR(_xlfn.XLOOKUP($F166,'FCDB 2017 (full)'!$C:$C,'FCDB 2017 (full)'!$T:$T)*$H166/100,0)</f>
        <v>0</v>
      </c>
      <c r="AD166" s="16">
        <f ca="1">IFERROR(_xlfn.XLOOKUP($F166,'FCDB 2017 (full)'!$C:$C,'FCDB 2017 (full)'!$U:$U)*$H166/100,0)</f>
        <v>0</v>
      </c>
      <c r="AE166" s="16">
        <f ca="1">IFERROR(_xlfn.XLOOKUP($F166,'FCDB 2017 (full)'!$C:$C,'FCDB 2017 (full)'!$V:$V)*$H166/100,0)</f>
        <v>0</v>
      </c>
      <c r="AF166" s="16">
        <f ca="1">IFERROR(_xlfn.XLOOKUP($F166,'FCDB 2017 (full)'!$C:$C,'FCDB 2017 (full)'!$W:$W)*$H166/100,0)</f>
        <v>0</v>
      </c>
      <c r="AG166" s="16">
        <f ca="1">IFERROR(_xlfn.XLOOKUP($F166,'FCDB 2017 (full)'!$C:$C,'FCDB 2017 (full)'!$X:$X)*$H166/100,0)</f>
        <v>0</v>
      </c>
      <c r="AH166" s="16">
        <f ca="1">IFERROR(_xlfn.XLOOKUP($F166,'FCDB 2017 (full)'!$C:$C,'FCDB 2017 (full)'!$Y:$Y)*$H166/100,0)</f>
        <v>0</v>
      </c>
      <c r="AI166" s="16">
        <f ca="1">IFERROR(_xlfn.XLOOKUP($F166,'FCDB 2017 (full)'!$C:$C,'FCDB 2017 (full)'!$Z:$Z)*$H166/100,0)</f>
        <v>0</v>
      </c>
      <c r="AJ166" s="16">
        <f ca="1">IFERROR(_xlfn.XLOOKUP($F166,'FCDB 2017 (full)'!$C:$C,'FCDB 2017 (full)'!$AA:$AA)*$H166/100,0)</f>
        <v>0</v>
      </c>
      <c r="AK166" s="16">
        <f ca="1">IFERROR(_xlfn.XLOOKUP($F166,'FCDB 2017 (full)'!$C:$C,'FCDB 2017 (full)'!$AB:$AB)*$H166/100,0)</f>
        <v>0</v>
      </c>
      <c r="AL166" s="16">
        <f ca="1">IFERROR(_xlfn.XLOOKUP($F166,'FCDB 2017 (full)'!$C:$C,'FCDB 2017 (full)'!$AC:$AC)*$H166/100,0)</f>
        <v>0</v>
      </c>
      <c r="AM166" s="16">
        <f ca="1">IFERROR(_xlfn.XLOOKUP($F166,'FCDB 2017 (full)'!$C:$C,'FCDB 2017 (full)'!$AD:$AD)*$H166/100,0)</f>
        <v>0</v>
      </c>
      <c r="AN166" s="16">
        <f ca="1">IFERROR(_xlfn.XLOOKUP($F166,'FCDB 2017 (full)'!$C:$C,'FCDB 2017 (full)'!$AE:$AE)*$H166/100,0)</f>
        <v>0</v>
      </c>
      <c r="AO166" s="16">
        <f ca="1">IFERROR(_xlfn.XLOOKUP($F166,'FCDB 2017 (full)'!$C:$C,'FCDB 2017 (full)'!$AF:$AF)*$H166/100,0)</f>
        <v>0</v>
      </c>
      <c r="AP166" s="16">
        <f ca="1">IFERROR(_xlfn.XLOOKUP($F166,'FCDB 2017 (full)'!$C:$C,'FCDB 2017 (full)'!$AG:$AG)*$H166/100,0)</f>
        <v>0</v>
      </c>
      <c r="AQ166" s="16">
        <f ca="1">IFERROR(_xlfn.XLOOKUP($F166,'FCDB 2017 (full)'!$C:$C,'FCDB 2017 (full)'!$AH:$AH)*$H166/100,0)</f>
        <v>0</v>
      </c>
      <c r="AR166" s="16">
        <f ca="1">IFERROR(_xlfn.XLOOKUP($F166,'FCDB 2017 (full)'!$C:$C,'FCDB 2017 (full)'!$AI:$AI)*$H166/100,0)</f>
        <v>0</v>
      </c>
      <c r="AS166" s="16">
        <f ca="1">IFERROR(_xlfn.XLOOKUP($F166,'FCDB 2017 (full)'!$C:$C,'FCDB 2017 (full)'!$AJ:$AJ)*$H166/100,0)</f>
        <v>0</v>
      </c>
      <c r="AT166" s="16">
        <f ca="1">IFERROR(_xlfn.XLOOKUP($F166,'FCDB 2017 (full)'!$C:$C,'FCDB 2017 (full)'!$AK:$AK)*$H166/100,0)</f>
        <v>0</v>
      </c>
      <c r="AU166" s="16">
        <f ca="1">IFERROR(_xlfn.XLOOKUP($F166,'FCDB 2017 (full)'!$C:$C,'FCDB 2017 (full)'!$AK:$AK)*$H166/100,0)</f>
        <v>0</v>
      </c>
      <c r="AV166" s="16">
        <f ca="1">IFERROR(_xlfn.XLOOKUP($F166,'FCDB 2017 (full)'!$C:$C,'FCDB 2017 (full)'!$AM:$AM)*$H166/100,0)</f>
        <v>0</v>
      </c>
      <c r="AW166" s="16">
        <f ca="1">IFERROR(_xlfn.XLOOKUP($F166,'FCDB 2017 (full)'!$C:$C,'FCDB 2017 (full)'!$AN:$AN)*$H166/100,0)</f>
        <v>0</v>
      </c>
      <c r="AX166" s="16">
        <f ca="1">IFERROR(_xlfn.XLOOKUP($F166,'FCDB 2017 (full)'!$C:$C,'FCDB 2017 (full)'!$AO:$AO)*$H166/100,0)</f>
        <v>0</v>
      </c>
      <c r="AY166" s="16">
        <f ca="1">IFERROR(_xlfn.XLOOKUP($F166,'FCDB 2017 (full)'!$C:$C,'FCDB 2017 (full)'!$AP:$AP)*$H166/100,0)</f>
        <v>0</v>
      </c>
      <c r="AZ166" s="16">
        <f ca="1">IFERROR(_xlfn.XLOOKUP($F166,'FCDB 2017 (full)'!$C:$C,'FCDB 2017 (full)'!$AQ:$AQ)*$H166/100,0)</f>
        <v>0</v>
      </c>
      <c r="BA166" s="16">
        <f ca="1">IFERROR(_xlfn.XLOOKUP($F166,'FCDB 2017 (full)'!$C:$C,'FCDB 2017 (full)'!$AR:$AR)*$H166/100,0)</f>
        <v>0</v>
      </c>
      <c r="BB166" s="16">
        <f ca="1">IFERROR(_xlfn.XLOOKUP($F166,'FCDB 2017 (full)'!$C:$C,'FCDB 2017 (full)'!$AS:$AS)*$H166/100,0)</f>
        <v>0</v>
      </c>
      <c r="BC166" s="16">
        <f ca="1">IFERROR(_xlfn.XLOOKUP($F166,'FCDB 2017 (full)'!$C:$C,'FCDB 2017 (full)'!$AT:$AT)*$H166/100,0)</f>
        <v>0</v>
      </c>
      <c r="BD166" s="16">
        <f ca="1">IFERROR(_xlfn.XLOOKUP($F166,'FCDB 2017 (full)'!$C:$C,'FCDB 2017 (full)'!$AU:$AU)*$H166/100,0)</f>
        <v>0</v>
      </c>
      <c r="BE166" s="16">
        <f ca="1">IFERROR(_xlfn.XLOOKUP($F166,'FCDB 2017 (full)'!$C:$C,'FCDB 2017 (full)'!$AV:$AV)*$H166/100,0)</f>
        <v>0</v>
      </c>
      <c r="BF166" s="16">
        <f ca="1">IFERROR(_xlfn.XLOOKUP($F166,'FCDB 2017 (full)'!$C:$C,'FCDB 2017 (full)'!$AW:$AW)*$H166/100,0)</f>
        <v>0</v>
      </c>
      <c r="BG166" s="16">
        <f ca="1">IFERROR(_xlfn.XLOOKUP($F166,'FCDB 2017 (full)'!$C:$C,'FCDB 2017 (full)'!$AX:$AX)*$H166/100,0)</f>
        <v>0</v>
      </c>
      <c r="BH166" s="16">
        <f ca="1">IFERROR(_xlfn.XLOOKUP($F166,'FCDB 2017 (full)'!$C:$C,'FCDB 2017 (full)'!$AY:$AY)*$H166/100,0)</f>
        <v>0</v>
      </c>
      <c r="BI166" s="16">
        <f ca="1">IFERROR(_xlfn.XLOOKUP($F166,'FCDB 2017 (full)'!$C:$C,'FCDB 2017 (full)'!$AZ:$AZ)*$H166/100,0)</f>
        <v>0</v>
      </c>
      <c r="BJ166" s="16">
        <f ca="1">IFERROR(_xlfn.XLOOKUP($F166,'FCDB 2017 (full)'!$C:$C,'FCDB 2017 (full)'!$BA:$BA)*$H166/100,0)</f>
        <v>0</v>
      </c>
      <c r="BK166" s="16">
        <f ca="1">IFERROR(_xlfn.XLOOKUP($F166,'FCDB 2017 (full)'!$C:$C,'FCDB 2017 (full)'!$BB:$BB)*$H166/100,0)</f>
        <v>0</v>
      </c>
      <c r="BL166" s="16">
        <f ca="1">IFERROR(_xlfn.XLOOKUP($F166,'FCDB 2017 (full)'!$C:$C,'FCDB 2017 (full)'!$BC:$BC)*$H166/100,0)</f>
        <v>0</v>
      </c>
      <c r="BM166" s="16">
        <f ca="1">IFERROR(_xlfn.XLOOKUP($F166,'FCDB 2017 (full)'!$C:$C,'FCDB 2017 (full)'!$BD:$BD)*$H166/100,0)</f>
        <v>0</v>
      </c>
      <c r="BN166" s="16">
        <f ca="1">IFERROR(_xlfn.XLOOKUP($F166,'FCDB 2017 (full)'!$C:$C,'FCDB 2017 (full)'!$BE:$BE)*$H166/100,0)</f>
        <v>0</v>
      </c>
      <c r="BO166" s="16">
        <f ca="1">IFERROR(_xlfn.XLOOKUP($F166,'FCDB 2017 (full)'!$C:$C,'FCDB 2017 (full)'!$BF:$BF)*$H166/100,0)</f>
        <v>0</v>
      </c>
      <c r="BP166" s="16">
        <f ca="1">IFERROR(_xlfn.XLOOKUP($F166,'FCDB 2017 (full)'!$C:$C,'FCDB 2017 (full)'!$BG:$BG)*$H166/100,0)</f>
        <v>0</v>
      </c>
      <c r="BQ166" s="16">
        <f ca="1">IFERROR(_xlfn.XLOOKUP($F166,'FCDB 2017 (full)'!$C:$C,'FCDB 2017 (full)'!$BH:$BH)*$H166/100,0)</f>
        <v>0</v>
      </c>
      <c r="BR166" s="16">
        <f ca="1">IFERROR(_xlfn.XLOOKUP($F166,'FCDB 2017 (full)'!$C:$C,'FCDB 2017 (full)'!$BI:$BI)*$H166/100,0)</f>
        <v>0</v>
      </c>
      <c r="BS166" s="16">
        <f ca="1">IFERROR(_xlfn.XLOOKUP($F166,'FCDB 2017 (full)'!$C:$C,'FCDB 2017 (full)'!$BJ:$BJ)*$H166/100,0)</f>
        <v>0</v>
      </c>
      <c r="BT166" s="16">
        <f ca="1">IFERROR(_xlfn.XLOOKUP($F166,'FCDB 2017 (full)'!$C:$C,'FCDB 2017 (full)'!$BK:$BK)*$H166/100,0)</f>
        <v>0</v>
      </c>
      <c r="BU166" s="16">
        <f ca="1">IFERROR(_xlfn.XLOOKUP($F166,'FCDB 2017 (full)'!$C:$C,'FCDB 2017 (full)'!$BL:$BL)*$H166/100,0)</f>
        <v>0</v>
      </c>
      <c r="BV166" s="16">
        <f ca="1">IFERROR(_xlfn.XLOOKUP($F166,'FCDB 2017 (full)'!$C:$C,'FCDB 2017 (full)'!$BM:$BM)*$H166/100,0)</f>
        <v>0</v>
      </c>
      <c r="BW166" s="16">
        <f ca="1">IFERROR(_xlfn.XLOOKUP($F166,'FCDB 2017 (full)'!$C:$C,'FCDB 2017 (full)'!$BN:$BN)*$H166/100,0)</f>
        <v>0</v>
      </c>
      <c r="BX166" s="16">
        <f ca="1">IFERROR(_xlfn.XLOOKUP($F166,'FCDB 2017 (full)'!$C:$C,'FCDB 2017 (full)'!$BO:$BO)*$H166/100,0)</f>
        <v>0</v>
      </c>
      <c r="BY166" s="16">
        <f ca="1">IFERROR(_xlfn.XLOOKUP($F166,'FCDB 2017 (full)'!$C:$C,'FCDB 2017 (full)'!$BP:$BP)*$H166/100,0)</f>
        <v>0</v>
      </c>
      <c r="BZ166" s="16">
        <f ca="1">IFERROR(_xlfn.XLOOKUP($F166,'FCDB 2017 (full)'!$C:$C,'FCDB 2017 (full)'!$BQ:$BQ)*$H166/100,0)</f>
        <v>0</v>
      </c>
      <c r="CA166" s="16">
        <f ca="1">IFERROR(_xlfn.XLOOKUP($F166,'FCDB 2017 (full)'!$C:$C,'FCDB 2017 (full)'!$BR:$BR)*$H166/100,0)</f>
        <v>0</v>
      </c>
      <c r="CB166" s="16">
        <f ca="1">IFERROR(_xlfn.XLOOKUP($F166,'FCDB 2017 (full)'!$C:$C,'FCDB 2017 (full)'!$BS:$BS)*$H166/100,0)</f>
        <v>0</v>
      </c>
      <c r="CC166" s="16">
        <f ca="1">IFERROR(_xlfn.XLOOKUP($F166,'FCDB 2017 (full)'!$C:$C,'FCDB 2017 (full)'!$BT:$BT)*$H166/100,0)</f>
        <v>0</v>
      </c>
      <c r="CD166" s="16">
        <f ca="1">IFERROR(_xlfn.XLOOKUP($F166,'FCDB 2017 (full)'!$C:$C,'FCDB 2017 (full)'!$BU:$BU)*$H166/100,0)</f>
        <v>0</v>
      </c>
      <c r="CE166" s="16">
        <f ca="1">IFERROR(_xlfn.XLOOKUP($F166,'FCDB 2017 (full)'!$C:$C,'FCDB 2017 (full)'!$BV:$BV)*$H166/100,0)</f>
        <v>0</v>
      </c>
      <c r="CF166" s="16">
        <f ca="1">IFERROR(_xlfn.XLOOKUP($F166,'FCDB 2017 (full)'!$C:$C,'FCDB 2017 (full)'!$BW:$BW)*$H166/100,0)</f>
        <v>0</v>
      </c>
      <c r="CG166" s="16">
        <f ca="1">IFERROR(_xlfn.XLOOKUP($F166,'FCDB 2017 (full)'!$C:$C,'FCDB 2017 (full)'!$BX:$BX)*$H166/100,0)</f>
        <v>0</v>
      </c>
      <c r="CH166" s="16">
        <f ca="1">IFERROR(_xlfn.XLOOKUP($F166,'FCDB 2017 (full)'!$C:$C,'FCDB 2017 (full)'!$BY:$BY)*$H166/100,0)</f>
        <v>0</v>
      </c>
      <c r="CI166" s="16">
        <f ca="1">IFERROR(_xlfn.XLOOKUP($F166,'FCDB 2017 (full)'!$C:$C,'FCDB 2017 (full)'!$BZ:$BZ)*$H166/100,0)</f>
        <v>0</v>
      </c>
      <c r="CJ166" s="16">
        <f ca="1">IFERROR(_xlfn.XLOOKUP($F166,'FCDB 2017 (full)'!$C:$C,'FCDB 2017 (full)'!$CA:$CA)*$H166/100,0)</f>
        <v>0</v>
      </c>
      <c r="CK166" s="16">
        <f ca="1">IFERROR(_xlfn.XLOOKUP($F166,'FCDB 2017 (full)'!$C:$C,'FCDB 2017 (full)'!$CB:$CB)*$H166/100,0)</f>
        <v>0</v>
      </c>
      <c r="CL166" s="16">
        <f ca="1">IFERROR(_xlfn.XLOOKUP($F166,'FCDB 2017 (full)'!$C:$C,'FCDB 2017 (full)'!$CC:$CC)*$H166/100,0)</f>
        <v>0</v>
      </c>
      <c r="CM166" s="16">
        <f ca="1">IFERROR(_xlfn.XLOOKUP($F166,'FCDB 2017 (full)'!$C:$C,'FCDB 2017 (full)'!$CD:$CD)*$H166/100,0)</f>
        <v>0</v>
      </c>
      <c r="CN166" s="16">
        <f ca="1">IFERROR(_xlfn.XLOOKUP($F166,'FCDB 2017 (full)'!$C:$C,'FCDB 2017 (full)'!$CE:$CE)*$H166/100,0)</f>
        <v>0</v>
      </c>
      <c r="CO166" s="16">
        <f ca="1">IFERROR(_xlfn.XLOOKUP($F166,'FCDB 2017 (full)'!$C:$C,'FCDB 2017 (full)'!$CF:$CF)*$H166/100,0)</f>
        <v>0</v>
      </c>
      <c r="CP166" s="16">
        <f ca="1">IFERROR(_xlfn.XLOOKUP($F166,'FCDB 2017 (full)'!$C:$C,'FCDB 2017 (full)'!$CG:$CG)*$H166/100,0)</f>
        <v>0</v>
      </c>
      <c r="CQ166" s="16">
        <f ca="1">IFERROR(_xlfn.XLOOKUP($F166,'FCDB 2017 (full)'!$C:$C,'FCDB 2017 (full)'!$CH:$CH)*$H166/100,0)</f>
        <v>0</v>
      </c>
      <c r="CR166" s="29"/>
      <c r="DA166" s="73" t="s">
        <v>985</v>
      </c>
    </row>
    <row r="167" spans="4:105" s="29" customFormat="1">
      <c r="F167" s="11">
        <f>IFERROR(VLOOKUP($D$139,$D:$AE,27,0),0)</f>
        <v>0</v>
      </c>
      <c r="G167" s="7" cm="1">
        <f t="array" ref="G167">IF(F167=0,0,IF(_xlfn.XLOOKUP(F167,$E$139:$AE$139,$E$140:$AE$140)=0,"Nhập ĐV/TV",_xlfn.XLOOKUP(F167,$E$139:$AE$139,$E$140:$AE$140)))</f>
        <v>0</v>
      </c>
      <c r="H167" s="8" cm="1">
        <f t="array" ref="H167">IFERROR(INDEX($E$141:$AE$141,MATCH(F167,$E$139:$AE$139,0)),0)</f>
        <v>0</v>
      </c>
      <c r="I167" s="9">
        <f ca="1">IFERROR(_xlfn.XLOOKUP($F167,'FCDB 2017 (full)'!$C:$C,'FCDB 2017 (full)'!$E:$E),0)</f>
        <v>0</v>
      </c>
      <c r="J167" s="10">
        <f t="shared" ca="1" si="30"/>
        <v>0</v>
      </c>
      <c r="K167" s="9">
        <f ca="1">IFERROR(_xlfn.XLOOKUP($F167,'FCDB 2017 (full)'!$C:$C,'FCDB 2017 (full)'!$G:$G),0)</f>
        <v>0</v>
      </c>
      <c r="L167" s="13">
        <f t="shared" si="31"/>
        <v>0</v>
      </c>
      <c r="M167" s="13">
        <f t="shared" si="32"/>
        <v>0</v>
      </c>
      <c r="N167" s="9">
        <f ca="1">IFERROR(_xlfn.XLOOKUP($F167,'FCDB 2017 (full)'!$C:$C,'FCDB 2017 (full)'!$H:$H),0)</f>
        <v>0</v>
      </c>
      <c r="O167" s="14">
        <f t="shared" si="33"/>
        <v>0</v>
      </c>
      <c r="P167" s="14">
        <f t="shared" si="34"/>
        <v>0</v>
      </c>
      <c r="Q167" s="9">
        <f ca="1">IFERROR(_xlfn.XLOOKUP($F167,'FCDB 2017 (full)'!$C:$C,'FCDB 2017 (full)'!$I:$I),0)</f>
        <v>0</v>
      </c>
      <c r="R167" s="15">
        <f t="shared" ca="1" si="35"/>
        <v>0</v>
      </c>
      <c r="S167" s="16">
        <f ca="1">IFERROR(_xlfn.XLOOKUP($F167,'FCDB 2017 (full)'!$C:$C,'FCDB 2017 (full)'!$J:$J)*$H167/100,0)</f>
        <v>0</v>
      </c>
      <c r="T167" s="16">
        <f ca="1">IFERROR(_xlfn.XLOOKUP($F167,'FCDB 2017 (full)'!$C:$C,'FCDB 2017 (full)'!$K:$K)*$H167/100,0)</f>
        <v>0</v>
      </c>
      <c r="U167" s="16">
        <f ca="1">IFERROR(_xlfn.XLOOKUP($F167,'FCDB 2017 (full)'!$C:$C,'FCDB 2017 (full)'!$L:$L)*$H167/100,0)</f>
        <v>0</v>
      </c>
      <c r="V167" s="16">
        <f ca="1">IFERROR(_xlfn.XLOOKUP($F167,'FCDB 2017 (full)'!$C:$C,'FCDB 2017 (full)'!$M:$M)*$H167/100,0)</f>
        <v>0</v>
      </c>
      <c r="W167" s="16">
        <f ca="1">IFERROR(_xlfn.XLOOKUP($F167,'FCDB 2017 (full)'!$C:$C,'FCDB 2017 (full)'!$N:$N)*$H167/100,0)</f>
        <v>0</v>
      </c>
      <c r="X167" s="16">
        <f ca="1">IFERROR(_xlfn.XLOOKUP($F167,'FCDB 2017 (full)'!$C:$C,'FCDB 2017 (full)'!$O:$O)*$H167/100,0)</f>
        <v>0</v>
      </c>
      <c r="Y167" s="16">
        <f ca="1">IFERROR(_xlfn.XLOOKUP($F167,'FCDB 2017 (full)'!$C:$C,'FCDB 2017 (full)'!$P:$P)*$H167/100,0)</f>
        <v>0</v>
      </c>
      <c r="Z167" s="16">
        <f ca="1">IFERROR(_xlfn.XLOOKUP($F167,'FCDB 2017 (full)'!$C:$C,'FCDB 2017 (full)'!$Q:$Q)*$H167/100,0)</f>
        <v>0</v>
      </c>
      <c r="AA167" s="16">
        <f ca="1">IFERROR(_xlfn.XLOOKUP($F167,'FCDB 2017 (full)'!$C:$C,'FCDB 2017 (full)'!$R:$R)*$H167/100,0)</f>
        <v>0</v>
      </c>
      <c r="AB167" s="16">
        <f ca="1">IFERROR(_xlfn.XLOOKUP($F167,'FCDB 2017 (full)'!$C:$C,'FCDB 2017 (full)'!$S:$S)*$H167/100,0)</f>
        <v>0</v>
      </c>
      <c r="AC167" s="16">
        <f ca="1">IFERROR(_xlfn.XLOOKUP($F167,'FCDB 2017 (full)'!$C:$C,'FCDB 2017 (full)'!$T:$T)*$H167/100,0)</f>
        <v>0</v>
      </c>
      <c r="AD167" s="16">
        <f ca="1">IFERROR(_xlfn.XLOOKUP($F167,'FCDB 2017 (full)'!$C:$C,'FCDB 2017 (full)'!$U:$U)*$H167/100,0)</f>
        <v>0</v>
      </c>
      <c r="AE167" s="16">
        <f ca="1">IFERROR(_xlfn.XLOOKUP($F167,'FCDB 2017 (full)'!$C:$C,'FCDB 2017 (full)'!$V:$V)*$H167/100,0)</f>
        <v>0</v>
      </c>
      <c r="AF167" s="16">
        <f ca="1">IFERROR(_xlfn.XLOOKUP($F167,'FCDB 2017 (full)'!$C:$C,'FCDB 2017 (full)'!$W:$W)*$H167/100,0)</f>
        <v>0</v>
      </c>
      <c r="AG167" s="16">
        <f ca="1">IFERROR(_xlfn.XLOOKUP($F167,'FCDB 2017 (full)'!$C:$C,'FCDB 2017 (full)'!$X:$X)*$H167/100,0)</f>
        <v>0</v>
      </c>
      <c r="AH167" s="16">
        <f ca="1">IFERROR(_xlfn.XLOOKUP($F167,'FCDB 2017 (full)'!$C:$C,'FCDB 2017 (full)'!$Y:$Y)*$H167/100,0)</f>
        <v>0</v>
      </c>
      <c r="AI167" s="16">
        <f ca="1">IFERROR(_xlfn.XLOOKUP($F167,'FCDB 2017 (full)'!$C:$C,'FCDB 2017 (full)'!$Z:$Z)*$H167/100,0)</f>
        <v>0</v>
      </c>
      <c r="AJ167" s="16">
        <f ca="1">IFERROR(_xlfn.XLOOKUP($F167,'FCDB 2017 (full)'!$C:$C,'FCDB 2017 (full)'!$AA:$AA)*$H167/100,0)</f>
        <v>0</v>
      </c>
      <c r="AK167" s="16">
        <f ca="1">IFERROR(_xlfn.XLOOKUP($F167,'FCDB 2017 (full)'!$C:$C,'FCDB 2017 (full)'!$AB:$AB)*$H167/100,0)</f>
        <v>0</v>
      </c>
      <c r="AL167" s="16">
        <f ca="1">IFERROR(_xlfn.XLOOKUP($F167,'FCDB 2017 (full)'!$C:$C,'FCDB 2017 (full)'!$AC:$AC)*$H167/100,0)</f>
        <v>0</v>
      </c>
      <c r="AM167" s="16">
        <f ca="1">IFERROR(_xlfn.XLOOKUP($F167,'FCDB 2017 (full)'!$C:$C,'FCDB 2017 (full)'!$AD:$AD)*$H167/100,0)</f>
        <v>0</v>
      </c>
      <c r="AN167" s="16">
        <f ca="1">IFERROR(_xlfn.XLOOKUP($F167,'FCDB 2017 (full)'!$C:$C,'FCDB 2017 (full)'!$AE:$AE)*$H167/100,0)</f>
        <v>0</v>
      </c>
      <c r="AO167" s="16">
        <f ca="1">IFERROR(_xlfn.XLOOKUP($F167,'FCDB 2017 (full)'!$C:$C,'FCDB 2017 (full)'!$AF:$AF)*$H167/100,0)</f>
        <v>0</v>
      </c>
      <c r="AP167" s="16">
        <f ca="1">IFERROR(_xlfn.XLOOKUP($F167,'FCDB 2017 (full)'!$C:$C,'FCDB 2017 (full)'!$AG:$AG)*$H167/100,0)</f>
        <v>0</v>
      </c>
      <c r="AQ167" s="16">
        <f ca="1">IFERROR(_xlfn.XLOOKUP($F167,'FCDB 2017 (full)'!$C:$C,'FCDB 2017 (full)'!$AH:$AH)*$H167/100,0)</f>
        <v>0</v>
      </c>
      <c r="AR167" s="16">
        <f ca="1">IFERROR(_xlfn.XLOOKUP($F167,'FCDB 2017 (full)'!$C:$C,'FCDB 2017 (full)'!$AI:$AI)*$H167/100,0)</f>
        <v>0</v>
      </c>
      <c r="AS167" s="16">
        <f ca="1">IFERROR(_xlfn.XLOOKUP($F167,'FCDB 2017 (full)'!$C:$C,'FCDB 2017 (full)'!$AJ:$AJ)*$H167/100,0)</f>
        <v>0</v>
      </c>
      <c r="AT167" s="16">
        <f ca="1">IFERROR(_xlfn.XLOOKUP($F167,'FCDB 2017 (full)'!$C:$C,'FCDB 2017 (full)'!$AK:$AK)*$H167/100,0)</f>
        <v>0</v>
      </c>
      <c r="AU167" s="16">
        <f ca="1">IFERROR(_xlfn.XLOOKUP($F167,'FCDB 2017 (full)'!$C:$C,'FCDB 2017 (full)'!$AK:$AK)*$H167/100,0)</f>
        <v>0</v>
      </c>
      <c r="AV167" s="16">
        <f ca="1">IFERROR(_xlfn.XLOOKUP($F167,'FCDB 2017 (full)'!$C:$C,'FCDB 2017 (full)'!$AM:$AM)*$H167/100,0)</f>
        <v>0</v>
      </c>
      <c r="AW167" s="16">
        <f ca="1">IFERROR(_xlfn.XLOOKUP($F167,'FCDB 2017 (full)'!$C:$C,'FCDB 2017 (full)'!$AN:$AN)*$H167/100,0)</f>
        <v>0</v>
      </c>
      <c r="AX167" s="16">
        <f ca="1">IFERROR(_xlfn.XLOOKUP($F167,'FCDB 2017 (full)'!$C:$C,'FCDB 2017 (full)'!$AO:$AO)*$H167/100,0)</f>
        <v>0</v>
      </c>
      <c r="AY167" s="16">
        <f ca="1">IFERROR(_xlfn.XLOOKUP($F167,'FCDB 2017 (full)'!$C:$C,'FCDB 2017 (full)'!$AP:$AP)*$H167/100,0)</f>
        <v>0</v>
      </c>
      <c r="AZ167" s="16">
        <f ca="1">IFERROR(_xlfn.XLOOKUP($F167,'FCDB 2017 (full)'!$C:$C,'FCDB 2017 (full)'!$AQ:$AQ)*$H167/100,0)</f>
        <v>0</v>
      </c>
      <c r="BA167" s="16">
        <f ca="1">IFERROR(_xlfn.XLOOKUP($F167,'FCDB 2017 (full)'!$C:$C,'FCDB 2017 (full)'!$AR:$AR)*$H167/100,0)</f>
        <v>0</v>
      </c>
      <c r="BB167" s="16">
        <f ca="1">IFERROR(_xlfn.XLOOKUP($F167,'FCDB 2017 (full)'!$C:$C,'FCDB 2017 (full)'!$AS:$AS)*$H167/100,0)</f>
        <v>0</v>
      </c>
      <c r="BC167" s="16">
        <f ca="1">IFERROR(_xlfn.XLOOKUP($F167,'FCDB 2017 (full)'!$C:$C,'FCDB 2017 (full)'!$AT:$AT)*$H167/100,0)</f>
        <v>0</v>
      </c>
      <c r="BD167" s="16">
        <f ca="1">IFERROR(_xlfn.XLOOKUP($F167,'FCDB 2017 (full)'!$C:$C,'FCDB 2017 (full)'!$AU:$AU)*$H167/100,0)</f>
        <v>0</v>
      </c>
      <c r="BE167" s="16">
        <f ca="1">IFERROR(_xlfn.XLOOKUP($F167,'FCDB 2017 (full)'!$C:$C,'FCDB 2017 (full)'!$AV:$AV)*$H167/100,0)</f>
        <v>0</v>
      </c>
      <c r="BF167" s="16">
        <f ca="1">IFERROR(_xlfn.XLOOKUP($F167,'FCDB 2017 (full)'!$C:$C,'FCDB 2017 (full)'!$AW:$AW)*$H167/100,0)</f>
        <v>0</v>
      </c>
      <c r="BG167" s="16">
        <f ca="1">IFERROR(_xlfn.XLOOKUP($F167,'FCDB 2017 (full)'!$C:$C,'FCDB 2017 (full)'!$AX:$AX)*$H167/100,0)</f>
        <v>0</v>
      </c>
      <c r="BH167" s="16">
        <f ca="1">IFERROR(_xlfn.XLOOKUP($F167,'FCDB 2017 (full)'!$C:$C,'FCDB 2017 (full)'!$AY:$AY)*$H167/100,0)</f>
        <v>0</v>
      </c>
      <c r="BI167" s="16">
        <f ca="1">IFERROR(_xlfn.XLOOKUP($F167,'FCDB 2017 (full)'!$C:$C,'FCDB 2017 (full)'!$AZ:$AZ)*$H167/100,0)</f>
        <v>0</v>
      </c>
      <c r="BJ167" s="16">
        <f ca="1">IFERROR(_xlfn.XLOOKUP($F167,'FCDB 2017 (full)'!$C:$C,'FCDB 2017 (full)'!$BA:$BA)*$H167/100,0)</f>
        <v>0</v>
      </c>
      <c r="BK167" s="16">
        <f ca="1">IFERROR(_xlfn.XLOOKUP($F167,'FCDB 2017 (full)'!$C:$C,'FCDB 2017 (full)'!$BB:$BB)*$H167/100,0)</f>
        <v>0</v>
      </c>
      <c r="BL167" s="16">
        <f ca="1">IFERROR(_xlfn.XLOOKUP($F167,'FCDB 2017 (full)'!$C:$C,'FCDB 2017 (full)'!$BC:$BC)*$H167/100,0)</f>
        <v>0</v>
      </c>
      <c r="BM167" s="16">
        <f ca="1">IFERROR(_xlfn.XLOOKUP($F167,'FCDB 2017 (full)'!$C:$C,'FCDB 2017 (full)'!$BD:$BD)*$H167/100,0)</f>
        <v>0</v>
      </c>
      <c r="BN167" s="16">
        <f ca="1">IFERROR(_xlfn.XLOOKUP($F167,'FCDB 2017 (full)'!$C:$C,'FCDB 2017 (full)'!$BE:$BE)*$H167/100,0)</f>
        <v>0</v>
      </c>
      <c r="BO167" s="16">
        <f ca="1">IFERROR(_xlfn.XLOOKUP($F167,'FCDB 2017 (full)'!$C:$C,'FCDB 2017 (full)'!$BF:$BF)*$H167/100,0)</f>
        <v>0</v>
      </c>
      <c r="BP167" s="16">
        <f ca="1">IFERROR(_xlfn.XLOOKUP($F167,'FCDB 2017 (full)'!$C:$C,'FCDB 2017 (full)'!$BG:$BG)*$H167/100,0)</f>
        <v>0</v>
      </c>
      <c r="BQ167" s="16">
        <f ca="1">IFERROR(_xlfn.XLOOKUP($F167,'FCDB 2017 (full)'!$C:$C,'FCDB 2017 (full)'!$BH:$BH)*$H167/100,0)</f>
        <v>0</v>
      </c>
      <c r="BR167" s="16">
        <f ca="1">IFERROR(_xlfn.XLOOKUP($F167,'FCDB 2017 (full)'!$C:$C,'FCDB 2017 (full)'!$BI:$BI)*$H167/100,0)</f>
        <v>0</v>
      </c>
      <c r="BS167" s="16">
        <f ca="1">IFERROR(_xlfn.XLOOKUP($F167,'FCDB 2017 (full)'!$C:$C,'FCDB 2017 (full)'!$BJ:$BJ)*$H167/100,0)</f>
        <v>0</v>
      </c>
      <c r="BT167" s="16">
        <f ca="1">IFERROR(_xlfn.XLOOKUP($F167,'FCDB 2017 (full)'!$C:$C,'FCDB 2017 (full)'!$BK:$BK)*$H167/100,0)</f>
        <v>0</v>
      </c>
      <c r="BU167" s="16">
        <f ca="1">IFERROR(_xlfn.XLOOKUP($F167,'FCDB 2017 (full)'!$C:$C,'FCDB 2017 (full)'!$BL:$BL)*$H167/100,0)</f>
        <v>0</v>
      </c>
      <c r="BV167" s="16">
        <f ca="1">IFERROR(_xlfn.XLOOKUP($F167,'FCDB 2017 (full)'!$C:$C,'FCDB 2017 (full)'!$BM:$BM)*$H167/100,0)</f>
        <v>0</v>
      </c>
      <c r="BW167" s="16">
        <f ca="1">IFERROR(_xlfn.XLOOKUP($F167,'FCDB 2017 (full)'!$C:$C,'FCDB 2017 (full)'!$BN:$BN)*$H167/100,0)</f>
        <v>0</v>
      </c>
      <c r="BX167" s="16">
        <f ca="1">IFERROR(_xlfn.XLOOKUP($F167,'FCDB 2017 (full)'!$C:$C,'FCDB 2017 (full)'!$BO:$BO)*$H167/100,0)</f>
        <v>0</v>
      </c>
      <c r="BY167" s="16">
        <f ca="1">IFERROR(_xlfn.XLOOKUP($F167,'FCDB 2017 (full)'!$C:$C,'FCDB 2017 (full)'!$BP:$BP)*$H167/100,0)</f>
        <v>0</v>
      </c>
      <c r="BZ167" s="16">
        <f ca="1">IFERROR(_xlfn.XLOOKUP($F167,'FCDB 2017 (full)'!$C:$C,'FCDB 2017 (full)'!$BQ:$BQ)*$H167/100,0)</f>
        <v>0</v>
      </c>
      <c r="CA167" s="16">
        <f ca="1">IFERROR(_xlfn.XLOOKUP($F167,'FCDB 2017 (full)'!$C:$C,'FCDB 2017 (full)'!$BR:$BR)*$H167/100,0)</f>
        <v>0</v>
      </c>
      <c r="CB167" s="16">
        <f ca="1">IFERROR(_xlfn.XLOOKUP($F167,'FCDB 2017 (full)'!$C:$C,'FCDB 2017 (full)'!$BS:$BS)*$H167/100,0)</f>
        <v>0</v>
      </c>
      <c r="CC167" s="16">
        <f ca="1">IFERROR(_xlfn.XLOOKUP($F167,'FCDB 2017 (full)'!$C:$C,'FCDB 2017 (full)'!$BT:$BT)*$H167/100,0)</f>
        <v>0</v>
      </c>
      <c r="CD167" s="16">
        <f ca="1">IFERROR(_xlfn.XLOOKUP($F167,'FCDB 2017 (full)'!$C:$C,'FCDB 2017 (full)'!$BU:$BU)*$H167/100,0)</f>
        <v>0</v>
      </c>
      <c r="CE167" s="16">
        <f ca="1">IFERROR(_xlfn.XLOOKUP($F167,'FCDB 2017 (full)'!$C:$C,'FCDB 2017 (full)'!$BV:$BV)*$H167/100,0)</f>
        <v>0</v>
      </c>
      <c r="CF167" s="16">
        <f ca="1">IFERROR(_xlfn.XLOOKUP($F167,'FCDB 2017 (full)'!$C:$C,'FCDB 2017 (full)'!$BW:$BW)*$H167/100,0)</f>
        <v>0</v>
      </c>
      <c r="CG167" s="16">
        <f ca="1">IFERROR(_xlfn.XLOOKUP($F167,'FCDB 2017 (full)'!$C:$C,'FCDB 2017 (full)'!$BX:$BX)*$H167/100,0)</f>
        <v>0</v>
      </c>
      <c r="CH167" s="16">
        <f ca="1">IFERROR(_xlfn.XLOOKUP($F167,'FCDB 2017 (full)'!$C:$C,'FCDB 2017 (full)'!$BY:$BY)*$H167/100,0)</f>
        <v>0</v>
      </c>
      <c r="CI167" s="16">
        <f ca="1">IFERROR(_xlfn.XLOOKUP($F167,'FCDB 2017 (full)'!$C:$C,'FCDB 2017 (full)'!$BZ:$BZ)*$H167/100,0)</f>
        <v>0</v>
      </c>
      <c r="CJ167" s="16">
        <f ca="1">IFERROR(_xlfn.XLOOKUP($F167,'FCDB 2017 (full)'!$C:$C,'FCDB 2017 (full)'!$CA:$CA)*$H167/100,0)</f>
        <v>0</v>
      </c>
      <c r="CK167" s="16">
        <f ca="1">IFERROR(_xlfn.XLOOKUP($F167,'FCDB 2017 (full)'!$C:$C,'FCDB 2017 (full)'!$CB:$CB)*$H167/100,0)</f>
        <v>0</v>
      </c>
      <c r="CL167" s="16">
        <f ca="1">IFERROR(_xlfn.XLOOKUP($F167,'FCDB 2017 (full)'!$C:$C,'FCDB 2017 (full)'!$CC:$CC)*$H167/100,0)</f>
        <v>0</v>
      </c>
      <c r="CM167" s="16">
        <f ca="1">IFERROR(_xlfn.XLOOKUP($F167,'FCDB 2017 (full)'!$C:$C,'FCDB 2017 (full)'!$CD:$CD)*$H167/100,0)</f>
        <v>0</v>
      </c>
      <c r="CN167" s="16">
        <f ca="1">IFERROR(_xlfn.XLOOKUP($F167,'FCDB 2017 (full)'!$C:$C,'FCDB 2017 (full)'!$CE:$CE)*$H167/100,0)</f>
        <v>0</v>
      </c>
      <c r="CO167" s="16">
        <f ca="1">IFERROR(_xlfn.XLOOKUP($F167,'FCDB 2017 (full)'!$C:$C,'FCDB 2017 (full)'!$CF:$CF)*$H167/100,0)</f>
        <v>0</v>
      </c>
      <c r="CP167" s="16">
        <f ca="1">IFERROR(_xlfn.XLOOKUP($F167,'FCDB 2017 (full)'!$C:$C,'FCDB 2017 (full)'!$CG:$CG)*$H167/100,0)</f>
        <v>0</v>
      </c>
      <c r="CQ167" s="16">
        <f ca="1">IFERROR(_xlfn.XLOOKUP($F167,'FCDB 2017 (full)'!$C:$C,'FCDB 2017 (full)'!$CH:$CH)*$H167/100,0)</f>
        <v>0</v>
      </c>
      <c r="DA167" s="73" t="s">
        <v>985</v>
      </c>
    </row>
    <row r="168" spans="4:105" s="29" customFormat="1">
      <c r="F168" s="11">
        <f>IFERROR(VLOOKUP($D$139,$D:$AE,28,0),0)</f>
        <v>0</v>
      </c>
      <c r="G168" s="7" cm="1">
        <f t="array" ref="G168">IF(F168=0,0,IF(_xlfn.XLOOKUP(F168,$E$139:$AE$139,$E$140:$AE$140)=0,"Nhập ĐV/TV",_xlfn.XLOOKUP(F168,$E$139:$AE$139,$E$140:$AE$140)))</f>
        <v>0</v>
      </c>
      <c r="H168" s="8" cm="1">
        <f t="array" ref="H168">IFERROR(INDEX($E$141:$AE$141,MATCH(F168,$E$139:$AE$139,0)),0)</f>
        <v>0</v>
      </c>
      <c r="I168" s="9">
        <f ca="1">IFERROR(_xlfn.XLOOKUP($F168,'FCDB 2017 (full)'!$C:$C,'FCDB 2017 (full)'!$E:$E),0)</f>
        <v>0</v>
      </c>
      <c r="J168" s="10">
        <f t="shared" ca="1" si="30"/>
        <v>0</v>
      </c>
      <c r="K168" s="9">
        <f ca="1">IFERROR(_xlfn.XLOOKUP($F168,'FCDB 2017 (full)'!$C:$C,'FCDB 2017 (full)'!$G:$G),0)</f>
        <v>0</v>
      </c>
      <c r="L168" s="13">
        <f t="shared" si="31"/>
        <v>0</v>
      </c>
      <c r="M168" s="13">
        <f t="shared" si="32"/>
        <v>0</v>
      </c>
      <c r="N168" s="9">
        <f ca="1">IFERROR(_xlfn.XLOOKUP($F168,'FCDB 2017 (full)'!$C:$C,'FCDB 2017 (full)'!$H:$H),0)</f>
        <v>0</v>
      </c>
      <c r="O168" s="14">
        <f t="shared" si="33"/>
        <v>0</v>
      </c>
      <c r="P168" s="14">
        <f t="shared" si="34"/>
        <v>0</v>
      </c>
      <c r="Q168" s="9">
        <f ca="1">IFERROR(_xlfn.XLOOKUP($F168,'FCDB 2017 (full)'!$C:$C,'FCDB 2017 (full)'!$I:$I),0)</f>
        <v>0</v>
      </c>
      <c r="R168" s="15">
        <f t="shared" ca="1" si="35"/>
        <v>0</v>
      </c>
      <c r="S168" s="16">
        <f ca="1">IFERROR(_xlfn.XLOOKUP($F168,'FCDB 2017 (full)'!$C:$C,'FCDB 2017 (full)'!$J:$J)*$H168/100,0)</f>
        <v>0</v>
      </c>
      <c r="T168" s="16">
        <f ca="1">IFERROR(_xlfn.XLOOKUP($F168,'FCDB 2017 (full)'!$C:$C,'FCDB 2017 (full)'!$K:$K)*$H168/100,0)</f>
        <v>0</v>
      </c>
      <c r="U168" s="16">
        <f ca="1">IFERROR(_xlfn.XLOOKUP($F168,'FCDB 2017 (full)'!$C:$C,'FCDB 2017 (full)'!$L:$L)*$H168/100,0)</f>
        <v>0</v>
      </c>
      <c r="V168" s="16">
        <f ca="1">IFERROR(_xlfn.XLOOKUP($F168,'FCDB 2017 (full)'!$C:$C,'FCDB 2017 (full)'!$M:$M)*$H168/100,0)</f>
        <v>0</v>
      </c>
      <c r="W168" s="16">
        <f ca="1">IFERROR(_xlfn.XLOOKUP($F168,'FCDB 2017 (full)'!$C:$C,'FCDB 2017 (full)'!$N:$N)*$H168/100,0)</f>
        <v>0</v>
      </c>
      <c r="X168" s="16">
        <f ca="1">IFERROR(_xlfn.XLOOKUP($F168,'FCDB 2017 (full)'!$C:$C,'FCDB 2017 (full)'!$O:$O)*$H168/100,0)</f>
        <v>0</v>
      </c>
      <c r="Y168" s="16">
        <f ca="1">IFERROR(_xlfn.XLOOKUP($F168,'FCDB 2017 (full)'!$C:$C,'FCDB 2017 (full)'!$P:$P)*$H168/100,0)</f>
        <v>0</v>
      </c>
      <c r="Z168" s="16">
        <f ca="1">IFERROR(_xlfn.XLOOKUP($F168,'FCDB 2017 (full)'!$C:$C,'FCDB 2017 (full)'!$Q:$Q)*$H168/100,0)</f>
        <v>0</v>
      </c>
      <c r="AA168" s="16">
        <f ca="1">IFERROR(_xlfn.XLOOKUP($F168,'FCDB 2017 (full)'!$C:$C,'FCDB 2017 (full)'!$R:$R)*$H168/100,0)</f>
        <v>0</v>
      </c>
      <c r="AB168" s="16">
        <f ca="1">IFERROR(_xlfn.XLOOKUP($F168,'FCDB 2017 (full)'!$C:$C,'FCDB 2017 (full)'!$S:$S)*$H168/100,0)</f>
        <v>0</v>
      </c>
      <c r="AC168" s="16">
        <f ca="1">IFERROR(_xlfn.XLOOKUP($F168,'FCDB 2017 (full)'!$C:$C,'FCDB 2017 (full)'!$T:$T)*$H168/100,0)</f>
        <v>0</v>
      </c>
      <c r="AD168" s="16">
        <f ca="1">IFERROR(_xlfn.XLOOKUP($F168,'FCDB 2017 (full)'!$C:$C,'FCDB 2017 (full)'!$U:$U)*$H168/100,0)</f>
        <v>0</v>
      </c>
      <c r="AE168" s="16">
        <f ca="1">IFERROR(_xlfn.XLOOKUP($F168,'FCDB 2017 (full)'!$C:$C,'FCDB 2017 (full)'!$V:$V)*$H168/100,0)</f>
        <v>0</v>
      </c>
      <c r="AF168" s="16">
        <f ca="1">IFERROR(_xlfn.XLOOKUP($F168,'FCDB 2017 (full)'!$C:$C,'FCDB 2017 (full)'!$W:$W)*$H168/100,0)</f>
        <v>0</v>
      </c>
      <c r="AG168" s="16">
        <f ca="1">IFERROR(_xlfn.XLOOKUP($F168,'FCDB 2017 (full)'!$C:$C,'FCDB 2017 (full)'!$X:$X)*$H168/100,0)</f>
        <v>0</v>
      </c>
      <c r="AH168" s="16">
        <f ca="1">IFERROR(_xlfn.XLOOKUP($F168,'FCDB 2017 (full)'!$C:$C,'FCDB 2017 (full)'!$Y:$Y)*$H168/100,0)</f>
        <v>0</v>
      </c>
      <c r="AI168" s="16">
        <f ca="1">IFERROR(_xlfn.XLOOKUP($F168,'FCDB 2017 (full)'!$C:$C,'FCDB 2017 (full)'!$Z:$Z)*$H168/100,0)</f>
        <v>0</v>
      </c>
      <c r="AJ168" s="16">
        <f ca="1">IFERROR(_xlfn.XLOOKUP($F168,'FCDB 2017 (full)'!$C:$C,'FCDB 2017 (full)'!$AA:$AA)*$H168/100,0)</f>
        <v>0</v>
      </c>
      <c r="AK168" s="16">
        <f ca="1">IFERROR(_xlfn.XLOOKUP($F168,'FCDB 2017 (full)'!$C:$C,'FCDB 2017 (full)'!$AB:$AB)*$H168/100,0)</f>
        <v>0</v>
      </c>
      <c r="AL168" s="16">
        <f ca="1">IFERROR(_xlfn.XLOOKUP($F168,'FCDB 2017 (full)'!$C:$C,'FCDB 2017 (full)'!$AC:$AC)*$H168/100,0)</f>
        <v>0</v>
      </c>
      <c r="AM168" s="16">
        <f ca="1">IFERROR(_xlfn.XLOOKUP($F168,'FCDB 2017 (full)'!$C:$C,'FCDB 2017 (full)'!$AD:$AD)*$H168/100,0)</f>
        <v>0</v>
      </c>
      <c r="AN168" s="16">
        <f ca="1">IFERROR(_xlfn.XLOOKUP($F168,'FCDB 2017 (full)'!$C:$C,'FCDB 2017 (full)'!$AE:$AE)*$H168/100,0)</f>
        <v>0</v>
      </c>
      <c r="AO168" s="16">
        <f ca="1">IFERROR(_xlfn.XLOOKUP($F168,'FCDB 2017 (full)'!$C:$C,'FCDB 2017 (full)'!$AF:$AF)*$H168/100,0)</f>
        <v>0</v>
      </c>
      <c r="AP168" s="16">
        <f ca="1">IFERROR(_xlfn.XLOOKUP($F168,'FCDB 2017 (full)'!$C:$C,'FCDB 2017 (full)'!$AG:$AG)*$H168/100,0)</f>
        <v>0</v>
      </c>
      <c r="AQ168" s="16">
        <f ca="1">IFERROR(_xlfn.XLOOKUP($F168,'FCDB 2017 (full)'!$C:$C,'FCDB 2017 (full)'!$AH:$AH)*$H168/100,0)</f>
        <v>0</v>
      </c>
      <c r="AR168" s="16">
        <f ca="1">IFERROR(_xlfn.XLOOKUP($F168,'FCDB 2017 (full)'!$C:$C,'FCDB 2017 (full)'!$AI:$AI)*$H168/100,0)</f>
        <v>0</v>
      </c>
      <c r="AS168" s="16">
        <f ca="1">IFERROR(_xlfn.XLOOKUP($F168,'FCDB 2017 (full)'!$C:$C,'FCDB 2017 (full)'!$AJ:$AJ)*$H168/100,0)</f>
        <v>0</v>
      </c>
      <c r="AT168" s="16">
        <f ca="1">IFERROR(_xlfn.XLOOKUP($F168,'FCDB 2017 (full)'!$C:$C,'FCDB 2017 (full)'!$AK:$AK)*$H168/100,0)</f>
        <v>0</v>
      </c>
      <c r="AU168" s="16">
        <f ca="1">IFERROR(_xlfn.XLOOKUP($F168,'FCDB 2017 (full)'!$C:$C,'FCDB 2017 (full)'!$AK:$AK)*$H168/100,0)</f>
        <v>0</v>
      </c>
      <c r="AV168" s="16">
        <f ca="1">IFERROR(_xlfn.XLOOKUP($F168,'FCDB 2017 (full)'!$C:$C,'FCDB 2017 (full)'!$AM:$AM)*$H168/100,0)</f>
        <v>0</v>
      </c>
      <c r="AW168" s="16">
        <f ca="1">IFERROR(_xlfn.XLOOKUP($F168,'FCDB 2017 (full)'!$C:$C,'FCDB 2017 (full)'!$AN:$AN)*$H168/100,0)</f>
        <v>0</v>
      </c>
      <c r="AX168" s="16">
        <f ca="1">IFERROR(_xlfn.XLOOKUP($F168,'FCDB 2017 (full)'!$C:$C,'FCDB 2017 (full)'!$AO:$AO)*$H168/100,0)</f>
        <v>0</v>
      </c>
      <c r="AY168" s="16">
        <f ca="1">IFERROR(_xlfn.XLOOKUP($F168,'FCDB 2017 (full)'!$C:$C,'FCDB 2017 (full)'!$AP:$AP)*$H168/100,0)</f>
        <v>0</v>
      </c>
      <c r="AZ168" s="16">
        <f ca="1">IFERROR(_xlfn.XLOOKUP($F168,'FCDB 2017 (full)'!$C:$C,'FCDB 2017 (full)'!$AQ:$AQ)*$H168/100,0)</f>
        <v>0</v>
      </c>
      <c r="BA168" s="16">
        <f ca="1">IFERROR(_xlfn.XLOOKUP($F168,'FCDB 2017 (full)'!$C:$C,'FCDB 2017 (full)'!$AR:$AR)*$H168/100,0)</f>
        <v>0</v>
      </c>
      <c r="BB168" s="16">
        <f ca="1">IFERROR(_xlfn.XLOOKUP($F168,'FCDB 2017 (full)'!$C:$C,'FCDB 2017 (full)'!$AS:$AS)*$H168/100,0)</f>
        <v>0</v>
      </c>
      <c r="BC168" s="16">
        <f ca="1">IFERROR(_xlfn.XLOOKUP($F168,'FCDB 2017 (full)'!$C:$C,'FCDB 2017 (full)'!$AT:$AT)*$H168/100,0)</f>
        <v>0</v>
      </c>
      <c r="BD168" s="16">
        <f ca="1">IFERROR(_xlfn.XLOOKUP($F168,'FCDB 2017 (full)'!$C:$C,'FCDB 2017 (full)'!$AU:$AU)*$H168/100,0)</f>
        <v>0</v>
      </c>
      <c r="BE168" s="16">
        <f ca="1">IFERROR(_xlfn.XLOOKUP($F168,'FCDB 2017 (full)'!$C:$C,'FCDB 2017 (full)'!$AV:$AV)*$H168/100,0)</f>
        <v>0</v>
      </c>
      <c r="BF168" s="16">
        <f ca="1">IFERROR(_xlfn.XLOOKUP($F168,'FCDB 2017 (full)'!$C:$C,'FCDB 2017 (full)'!$AW:$AW)*$H168/100,0)</f>
        <v>0</v>
      </c>
      <c r="BG168" s="16">
        <f ca="1">IFERROR(_xlfn.XLOOKUP($F168,'FCDB 2017 (full)'!$C:$C,'FCDB 2017 (full)'!$AX:$AX)*$H168/100,0)</f>
        <v>0</v>
      </c>
      <c r="BH168" s="16">
        <f ca="1">IFERROR(_xlfn.XLOOKUP($F168,'FCDB 2017 (full)'!$C:$C,'FCDB 2017 (full)'!$AY:$AY)*$H168/100,0)</f>
        <v>0</v>
      </c>
      <c r="BI168" s="16">
        <f ca="1">IFERROR(_xlfn.XLOOKUP($F168,'FCDB 2017 (full)'!$C:$C,'FCDB 2017 (full)'!$AZ:$AZ)*$H168/100,0)</f>
        <v>0</v>
      </c>
      <c r="BJ168" s="16">
        <f ca="1">IFERROR(_xlfn.XLOOKUP($F168,'FCDB 2017 (full)'!$C:$C,'FCDB 2017 (full)'!$BA:$BA)*$H168/100,0)</f>
        <v>0</v>
      </c>
      <c r="BK168" s="16">
        <f ca="1">IFERROR(_xlfn.XLOOKUP($F168,'FCDB 2017 (full)'!$C:$C,'FCDB 2017 (full)'!$BB:$BB)*$H168/100,0)</f>
        <v>0</v>
      </c>
      <c r="BL168" s="16">
        <f ca="1">IFERROR(_xlfn.XLOOKUP($F168,'FCDB 2017 (full)'!$C:$C,'FCDB 2017 (full)'!$BC:$BC)*$H168/100,0)</f>
        <v>0</v>
      </c>
      <c r="BM168" s="16">
        <f ca="1">IFERROR(_xlfn.XLOOKUP($F168,'FCDB 2017 (full)'!$C:$C,'FCDB 2017 (full)'!$BD:$BD)*$H168/100,0)</f>
        <v>0</v>
      </c>
      <c r="BN168" s="16">
        <f ca="1">IFERROR(_xlfn.XLOOKUP($F168,'FCDB 2017 (full)'!$C:$C,'FCDB 2017 (full)'!$BE:$BE)*$H168/100,0)</f>
        <v>0</v>
      </c>
      <c r="BO168" s="16">
        <f ca="1">IFERROR(_xlfn.XLOOKUP($F168,'FCDB 2017 (full)'!$C:$C,'FCDB 2017 (full)'!$BF:$BF)*$H168/100,0)</f>
        <v>0</v>
      </c>
      <c r="BP168" s="16">
        <f ca="1">IFERROR(_xlfn.XLOOKUP($F168,'FCDB 2017 (full)'!$C:$C,'FCDB 2017 (full)'!$BG:$BG)*$H168/100,0)</f>
        <v>0</v>
      </c>
      <c r="BQ168" s="16">
        <f ca="1">IFERROR(_xlfn.XLOOKUP($F168,'FCDB 2017 (full)'!$C:$C,'FCDB 2017 (full)'!$BH:$BH)*$H168/100,0)</f>
        <v>0</v>
      </c>
      <c r="BR168" s="16">
        <f ca="1">IFERROR(_xlfn.XLOOKUP($F168,'FCDB 2017 (full)'!$C:$C,'FCDB 2017 (full)'!$BI:$BI)*$H168/100,0)</f>
        <v>0</v>
      </c>
      <c r="BS168" s="16">
        <f ca="1">IFERROR(_xlfn.XLOOKUP($F168,'FCDB 2017 (full)'!$C:$C,'FCDB 2017 (full)'!$BJ:$BJ)*$H168/100,0)</f>
        <v>0</v>
      </c>
      <c r="BT168" s="16">
        <f ca="1">IFERROR(_xlfn.XLOOKUP($F168,'FCDB 2017 (full)'!$C:$C,'FCDB 2017 (full)'!$BK:$BK)*$H168/100,0)</f>
        <v>0</v>
      </c>
      <c r="BU168" s="16">
        <f ca="1">IFERROR(_xlfn.XLOOKUP($F168,'FCDB 2017 (full)'!$C:$C,'FCDB 2017 (full)'!$BL:$BL)*$H168/100,0)</f>
        <v>0</v>
      </c>
      <c r="BV168" s="16">
        <f ca="1">IFERROR(_xlfn.XLOOKUP($F168,'FCDB 2017 (full)'!$C:$C,'FCDB 2017 (full)'!$BM:$BM)*$H168/100,0)</f>
        <v>0</v>
      </c>
      <c r="BW168" s="16">
        <f ca="1">IFERROR(_xlfn.XLOOKUP($F168,'FCDB 2017 (full)'!$C:$C,'FCDB 2017 (full)'!$BN:$BN)*$H168/100,0)</f>
        <v>0</v>
      </c>
      <c r="BX168" s="16">
        <f ca="1">IFERROR(_xlfn.XLOOKUP($F168,'FCDB 2017 (full)'!$C:$C,'FCDB 2017 (full)'!$BO:$BO)*$H168/100,0)</f>
        <v>0</v>
      </c>
      <c r="BY168" s="16">
        <f ca="1">IFERROR(_xlfn.XLOOKUP($F168,'FCDB 2017 (full)'!$C:$C,'FCDB 2017 (full)'!$BP:$BP)*$H168/100,0)</f>
        <v>0</v>
      </c>
      <c r="BZ168" s="16">
        <f ca="1">IFERROR(_xlfn.XLOOKUP($F168,'FCDB 2017 (full)'!$C:$C,'FCDB 2017 (full)'!$BQ:$BQ)*$H168/100,0)</f>
        <v>0</v>
      </c>
      <c r="CA168" s="16">
        <f ca="1">IFERROR(_xlfn.XLOOKUP($F168,'FCDB 2017 (full)'!$C:$C,'FCDB 2017 (full)'!$BR:$BR)*$H168/100,0)</f>
        <v>0</v>
      </c>
      <c r="CB168" s="16">
        <f ca="1">IFERROR(_xlfn.XLOOKUP($F168,'FCDB 2017 (full)'!$C:$C,'FCDB 2017 (full)'!$BS:$BS)*$H168/100,0)</f>
        <v>0</v>
      </c>
      <c r="CC168" s="16">
        <f ca="1">IFERROR(_xlfn.XLOOKUP($F168,'FCDB 2017 (full)'!$C:$C,'FCDB 2017 (full)'!$BT:$BT)*$H168/100,0)</f>
        <v>0</v>
      </c>
      <c r="CD168" s="16">
        <f ca="1">IFERROR(_xlfn.XLOOKUP($F168,'FCDB 2017 (full)'!$C:$C,'FCDB 2017 (full)'!$BU:$BU)*$H168/100,0)</f>
        <v>0</v>
      </c>
      <c r="CE168" s="16">
        <f ca="1">IFERROR(_xlfn.XLOOKUP($F168,'FCDB 2017 (full)'!$C:$C,'FCDB 2017 (full)'!$BV:$BV)*$H168/100,0)</f>
        <v>0</v>
      </c>
      <c r="CF168" s="16">
        <f ca="1">IFERROR(_xlfn.XLOOKUP($F168,'FCDB 2017 (full)'!$C:$C,'FCDB 2017 (full)'!$BW:$BW)*$H168/100,0)</f>
        <v>0</v>
      </c>
      <c r="CG168" s="16">
        <f ca="1">IFERROR(_xlfn.XLOOKUP($F168,'FCDB 2017 (full)'!$C:$C,'FCDB 2017 (full)'!$BX:$BX)*$H168/100,0)</f>
        <v>0</v>
      </c>
      <c r="CH168" s="16">
        <f ca="1">IFERROR(_xlfn.XLOOKUP($F168,'FCDB 2017 (full)'!$C:$C,'FCDB 2017 (full)'!$BY:$BY)*$H168/100,0)</f>
        <v>0</v>
      </c>
      <c r="CI168" s="16">
        <f ca="1">IFERROR(_xlfn.XLOOKUP($F168,'FCDB 2017 (full)'!$C:$C,'FCDB 2017 (full)'!$BZ:$BZ)*$H168/100,0)</f>
        <v>0</v>
      </c>
      <c r="CJ168" s="16">
        <f ca="1">IFERROR(_xlfn.XLOOKUP($F168,'FCDB 2017 (full)'!$C:$C,'FCDB 2017 (full)'!$CA:$CA)*$H168/100,0)</f>
        <v>0</v>
      </c>
      <c r="CK168" s="16">
        <f ca="1">IFERROR(_xlfn.XLOOKUP($F168,'FCDB 2017 (full)'!$C:$C,'FCDB 2017 (full)'!$CB:$CB)*$H168/100,0)</f>
        <v>0</v>
      </c>
      <c r="CL168" s="16">
        <f ca="1">IFERROR(_xlfn.XLOOKUP($F168,'FCDB 2017 (full)'!$C:$C,'FCDB 2017 (full)'!$CC:$CC)*$H168/100,0)</f>
        <v>0</v>
      </c>
      <c r="CM168" s="16">
        <f ca="1">IFERROR(_xlfn.XLOOKUP($F168,'FCDB 2017 (full)'!$C:$C,'FCDB 2017 (full)'!$CD:$CD)*$H168/100,0)</f>
        <v>0</v>
      </c>
      <c r="CN168" s="16">
        <f ca="1">IFERROR(_xlfn.XLOOKUP($F168,'FCDB 2017 (full)'!$C:$C,'FCDB 2017 (full)'!$CE:$CE)*$H168/100,0)</f>
        <v>0</v>
      </c>
      <c r="CO168" s="16">
        <f ca="1">IFERROR(_xlfn.XLOOKUP($F168,'FCDB 2017 (full)'!$C:$C,'FCDB 2017 (full)'!$CF:$CF)*$H168/100,0)</f>
        <v>0</v>
      </c>
      <c r="CP168" s="16">
        <f ca="1">IFERROR(_xlfn.XLOOKUP($F168,'FCDB 2017 (full)'!$C:$C,'FCDB 2017 (full)'!$CG:$CG)*$H168/100,0)</f>
        <v>0</v>
      </c>
      <c r="CQ168" s="16">
        <f ca="1">IFERROR(_xlfn.XLOOKUP($F168,'FCDB 2017 (full)'!$C:$C,'FCDB 2017 (full)'!$CH:$CH)*$H168/100,0)</f>
        <v>0</v>
      </c>
      <c r="DA168" s="73" t="s">
        <v>985</v>
      </c>
    </row>
    <row r="169" spans="4:105" ht="27.6">
      <c r="D169" s="29"/>
      <c r="E169" s="29"/>
      <c r="F169" s="351" t="s">
        <v>972</v>
      </c>
      <c r="G169" s="351"/>
      <c r="H169" s="351"/>
      <c r="I169" s="18" t="s">
        <v>973</v>
      </c>
      <c r="J169" s="346">
        <f ca="1">SUM(J146:J168)</f>
        <v>0</v>
      </c>
      <c r="K169" s="30"/>
      <c r="L169" s="31" t="e">
        <f ca="1">SUM(L146:L168)</f>
        <v>#NAME?</v>
      </c>
      <c r="M169" s="31" t="e">
        <f ca="1">SUM(M146:M168)</f>
        <v>#NAME?</v>
      </c>
      <c r="N169" s="30"/>
      <c r="O169" s="32" t="e">
        <f ca="1">SUM(O146:O168)</f>
        <v>#NAME?</v>
      </c>
      <c r="P169" s="32" t="e">
        <f ca="1">SUM(P146:P168)</f>
        <v>#NAME?</v>
      </c>
      <c r="Q169" s="30"/>
      <c r="R169" s="349">
        <f ca="1">SUM(R146:R168)</f>
        <v>0</v>
      </c>
      <c r="S169" s="38">
        <f t="shared" ref="S169:CC169" ca="1" si="36">SUM(S146:S168)</f>
        <v>0</v>
      </c>
      <c r="T169" s="38">
        <f t="shared" ca="1" si="36"/>
        <v>0</v>
      </c>
      <c r="U169" s="38">
        <f t="shared" ca="1" si="36"/>
        <v>0</v>
      </c>
      <c r="V169" s="38">
        <f t="shared" ca="1" si="36"/>
        <v>0</v>
      </c>
      <c r="W169" s="38">
        <f t="shared" ca="1" si="36"/>
        <v>0</v>
      </c>
      <c r="X169" s="38">
        <f t="shared" ca="1" si="36"/>
        <v>0</v>
      </c>
      <c r="Y169" s="38">
        <f t="shared" ca="1" si="36"/>
        <v>0</v>
      </c>
      <c r="Z169" s="38">
        <f t="shared" ca="1" si="36"/>
        <v>0</v>
      </c>
      <c r="AA169" s="38">
        <f t="shared" ca="1" si="36"/>
        <v>0</v>
      </c>
      <c r="AB169" s="38">
        <f t="shared" ca="1" si="36"/>
        <v>0</v>
      </c>
      <c r="AC169" s="38">
        <f t="shared" ca="1" si="36"/>
        <v>0</v>
      </c>
      <c r="AD169" s="38">
        <f t="shared" ca="1" si="36"/>
        <v>0</v>
      </c>
      <c r="AE169" s="38">
        <f t="shared" ca="1" si="36"/>
        <v>0</v>
      </c>
      <c r="AF169" s="70">
        <f t="shared" ca="1" si="36"/>
        <v>0</v>
      </c>
      <c r="AG169" s="70">
        <f t="shared" ca="1" si="36"/>
        <v>0</v>
      </c>
      <c r="AH169" s="70">
        <f t="shared" ca="1" si="36"/>
        <v>0</v>
      </c>
      <c r="AI169" s="70">
        <f t="shared" ca="1" si="36"/>
        <v>0</v>
      </c>
      <c r="AJ169" s="70">
        <f t="shared" ca="1" si="36"/>
        <v>0</v>
      </c>
      <c r="AK169" s="70">
        <f t="shared" ca="1" si="36"/>
        <v>0</v>
      </c>
      <c r="AL169" s="70">
        <f t="shared" ca="1" si="36"/>
        <v>0</v>
      </c>
      <c r="AM169" s="70">
        <f t="shared" ca="1" si="36"/>
        <v>0</v>
      </c>
      <c r="AN169" s="70">
        <f t="shared" ca="1" si="36"/>
        <v>0</v>
      </c>
      <c r="AO169" s="70">
        <f t="shared" ca="1" si="36"/>
        <v>0</v>
      </c>
      <c r="AP169" s="70">
        <f t="shared" ca="1" si="36"/>
        <v>0</v>
      </c>
      <c r="AQ169" s="70">
        <f t="shared" ca="1" si="36"/>
        <v>0</v>
      </c>
      <c r="AR169" s="70">
        <f t="shared" ca="1" si="36"/>
        <v>0</v>
      </c>
      <c r="AS169" s="70">
        <f t="shared" ca="1" si="36"/>
        <v>0</v>
      </c>
      <c r="AT169" s="70">
        <f t="shared" ca="1" si="36"/>
        <v>0</v>
      </c>
      <c r="AU169" s="70">
        <f t="shared" ca="1" si="36"/>
        <v>0</v>
      </c>
      <c r="AV169" s="70">
        <f t="shared" ca="1" si="36"/>
        <v>0</v>
      </c>
      <c r="AW169" s="70">
        <f t="shared" ca="1" si="36"/>
        <v>0</v>
      </c>
      <c r="AX169" s="70">
        <f t="shared" ca="1" si="36"/>
        <v>0</v>
      </c>
      <c r="AY169" s="70">
        <f t="shared" ca="1" si="36"/>
        <v>0</v>
      </c>
      <c r="AZ169" s="70">
        <f t="shared" ca="1" si="36"/>
        <v>0</v>
      </c>
      <c r="BA169" s="70">
        <f t="shared" ca="1" si="36"/>
        <v>0</v>
      </c>
      <c r="BB169" s="70">
        <f t="shared" ca="1" si="36"/>
        <v>0</v>
      </c>
      <c r="BC169" s="70">
        <f t="shared" ca="1" si="36"/>
        <v>0</v>
      </c>
      <c r="BD169" s="70">
        <f t="shared" ca="1" si="36"/>
        <v>0</v>
      </c>
      <c r="BE169" s="70">
        <f t="shared" ca="1" si="36"/>
        <v>0</v>
      </c>
      <c r="BF169" s="70">
        <f t="shared" ca="1" si="36"/>
        <v>0</v>
      </c>
      <c r="BG169" s="70">
        <f t="shared" ca="1" si="36"/>
        <v>0</v>
      </c>
      <c r="BH169" s="70">
        <f t="shared" ca="1" si="36"/>
        <v>0</v>
      </c>
      <c r="BI169" s="70">
        <f t="shared" ca="1" si="36"/>
        <v>0</v>
      </c>
      <c r="BJ169" s="70">
        <f t="shared" ca="1" si="36"/>
        <v>0</v>
      </c>
      <c r="BK169" s="70">
        <f t="shared" ca="1" si="36"/>
        <v>0</v>
      </c>
      <c r="BL169" s="70">
        <f t="shared" ca="1" si="36"/>
        <v>0</v>
      </c>
      <c r="BM169" s="70">
        <f t="shared" ca="1" si="36"/>
        <v>0</v>
      </c>
      <c r="BN169" s="70">
        <f t="shared" ca="1" si="36"/>
        <v>0</v>
      </c>
      <c r="BO169" s="70">
        <f t="shared" ca="1" si="36"/>
        <v>0</v>
      </c>
      <c r="BP169" s="70">
        <f t="shared" ca="1" si="36"/>
        <v>0</v>
      </c>
      <c r="BQ169" s="70">
        <f t="shared" ca="1" si="36"/>
        <v>0</v>
      </c>
      <c r="BR169" s="70">
        <f t="shared" ca="1" si="36"/>
        <v>0</v>
      </c>
      <c r="BS169" s="70">
        <f t="shared" ca="1" si="36"/>
        <v>0</v>
      </c>
      <c r="BT169" s="70">
        <f t="shared" ca="1" si="36"/>
        <v>0</v>
      </c>
      <c r="BU169" s="70">
        <f t="shared" ca="1" si="36"/>
        <v>0</v>
      </c>
      <c r="BV169" s="70">
        <f t="shared" ca="1" si="36"/>
        <v>0</v>
      </c>
      <c r="BW169" s="70">
        <f t="shared" ca="1" si="36"/>
        <v>0</v>
      </c>
      <c r="BX169" s="70">
        <f t="shared" ca="1" si="36"/>
        <v>0</v>
      </c>
      <c r="BY169" s="70">
        <f t="shared" ca="1" si="36"/>
        <v>0</v>
      </c>
      <c r="BZ169" s="70">
        <f t="shared" ca="1" si="36"/>
        <v>0</v>
      </c>
      <c r="CA169" s="70">
        <f t="shared" ca="1" si="36"/>
        <v>0</v>
      </c>
      <c r="CB169" s="70">
        <f t="shared" ca="1" si="36"/>
        <v>0</v>
      </c>
      <c r="CC169" s="70">
        <f t="shared" ca="1" si="36"/>
        <v>0</v>
      </c>
      <c r="CD169" s="70">
        <f t="shared" ref="CD169:CQ169" ca="1" si="37">SUM(CD146:CD168)</f>
        <v>0</v>
      </c>
      <c r="CE169" s="70">
        <f t="shared" ca="1" si="37"/>
        <v>0</v>
      </c>
      <c r="CF169" s="70">
        <f t="shared" ca="1" si="37"/>
        <v>0</v>
      </c>
      <c r="CG169" s="70">
        <f t="shared" ca="1" si="37"/>
        <v>0</v>
      </c>
      <c r="CH169" s="70">
        <f t="shared" ca="1" si="37"/>
        <v>0</v>
      </c>
      <c r="CI169" s="70">
        <f t="shared" ca="1" si="37"/>
        <v>0</v>
      </c>
      <c r="CJ169" s="70">
        <f t="shared" ca="1" si="37"/>
        <v>0</v>
      </c>
      <c r="CK169" s="70">
        <f t="shared" ca="1" si="37"/>
        <v>0</v>
      </c>
      <c r="CL169" s="70">
        <f t="shared" ca="1" si="37"/>
        <v>0</v>
      </c>
      <c r="CM169" s="70">
        <f t="shared" ca="1" si="37"/>
        <v>0</v>
      </c>
      <c r="CN169" s="70">
        <f t="shared" ca="1" si="37"/>
        <v>0</v>
      </c>
      <c r="CO169" s="70">
        <f t="shared" ca="1" si="37"/>
        <v>0</v>
      </c>
      <c r="CP169" s="70">
        <f t="shared" ca="1" si="37"/>
        <v>0</v>
      </c>
      <c r="CQ169" s="70">
        <f t="shared" ca="1" si="37"/>
        <v>0</v>
      </c>
      <c r="CR169" s="29"/>
      <c r="DA169" s="73" t="s">
        <v>985</v>
      </c>
    </row>
    <row r="170" spans="4:105" ht="16.8">
      <c r="D170" s="29"/>
      <c r="E170" s="29"/>
      <c r="F170" s="351"/>
      <c r="G170" s="351"/>
      <c r="H170" s="351"/>
      <c r="I170" s="19"/>
      <c r="J170" s="347"/>
      <c r="K170" s="30"/>
      <c r="L170" s="329" t="e">
        <f ca="1">L169+M169</f>
        <v>#NAME?</v>
      </c>
      <c r="M170" s="330"/>
      <c r="N170" s="30"/>
      <c r="O170" s="331" t="e">
        <f ca="1">O169+P169</f>
        <v>#NAME?</v>
      </c>
      <c r="P170" s="332"/>
      <c r="Q170" s="30"/>
      <c r="R170" s="350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29"/>
      <c r="DA170" s="73" t="s">
        <v>985</v>
      </c>
    </row>
    <row r="171" spans="4:105" ht="15.6">
      <c r="D171" s="29"/>
      <c r="E171" s="29"/>
      <c r="F171" s="342" t="s">
        <v>986</v>
      </c>
      <c r="G171" s="23">
        <v>0.95</v>
      </c>
      <c r="H171" s="24" t="s">
        <v>975</v>
      </c>
      <c r="I171" s="19"/>
      <c r="J171" s="22">
        <f t="shared" ref="J171:O171" si="38">J172*0.95</f>
        <v>165.3</v>
      </c>
      <c r="K171" s="12"/>
      <c r="L171" s="333">
        <f t="shared" si="38"/>
        <v>8.2650000000000006</v>
      </c>
      <c r="M171" s="334"/>
      <c r="N171" s="12"/>
      <c r="O171" s="333">
        <f t="shared" si="38"/>
        <v>4.5916666666666703</v>
      </c>
      <c r="P171" s="334"/>
      <c r="Q171" s="12"/>
      <c r="R171" s="22">
        <f>R172*0.95</f>
        <v>22.728750000000002</v>
      </c>
      <c r="S171" s="40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29"/>
      <c r="DA171" s="73" t="s">
        <v>985</v>
      </c>
    </row>
    <row r="172" spans="4:105" ht="15.6">
      <c r="D172" s="29"/>
      <c r="E172" s="29"/>
      <c r="F172" s="341"/>
      <c r="G172" s="23">
        <v>1</v>
      </c>
      <c r="H172" s="24" t="s">
        <v>976</v>
      </c>
      <c r="I172" s="25"/>
      <c r="J172" s="26">
        <f>'Năng lượng_2024'!G70</f>
        <v>174</v>
      </c>
      <c r="K172" s="33"/>
      <c r="L172" s="335">
        <f>'Năng lượng_2024'!G63</f>
        <v>8.6999999999999993</v>
      </c>
      <c r="M172" s="336"/>
      <c r="N172" s="26"/>
      <c r="O172" s="335">
        <f>'Năng lượng_2024'!G66</f>
        <v>4.8333333333333304</v>
      </c>
      <c r="P172" s="336"/>
      <c r="Q172" s="26"/>
      <c r="R172" s="26">
        <f>'Năng lượng_2024'!G69</f>
        <v>23.925000000000001</v>
      </c>
      <c r="S172" s="40"/>
      <c r="T172" s="29"/>
      <c r="U172" s="29"/>
      <c r="V172" s="29"/>
      <c r="X172" s="29"/>
      <c r="Y172" s="29"/>
      <c r="Z172" s="29"/>
      <c r="AA172" s="29"/>
      <c r="AB172" s="29"/>
      <c r="AC172" s="29"/>
      <c r="AD172" s="29"/>
      <c r="AE172" s="29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29"/>
      <c r="DA172" s="73" t="s">
        <v>985</v>
      </c>
    </row>
    <row r="173" spans="4:105">
      <c r="D173" s="29"/>
      <c r="F173" s="337" t="s">
        <v>977</v>
      </c>
      <c r="G173" s="337"/>
      <c r="H173" s="337"/>
      <c r="J173" s="27" t="str">
        <f ca="1">IF(AND(J169&gt;=J171,J169&lt;=J172),"Đạt","Không Đạt")</f>
        <v>Không Đạt</v>
      </c>
      <c r="K173" s="27"/>
      <c r="L173" s="337" t="e">
        <f ca="1">IF(AND(L170&gt;=L171,L170&lt;=L172),"Đạt","Không Đạt")</f>
        <v>#NAME?</v>
      </c>
      <c r="M173" s="337"/>
      <c r="N173" s="27"/>
      <c r="O173" s="337" t="e">
        <f ca="1">IF(AND(O170&gt;=O171,O170&lt;=O172),"Đạt","Không Đạt")</f>
        <v>#NAME?</v>
      </c>
      <c r="P173" s="337"/>
      <c r="Q173" s="27"/>
      <c r="R173" s="27" t="str">
        <f ca="1">IF(AND(R169&gt;=R171,R169&lt;=R172),"Đạt","Không Đạt")</f>
        <v>Không Đạt</v>
      </c>
      <c r="X173" s="29"/>
      <c r="Y173" s="29"/>
      <c r="Z173" s="29"/>
      <c r="AA173" s="29"/>
      <c r="AB173" s="29"/>
      <c r="AC173" s="29"/>
      <c r="AD173" s="29"/>
      <c r="AE173" s="29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29"/>
      <c r="DA173" s="73" t="s">
        <v>985</v>
      </c>
    </row>
    <row r="174" spans="4:105">
      <c r="D174" s="29"/>
      <c r="J174" s="29"/>
      <c r="K174" s="29"/>
      <c r="L174" s="64" t="e">
        <f ca="1">L172-L170</f>
        <v>#NAME?</v>
      </c>
      <c r="M174" s="65"/>
      <c r="N174" s="65"/>
      <c r="O174" s="64" t="e">
        <f ca="1">O172-O170</f>
        <v>#NAME?</v>
      </c>
      <c r="P174" s="65"/>
      <c r="Q174" s="65"/>
      <c r="R174" s="64">
        <f ca="1">R172-R169</f>
        <v>23.925000000000001</v>
      </c>
      <c r="X174" s="29"/>
      <c r="Y174" s="29"/>
      <c r="Z174" s="29"/>
      <c r="AA174" s="29"/>
      <c r="AB174" s="29"/>
      <c r="AC174" s="29"/>
      <c r="AD174" s="29"/>
      <c r="AE174" s="29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29"/>
      <c r="DA174" s="73" t="s">
        <v>985</v>
      </c>
    </row>
    <row r="175" spans="4:105">
      <c r="L175" s="66" t="s">
        <v>978</v>
      </c>
      <c r="M175" s="35">
        <f ca="1">IFERROR(L169/L170,0)</f>
        <v>0</v>
      </c>
      <c r="N175" s="36"/>
      <c r="O175" s="27" t="str">
        <f ca="1">IF(M175&gt;35%,"Thừa",IF(M175&gt;=30%,"Đạt","Thiếu"))</f>
        <v>Thiếu</v>
      </c>
      <c r="DA175" s="73" t="s">
        <v>985</v>
      </c>
    </row>
    <row r="176" spans="4:105">
      <c r="L176" s="66" t="s">
        <v>979</v>
      </c>
      <c r="M176" s="35">
        <f ca="1">IFERROR(O169/O170,0)</f>
        <v>0</v>
      </c>
      <c r="N176" s="36"/>
      <c r="O176" s="27" t="str">
        <f ca="1">IF(M176&gt;60%,"Thừa",IF(M176&gt;=50%,"Đạt","Thiếu"))</f>
        <v>Thiếu</v>
      </c>
      <c r="DA176" s="73" t="s">
        <v>985</v>
      </c>
    </row>
    <row r="177" spans="4:105">
      <c r="DA177" s="73" t="s">
        <v>985</v>
      </c>
    </row>
    <row r="178" spans="4:105">
      <c r="L178" s="338" t="e">
        <f ca="1">L170*4/J169</f>
        <v>#NAME?</v>
      </c>
      <c r="M178" s="339"/>
      <c r="N178" s="23"/>
      <c r="O178" s="338" t="e">
        <f ca="1">O170*9/J169</f>
        <v>#NAME?</v>
      </c>
      <c r="P178" s="339"/>
      <c r="Q178" s="23"/>
      <c r="R178" s="23" t="e">
        <f ca="1">R169*4/J169</f>
        <v>#DIV/0!</v>
      </c>
      <c r="S178" s="68" t="e">
        <f ca="1">L178+O178+R178</f>
        <v>#NAME?</v>
      </c>
      <c r="DA178" s="73" t="s">
        <v>985</v>
      </c>
    </row>
    <row r="179" spans="4:105">
      <c r="DA179" s="73"/>
    </row>
    <row r="180" spans="4:105" ht="17.399999999999999">
      <c r="D180" s="51"/>
      <c r="E180" s="319" t="s">
        <v>934</v>
      </c>
      <c r="F180" s="320"/>
      <c r="G180" s="320"/>
      <c r="H180" s="320"/>
      <c r="I180" s="53"/>
      <c r="J180" s="321" t="s">
        <v>935</v>
      </c>
      <c r="K180" s="322"/>
      <c r="L180" s="322"/>
      <c r="M180" s="322"/>
      <c r="N180" s="322"/>
      <c r="O180" s="322"/>
      <c r="P180" s="319"/>
      <c r="Q180" s="67"/>
      <c r="R180" s="321" t="s">
        <v>936</v>
      </c>
      <c r="S180" s="322"/>
      <c r="T180" s="319"/>
      <c r="U180" s="321" t="s">
        <v>937</v>
      </c>
      <c r="V180" s="322"/>
      <c r="W180" s="322"/>
      <c r="X180" s="319"/>
      <c r="Y180" s="321" t="s">
        <v>938</v>
      </c>
      <c r="Z180" s="319"/>
      <c r="AA180" s="323" t="s">
        <v>939</v>
      </c>
      <c r="AB180" s="323"/>
      <c r="AC180" s="324" t="s">
        <v>940</v>
      </c>
      <c r="AD180" s="325"/>
      <c r="AE180" s="326"/>
      <c r="DA180" s="73"/>
    </row>
    <row r="181" spans="4:105" ht="20.399999999999999">
      <c r="D181" s="54" t="s">
        <v>941</v>
      </c>
      <c r="E181" s="52" t="s">
        <v>942</v>
      </c>
      <c r="F181" s="53" t="s">
        <v>943</v>
      </c>
      <c r="G181" s="53" t="s">
        <v>944</v>
      </c>
      <c r="H181" s="53" t="s">
        <v>945</v>
      </c>
      <c r="J181" s="53" t="s">
        <v>942</v>
      </c>
      <c r="L181" s="53" t="s">
        <v>943</v>
      </c>
      <c r="M181" s="53" t="s">
        <v>944</v>
      </c>
      <c r="O181" s="53" t="s">
        <v>945</v>
      </c>
      <c r="P181" s="53" t="s">
        <v>946</v>
      </c>
      <c r="R181" s="53" t="s">
        <v>942</v>
      </c>
      <c r="S181" s="53" t="s">
        <v>943</v>
      </c>
      <c r="T181" s="53" t="s">
        <v>944</v>
      </c>
      <c r="U181" s="53" t="s">
        <v>942</v>
      </c>
      <c r="V181" s="53" t="s">
        <v>943</v>
      </c>
      <c r="W181" s="53" t="s">
        <v>944</v>
      </c>
      <c r="X181" s="53" t="s">
        <v>945</v>
      </c>
      <c r="Y181" s="69" t="s">
        <v>942</v>
      </c>
      <c r="Z181" s="69" t="s">
        <v>943</v>
      </c>
      <c r="AA181" s="53" t="s">
        <v>942</v>
      </c>
      <c r="AB181" s="53" t="s">
        <v>943</v>
      </c>
      <c r="AC181" s="69" t="s">
        <v>942</v>
      </c>
      <c r="AD181" s="69" t="s">
        <v>943</v>
      </c>
      <c r="AE181" s="69" t="s">
        <v>944</v>
      </c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28"/>
      <c r="DA181" s="73"/>
    </row>
    <row r="182" spans="4:105" ht="20.399999999999999">
      <c r="D182" s="55" t="s">
        <v>922</v>
      </c>
      <c r="E182" s="56" t="s">
        <v>184</v>
      </c>
      <c r="F182" s="56"/>
      <c r="G182" s="56"/>
      <c r="H182" s="56"/>
      <c r="J182" s="56" t="s">
        <v>342</v>
      </c>
      <c r="L182" s="56" t="s">
        <v>352</v>
      </c>
      <c r="M182" s="56" t="s">
        <v>326</v>
      </c>
      <c r="O182" s="56"/>
      <c r="P182" s="56"/>
      <c r="R182" s="56"/>
      <c r="S182" s="56"/>
      <c r="T182" s="56"/>
      <c r="U182" s="56" t="s">
        <v>498</v>
      </c>
      <c r="V182" s="56" t="s">
        <v>646</v>
      </c>
      <c r="W182" s="56" t="s">
        <v>606</v>
      </c>
      <c r="X182" s="56"/>
      <c r="Y182" s="56"/>
      <c r="Z182" s="56"/>
      <c r="AA182" s="56"/>
      <c r="AB182" s="56"/>
      <c r="AC182" s="56"/>
      <c r="AD182" s="56"/>
      <c r="AE182" s="56"/>
      <c r="DA182" s="72" t="s">
        <v>987</v>
      </c>
    </row>
    <row r="183" spans="4:105" ht="20.399999999999999">
      <c r="D183" s="55" t="s">
        <v>949</v>
      </c>
      <c r="E183" s="57" t="s">
        <v>181</v>
      </c>
      <c r="F183" s="57"/>
      <c r="G183" s="57"/>
      <c r="H183" s="57"/>
      <c r="J183" s="57" t="s">
        <v>181</v>
      </c>
      <c r="L183" s="57" t="s">
        <v>181</v>
      </c>
      <c r="M183" s="57" t="s">
        <v>181</v>
      </c>
      <c r="N183" s="57"/>
      <c r="O183" s="57"/>
      <c r="P183" s="57"/>
      <c r="R183" s="57"/>
      <c r="S183" s="57"/>
      <c r="T183" s="57"/>
      <c r="U183" s="57" t="s">
        <v>468</v>
      </c>
      <c r="V183" s="57" t="s">
        <v>468</v>
      </c>
      <c r="W183" s="57" t="s">
        <v>468</v>
      </c>
      <c r="X183" s="57"/>
      <c r="Y183" s="57"/>
      <c r="Z183" s="57"/>
      <c r="AA183" s="57"/>
      <c r="AB183" s="57"/>
      <c r="AC183" s="57"/>
      <c r="AD183" s="57"/>
      <c r="AE183" s="57"/>
      <c r="DA183" s="72" t="s">
        <v>987</v>
      </c>
    </row>
    <row r="184" spans="4:105" ht="20.399999999999999">
      <c r="D184" s="62" t="s">
        <v>950</v>
      </c>
      <c r="E184" s="59">
        <f>26*2</f>
        <v>52</v>
      </c>
      <c r="F184" s="59"/>
      <c r="G184" s="59"/>
      <c r="H184" s="59"/>
      <c r="J184" s="59">
        <v>30</v>
      </c>
      <c r="L184" s="59">
        <v>50</v>
      </c>
      <c r="M184" s="59">
        <v>50</v>
      </c>
      <c r="O184" s="59"/>
      <c r="P184" s="59"/>
      <c r="R184" s="59"/>
      <c r="S184" s="59"/>
      <c r="T184" s="59"/>
      <c r="U184" s="59">
        <v>25</v>
      </c>
      <c r="V184" s="59">
        <v>20</v>
      </c>
      <c r="W184" s="59">
        <v>30</v>
      </c>
      <c r="X184" s="59"/>
      <c r="Y184" s="59"/>
      <c r="Z184" s="59"/>
      <c r="AA184" s="59"/>
      <c r="AB184" s="59"/>
      <c r="AC184" s="59"/>
      <c r="AD184" s="59"/>
      <c r="AE184" s="59"/>
      <c r="DA184" s="72" t="s">
        <v>987</v>
      </c>
    </row>
    <row r="185" spans="4:105"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DA185" s="72" t="s">
        <v>987</v>
      </c>
    </row>
    <row r="186" spans="4:105">
      <c r="DA186" s="72" t="s">
        <v>987</v>
      </c>
    </row>
    <row r="187" spans="4:105" ht="27.6">
      <c r="E187" s="41"/>
      <c r="F187" s="327" t="str">
        <f>D182</f>
        <v>Bữa tối</v>
      </c>
      <c r="G187" s="327"/>
      <c r="H187" s="343" t="s">
        <v>951</v>
      </c>
      <c r="I187" s="3" t="s">
        <v>952</v>
      </c>
      <c r="J187" s="345" t="s">
        <v>953</v>
      </c>
      <c r="K187" s="3" t="s">
        <v>954</v>
      </c>
      <c r="L187" s="328" t="s">
        <v>955</v>
      </c>
      <c r="M187" s="328"/>
      <c r="N187" s="3" t="s">
        <v>956</v>
      </c>
      <c r="O187" s="328" t="s">
        <v>91</v>
      </c>
      <c r="P187" s="328"/>
      <c r="Q187" s="3" t="s">
        <v>957</v>
      </c>
      <c r="R187" s="348" t="s">
        <v>958</v>
      </c>
      <c r="S187" s="348" t="s">
        <v>959</v>
      </c>
      <c r="T187" s="348" t="s">
        <v>960</v>
      </c>
      <c r="U187" s="348" t="s">
        <v>95</v>
      </c>
      <c r="V187" s="348" t="s">
        <v>961</v>
      </c>
      <c r="W187" s="348" t="s">
        <v>97</v>
      </c>
      <c r="X187" s="348" t="s">
        <v>962</v>
      </c>
      <c r="Y187" s="348" t="s">
        <v>99</v>
      </c>
      <c r="Z187" s="348" t="s">
        <v>100</v>
      </c>
      <c r="AA187" s="348" t="s">
        <v>101</v>
      </c>
      <c r="AB187" s="348" t="s">
        <v>102</v>
      </c>
      <c r="AC187" s="348" t="s">
        <v>103</v>
      </c>
      <c r="AD187" s="348" t="s">
        <v>104</v>
      </c>
      <c r="AE187" s="348" t="s">
        <v>105</v>
      </c>
      <c r="AF187" s="348" t="s">
        <v>963</v>
      </c>
      <c r="AG187" s="348" t="s">
        <v>964</v>
      </c>
      <c r="AH187" s="348" t="s">
        <v>965</v>
      </c>
      <c r="AI187" s="348" t="s">
        <v>966</v>
      </c>
      <c r="AJ187" s="348" t="s">
        <v>110</v>
      </c>
      <c r="AK187" s="348" t="s">
        <v>111</v>
      </c>
      <c r="AL187" s="348" t="s">
        <v>112</v>
      </c>
      <c r="AM187" s="348" t="s">
        <v>967</v>
      </c>
      <c r="AN187" s="348" t="s">
        <v>968</v>
      </c>
      <c r="AO187" s="348" t="s">
        <v>115</v>
      </c>
      <c r="AP187" s="348" t="s">
        <v>116</v>
      </c>
      <c r="AQ187" s="348" t="s">
        <v>117</v>
      </c>
      <c r="AR187" s="348" t="s">
        <v>118</v>
      </c>
      <c r="AS187" s="348" t="s">
        <v>119</v>
      </c>
      <c r="AT187" s="348" t="s">
        <v>120</v>
      </c>
      <c r="AU187" s="348" t="s">
        <v>121</v>
      </c>
      <c r="AV187" s="348" t="s">
        <v>122</v>
      </c>
      <c r="AW187" s="348" t="s">
        <v>123</v>
      </c>
      <c r="AX187" s="348" t="s">
        <v>124</v>
      </c>
      <c r="AY187" s="348" t="s">
        <v>125</v>
      </c>
      <c r="AZ187" s="348" t="s">
        <v>126</v>
      </c>
      <c r="BA187" s="348" t="s">
        <v>969</v>
      </c>
      <c r="BB187" s="348" t="s">
        <v>128</v>
      </c>
      <c r="BC187" s="348" t="s">
        <v>129</v>
      </c>
      <c r="BD187" s="348" t="s">
        <v>130</v>
      </c>
      <c r="BE187" s="348" t="s">
        <v>131</v>
      </c>
      <c r="BF187" s="348" t="s">
        <v>132</v>
      </c>
      <c r="BG187" s="348" t="s">
        <v>133</v>
      </c>
      <c r="BH187" s="348" t="s">
        <v>134</v>
      </c>
      <c r="BI187" s="348" t="s">
        <v>135</v>
      </c>
      <c r="BJ187" s="348" t="s">
        <v>136</v>
      </c>
      <c r="BK187" s="348" t="s">
        <v>137</v>
      </c>
      <c r="BL187" s="348" t="s">
        <v>138</v>
      </c>
      <c r="BM187" s="348" t="s">
        <v>139</v>
      </c>
      <c r="BN187" s="348" t="s">
        <v>140</v>
      </c>
      <c r="BO187" s="348" t="s">
        <v>141</v>
      </c>
      <c r="BP187" s="348" t="s">
        <v>142</v>
      </c>
      <c r="BQ187" s="348" t="s">
        <v>143</v>
      </c>
      <c r="BR187" s="348" t="s">
        <v>144</v>
      </c>
      <c r="BS187" s="348" t="s">
        <v>145</v>
      </c>
      <c r="BT187" s="348" t="s">
        <v>146</v>
      </c>
      <c r="BU187" s="348" t="s">
        <v>147</v>
      </c>
      <c r="BV187" s="348" t="s">
        <v>148</v>
      </c>
      <c r="BW187" s="348" t="s">
        <v>149</v>
      </c>
      <c r="BX187" s="348" t="s">
        <v>150</v>
      </c>
      <c r="BY187" s="348" t="s">
        <v>151</v>
      </c>
      <c r="BZ187" s="348" t="s">
        <v>152</v>
      </c>
      <c r="CA187" s="348" t="s">
        <v>153</v>
      </c>
      <c r="CB187" s="348" t="s">
        <v>154</v>
      </c>
      <c r="CC187" s="348" t="s">
        <v>155</v>
      </c>
      <c r="CD187" s="348" t="s">
        <v>156</v>
      </c>
      <c r="CE187" s="348" t="s">
        <v>157</v>
      </c>
      <c r="CF187" s="348" t="s">
        <v>158</v>
      </c>
      <c r="CG187" s="348" t="s">
        <v>159</v>
      </c>
      <c r="CH187" s="348" t="s">
        <v>160</v>
      </c>
      <c r="CI187" s="348" t="s">
        <v>161</v>
      </c>
      <c r="CJ187" s="348" t="s">
        <v>162</v>
      </c>
      <c r="CK187" s="348" t="s">
        <v>163</v>
      </c>
      <c r="CL187" s="348" t="s">
        <v>164</v>
      </c>
      <c r="CM187" s="348" t="s">
        <v>165</v>
      </c>
      <c r="CN187" s="348" t="s">
        <v>166</v>
      </c>
      <c r="CO187" s="348" t="s">
        <v>167</v>
      </c>
      <c r="CP187" s="348" t="s">
        <v>168</v>
      </c>
      <c r="CQ187" s="348" t="s">
        <v>169</v>
      </c>
      <c r="DA187" s="72" t="s">
        <v>987</v>
      </c>
    </row>
    <row r="188" spans="4:105">
      <c r="E188" s="41"/>
      <c r="F188" s="4" t="s">
        <v>970</v>
      </c>
      <c r="G188" s="4" t="s">
        <v>971</v>
      </c>
      <c r="H188" s="344"/>
      <c r="I188" s="3"/>
      <c r="J188" s="344"/>
      <c r="K188" s="3"/>
      <c r="L188" s="2" t="s">
        <v>468</v>
      </c>
      <c r="M188" s="2" t="s">
        <v>181</v>
      </c>
      <c r="N188" s="3"/>
      <c r="O188" s="2" t="s">
        <v>468</v>
      </c>
      <c r="P188" s="2" t="s">
        <v>181</v>
      </c>
      <c r="Q188" s="3"/>
      <c r="R188" s="348"/>
      <c r="S188" s="348"/>
      <c r="T188" s="348"/>
      <c r="U188" s="348"/>
      <c r="V188" s="348"/>
      <c r="W188" s="348"/>
      <c r="X188" s="348"/>
      <c r="Y188" s="348"/>
      <c r="Z188" s="348"/>
      <c r="AA188" s="348"/>
      <c r="AB188" s="348"/>
      <c r="AC188" s="348"/>
      <c r="AD188" s="348"/>
      <c r="AE188" s="348"/>
      <c r="AF188" s="348"/>
      <c r="AG188" s="348"/>
      <c r="AH188" s="348"/>
      <c r="AI188" s="348"/>
      <c r="AJ188" s="348"/>
      <c r="AK188" s="348"/>
      <c r="AL188" s="348"/>
      <c r="AM188" s="348"/>
      <c r="AN188" s="348"/>
      <c r="AO188" s="348"/>
      <c r="AP188" s="348"/>
      <c r="AQ188" s="348"/>
      <c r="AR188" s="348"/>
      <c r="AS188" s="348"/>
      <c r="AT188" s="348"/>
      <c r="AU188" s="348"/>
      <c r="AV188" s="348"/>
      <c r="AW188" s="348"/>
      <c r="AX188" s="348"/>
      <c r="AY188" s="348"/>
      <c r="AZ188" s="348"/>
      <c r="BA188" s="348"/>
      <c r="BB188" s="348"/>
      <c r="BC188" s="348"/>
      <c r="BD188" s="348"/>
      <c r="BE188" s="348"/>
      <c r="BF188" s="348"/>
      <c r="BG188" s="348"/>
      <c r="BH188" s="348"/>
      <c r="BI188" s="348"/>
      <c r="BJ188" s="348"/>
      <c r="BK188" s="348"/>
      <c r="BL188" s="348"/>
      <c r="BM188" s="348"/>
      <c r="BN188" s="348"/>
      <c r="BO188" s="348"/>
      <c r="BP188" s="348"/>
      <c r="BQ188" s="348"/>
      <c r="BR188" s="348"/>
      <c r="BS188" s="348"/>
      <c r="BT188" s="348"/>
      <c r="BU188" s="348"/>
      <c r="BV188" s="348"/>
      <c r="BW188" s="348"/>
      <c r="BX188" s="348"/>
      <c r="BY188" s="348"/>
      <c r="BZ188" s="348"/>
      <c r="CA188" s="348"/>
      <c r="CB188" s="348"/>
      <c r="CC188" s="348"/>
      <c r="CD188" s="348"/>
      <c r="CE188" s="348"/>
      <c r="CF188" s="348"/>
      <c r="CG188" s="348"/>
      <c r="CH188" s="348"/>
      <c r="CI188" s="348"/>
      <c r="CJ188" s="348"/>
      <c r="CK188" s="348"/>
      <c r="CL188" s="348"/>
      <c r="CM188" s="348"/>
      <c r="CN188" s="348"/>
      <c r="CO188" s="348"/>
      <c r="CP188" s="348"/>
      <c r="CQ188" s="348"/>
      <c r="DA188" s="72" t="s">
        <v>987</v>
      </c>
    </row>
    <row r="189" spans="4:105">
      <c r="E189" s="41"/>
      <c r="F189" s="11" t="str">
        <f>IFERROR(VLOOKUP($D$182,$D:$AE,2,0),0)</f>
        <v>Gạo tẻ máy</v>
      </c>
      <c r="G189" s="7" t="e" cm="1">
        <f t="array" aca="1" ref="G189" ca="1">IF(F189=0,0,IF(_xlfn.XLOOKUP(F189,$E$182:$AE$182,$E$183:$AE$183)=0,"Nhập ĐV/TV",_xlfn.XLOOKUP(F189,$E$182:$AE$182,$E$183:$AE$183)))</f>
        <v>#NAME?</v>
      </c>
      <c r="H189" s="8" cm="1">
        <f t="array" ref="H189">IFERROR(INDEX($E$184:$AE$184,MATCH(F189,$E$182:$AE$182,0)),0)</f>
        <v>52</v>
      </c>
      <c r="I189" s="9">
        <f ca="1">IFERROR(_xlfn.XLOOKUP($F189,'FCDB 2017 (full)'!$C:$C,'FCDB 2017 (full)'!$E:$E),0)</f>
        <v>0</v>
      </c>
      <c r="J189" s="10">
        <f t="shared" ref="J189:J211" ca="1" si="39">$H189*I189/100</f>
        <v>0</v>
      </c>
      <c r="K189" s="9">
        <f ca="1">IFERROR(_xlfn.XLOOKUP($F189,'FCDB 2017 (full)'!$C:$C,'FCDB 2017 (full)'!$G:$G),0)</f>
        <v>0</v>
      </c>
      <c r="L189" s="13" t="e">
        <f t="shared" ref="L189:L211" ca="1" si="40">IF($G189=L$15,$H189*$K189/100,0)</f>
        <v>#NAME?</v>
      </c>
      <c r="M189" s="13" t="e">
        <f t="shared" ref="M189:M211" ca="1" si="41">IF($G189=M$15,$H189*$K189/100,0)</f>
        <v>#NAME?</v>
      </c>
      <c r="N189" s="9">
        <f ca="1">IFERROR(_xlfn.XLOOKUP($F189,'FCDB 2017 (full)'!$C:$C,'FCDB 2017 (full)'!$H:$H),0)</f>
        <v>0</v>
      </c>
      <c r="O189" s="14" t="e">
        <f t="shared" ref="O189:O211" ca="1" si="42">IF($G189=O$15,$H189*$N189/100,0)</f>
        <v>#NAME?</v>
      </c>
      <c r="P189" s="14" t="e">
        <f t="shared" ref="P189:P211" ca="1" si="43">IF($G189=P$15,$H189*$N189/100,0)</f>
        <v>#NAME?</v>
      </c>
      <c r="Q189" s="9">
        <f ca="1">IFERROR(_xlfn.XLOOKUP($F189,'FCDB 2017 (full)'!$C:$C,'FCDB 2017 (full)'!$I:$I),0)</f>
        <v>0</v>
      </c>
      <c r="R189" s="15">
        <f t="shared" ref="R189:R211" ca="1" si="44">$H189*Q189/100</f>
        <v>0</v>
      </c>
      <c r="S189" s="16">
        <f ca="1">IFERROR(_xlfn.XLOOKUP($F189,'FCDB 2017 (full)'!$C:$C,'FCDB 2017 (full)'!$J:$J)*$H189/100,0)</f>
        <v>0</v>
      </c>
      <c r="T189" s="16">
        <f ca="1">IFERROR(_xlfn.XLOOKUP($F189,'FCDB 2017 (full)'!$C:$C,'FCDB 2017 (full)'!$K:$K)*$H189/100,0)</f>
        <v>0</v>
      </c>
      <c r="U189" s="16">
        <f ca="1">IFERROR(_xlfn.XLOOKUP($F189,'FCDB 2017 (full)'!$C:$C,'FCDB 2017 (full)'!$L:$L)*$H189/100,0)</f>
        <v>0</v>
      </c>
      <c r="V189" s="16">
        <f ca="1">IFERROR(_xlfn.XLOOKUP($F189,'FCDB 2017 (full)'!$C:$C,'FCDB 2017 (full)'!$M:$M)*$H189/100,0)</f>
        <v>0</v>
      </c>
      <c r="W189" s="16">
        <f ca="1">IFERROR(_xlfn.XLOOKUP($F189,'FCDB 2017 (full)'!$C:$C,'FCDB 2017 (full)'!$N:$N)*$H189/100,0)</f>
        <v>0</v>
      </c>
      <c r="X189" s="16">
        <f ca="1">IFERROR(_xlfn.XLOOKUP($F189,'FCDB 2017 (full)'!$C:$C,'FCDB 2017 (full)'!$O:$O)*$H189/100,0)</f>
        <v>0</v>
      </c>
      <c r="Y189" s="16">
        <f ca="1">IFERROR(_xlfn.XLOOKUP($F189,'FCDB 2017 (full)'!$C:$C,'FCDB 2017 (full)'!$P:$P)*$H189/100,0)</f>
        <v>0</v>
      </c>
      <c r="Z189" s="16">
        <f ca="1">IFERROR(_xlfn.XLOOKUP($F189,'FCDB 2017 (full)'!$C:$C,'FCDB 2017 (full)'!$Q:$Q)*$H189/100,0)</f>
        <v>0</v>
      </c>
      <c r="AA189" s="16">
        <f ca="1">IFERROR(_xlfn.XLOOKUP($F189,'FCDB 2017 (full)'!$C:$C,'FCDB 2017 (full)'!$R:$R)*$H189/100,0)</f>
        <v>0</v>
      </c>
      <c r="AB189" s="16">
        <f ca="1">IFERROR(_xlfn.XLOOKUP($F189,'FCDB 2017 (full)'!$C:$C,'FCDB 2017 (full)'!$S:$S)*$H189/100,0)</f>
        <v>0</v>
      </c>
      <c r="AC189" s="16">
        <f ca="1">IFERROR(_xlfn.XLOOKUP($F189,'FCDB 2017 (full)'!$C:$C,'FCDB 2017 (full)'!$T:$T)*$H189/100,0)</f>
        <v>0</v>
      </c>
      <c r="AD189" s="16">
        <f ca="1">IFERROR(_xlfn.XLOOKUP($F189,'FCDB 2017 (full)'!$C:$C,'FCDB 2017 (full)'!$U:$U)*$H189/100,0)</f>
        <v>0</v>
      </c>
      <c r="AE189" s="16">
        <f ca="1">IFERROR(_xlfn.XLOOKUP($F189,'FCDB 2017 (full)'!$C:$C,'FCDB 2017 (full)'!$V:$V)*$H189/100,0)</f>
        <v>0</v>
      </c>
      <c r="AF189" s="16">
        <f ca="1">IFERROR(_xlfn.XLOOKUP($F189,'FCDB 2017 (full)'!$C:$C,'FCDB 2017 (full)'!$W:$W)*$H189/100,0)</f>
        <v>0</v>
      </c>
      <c r="AG189" s="16">
        <f ca="1">IFERROR(_xlfn.XLOOKUP($F189,'FCDB 2017 (full)'!$C:$C,'FCDB 2017 (full)'!$X:$X)*$H189/100,0)</f>
        <v>0</v>
      </c>
      <c r="AH189" s="16">
        <f ca="1">IFERROR(_xlfn.XLOOKUP($F189,'FCDB 2017 (full)'!$C:$C,'FCDB 2017 (full)'!$Y:$Y)*$H189/100,0)</f>
        <v>0</v>
      </c>
      <c r="AI189" s="16">
        <f ca="1">IFERROR(_xlfn.XLOOKUP($F189,'FCDB 2017 (full)'!$C:$C,'FCDB 2017 (full)'!$Z:$Z)*$H189/100,0)</f>
        <v>0</v>
      </c>
      <c r="AJ189" s="16">
        <f ca="1">IFERROR(_xlfn.XLOOKUP($F189,'FCDB 2017 (full)'!$C:$C,'FCDB 2017 (full)'!$AA:$AA)*$H189/100,0)</f>
        <v>0</v>
      </c>
      <c r="AK189" s="16">
        <f ca="1">IFERROR(_xlfn.XLOOKUP($F189,'FCDB 2017 (full)'!$C:$C,'FCDB 2017 (full)'!$AB:$AB)*$H189/100,0)</f>
        <v>0</v>
      </c>
      <c r="AL189" s="16">
        <f ca="1">IFERROR(_xlfn.XLOOKUP($F189,'FCDB 2017 (full)'!$C:$C,'FCDB 2017 (full)'!$AC:$AC)*$H189/100,0)</f>
        <v>0</v>
      </c>
      <c r="AM189" s="16">
        <f ca="1">IFERROR(_xlfn.XLOOKUP($F189,'FCDB 2017 (full)'!$C:$C,'FCDB 2017 (full)'!$AD:$AD)*$H189/100,0)</f>
        <v>0</v>
      </c>
      <c r="AN189" s="16">
        <f ca="1">IFERROR(_xlfn.XLOOKUP($F189,'FCDB 2017 (full)'!$C:$C,'FCDB 2017 (full)'!$AE:$AE)*$H189/100,0)</f>
        <v>0</v>
      </c>
      <c r="AO189" s="16">
        <f ca="1">IFERROR(_xlfn.XLOOKUP($F189,'FCDB 2017 (full)'!$C:$C,'FCDB 2017 (full)'!$AF:$AF)*$H189/100,0)</f>
        <v>0</v>
      </c>
      <c r="AP189" s="16">
        <f ca="1">IFERROR(_xlfn.XLOOKUP($F189,'FCDB 2017 (full)'!$C:$C,'FCDB 2017 (full)'!$AG:$AG)*$H189/100,0)</f>
        <v>0</v>
      </c>
      <c r="AQ189" s="16">
        <f ca="1">IFERROR(_xlfn.XLOOKUP($F189,'FCDB 2017 (full)'!$C:$C,'FCDB 2017 (full)'!$AH:$AH)*$H189/100,0)</f>
        <v>0</v>
      </c>
      <c r="AR189" s="16">
        <f ca="1">IFERROR(_xlfn.XLOOKUP($F189,'FCDB 2017 (full)'!$C:$C,'FCDB 2017 (full)'!$AI:$AI)*$H189/100,0)</f>
        <v>0</v>
      </c>
      <c r="AS189" s="16">
        <f ca="1">IFERROR(_xlfn.XLOOKUP($F189,'FCDB 2017 (full)'!$C:$C,'FCDB 2017 (full)'!$AJ:$AJ)*$H189/100,0)</f>
        <v>0</v>
      </c>
      <c r="AT189" s="16">
        <f ca="1">IFERROR(_xlfn.XLOOKUP($F189,'FCDB 2017 (full)'!$C:$C,'FCDB 2017 (full)'!$AK:$AK)*$H189/100,0)</f>
        <v>0</v>
      </c>
      <c r="AU189" s="16">
        <f ca="1">IFERROR(_xlfn.XLOOKUP($F189,'FCDB 2017 (full)'!$C:$C,'FCDB 2017 (full)'!$AK:$AK)*$H189/100,0)</f>
        <v>0</v>
      </c>
      <c r="AV189" s="16">
        <f ca="1">IFERROR(_xlfn.XLOOKUP($F189,'FCDB 2017 (full)'!$C:$C,'FCDB 2017 (full)'!$AM:$AM)*$H189/100,0)</f>
        <v>0</v>
      </c>
      <c r="AW189" s="16">
        <f ca="1">IFERROR(_xlfn.XLOOKUP($F189,'FCDB 2017 (full)'!$C:$C,'FCDB 2017 (full)'!$AN:$AN)*$H189/100,0)</f>
        <v>0</v>
      </c>
      <c r="AX189" s="16">
        <f ca="1">IFERROR(_xlfn.XLOOKUP($F189,'FCDB 2017 (full)'!$C:$C,'FCDB 2017 (full)'!$AO:$AO)*$H189/100,0)</f>
        <v>0</v>
      </c>
      <c r="AY189" s="16">
        <f ca="1">IFERROR(_xlfn.XLOOKUP($F189,'FCDB 2017 (full)'!$C:$C,'FCDB 2017 (full)'!$AP:$AP)*$H189/100,0)</f>
        <v>0</v>
      </c>
      <c r="AZ189" s="16">
        <f ca="1">IFERROR(_xlfn.XLOOKUP($F189,'FCDB 2017 (full)'!$C:$C,'FCDB 2017 (full)'!$AQ:$AQ)*$H189/100,0)</f>
        <v>0</v>
      </c>
      <c r="BA189" s="16">
        <f ca="1">IFERROR(_xlfn.XLOOKUP($F189,'FCDB 2017 (full)'!$C:$C,'FCDB 2017 (full)'!$AR:$AR)*$H189/100,0)</f>
        <v>0</v>
      </c>
      <c r="BB189" s="16">
        <f ca="1">IFERROR(_xlfn.XLOOKUP($F189,'FCDB 2017 (full)'!$C:$C,'FCDB 2017 (full)'!$AS:$AS)*$H189/100,0)</f>
        <v>0</v>
      </c>
      <c r="BC189" s="16">
        <f ca="1">IFERROR(_xlfn.XLOOKUP($F189,'FCDB 2017 (full)'!$C:$C,'FCDB 2017 (full)'!$AT:$AT)*$H189/100,0)</f>
        <v>0</v>
      </c>
      <c r="BD189" s="16">
        <f ca="1">IFERROR(_xlfn.XLOOKUP($F189,'FCDB 2017 (full)'!$C:$C,'FCDB 2017 (full)'!$AU:$AU)*$H189/100,0)</f>
        <v>0</v>
      </c>
      <c r="BE189" s="16">
        <f ca="1">IFERROR(_xlfn.XLOOKUP($F189,'FCDB 2017 (full)'!$C:$C,'FCDB 2017 (full)'!$AV:$AV)*$H189/100,0)</f>
        <v>0</v>
      </c>
      <c r="BF189" s="16">
        <f ca="1">IFERROR(_xlfn.XLOOKUP($F189,'FCDB 2017 (full)'!$C:$C,'FCDB 2017 (full)'!$AW:$AW)*$H189/100,0)</f>
        <v>0</v>
      </c>
      <c r="BG189" s="16">
        <f ca="1">IFERROR(_xlfn.XLOOKUP($F189,'FCDB 2017 (full)'!$C:$C,'FCDB 2017 (full)'!$AX:$AX)*$H189/100,0)</f>
        <v>0</v>
      </c>
      <c r="BH189" s="16">
        <f ca="1">IFERROR(_xlfn.XLOOKUP($F189,'FCDB 2017 (full)'!$C:$C,'FCDB 2017 (full)'!$AY:$AY)*$H189/100,0)</f>
        <v>0</v>
      </c>
      <c r="BI189" s="16">
        <f ca="1">IFERROR(_xlfn.XLOOKUP($F189,'FCDB 2017 (full)'!$C:$C,'FCDB 2017 (full)'!$AZ:$AZ)*$H189/100,0)</f>
        <v>0</v>
      </c>
      <c r="BJ189" s="16">
        <f ca="1">IFERROR(_xlfn.XLOOKUP($F189,'FCDB 2017 (full)'!$C:$C,'FCDB 2017 (full)'!$BA:$BA)*$H189/100,0)</f>
        <v>0</v>
      </c>
      <c r="BK189" s="16">
        <f ca="1">IFERROR(_xlfn.XLOOKUP($F189,'FCDB 2017 (full)'!$C:$C,'FCDB 2017 (full)'!$BB:$BB)*$H189/100,0)</f>
        <v>0</v>
      </c>
      <c r="BL189" s="16">
        <f ca="1">IFERROR(_xlfn.XLOOKUP($F189,'FCDB 2017 (full)'!$C:$C,'FCDB 2017 (full)'!$BC:$BC)*$H189/100,0)</f>
        <v>0</v>
      </c>
      <c r="BM189" s="16">
        <f ca="1">IFERROR(_xlfn.XLOOKUP($F189,'FCDB 2017 (full)'!$C:$C,'FCDB 2017 (full)'!$BD:$BD)*$H189/100,0)</f>
        <v>0</v>
      </c>
      <c r="BN189" s="16">
        <f ca="1">IFERROR(_xlfn.XLOOKUP($F189,'FCDB 2017 (full)'!$C:$C,'FCDB 2017 (full)'!$BE:$BE)*$H189/100,0)</f>
        <v>0</v>
      </c>
      <c r="BO189" s="16">
        <f ca="1">IFERROR(_xlfn.XLOOKUP($F189,'FCDB 2017 (full)'!$C:$C,'FCDB 2017 (full)'!$BF:$BF)*$H189/100,0)</f>
        <v>0</v>
      </c>
      <c r="BP189" s="16">
        <f ca="1">IFERROR(_xlfn.XLOOKUP($F189,'FCDB 2017 (full)'!$C:$C,'FCDB 2017 (full)'!$BG:$BG)*$H189/100,0)</f>
        <v>0</v>
      </c>
      <c r="BQ189" s="16">
        <f ca="1">IFERROR(_xlfn.XLOOKUP($F189,'FCDB 2017 (full)'!$C:$C,'FCDB 2017 (full)'!$BH:$BH)*$H189/100,0)</f>
        <v>0</v>
      </c>
      <c r="BR189" s="16">
        <f ca="1">IFERROR(_xlfn.XLOOKUP($F189,'FCDB 2017 (full)'!$C:$C,'FCDB 2017 (full)'!$BI:$BI)*$H189/100,0)</f>
        <v>0</v>
      </c>
      <c r="BS189" s="16">
        <f ca="1">IFERROR(_xlfn.XLOOKUP($F189,'FCDB 2017 (full)'!$C:$C,'FCDB 2017 (full)'!$BJ:$BJ)*$H189/100,0)</f>
        <v>0</v>
      </c>
      <c r="BT189" s="16">
        <f ca="1">IFERROR(_xlfn.XLOOKUP($F189,'FCDB 2017 (full)'!$C:$C,'FCDB 2017 (full)'!$BK:$BK)*$H189/100,0)</f>
        <v>0</v>
      </c>
      <c r="BU189" s="16">
        <f ca="1">IFERROR(_xlfn.XLOOKUP($F189,'FCDB 2017 (full)'!$C:$C,'FCDB 2017 (full)'!$BL:$BL)*$H189/100,0)</f>
        <v>0</v>
      </c>
      <c r="BV189" s="16">
        <f ca="1">IFERROR(_xlfn.XLOOKUP($F189,'FCDB 2017 (full)'!$C:$C,'FCDB 2017 (full)'!$BM:$BM)*$H189/100,0)</f>
        <v>0</v>
      </c>
      <c r="BW189" s="16">
        <f ca="1">IFERROR(_xlfn.XLOOKUP($F189,'FCDB 2017 (full)'!$C:$C,'FCDB 2017 (full)'!$BN:$BN)*$H189/100,0)</f>
        <v>0</v>
      </c>
      <c r="BX189" s="16">
        <f ca="1">IFERROR(_xlfn.XLOOKUP($F189,'FCDB 2017 (full)'!$C:$C,'FCDB 2017 (full)'!$BO:$BO)*$H189/100,0)</f>
        <v>0</v>
      </c>
      <c r="BY189" s="16">
        <f ca="1">IFERROR(_xlfn.XLOOKUP($F189,'FCDB 2017 (full)'!$C:$C,'FCDB 2017 (full)'!$BP:$BP)*$H189/100,0)</f>
        <v>0</v>
      </c>
      <c r="BZ189" s="16">
        <f ca="1">IFERROR(_xlfn.XLOOKUP($F189,'FCDB 2017 (full)'!$C:$C,'FCDB 2017 (full)'!$BQ:$BQ)*$H189/100,0)</f>
        <v>0</v>
      </c>
      <c r="CA189" s="16">
        <f ca="1">IFERROR(_xlfn.XLOOKUP($F189,'FCDB 2017 (full)'!$C:$C,'FCDB 2017 (full)'!$BR:$BR)*$H189/100,0)</f>
        <v>0</v>
      </c>
      <c r="CB189" s="16">
        <f ca="1">IFERROR(_xlfn.XLOOKUP($F189,'FCDB 2017 (full)'!$C:$C,'FCDB 2017 (full)'!$BS:$BS)*$H189/100,0)</f>
        <v>0</v>
      </c>
      <c r="CC189" s="16">
        <f ca="1">IFERROR(_xlfn.XLOOKUP($F189,'FCDB 2017 (full)'!$C:$C,'FCDB 2017 (full)'!$BT:$BT)*$H189/100,0)</f>
        <v>0</v>
      </c>
      <c r="CD189" s="16">
        <f ca="1">IFERROR(_xlfn.XLOOKUP($F189,'FCDB 2017 (full)'!$C:$C,'FCDB 2017 (full)'!$BU:$BU)*$H189/100,0)</f>
        <v>0</v>
      </c>
      <c r="CE189" s="16">
        <f ca="1">IFERROR(_xlfn.XLOOKUP($F189,'FCDB 2017 (full)'!$C:$C,'FCDB 2017 (full)'!$BV:$BV)*$H189/100,0)</f>
        <v>0</v>
      </c>
      <c r="CF189" s="16">
        <f ca="1">IFERROR(_xlfn.XLOOKUP($F189,'FCDB 2017 (full)'!$C:$C,'FCDB 2017 (full)'!$BW:$BW)*$H189/100,0)</f>
        <v>0</v>
      </c>
      <c r="CG189" s="16">
        <f ca="1">IFERROR(_xlfn.XLOOKUP($F189,'FCDB 2017 (full)'!$C:$C,'FCDB 2017 (full)'!$BX:$BX)*$H189/100,0)</f>
        <v>0</v>
      </c>
      <c r="CH189" s="16">
        <f ca="1">IFERROR(_xlfn.XLOOKUP($F189,'FCDB 2017 (full)'!$C:$C,'FCDB 2017 (full)'!$BY:$BY)*$H189/100,0)</f>
        <v>0</v>
      </c>
      <c r="CI189" s="16">
        <f ca="1">IFERROR(_xlfn.XLOOKUP($F189,'FCDB 2017 (full)'!$C:$C,'FCDB 2017 (full)'!$BZ:$BZ)*$H189/100,0)</f>
        <v>0</v>
      </c>
      <c r="CJ189" s="16">
        <f ca="1">IFERROR(_xlfn.XLOOKUP($F189,'FCDB 2017 (full)'!$C:$C,'FCDB 2017 (full)'!$CA:$CA)*$H189/100,0)</f>
        <v>0</v>
      </c>
      <c r="CK189" s="16">
        <f ca="1">IFERROR(_xlfn.XLOOKUP($F189,'FCDB 2017 (full)'!$C:$C,'FCDB 2017 (full)'!$CB:$CB)*$H189/100,0)</f>
        <v>0</v>
      </c>
      <c r="CL189" s="16">
        <f ca="1">IFERROR(_xlfn.XLOOKUP($F189,'FCDB 2017 (full)'!$C:$C,'FCDB 2017 (full)'!$CC:$CC)*$H189/100,0)</f>
        <v>0</v>
      </c>
      <c r="CM189" s="16">
        <f ca="1">IFERROR(_xlfn.XLOOKUP($F189,'FCDB 2017 (full)'!$C:$C,'FCDB 2017 (full)'!$CD:$CD)*$H189/100,0)</f>
        <v>0</v>
      </c>
      <c r="CN189" s="16">
        <f ca="1">IFERROR(_xlfn.XLOOKUP($F189,'FCDB 2017 (full)'!$C:$C,'FCDB 2017 (full)'!$CE:$CE)*$H189/100,0)</f>
        <v>0</v>
      </c>
      <c r="CO189" s="16">
        <f ca="1">IFERROR(_xlfn.XLOOKUP($F189,'FCDB 2017 (full)'!$C:$C,'FCDB 2017 (full)'!$CF:$CF)*$H189/100,0)</f>
        <v>0</v>
      </c>
      <c r="CP189" s="16">
        <f ca="1">IFERROR(_xlfn.XLOOKUP($F189,'FCDB 2017 (full)'!$C:$C,'FCDB 2017 (full)'!$CG:$CG)*$H189/100,0)</f>
        <v>0</v>
      </c>
      <c r="CQ189" s="16">
        <f ca="1">IFERROR(_xlfn.XLOOKUP($F189,'FCDB 2017 (full)'!$C:$C,'FCDB 2017 (full)'!$CH:$CH)*$H189/100,0)</f>
        <v>0</v>
      </c>
      <c r="DA189" s="72" t="s">
        <v>987</v>
      </c>
    </row>
    <row r="190" spans="4:105">
      <c r="E190" s="41"/>
      <c r="F190" s="11">
        <f>IFERROR(VLOOKUP($D$182,$D:$AE,3,0),0)</f>
        <v>0</v>
      </c>
      <c r="G190" s="7" cm="1">
        <f t="array" ref="G190">IF(F190=0,0,IF(_xlfn.XLOOKUP(F190,$E$182:$AE$182,$E$183:$AE$183)=0,"Nhập ĐV/TV",_xlfn.XLOOKUP(F190,$E$182:$AE$182,$E$183:$AE$183)))</f>
        <v>0</v>
      </c>
      <c r="H190" s="8" cm="1">
        <f t="array" ref="H190">IFERROR(INDEX($E$184:$AE$184,MATCH(F190,$E$182:$AE$182,0)),0)</f>
        <v>0</v>
      </c>
      <c r="I190" s="9">
        <f ca="1">IFERROR(_xlfn.XLOOKUP($F190,'FCDB 2017 (full)'!$C:$C,'FCDB 2017 (full)'!$E:$E),0)</f>
        <v>0</v>
      </c>
      <c r="J190" s="10">
        <f t="shared" ca="1" si="39"/>
        <v>0</v>
      </c>
      <c r="K190" s="9">
        <f ca="1">IFERROR(_xlfn.XLOOKUP($F190,'FCDB 2017 (full)'!$C:$C,'FCDB 2017 (full)'!$G:$G),0)</f>
        <v>0</v>
      </c>
      <c r="L190" s="13">
        <f t="shared" si="40"/>
        <v>0</v>
      </c>
      <c r="M190" s="13">
        <f t="shared" si="41"/>
        <v>0</v>
      </c>
      <c r="N190" s="9">
        <f ca="1">IFERROR(_xlfn.XLOOKUP($F190,'FCDB 2017 (full)'!$C:$C,'FCDB 2017 (full)'!$H:$H),0)</f>
        <v>0</v>
      </c>
      <c r="O190" s="14">
        <f t="shared" si="42"/>
        <v>0</v>
      </c>
      <c r="P190" s="14">
        <f t="shared" si="43"/>
        <v>0</v>
      </c>
      <c r="Q190" s="9">
        <f ca="1">IFERROR(_xlfn.XLOOKUP($F190,'FCDB 2017 (full)'!$C:$C,'FCDB 2017 (full)'!$I:$I),0)</f>
        <v>0</v>
      </c>
      <c r="R190" s="15">
        <f t="shared" ca="1" si="44"/>
        <v>0</v>
      </c>
      <c r="S190" s="16">
        <f ca="1">IFERROR(_xlfn.XLOOKUP($F190,'FCDB 2017 (full)'!$C:$C,'FCDB 2017 (full)'!$J:$J)*$H190/100,0)</f>
        <v>0</v>
      </c>
      <c r="T190" s="16">
        <f ca="1">IFERROR(_xlfn.XLOOKUP($F190,'FCDB 2017 (full)'!$C:$C,'FCDB 2017 (full)'!$K:$K)*$H190/100,0)</f>
        <v>0</v>
      </c>
      <c r="U190" s="16">
        <f ca="1">IFERROR(_xlfn.XLOOKUP($F190,'FCDB 2017 (full)'!$C:$C,'FCDB 2017 (full)'!$L:$L)*$H190/100,0)</f>
        <v>0</v>
      </c>
      <c r="V190" s="16">
        <f ca="1">IFERROR(_xlfn.XLOOKUP($F190,'FCDB 2017 (full)'!$C:$C,'FCDB 2017 (full)'!$M:$M)*$H190/100,0)</f>
        <v>0</v>
      </c>
      <c r="W190" s="16">
        <f ca="1">IFERROR(_xlfn.XLOOKUP($F190,'FCDB 2017 (full)'!$C:$C,'FCDB 2017 (full)'!$N:$N)*$H190/100,0)</f>
        <v>0</v>
      </c>
      <c r="X190" s="16">
        <f ca="1">IFERROR(_xlfn.XLOOKUP($F190,'FCDB 2017 (full)'!$C:$C,'FCDB 2017 (full)'!$O:$O)*$H190/100,0)</f>
        <v>0</v>
      </c>
      <c r="Y190" s="16">
        <f ca="1">IFERROR(_xlfn.XLOOKUP($F190,'FCDB 2017 (full)'!$C:$C,'FCDB 2017 (full)'!$P:$P)*$H190/100,0)</f>
        <v>0</v>
      </c>
      <c r="Z190" s="16">
        <f ca="1">IFERROR(_xlfn.XLOOKUP($F190,'FCDB 2017 (full)'!$C:$C,'FCDB 2017 (full)'!$Q:$Q)*$H190/100,0)</f>
        <v>0</v>
      </c>
      <c r="AA190" s="16">
        <f ca="1">IFERROR(_xlfn.XLOOKUP($F190,'FCDB 2017 (full)'!$C:$C,'FCDB 2017 (full)'!$R:$R)*$H190/100,0)</f>
        <v>0</v>
      </c>
      <c r="AB190" s="16">
        <f ca="1">IFERROR(_xlfn.XLOOKUP($F190,'FCDB 2017 (full)'!$C:$C,'FCDB 2017 (full)'!$S:$S)*$H190/100,0)</f>
        <v>0</v>
      </c>
      <c r="AC190" s="16">
        <f ca="1">IFERROR(_xlfn.XLOOKUP($F190,'FCDB 2017 (full)'!$C:$C,'FCDB 2017 (full)'!$T:$T)*$H190/100,0)</f>
        <v>0</v>
      </c>
      <c r="AD190" s="16">
        <f ca="1">IFERROR(_xlfn.XLOOKUP($F190,'FCDB 2017 (full)'!$C:$C,'FCDB 2017 (full)'!$U:$U)*$H190/100,0)</f>
        <v>0</v>
      </c>
      <c r="AE190" s="16">
        <f ca="1">IFERROR(_xlfn.XLOOKUP($F190,'FCDB 2017 (full)'!$C:$C,'FCDB 2017 (full)'!$V:$V)*$H190/100,0)</f>
        <v>0</v>
      </c>
      <c r="AF190" s="16">
        <f ca="1">IFERROR(_xlfn.XLOOKUP($F190,'FCDB 2017 (full)'!$C:$C,'FCDB 2017 (full)'!$W:$W)*$H190/100,0)</f>
        <v>0</v>
      </c>
      <c r="AG190" s="16">
        <f ca="1">IFERROR(_xlfn.XLOOKUP($F190,'FCDB 2017 (full)'!$C:$C,'FCDB 2017 (full)'!$X:$X)*$H190/100,0)</f>
        <v>0</v>
      </c>
      <c r="AH190" s="16">
        <f ca="1">IFERROR(_xlfn.XLOOKUP($F190,'FCDB 2017 (full)'!$C:$C,'FCDB 2017 (full)'!$Y:$Y)*$H190/100,0)</f>
        <v>0</v>
      </c>
      <c r="AI190" s="16">
        <f ca="1">IFERROR(_xlfn.XLOOKUP($F190,'FCDB 2017 (full)'!$C:$C,'FCDB 2017 (full)'!$Z:$Z)*$H190/100,0)</f>
        <v>0</v>
      </c>
      <c r="AJ190" s="16">
        <f ca="1">IFERROR(_xlfn.XLOOKUP($F190,'FCDB 2017 (full)'!$C:$C,'FCDB 2017 (full)'!$AA:$AA)*$H190/100,0)</f>
        <v>0</v>
      </c>
      <c r="AK190" s="16">
        <f ca="1">IFERROR(_xlfn.XLOOKUP($F190,'FCDB 2017 (full)'!$C:$C,'FCDB 2017 (full)'!$AB:$AB)*$H190/100,0)</f>
        <v>0</v>
      </c>
      <c r="AL190" s="16">
        <f ca="1">IFERROR(_xlfn.XLOOKUP($F190,'FCDB 2017 (full)'!$C:$C,'FCDB 2017 (full)'!$AC:$AC)*$H190/100,0)</f>
        <v>0</v>
      </c>
      <c r="AM190" s="16">
        <f ca="1">IFERROR(_xlfn.XLOOKUP($F190,'FCDB 2017 (full)'!$C:$C,'FCDB 2017 (full)'!$AD:$AD)*$H190/100,0)</f>
        <v>0</v>
      </c>
      <c r="AN190" s="16">
        <f ca="1">IFERROR(_xlfn.XLOOKUP($F190,'FCDB 2017 (full)'!$C:$C,'FCDB 2017 (full)'!$AE:$AE)*$H190/100,0)</f>
        <v>0</v>
      </c>
      <c r="AO190" s="16">
        <f ca="1">IFERROR(_xlfn.XLOOKUP($F190,'FCDB 2017 (full)'!$C:$C,'FCDB 2017 (full)'!$AF:$AF)*$H190/100,0)</f>
        <v>0</v>
      </c>
      <c r="AP190" s="16">
        <f ca="1">IFERROR(_xlfn.XLOOKUP($F190,'FCDB 2017 (full)'!$C:$C,'FCDB 2017 (full)'!$AG:$AG)*$H190/100,0)</f>
        <v>0</v>
      </c>
      <c r="AQ190" s="16">
        <f ca="1">IFERROR(_xlfn.XLOOKUP($F190,'FCDB 2017 (full)'!$C:$C,'FCDB 2017 (full)'!$AH:$AH)*$H190/100,0)</f>
        <v>0</v>
      </c>
      <c r="AR190" s="16">
        <f ca="1">IFERROR(_xlfn.XLOOKUP($F190,'FCDB 2017 (full)'!$C:$C,'FCDB 2017 (full)'!$AI:$AI)*$H190/100,0)</f>
        <v>0</v>
      </c>
      <c r="AS190" s="16">
        <f ca="1">IFERROR(_xlfn.XLOOKUP($F190,'FCDB 2017 (full)'!$C:$C,'FCDB 2017 (full)'!$AJ:$AJ)*$H190/100,0)</f>
        <v>0</v>
      </c>
      <c r="AT190" s="16">
        <f ca="1">IFERROR(_xlfn.XLOOKUP($F190,'FCDB 2017 (full)'!$C:$C,'FCDB 2017 (full)'!$AK:$AK)*$H190/100,0)</f>
        <v>0</v>
      </c>
      <c r="AU190" s="16">
        <f ca="1">IFERROR(_xlfn.XLOOKUP($F190,'FCDB 2017 (full)'!$C:$C,'FCDB 2017 (full)'!$AK:$AK)*$H190/100,0)</f>
        <v>0</v>
      </c>
      <c r="AV190" s="16">
        <f ca="1">IFERROR(_xlfn.XLOOKUP($F190,'FCDB 2017 (full)'!$C:$C,'FCDB 2017 (full)'!$AM:$AM)*$H190/100,0)</f>
        <v>0</v>
      </c>
      <c r="AW190" s="16">
        <f ca="1">IFERROR(_xlfn.XLOOKUP($F190,'FCDB 2017 (full)'!$C:$C,'FCDB 2017 (full)'!$AN:$AN)*$H190/100,0)</f>
        <v>0</v>
      </c>
      <c r="AX190" s="16">
        <f ca="1">IFERROR(_xlfn.XLOOKUP($F190,'FCDB 2017 (full)'!$C:$C,'FCDB 2017 (full)'!$AO:$AO)*$H190/100,0)</f>
        <v>0</v>
      </c>
      <c r="AY190" s="16">
        <f ca="1">IFERROR(_xlfn.XLOOKUP($F190,'FCDB 2017 (full)'!$C:$C,'FCDB 2017 (full)'!$AP:$AP)*$H190/100,0)</f>
        <v>0</v>
      </c>
      <c r="AZ190" s="16">
        <f ca="1">IFERROR(_xlfn.XLOOKUP($F190,'FCDB 2017 (full)'!$C:$C,'FCDB 2017 (full)'!$AQ:$AQ)*$H190/100,0)</f>
        <v>0</v>
      </c>
      <c r="BA190" s="16">
        <f ca="1">IFERROR(_xlfn.XLOOKUP($F190,'FCDB 2017 (full)'!$C:$C,'FCDB 2017 (full)'!$AR:$AR)*$H190/100,0)</f>
        <v>0</v>
      </c>
      <c r="BB190" s="16">
        <f ca="1">IFERROR(_xlfn.XLOOKUP($F190,'FCDB 2017 (full)'!$C:$C,'FCDB 2017 (full)'!$AS:$AS)*$H190/100,0)</f>
        <v>0</v>
      </c>
      <c r="BC190" s="16">
        <f ca="1">IFERROR(_xlfn.XLOOKUP($F190,'FCDB 2017 (full)'!$C:$C,'FCDB 2017 (full)'!$AT:$AT)*$H190/100,0)</f>
        <v>0</v>
      </c>
      <c r="BD190" s="16">
        <f ca="1">IFERROR(_xlfn.XLOOKUP($F190,'FCDB 2017 (full)'!$C:$C,'FCDB 2017 (full)'!$AU:$AU)*$H190/100,0)</f>
        <v>0</v>
      </c>
      <c r="BE190" s="16">
        <f ca="1">IFERROR(_xlfn.XLOOKUP($F190,'FCDB 2017 (full)'!$C:$C,'FCDB 2017 (full)'!$AV:$AV)*$H190/100,0)</f>
        <v>0</v>
      </c>
      <c r="BF190" s="16">
        <f ca="1">IFERROR(_xlfn.XLOOKUP($F190,'FCDB 2017 (full)'!$C:$C,'FCDB 2017 (full)'!$AW:$AW)*$H190/100,0)</f>
        <v>0</v>
      </c>
      <c r="BG190" s="16">
        <f ca="1">IFERROR(_xlfn.XLOOKUP($F190,'FCDB 2017 (full)'!$C:$C,'FCDB 2017 (full)'!$AX:$AX)*$H190/100,0)</f>
        <v>0</v>
      </c>
      <c r="BH190" s="16">
        <f ca="1">IFERROR(_xlfn.XLOOKUP($F190,'FCDB 2017 (full)'!$C:$C,'FCDB 2017 (full)'!$AY:$AY)*$H190/100,0)</f>
        <v>0</v>
      </c>
      <c r="BI190" s="16">
        <f ca="1">IFERROR(_xlfn.XLOOKUP($F190,'FCDB 2017 (full)'!$C:$C,'FCDB 2017 (full)'!$AZ:$AZ)*$H190/100,0)</f>
        <v>0</v>
      </c>
      <c r="BJ190" s="16">
        <f ca="1">IFERROR(_xlfn.XLOOKUP($F190,'FCDB 2017 (full)'!$C:$C,'FCDB 2017 (full)'!$BA:$BA)*$H190/100,0)</f>
        <v>0</v>
      </c>
      <c r="BK190" s="16">
        <f ca="1">IFERROR(_xlfn.XLOOKUP($F190,'FCDB 2017 (full)'!$C:$C,'FCDB 2017 (full)'!$BB:$BB)*$H190/100,0)</f>
        <v>0</v>
      </c>
      <c r="BL190" s="16">
        <f ca="1">IFERROR(_xlfn.XLOOKUP($F190,'FCDB 2017 (full)'!$C:$C,'FCDB 2017 (full)'!$BC:$BC)*$H190/100,0)</f>
        <v>0</v>
      </c>
      <c r="BM190" s="16">
        <f ca="1">IFERROR(_xlfn.XLOOKUP($F190,'FCDB 2017 (full)'!$C:$C,'FCDB 2017 (full)'!$BD:$BD)*$H190/100,0)</f>
        <v>0</v>
      </c>
      <c r="BN190" s="16">
        <f ca="1">IFERROR(_xlfn.XLOOKUP($F190,'FCDB 2017 (full)'!$C:$C,'FCDB 2017 (full)'!$BE:$BE)*$H190/100,0)</f>
        <v>0</v>
      </c>
      <c r="BO190" s="16">
        <f ca="1">IFERROR(_xlfn.XLOOKUP($F190,'FCDB 2017 (full)'!$C:$C,'FCDB 2017 (full)'!$BF:$BF)*$H190/100,0)</f>
        <v>0</v>
      </c>
      <c r="BP190" s="16">
        <f ca="1">IFERROR(_xlfn.XLOOKUP($F190,'FCDB 2017 (full)'!$C:$C,'FCDB 2017 (full)'!$BG:$BG)*$H190/100,0)</f>
        <v>0</v>
      </c>
      <c r="BQ190" s="16">
        <f ca="1">IFERROR(_xlfn.XLOOKUP($F190,'FCDB 2017 (full)'!$C:$C,'FCDB 2017 (full)'!$BH:$BH)*$H190/100,0)</f>
        <v>0</v>
      </c>
      <c r="BR190" s="16">
        <f ca="1">IFERROR(_xlfn.XLOOKUP($F190,'FCDB 2017 (full)'!$C:$C,'FCDB 2017 (full)'!$BI:$BI)*$H190/100,0)</f>
        <v>0</v>
      </c>
      <c r="BS190" s="16">
        <f ca="1">IFERROR(_xlfn.XLOOKUP($F190,'FCDB 2017 (full)'!$C:$C,'FCDB 2017 (full)'!$BJ:$BJ)*$H190/100,0)</f>
        <v>0</v>
      </c>
      <c r="BT190" s="16">
        <f ca="1">IFERROR(_xlfn.XLOOKUP($F190,'FCDB 2017 (full)'!$C:$C,'FCDB 2017 (full)'!$BK:$BK)*$H190/100,0)</f>
        <v>0</v>
      </c>
      <c r="BU190" s="16">
        <f ca="1">IFERROR(_xlfn.XLOOKUP($F190,'FCDB 2017 (full)'!$C:$C,'FCDB 2017 (full)'!$BL:$BL)*$H190/100,0)</f>
        <v>0</v>
      </c>
      <c r="BV190" s="16">
        <f ca="1">IFERROR(_xlfn.XLOOKUP($F190,'FCDB 2017 (full)'!$C:$C,'FCDB 2017 (full)'!$BM:$BM)*$H190/100,0)</f>
        <v>0</v>
      </c>
      <c r="BW190" s="16">
        <f ca="1">IFERROR(_xlfn.XLOOKUP($F190,'FCDB 2017 (full)'!$C:$C,'FCDB 2017 (full)'!$BN:$BN)*$H190/100,0)</f>
        <v>0</v>
      </c>
      <c r="BX190" s="16">
        <f ca="1">IFERROR(_xlfn.XLOOKUP($F190,'FCDB 2017 (full)'!$C:$C,'FCDB 2017 (full)'!$BO:$BO)*$H190/100,0)</f>
        <v>0</v>
      </c>
      <c r="BY190" s="16">
        <f ca="1">IFERROR(_xlfn.XLOOKUP($F190,'FCDB 2017 (full)'!$C:$C,'FCDB 2017 (full)'!$BP:$BP)*$H190/100,0)</f>
        <v>0</v>
      </c>
      <c r="BZ190" s="16">
        <f ca="1">IFERROR(_xlfn.XLOOKUP($F190,'FCDB 2017 (full)'!$C:$C,'FCDB 2017 (full)'!$BQ:$BQ)*$H190/100,0)</f>
        <v>0</v>
      </c>
      <c r="CA190" s="16">
        <f ca="1">IFERROR(_xlfn.XLOOKUP($F190,'FCDB 2017 (full)'!$C:$C,'FCDB 2017 (full)'!$BR:$BR)*$H190/100,0)</f>
        <v>0</v>
      </c>
      <c r="CB190" s="16">
        <f ca="1">IFERROR(_xlfn.XLOOKUP($F190,'FCDB 2017 (full)'!$C:$C,'FCDB 2017 (full)'!$BS:$BS)*$H190/100,0)</f>
        <v>0</v>
      </c>
      <c r="CC190" s="16">
        <f ca="1">IFERROR(_xlfn.XLOOKUP($F190,'FCDB 2017 (full)'!$C:$C,'FCDB 2017 (full)'!$BT:$BT)*$H190/100,0)</f>
        <v>0</v>
      </c>
      <c r="CD190" s="16">
        <f ca="1">IFERROR(_xlfn.XLOOKUP($F190,'FCDB 2017 (full)'!$C:$C,'FCDB 2017 (full)'!$BU:$BU)*$H190/100,0)</f>
        <v>0</v>
      </c>
      <c r="CE190" s="16">
        <f ca="1">IFERROR(_xlfn.XLOOKUP($F190,'FCDB 2017 (full)'!$C:$C,'FCDB 2017 (full)'!$BV:$BV)*$H190/100,0)</f>
        <v>0</v>
      </c>
      <c r="CF190" s="16">
        <f ca="1">IFERROR(_xlfn.XLOOKUP($F190,'FCDB 2017 (full)'!$C:$C,'FCDB 2017 (full)'!$BW:$BW)*$H190/100,0)</f>
        <v>0</v>
      </c>
      <c r="CG190" s="16">
        <f ca="1">IFERROR(_xlfn.XLOOKUP($F190,'FCDB 2017 (full)'!$C:$C,'FCDB 2017 (full)'!$BX:$BX)*$H190/100,0)</f>
        <v>0</v>
      </c>
      <c r="CH190" s="16">
        <f ca="1">IFERROR(_xlfn.XLOOKUP($F190,'FCDB 2017 (full)'!$C:$C,'FCDB 2017 (full)'!$BY:$BY)*$H190/100,0)</f>
        <v>0</v>
      </c>
      <c r="CI190" s="16">
        <f ca="1">IFERROR(_xlfn.XLOOKUP($F190,'FCDB 2017 (full)'!$C:$C,'FCDB 2017 (full)'!$BZ:$BZ)*$H190/100,0)</f>
        <v>0</v>
      </c>
      <c r="CJ190" s="16">
        <f ca="1">IFERROR(_xlfn.XLOOKUP($F190,'FCDB 2017 (full)'!$C:$C,'FCDB 2017 (full)'!$CA:$CA)*$H190/100,0)</f>
        <v>0</v>
      </c>
      <c r="CK190" s="16">
        <f ca="1">IFERROR(_xlfn.XLOOKUP($F190,'FCDB 2017 (full)'!$C:$C,'FCDB 2017 (full)'!$CB:$CB)*$H190/100,0)</f>
        <v>0</v>
      </c>
      <c r="CL190" s="16">
        <f ca="1">IFERROR(_xlfn.XLOOKUP($F190,'FCDB 2017 (full)'!$C:$C,'FCDB 2017 (full)'!$CC:$CC)*$H190/100,0)</f>
        <v>0</v>
      </c>
      <c r="CM190" s="16">
        <f ca="1">IFERROR(_xlfn.XLOOKUP($F190,'FCDB 2017 (full)'!$C:$C,'FCDB 2017 (full)'!$CD:$CD)*$H190/100,0)</f>
        <v>0</v>
      </c>
      <c r="CN190" s="16">
        <f ca="1">IFERROR(_xlfn.XLOOKUP($F190,'FCDB 2017 (full)'!$C:$C,'FCDB 2017 (full)'!$CE:$CE)*$H190/100,0)</f>
        <v>0</v>
      </c>
      <c r="CO190" s="16">
        <f ca="1">IFERROR(_xlfn.XLOOKUP($F190,'FCDB 2017 (full)'!$C:$C,'FCDB 2017 (full)'!$CF:$CF)*$H190/100,0)</f>
        <v>0</v>
      </c>
      <c r="CP190" s="16">
        <f ca="1">IFERROR(_xlfn.XLOOKUP($F190,'FCDB 2017 (full)'!$C:$C,'FCDB 2017 (full)'!$CG:$CG)*$H190/100,0)</f>
        <v>0</v>
      </c>
      <c r="CQ190" s="16">
        <f ca="1">IFERROR(_xlfn.XLOOKUP($F190,'FCDB 2017 (full)'!$C:$C,'FCDB 2017 (full)'!$CH:$CH)*$H190/100,0)</f>
        <v>0</v>
      </c>
      <c r="DA190" s="72" t="s">
        <v>987</v>
      </c>
    </row>
    <row r="191" spans="4:105">
      <c r="E191" s="41"/>
      <c r="F191" s="11">
        <f>IFERROR(VLOOKUP($D$182,$D:$AE,4,0),0)</f>
        <v>0</v>
      </c>
      <c r="G191" s="7" cm="1">
        <f t="array" ref="G191">IF(F191=0,0,IF(_xlfn.XLOOKUP(F191,$E$182:$AE$182,$E$183:$AE$183)=0,"Nhập ĐV/TV",_xlfn.XLOOKUP(F191,$E$182:$AE$182,$E$183:$AE$183)))</f>
        <v>0</v>
      </c>
      <c r="H191" s="8" cm="1">
        <f t="array" ref="H191">IFERROR(INDEX($E$184:$AE$184,MATCH(F191,$E$182:$AE$182,0)),0)</f>
        <v>0</v>
      </c>
      <c r="I191" s="9">
        <f ca="1">IFERROR(_xlfn.XLOOKUP($F191,'FCDB 2017 (full)'!$C:$C,'FCDB 2017 (full)'!$E:$E),0)</f>
        <v>0</v>
      </c>
      <c r="J191" s="10">
        <f t="shared" ca="1" si="39"/>
        <v>0</v>
      </c>
      <c r="K191" s="9">
        <f ca="1">IFERROR(_xlfn.XLOOKUP($F191,'FCDB 2017 (full)'!$C:$C,'FCDB 2017 (full)'!$G:$G),0)</f>
        <v>0</v>
      </c>
      <c r="L191" s="13">
        <f t="shared" si="40"/>
        <v>0</v>
      </c>
      <c r="M191" s="13">
        <f t="shared" si="41"/>
        <v>0</v>
      </c>
      <c r="N191" s="9">
        <f ca="1">IFERROR(_xlfn.XLOOKUP($F191,'FCDB 2017 (full)'!$C:$C,'FCDB 2017 (full)'!$H:$H),0)</f>
        <v>0</v>
      </c>
      <c r="O191" s="14">
        <f t="shared" si="42"/>
        <v>0</v>
      </c>
      <c r="P191" s="14">
        <f t="shared" si="43"/>
        <v>0</v>
      </c>
      <c r="Q191" s="9">
        <f ca="1">IFERROR(_xlfn.XLOOKUP($F191,'FCDB 2017 (full)'!$C:$C,'FCDB 2017 (full)'!$I:$I),0)</f>
        <v>0</v>
      </c>
      <c r="R191" s="15">
        <f t="shared" ca="1" si="44"/>
        <v>0</v>
      </c>
      <c r="S191" s="16">
        <f ca="1">IFERROR(_xlfn.XLOOKUP($F191,'FCDB 2017 (full)'!$C:$C,'FCDB 2017 (full)'!$J:$J)*$H191/100,0)</f>
        <v>0</v>
      </c>
      <c r="T191" s="16">
        <f ca="1">IFERROR(_xlfn.XLOOKUP($F191,'FCDB 2017 (full)'!$C:$C,'FCDB 2017 (full)'!$K:$K)*$H191/100,0)</f>
        <v>0</v>
      </c>
      <c r="U191" s="16">
        <f ca="1">IFERROR(_xlfn.XLOOKUP($F191,'FCDB 2017 (full)'!$C:$C,'FCDB 2017 (full)'!$L:$L)*$H191/100,0)</f>
        <v>0</v>
      </c>
      <c r="V191" s="16">
        <f ca="1">IFERROR(_xlfn.XLOOKUP($F191,'FCDB 2017 (full)'!$C:$C,'FCDB 2017 (full)'!$M:$M)*$H191/100,0)</f>
        <v>0</v>
      </c>
      <c r="W191" s="16">
        <f ca="1">IFERROR(_xlfn.XLOOKUP($F191,'FCDB 2017 (full)'!$C:$C,'FCDB 2017 (full)'!$N:$N)*$H191/100,0)</f>
        <v>0</v>
      </c>
      <c r="X191" s="16">
        <f ca="1">IFERROR(_xlfn.XLOOKUP($F191,'FCDB 2017 (full)'!$C:$C,'FCDB 2017 (full)'!$O:$O)*$H191/100,0)</f>
        <v>0</v>
      </c>
      <c r="Y191" s="16">
        <f ca="1">IFERROR(_xlfn.XLOOKUP($F191,'FCDB 2017 (full)'!$C:$C,'FCDB 2017 (full)'!$P:$P)*$H191/100,0)</f>
        <v>0</v>
      </c>
      <c r="Z191" s="16">
        <f ca="1">IFERROR(_xlfn.XLOOKUP($F191,'FCDB 2017 (full)'!$C:$C,'FCDB 2017 (full)'!$Q:$Q)*$H191/100,0)</f>
        <v>0</v>
      </c>
      <c r="AA191" s="16">
        <f ca="1">IFERROR(_xlfn.XLOOKUP($F191,'FCDB 2017 (full)'!$C:$C,'FCDB 2017 (full)'!$R:$R)*$H191/100,0)</f>
        <v>0</v>
      </c>
      <c r="AB191" s="16">
        <f ca="1">IFERROR(_xlfn.XLOOKUP($F191,'FCDB 2017 (full)'!$C:$C,'FCDB 2017 (full)'!$S:$S)*$H191/100,0)</f>
        <v>0</v>
      </c>
      <c r="AC191" s="16">
        <f ca="1">IFERROR(_xlfn.XLOOKUP($F191,'FCDB 2017 (full)'!$C:$C,'FCDB 2017 (full)'!$T:$T)*$H191/100,0)</f>
        <v>0</v>
      </c>
      <c r="AD191" s="16">
        <f ca="1">IFERROR(_xlfn.XLOOKUP($F191,'FCDB 2017 (full)'!$C:$C,'FCDB 2017 (full)'!$U:$U)*$H191/100,0)</f>
        <v>0</v>
      </c>
      <c r="AE191" s="16">
        <f ca="1">IFERROR(_xlfn.XLOOKUP($F191,'FCDB 2017 (full)'!$C:$C,'FCDB 2017 (full)'!$V:$V)*$H191/100,0)</f>
        <v>0</v>
      </c>
      <c r="AF191" s="16">
        <f ca="1">IFERROR(_xlfn.XLOOKUP($F191,'FCDB 2017 (full)'!$C:$C,'FCDB 2017 (full)'!$W:$W)*$H191/100,0)</f>
        <v>0</v>
      </c>
      <c r="AG191" s="16">
        <f ca="1">IFERROR(_xlfn.XLOOKUP($F191,'FCDB 2017 (full)'!$C:$C,'FCDB 2017 (full)'!$X:$X)*$H191/100,0)</f>
        <v>0</v>
      </c>
      <c r="AH191" s="16">
        <f ca="1">IFERROR(_xlfn.XLOOKUP($F191,'FCDB 2017 (full)'!$C:$C,'FCDB 2017 (full)'!$Y:$Y)*$H191/100,0)</f>
        <v>0</v>
      </c>
      <c r="AI191" s="16">
        <f ca="1">IFERROR(_xlfn.XLOOKUP($F191,'FCDB 2017 (full)'!$C:$C,'FCDB 2017 (full)'!$Z:$Z)*$H191/100,0)</f>
        <v>0</v>
      </c>
      <c r="AJ191" s="16">
        <f ca="1">IFERROR(_xlfn.XLOOKUP($F191,'FCDB 2017 (full)'!$C:$C,'FCDB 2017 (full)'!$AA:$AA)*$H191/100,0)</f>
        <v>0</v>
      </c>
      <c r="AK191" s="16">
        <f ca="1">IFERROR(_xlfn.XLOOKUP($F191,'FCDB 2017 (full)'!$C:$C,'FCDB 2017 (full)'!$AB:$AB)*$H191/100,0)</f>
        <v>0</v>
      </c>
      <c r="AL191" s="16">
        <f ca="1">IFERROR(_xlfn.XLOOKUP($F191,'FCDB 2017 (full)'!$C:$C,'FCDB 2017 (full)'!$AC:$AC)*$H191/100,0)</f>
        <v>0</v>
      </c>
      <c r="AM191" s="16">
        <f ca="1">IFERROR(_xlfn.XLOOKUP($F191,'FCDB 2017 (full)'!$C:$C,'FCDB 2017 (full)'!$AD:$AD)*$H191/100,0)</f>
        <v>0</v>
      </c>
      <c r="AN191" s="16">
        <f ca="1">IFERROR(_xlfn.XLOOKUP($F191,'FCDB 2017 (full)'!$C:$C,'FCDB 2017 (full)'!$AE:$AE)*$H191/100,0)</f>
        <v>0</v>
      </c>
      <c r="AO191" s="16">
        <f ca="1">IFERROR(_xlfn.XLOOKUP($F191,'FCDB 2017 (full)'!$C:$C,'FCDB 2017 (full)'!$AF:$AF)*$H191/100,0)</f>
        <v>0</v>
      </c>
      <c r="AP191" s="16">
        <f ca="1">IFERROR(_xlfn.XLOOKUP($F191,'FCDB 2017 (full)'!$C:$C,'FCDB 2017 (full)'!$AG:$AG)*$H191/100,0)</f>
        <v>0</v>
      </c>
      <c r="AQ191" s="16">
        <f ca="1">IFERROR(_xlfn.XLOOKUP($F191,'FCDB 2017 (full)'!$C:$C,'FCDB 2017 (full)'!$AH:$AH)*$H191/100,0)</f>
        <v>0</v>
      </c>
      <c r="AR191" s="16">
        <f ca="1">IFERROR(_xlfn.XLOOKUP($F191,'FCDB 2017 (full)'!$C:$C,'FCDB 2017 (full)'!$AI:$AI)*$H191/100,0)</f>
        <v>0</v>
      </c>
      <c r="AS191" s="16">
        <f ca="1">IFERROR(_xlfn.XLOOKUP($F191,'FCDB 2017 (full)'!$C:$C,'FCDB 2017 (full)'!$AJ:$AJ)*$H191/100,0)</f>
        <v>0</v>
      </c>
      <c r="AT191" s="16">
        <f ca="1">IFERROR(_xlfn.XLOOKUP($F191,'FCDB 2017 (full)'!$C:$C,'FCDB 2017 (full)'!$AK:$AK)*$H191/100,0)</f>
        <v>0</v>
      </c>
      <c r="AU191" s="16">
        <f ca="1">IFERROR(_xlfn.XLOOKUP($F191,'FCDB 2017 (full)'!$C:$C,'FCDB 2017 (full)'!$AK:$AK)*$H191/100,0)</f>
        <v>0</v>
      </c>
      <c r="AV191" s="16">
        <f ca="1">IFERROR(_xlfn.XLOOKUP($F191,'FCDB 2017 (full)'!$C:$C,'FCDB 2017 (full)'!$AM:$AM)*$H191/100,0)</f>
        <v>0</v>
      </c>
      <c r="AW191" s="16">
        <f ca="1">IFERROR(_xlfn.XLOOKUP($F191,'FCDB 2017 (full)'!$C:$C,'FCDB 2017 (full)'!$AN:$AN)*$H191/100,0)</f>
        <v>0</v>
      </c>
      <c r="AX191" s="16">
        <f ca="1">IFERROR(_xlfn.XLOOKUP($F191,'FCDB 2017 (full)'!$C:$C,'FCDB 2017 (full)'!$AO:$AO)*$H191/100,0)</f>
        <v>0</v>
      </c>
      <c r="AY191" s="16">
        <f ca="1">IFERROR(_xlfn.XLOOKUP($F191,'FCDB 2017 (full)'!$C:$C,'FCDB 2017 (full)'!$AP:$AP)*$H191/100,0)</f>
        <v>0</v>
      </c>
      <c r="AZ191" s="16">
        <f ca="1">IFERROR(_xlfn.XLOOKUP($F191,'FCDB 2017 (full)'!$C:$C,'FCDB 2017 (full)'!$AQ:$AQ)*$H191/100,0)</f>
        <v>0</v>
      </c>
      <c r="BA191" s="16">
        <f ca="1">IFERROR(_xlfn.XLOOKUP($F191,'FCDB 2017 (full)'!$C:$C,'FCDB 2017 (full)'!$AR:$AR)*$H191/100,0)</f>
        <v>0</v>
      </c>
      <c r="BB191" s="16">
        <f ca="1">IFERROR(_xlfn.XLOOKUP($F191,'FCDB 2017 (full)'!$C:$C,'FCDB 2017 (full)'!$AS:$AS)*$H191/100,0)</f>
        <v>0</v>
      </c>
      <c r="BC191" s="16">
        <f ca="1">IFERROR(_xlfn.XLOOKUP($F191,'FCDB 2017 (full)'!$C:$C,'FCDB 2017 (full)'!$AT:$AT)*$H191/100,0)</f>
        <v>0</v>
      </c>
      <c r="BD191" s="16">
        <f ca="1">IFERROR(_xlfn.XLOOKUP($F191,'FCDB 2017 (full)'!$C:$C,'FCDB 2017 (full)'!$AU:$AU)*$H191/100,0)</f>
        <v>0</v>
      </c>
      <c r="BE191" s="16">
        <f ca="1">IFERROR(_xlfn.XLOOKUP($F191,'FCDB 2017 (full)'!$C:$C,'FCDB 2017 (full)'!$AV:$AV)*$H191/100,0)</f>
        <v>0</v>
      </c>
      <c r="BF191" s="16">
        <f ca="1">IFERROR(_xlfn.XLOOKUP($F191,'FCDB 2017 (full)'!$C:$C,'FCDB 2017 (full)'!$AW:$AW)*$H191/100,0)</f>
        <v>0</v>
      </c>
      <c r="BG191" s="16">
        <f ca="1">IFERROR(_xlfn.XLOOKUP($F191,'FCDB 2017 (full)'!$C:$C,'FCDB 2017 (full)'!$AX:$AX)*$H191/100,0)</f>
        <v>0</v>
      </c>
      <c r="BH191" s="16">
        <f ca="1">IFERROR(_xlfn.XLOOKUP($F191,'FCDB 2017 (full)'!$C:$C,'FCDB 2017 (full)'!$AY:$AY)*$H191/100,0)</f>
        <v>0</v>
      </c>
      <c r="BI191" s="16">
        <f ca="1">IFERROR(_xlfn.XLOOKUP($F191,'FCDB 2017 (full)'!$C:$C,'FCDB 2017 (full)'!$AZ:$AZ)*$H191/100,0)</f>
        <v>0</v>
      </c>
      <c r="BJ191" s="16">
        <f ca="1">IFERROR(_xlfn.XLOOKUP($F191,'FCDB 2017 (full)'!$C:$C,'FCDB 2017 (full)'!$BA:$BA)*$H191/100,0)</f>
        <v>0</v>
      </c>
      <c r="BK191" s="16">
        <f ca="1">IFERROR(_xlfn.XLOOKUP($F191,'FCDB 2017 (full)'!$C:$C,'FCDB 2017 (full)'!$BB:$BB)*$H191/100,0)</f>
        <v>0</v>
      </c>
      <c r="BL191" s="16">
        <f ca="1">IFERROR(_xlfn.XLOOKUP($F191,'FCDB 2017 (full)'!$C:$C,'FCDB 2017 (full)'!$BC:$BC)*$H191/100,0)</f>
        <v>0</v>
      </c>
      <c r="BM191" s="16">
        <f ca="1">IFERROR(_xlfn.XLOOKUP($F191,'FCDB 2017 (full)'!$C:$C,'FCDB 2017 (full)'!$BD:$BD)*$H191/100,0)</f>
        <v>0</v>
      </c>
      <c r="BN191" s="16">
        <f ca="1">IFERROR(_xlfn.XLOOKUP($F191,'FCDB 2017 (full)'!$C:$C,'FCDB 2017 (full)'!$BE:$BE)*$H191/100,0)</f>
        <v>0</v>
      </c>
      <c r="BO191" s="16">
        <f ca="1">IFERROR(_xlfn.XLOOKUP($F191,'FCDB 2017 (full)'!$C:$C,'FCDB 2017 (full)'!$BF:$BF)*$H191/100,0)</f>
        <v>0</v>
      </c>
      <c r="BP191" s="16">
        <f ca="1">IFERROR(_xlfn.XLOOKUP($F191,'FCDB 2017 (full)'!$C:$C,'FCDB 2017 (full)'!$BG:$BG)*$H191/100,0)</f>
        <v>0</v>
      </c>
      <c r="BQ191" s="16">
        <f ca="1">IFERROR(_xlfn.XLOOKUP($F191,'FCDB 2017 (full)'!$C:$C,'FCDB 2017 (full)'!$BH:$BH)*$H191/100,0)</f>
        <v>0</v>
      </c>
      <c r="BR191" s="16">
        <f ca="1">IFERROR(_xlfn.XLOOKUP($F191,'FCDB 2017 (full)'!$C:$C,'FCDB 2017 (full)'!$BI:$BI)*$H191/100,0)</f>
        <v>0</v>
      </c>
      <c r="BS191" s="16">
        <f ca="1">IFERROR(_xlfn.XLOOKUP($F191,'FCDB 2017 (full)'!$C:$C,'FCDB 2017 (full)'!$BJ:$BJ)*$H191/100,0)</f>
        <v>0</v>
      </c>
      <c r="BT191" s="16">
        <f ca="1">IFERROR(_xlfn.XLOOKUP($F191,'FCDB 2017 (full)'!$C:$C,'FCDB 2017 (full)'!$BK:$BK)*$H191/100,0)</f>
        <v>0</v>
      </c>
      <c r="BU191" s="16">
        <f ca="1">IFERROR(_xlfn.XLOOKUP($F191,'FCDB 2017 (full)'!$C:$C,'FCDB 2017 (full)'!$BL:$BL)*$H191/100,0)</f>
        <v>0</v>
      </c>
      <c r="BV191" s="16">
        <f ca="1">IFERROR(_xlfn.XLOOKUP($F191,'FCDB 2017 (full)'!$C:$C,'FCDB 2017 (full)'!$BM:$BM)*$H191/100,0)</f>
        <v>0</v>
      </c>
      <c r="BW191" s="16">
        <f ca="1">IFERROR(_xlfn.XLOOKUP($F191,'FCDB 2017 (full)'!$C:$C,'FCDB 2017 (full)'!$BN:$BN)*$H191/100,0)</f>
        <v>0</v>
      </c>
      <c r="BX191" s="16">
        <f ca="1">IFERROR(_xlfn.XLOOKUP($F191,'FCDB 2017 (full)'!$C:$C,'FCDB 2017 (full)'!$BO:$BO)*$H191/100,0)</f>
        <v>0</v>
      </c>
      <c r="BY191" s="16">
        <f ca="1">IFERROR(_xlfn.XLOOKUP($F191,'FCDB 2017 (full)'!$C:$C,'FCDB 2017 (full)'!$BP:$BP)*$H191/100,0)</f>
        <v>0</v>
      </c>
      <c r="BZ191" s="16">
        <f ca="1">IFERROR(_xlfn.XLOOKUP($F191,'FCDB 2017 (full)'!$C:$C,'FCDB 2017 (full)'!$BQ:$BQ)*$H191/100,0)</f>
        <v>0</v>
      </c>
      <c r="CA191" s="16">
        <f ca="1">IFERROR(_xlfn.XLOOKUP($F191,'FCDB 2017 (full)'!$C:$C,'FCDB 2017 (full)'!$BR:$BR)*$H191/100,0)</f>
        <v>0</v>
      </c>
      <c r="CB191" s="16">
        <f ca="1">IFERROR(_xlfn.XLOOKUP($F191,'FCDB 2017 (full)'!$C:$C,'FCDB 2017 (full)'!$BS:$BS)*$H191/100,0)</f>
        <v>0</v>
      </c>
      <c r="CC191" s="16">
        <f ca="1">IFERROR(_xlfn.XLOOKUP($F191,'FCDB 2017 (full)'!$C:$C,'FCDB 2017 (full)'!$BT:$BT)*$H191/100,0)</f>
        <v>0</v>
      </c>
      <c r="CD191" s="16">
        <f ca="1">IFERROR(_xlfn.XLOOKUP($F191,'FCDB 2017 (full)'!$C:$C,'FCDB 2017 (full)'!$BU:$BU)*$H191/100,0)</f>
        <v>0</v>
      </c>
      <c r="CE191" s="16">
        <f ca="1">IFERROR(_xlfn.XLOOKUP($F191,'FCDB 2017 (full)'!$C:$C,'FCDB 2017 (full)'!$BV:$BV)*$H191/100,0)</f>
        <v>0</v>
      </c>
      <c r="CF191" s="16">
        <f ca="1">IFERROR(_xlfn.XLOOKUP($F191,'FCDB 2017 (full)'!$C:$C,'FCDB 2017 (full)'!$BW:$BW)*$H191/100,0)</f>
        <v>0</v>
      </c>
      <c r="CG191" s="16">
        <f ca="1">IFERROR(_xlfn.XLOOKUP($F191,'FCDB 2017 (full)'!$C:$C,'FCDB 2017 (full)'!$BX:$BX)*$H191/100,0)</f>
        <v>0</v>
      </c>
      <c r="CH191" s="16">
        <f ca="1">IFERROR(_xlfn.XLOOKUP($F191,'FCDB 2017 (full)'!$C:$C,'FCDB 2017 (full)'!$BY:$BY)*$H191/100,0)</f>
        <v>0</v>
      </c>
      <c r="CI191" s="16">
        <f ca="1">IFERROR(_xlfn.XLOOKUP($F191,'FCDB 2017 (full)'!$C:$C,'FCDB 2017 (full)'!$BZ:$BZ)*$H191/100,0)</f>
        <v>0</v>
      </c>
      <c r="CJ191" s="16">
        <f ca="1">IFERROR(_xlfn.XLOOKUP($F191,'FCDB 2017 (full)'!$C:$C,'FCDB 2017 (full)'!$CA:$CA)*$H191/100,0)</f>
        <v>0</v>
      </c>
      <c r="CK191" s="16">
        <f ca="1">IFERROR(_xlfn.XLOOKUP($F191,'FCDB 2017 (full)'!$C:$C,'FCDB 2017 (full)'!$CB:$CB)*$H191/100,0)</f>
        <v>0</v>
      </c>
      <c r="CL191" s="16">
        <f ca="1">IFERROR(_xlfn.XLOOKUP($F191,'FCDB 2017 (full)'!$C:$C,'FCDB 2017 (full)'!$CC:$CC)*$H191/100,0)</f>
        <v>0</v>
      </c>
      <c r="CM191" s="16">
        <f ca="1">IFERROR(_xlfn.XLOOKUP($F191,'FCDB 2017 (full)'!$C:$C,'FCDB 2017 (full)'!$CD:$CD)*$H191/100,0)</f>
        <v>0</v>
      </c>
      <c r="CN191" s="16">
        <f ca="1">IFERROR(_xlfn.XLOOKUP($F191,'FCDB 2017 (full)'!$C:$C,'FCDB 2017 (full)'!$CE:$CE)*$H191/100,0)</f>
        <v>0</v>
      </c>
      <c r="CO191" s="16">
        <f ca="1">IFERROR(_xlfn.XLOOKUP($F191,'FCDB 2017 (full)'!$C:$C,'FCDB 2017 (full)'!$CF:$CF)*$H191/100,0)</f>
        <v>0</v>
      </c>
      <c r="CP191" s="16">
        <f ca="1">IFERROR(_xlfn.XLOOKUP($F191,'FCDB 2017 (full)'!$C:$C,'FCDB 2017 (full)'!$CG:$CG)*$H191/100,0)</f>
        <v>0</v>
      </c>
      <c r="CQ191" s="16">
        <f ca="1">IFERROR(_xlfn.XLOOKUP($F191,'FCDB 2017 (full)'!$C:$C,'FCDB 2017 (full)'!$CH:$CH)*$H191/100,0)</f>
        <v>0</v>
      </c>
      <c r="DA191" s="72" t="s">
        <v>987</v>
      </c>
    </row>
    <row r="192" spans="4:105">
      <c r="E192" s="41"/>
      <c r="F192" s="11">
        <f>IFERROR(VLOOKUP($D$182,$D:$AE,5,0),0)</f>
        <v>0</v>
      </c>
      <c r="G192" s="7" cm="1">
        <f t="array" ref="G192">IF(F192=0,0,IF(_xlfn.XLOOKUP(F192,$E$182:$AE$182,$E$183:$AE$183)=0,"Nhập ĐV/TV",_xlfn.XLOOKUP(F192,$E$182:$AE$182,$E$183:$AE$183)))</f>
        <v>0</v>
      </c>
      <c r="H192" s="8" cm="1">
        <f t="array" ref="H192">IFERROR(INDEX($E$184:$AE$184,MATCH(F192,$E$182:$AE$182,0)),0)</f>
        <v>0</v>
      </c>
      <c r="I192" s="9">
        <f ca="1">IFERROR(_xlfn.XLOOKUP($F192,'FCDB 2017 (full)'!$C:$C,'FCDB 2017 (full)'!$E:$E),0)</f>
        <v>0</v>
      </c>
      <c r="J192" s="10">
        <f t="shared" ca="1" si="39"/>
        <v>0</v>
      </c>
      <c r="K192" s="9">
        <f ca="1">IFERROR(_xlfn.XLOOKUP($F192,'FCDB 2017 (full)'!$C:$C,'FCDB 2017 (full)'!$G:$G),0)</f>
        <v>0</v>
      </c>
      <c r="L192" s="13">
        <f t="shared" si="40"/>
        <v>0</v>
      </c>
      <c r="M192" s="13">
        <f t="shared" si="41"/>
        <v>0</v>
      </c>
      <c r="N192" s="9">
        <f ca="1">IFERROR(_xlfn.XLOOKUP($F192,'FCDB 2017 (full)'!$C:$C,'FCDB 2017 (full)'!$H:$H),0)</f>
        <v>0</v>
      </c>
      <c r="O192" s="14">
        <f t="shared" si="42"/>
        <v>0</v>
      </c>
      <c r="P192" s="14">
        <f t="shared" si="43"/>
        <v>0</v>
      </c>
      <c r="Q192" s="9">
        <f ca="1">IFERROR(_xlfn.XLOOKUP($F192,'FCDB 2017 (full)'!$C:$C,'FCDB 2017 (full)'!$I:$I),0)</f>
        <v>0</v>
      </c>
      <c r="R192" s="15">
        <f t="shared" ca="1" si="44"/>
        <v>0</v>
      </c>
      <c r="S192" s="16">
        <f ca="1">IFERROR(_xlfn.XLOOKUP($F192,'FCDB 2017 (full)'!$C:$C,'FCDB 2017 (full)'!$J:$J)*$H192/100,0)</f>
        <v>0</v>
      </c>
      <c r="T192" s="16">
        <f ca="1">IFERROR(_xlfn.XLOOKUP($F192,'FCDB 2017 (full)'!$C:$C,'FCDB 2017 (full)'!$K:$K)*$H192/100,0)</f>
        <v>0</v>
      </c>
      <c r="U192" s="16">
        <f ca="1">IFERROR(_xlfn.XLOOKUP($F192,'FCDB 2017 (full)'!$C:$C,'FCDB 2017 (full)'!$L:$L)*$H192/100,0)</f>
        <v>0</v>
      </c>
      <c r="V192" s="16">
        <f ca="1">IFERROR(_xlfn.XLOOKUP($F192,'FCDB 2017 (full)'!$C:$C,'FCDB 2017 (full)'!$M:$M)*$H192/100,0)</f>
        <v>0</v>
      </c>
      <c r="W192" s="16">
        <f ca="1">IFERROR(_xlfn.XLOOKUP($F192,'FCDB 2017 (full)'!$C:$C,'FCDB 2017 (full)'!$N:$N)*$H192/100,0)</f>
        <v>0</v>
      </c>
      <c r="X192" s="16">
        <f ca="1">IFERROR(_xlfn.XLOOKUP($F192,'FCDB 2017 (full)'!$C:$C,'FCDB 2017 (full)'!$O:$O)*$H192/100,0)</f>
        <v>0</v>
      </c>
      <c r="Y192" s="16">
        <f ca="1">IFERROR(_xlfn.XLOOKUP($F192,'FCDB 2017 (full)'!$C:$C,'FCDB 2017 (full)'!$P:$P)*$H192/100,0)</f>
        <v>0</v>
      </c>
      <c r="Z192" s="16">
        <f ca="1">IFERROR(_xlfn.XLOOKUP($F192,'FCDB 2017 (full)'!$C:$C,'FCDB 2017 (full)'!$Q:$Q)*$H192/100,0)</f>
        <v>0</v>
      </c>
      <c r="AA192" s="16">
        <f ca="1">IFERROR(_xlfn.XLOOKUP($F192,'FCDB 2017 (full)'!$C:$C,'FCDB 2017 (full)'!$R:$R)*$H192/100,0)</f>
        <v>0</v>
      </c>
      <c r="AB192" s="16">
        <f ca="1">IFERROR(_xlfn.XLOOKUP($F192,'FCDB 2017 (full)'!$C:$C,'FCDB 2017 (full)'!$S:$S)*$H192/100,0)</f>
        <v>0</v>
      </c>
      <c r="AC192" s="16">
        <f ca="1">IFERROR(_xlfn.XLOOKUP($F192,'FCDB 2017 (full)'!$C:$C,'FCDB 2017 (full)'!$T:$T)*$H192/100,0)</f>
        <v>0</v>
      </c>
      <c r="AD192" s="16">
        <f ca="1">IFERROR(_xlfn.XLOOKUP($F192,'FCDB 2017 (full)'!$C:$C,'FCDB 2017 (full)'!$U:$U)*$H192/100,0)</f>
        <v>0</v>
      </c>
      <c r="AE192" s="16">
        <f ca="1">IFERROR(_xlfn.XLOOKUP($F192,'FCDB 2017 (full)'!$C:$C,'FCDB 2017 (full)'!$V:$V)*$H192/100,0)</f>
        <v>0</v>
      </c>
      <c r="AF192" s="16">
        <f ca="1">IFERROR(_xlfn.XLOOKUP($F192,'FCDB 2017 (full)'!$C:$C,'FCDB 2017 (full)'!$W:$W)*$H192/100,0)</f>
        <v>0</v>
      </c>
      <c r="AG192" s="16">
        <f ca="1">IFERROR(_xlfn.XLOOKUP($F192,'FCDB 2017 (full)'!$C:$C,'FCDB 2017 (full)'!$X:$X)*$H192/100,0)</f>
        <v>0</v>
      </c>
      <c r="AH192" s="16">
        <f ca="1">IFERROR(_xlfn.XLOOKUP($F192,'FCDB 2017 (full)'!$C:$C,'FCDB 2017 (full)'!$Y:$Y)*$H192/100,0)</f>
        <v>0</v>
      </c>
      <c r="AI192" s="16">
        <f ca="1">IFERROR(_xlfn.XLOOKUP($F192,'FCDB 2017 (full)'!$C:$C,'FCDB 2017 (full)'!$Z:$Z)*$H192/100,0)</f>
        <v>0</v>
      </c>
      <c r="AJ192" s="16">
        <f ca="1">IFERROR(_xlfn.XLOOKUP($F192,'FCDB 2017 (full)'!$C:$C,'FCDB 2017 (full)'!$AA:$AA)*$H192/100,0)</f>
        <v>0</v>
      </c>
      <c r="AK192" s="16">
        <f ca="1">IFERROR(_xlfn.XLOOKUP($F192,'FCDB 2017 (full)'!$C:$C,'FCDB 2017 (full)'!$AB:$AB)*$H192/100,0)</f>
        <v>0</v>
      </c>
      <c r="AL192" s="16">
        <f ca="1">IFERROR(_xlfn.XLOOKUP($F192,'FCDB 2017 (full)'!$C:$C,'FCDB 2017 (full)'!$AC:$AC)*$H192/100,0)</f>
        <v>0</v>
      </c>
      <c r="AM192" s="16">
        <f ca="1">IFERROR(_xlfn.XLOOKUP($F192,'FCDB 2017 (full)'!$C:$C,'FCDB 2017 (full)'!$AD:$AD)*$H192/100,0)</f>
        <v>0</v>
      </c>
      <c r="AN192" s="16">
        <f ca="1">IFERROR(_xlfn.XLOOKUP($F192,'FCDB 2017 (full)'!$C:$C,'FCDB 2017 (full)'!$AE:$AE)*$H192/100,0)</f>
        <v>0</v>
      </c>
      <c r="AO192" s="16">
        <f ca="1">IFERROR(_xlfn.XLOOKUP($F192,'FCDB 2017 (full)'!$C:$C,'FCDB 2017 (full)'!$AF:$AF)*$H192/100,0)</f>
        <v>0</v>
      </c>
      <c r="AP192" s="16">
        <f ca="1">IFERROR(_xlfn.XLOOKUP($F192,'FCDB 2017 (full)'!$C:$C,'FCDB 2017 (full)'!$AG:$AG)*$H192/100,0)</f>
        <v>0</v>
      </c>
      <c r="AQ192" s="16">
        <f ca="1">IFERROR(_xlfn.XLOOKUP($F192,'FCDB 2017 (full)'!$C:$C,'FCDB 2017 (full)'!$AH:$AH)*$H192/100,0)</f>
        <v>0</v>
      </c>
      <c r="AR192" s="16">
        <f ca="1">IFERROR(_xlfn.XLOOKUP($F192,'FCDB 2017 (full)'!$C:$C,'FCDB 2017 (full)'!$AI:$AI)*$H192/100,0)</f>
        <v>0</v>
      </c>
      <c r="AS192" s="16">
        <f ca="1">IFERROR(_xlfn.XLOOKUP($F192,'FCDB 2017 (full)'!$C:$C,'FCDB 2017 (full)'!$AJ:$AJ)*$H192/100,0)</f>
        <v>0</v>
      </c>
      <c r="AT192" s="16">
        <f ca="1">IFERROR(_xlfn.XLOOKUP($F192,'FCDB 2017 (full)'!$C:$C,'FCDB 2017 (full)'!$AK:$AK)*$H192/100,0)</f>
        <v>0</v>
      </c>
      <c r="AU192" s="16">
        <f ca="1">IFERROR(_xlfn.XLOOKUP($F192,'FCDB 2017 (full)'!$C:$C,'FCDB 2017 (full)'!$AK:$AK)*$H192/100,0)</f>
        <v>0</v>
      </c>
      <c r="AV192" s="16">
        <f ca="1">IFERROR(_xlfn.XLOOKUP($F192,'FCDB 2017 (full)'!$C:$C,'FCDB 2017 (full)'!$AM:$AM)*$H192/100,0)</f>
        <v>0</v>
      </c>
      <c r="AW192" s="16">
        <f ca="1">IFERROR(_xlfn.XLOOKUP($F192,'FCDB 2017 (full)'!$C:$C,'FCDB 2017 (full)'!$AN:$AN)*$H192/100,0)</f>
        <v>0</v>
      </c>
      <c r="AX192" s="16">
        <f ca="1">IFERROR(_xlfn.XLOOKUP($F192,'FCDB 2017 (full)'!$C:$C,'FCDB 2017 (full)'!$AO:$AO)*$H192/100,0)</f>
        <v>0</v>
      </c>
      <c r="AY192" s="16">
        <f ca="1">IFERROR(_xlfn.XLOOKUP($F192,'FCDB 2017 (full)'!$C:$C,'FCDB 2017 (full)'!$AP:$AP)*$H192/100,0)</f>
        <v>0</v>
      </c>
      <c r="AZ192" s="16">
        <f ca="1">IFERROR(_xlfn.XLOOKUP($F192,'FCDB 2017 (full)'!$C:$C,'FCDB 2017 (full)'!$AQ:$AQ)*$H192/100,0)</f>
        <v>0</v>
      </c>
      <c r="BA192" s="16">
        <f ca="1">IFERROR(_xlfn.XLOOKUP($F192,'FCDB 2017 (full)'!$C:$C,'FCDB 2017 (full)'!$AR:$AR)*$H192/100,0)</f>
        <v>0</v>
      </c>
      <c r="BB192" s="16">
        <f ca="1">IFERROR(_xlfn.XLOOKUP($F192,'FCDB 2017 (full)'!$C:$C,'FCDB 2017 (full)'!$AS:$AS)*$H192/100,0)</f>
        <v>0</v>
      </c>
      <c r="BC192" s="16">
        <f ca="1">IFERROR(_xlfn.XLOOKUP($F192,'FCDB 2017 (full)'!$C:$C,'FCDB 2017 (full)'!$AT:$AT)*$H192/100,0)</f>
        <v>0</v>
      </c>
      <c r="BD192" s="16">
        <f ca="1">IFERROR(_xlfn.XLOOKUP($F192,'FCDB 2017 (full)'!$C:$C,'FCDB 2017 (full)'!$AU:$AU)*$H192/100,0)</f>
        <v>0</v>
      </c>
      <c r="BE192" s="16">
        <f ca="1">IFERROR(_xlfn.XLOOKUP($F192,'FCDB 2017 (full)'!$C:$C,'FCDB 2017 (full)'!$AV:$AV)*$H192/100,0)</f>
        <v>0</v>
      </c>
      <c r="BF192" s="16">
        <f ca="1">IFERROR(_xlfn.XLOOKUP($F192,'FCDB 2017 (full)'!$C:$C,'FCDB 2017 (full)'!$AW:$AW)*$H192/100,0)</f>
        <v>0</v>
      </c>
      <c r="BG192" s="16">
        <f ca="1">IFERROR(_xlfn.XLOOKUP($F192,'FCDB 2017 (full)'!$C:$C,'FCDB 2017 (full)'!$AX:$AX)*$H192/100,0)</f>
        <v>0</v>
      </c>
      <c r="BH192" s="16">
        <f ca="1">IFERROR(_xlfn.XLOOKUP($F192,'FCDB 2017 (full)'!$C:$C,'FCDB 2017 (full)'!$AY:$AY)*$H192/100,0)</f>
        <v>0</v>
      </c>
      <c r="BI192" s="16">
        <f ca="1">IFERROR(_xlfn.XLOOKUP($F192,'FCDB 2017 (full)'!$C:$C,'FCDB 2017 (full)'!$AZ:$AZ)*$H192/100,0)</f>
        <v>0</v>
      </c>
      <c r="BJ192" s="16">
        <f ca="1">IFERROR(_xlfn.XLOOKUP($F192,'FCDB 2017 (full)'!$C:$C,'FCDB 2017 (full)'!$BA:$BA)*$H192/100,0)</f>
        <v>0</v>
      </c>
      <c r="BK192" s="16">
        <f ca="1">IFERROR(_xlfn.XLOOKUP($F192,'FCDB 2017 (full)'!$C:$C,'FCDB 2017 (full)'!$BB:$BB)*$H192/100,0)</f>
        <v>0</v>
      </c>
      <c r="BL192" s="16">
        <f ca="1">IFERROR(_xlfn.XLOOKUP($F192,'FCDB 2017 (full)'!$C:$C,'FCDB 2017 (full)'!$BC:$BC)*$H192/100,0)</f>
        <v>0</v>
      </c>
      <c r="BM192" s="16">
        <f ca="1">IFERROR(_xlfn.XLOOKUP($F192,'FCDB 2017 (full)'!$C:$C,'FCDB 2017 (full)'!$BD:$BD)*$H192/100,0)</f>
        <v>0</v>
      </c>
      <c r="BN192" s="16">
        <f ca="1">IFERROR(_xlfn.XLOOKUP($F192,'FCDB 2017 (full)'!$C:$C,'FCDB 2017 (full)'!$BE:$BE)*$H192/100,0)</f>
        <v>0</v>
      </c>
      <c r="BO192" s="16">
        <f ca="1">IFERROR(_xlfn.XLOOKUP($F192,'FCDB 2017 (full)'!$C:$C,'FCDB 2017 (full)'!$BF:$BF)*$H192/100,0)</f>
        <v>0</v>
      </c>
      <c r="BP192" s="16">
        <f ca="1">IFERROR(_xlfn.XLOOKUP($F192,'FCDB 2017 (full)'!$C:$C,'FCDB 2017 (full)'!$BG:$BG)*$H192/100,0)</f>
        <v>0</v>
      </c>
      <c r="BQ192" s="16">
        <f ca="1">IFERROR(_xlfn.XLOOKUP($F192,'FCDB 2017 (full)'!$C:$C,'FCDB 2017 (full)'!$BH:$BH)*$H192/100,0)</f>
        <v>0</v>
      </c>
      <c r="BR192" s="16">
        <f ca="1">IFERROR(_xlfn.XLOOKUP($F192,'FCDB 2017 (full)'!$C:$C,'FCDB 2017 (full)'!$BI:$BI)*$H192/100,0)</f>
        <v>0</v>
      </c>
      <c r="BS192" s="16">
        <f ca="1">IFERROR(_xlfn.XLOOKUP($F192,'FCDB 2017 (full)'!$C:$C,'FCDB 2017 (full)'!$BJ:$BJ)*$H192/100,0)</f>
        <v>0</v>
      </c>
      <c r="BT192" s="16">
        <f ca="1">IFERROR(_xlfn.XLOOKUP($F192,'FCDB 2017 (full)'!$C:$C,'FCDB 2017 (full)'!$BK:$BK)*$H192/100,0)</f>
        <v>0</v>
      </c>
      <c r="BU192" s="16">
        <f ca="1">IFERROR(_xlfn.XLOOKUP($F192,'FCDB 2017 (full)'!$C:$C,'FCDB 2017 (full)'!$BL:$BL)*$H192/100,0)</f>
        <v>0</v>
      </c>
      <c r="BV192" s="16">
        <f ca="1">IFERROR(_xlfn.XLOOKUP($F192,'FCDB 2017 (full)'!$C:$C,'FCDB 2017 (full)'!$BM:$BM)*$H192/100,0)</f>
        <v>0</v>
      </c>
      <c r="BW192" s="16">
        <f ca="1">IFERROR(_xlfn.XLOOKUP($F192,'FCDB 2017 (full)'!$C:$C,'FCDB 2017 (full)'!$BN:$BN)*$H192/100,0)</f>
        <v>0</v>
      </c>
      <c r="BX192" s="16">
        <f ca="1">IFERROR(_xlfn.XLOOKUP($F192,'FCDB 2017 (full)'!$C:$C,'FCDB 2017 (full)'!$BO:$BO)*$H192/100,0)</f>
        <v>0</v>
      </c>
      <c r="BY192" s="16">
        <f ca="1">IFERROR(_xlfn.XLOOKUP($F192,'FCDB 2017 (full)'!$C:$C,'FCDB 2017 (full)'!$BP:$BP)*$H192/100,0)</f>
        <v>0</v>
      </c>
      <c r="BZ192" s="16">
        <f ca="1">IFERROR(_xlfn.XLOOKUP($F192,'FCDB 2017 (full)'!$C:$C,'FCDB 2017 (full)'!$BQ:$BQ)*$H192/100,0)</f>
        <v>0</v>
      </c>
      <c r="CA192" s="16">
        <f ca="1">IFERROR(_xlfn.XLOOKUP($F192,'FCDB 2017 (full)'!$C:$C,'FCDB 2017 (full)'!$BR:$BR)*$H192/100,0)</f>
        <v>0</v>
      </c>
      <c r="CB192" s="16">
        <f ca="1">IFERROR(_xlfn.XLOOKUP($F192,'FCDB 2017 (full)'!$C:$C,'FCDB 2017 (full)'!$BS:$BS)*$H192/100,0)</f>
        <v>0</v>
      </c>
      <c r="CC192" s="16">
        <f ca="1">IFERROR(_xlfn.XLOOKUP($F192,'FCDB 2017 (full)'!$C:$C,'FCDB 2017 (full)'!$BT:$BT)*$H192/100,0)</f>
        <v>0</v>
      </c>
      <c r="CD192" s="16">
        <f ca="1">IFERROR(_xlfn.XLOOKUP($F192,'FCDB 2017 (full)'!$C:$C,'FCDB 2017 (full)'!$BU:$BU)*$H192/100,0)</f>
        <v>0</v>
      </c>
      <c r="CE192" s="16">
        <f ca="1">IFERROR(_xlfn.XLOOKUP($F192,'FCDB 2017 (full)'!$C:$C,'FCDB 2017 (full)'!$BV:$BV)*$H192/100,0)</f>
        <v>0</v>
      </c>
      <c r="CF192" s="16">
        <f ca="1">IFERROR(_xlfn.XLOOKUP($F192,'FCDB 2017 (full)'!$C:$C,'FCDB 2017 (full)'!$BW:$BW)*$H192/100,0)</f>
        <v>0</v>
      </c>
      <c r="CG192" s="16">
        <f ca="1">IFERROR(_xlfn.XLOOKUP($F192,'FCDB 2017 (full)'!$C:$C,'FCDB 2017 (full)'!$BX:$BX)*$H192/100,0)</f>
        <v>0</v>
      </c>
      <c r="CH192" s="16">
        <f ca="1">IFERROR(_xlfn.XLOOKUP($F192,'FCDB 2017 (full)'!$C:$C,'FCDB 2017 (full)'!$BY:$BY)*$H192/100,0)</f>
        <v>0</v>
      </c>
      <c r="CI192" s="16">
        <f ca="1">IFERROR(_xlfn.XLOOKUP($F192,'FCDB 2017 (full)'!$C:$C,'FCDB 2017 (full)'!$BZ:$BZ)*$H192/100,0)</f>
        <v>0</v>
      </c>
      <c r="CJ192" s="16">
        <f ca="1">IFERROR(_xlfn.XLOOKUP($F192,'FCDB 2017 (full)'!$C:$C,'FCDB 2017 (full)'!$CA:$CA)*$H192/100,0)</f>
        <v>0</v>
      </c>
      <c r="CK192" s="16">
        <f ca="1">IFERROR(_xlfn.XLOOKUP($F192,'FCDB 2017 (full)'!$C:$C,'FCDB 2017 (full)'!$CB:$CB)*$H192/100,0)</f>
        <v>0</v>
      </c>
      <c r="CL192" s="16">
        <f ca="1">IFERROR(_xlfn.XLOOKUP($F192,'FCDB 2017 (full)'!$C:$C,'FCDB 2017 (full)'!$CC:$CC)*$H192/100,0)</f>
        <v>0</v>
      </c>
      <c r="CM192" s="16">
        <f ca="1">IFERROR(_xlfn.XLOOKUP($F192,'FCDB 2017 (full)'!$C:$C,'FCDB 2017 (full)'!$CD:$CD)*$H192/100,0)</f>
        <v>0</v>
      </c>
      <c r="CN192" s="16">
        <f ca="1">IFERROR(_xlfn.XLOOKUP($F192,'FCDB 2017 (full)'!$C:$C,'FCDB 2017 (full)'!$CE:$CE)*$H192/100,0)</f>
        <v>0</v>
      </c>
      <c r="CO192" s="16">
        <f ca="1">IFERROR(_xlfn.XLOOKUP($F192,'FCDB 2017 (full)'!$C:$C,'FCDB 2017 (full)'!$CF:$CF)*$H192/100,0)</f>
        <v>0</v>
      </c>
      <c r="CP192" s="16">
        <f ca="1">IFERROR(_xlfn.XLOOKUP($F192,'FCDB 2017 (full)'!$C:$C,'FCDB 2017 (full)'!$CG:$CG)*$H192/100,0)</f>
        <v>0</v>
      </c>
      <c r="CQ192" s="16">
        <f ca="1">IFERROR(_xlfn.XLOOKUP($F192,'FCDB 2017 (full)'!$C:$C,'FCDB 2017 (full)'!$CH:$CH)*$H192/100,0)</f>
        <v>0</v>
      </c>
      <c r="DA192" s="72" t="s">
        <v>987</v>
      </c>
    </row>
    <row r="193" spans="4:105">
      <c r="E193" s="41"/>
      <c r="F193" s="11" t="str">
        <f>IFERROR(VLOOKUP($D$182,$D:$AE,7,0),0)</f>
        <v>Rau đay</v>
      </c>
      <c r="G193" s="7" t="e" cm="1">
        <f t="array" aca="1" ref="G193" ca="1">IF(F193=0,0,IF(_xlfn.XLOOKUP(F193,$E$182:$AE$182,$E$183:$AE$183)=0,"Nhập ĐV/TV",_xlfn.XLOOKUP(F193,$E$182:$AE$182,$E$183:$AE$183)))</f>
        <v>#NAME?</v>
      </c>
      <c r="H193" s="8" cm="1">
        <f t="array" ref="H193">IFERROR(INDEX($E$184:$AE$184,MATCH(F193,$E$182:$AE$182,0)),0)</f>
        <v>30</v>
      </c>
      <c r="I193" s="9">
        <f ca="1">IFERROR(_xlfn.XLOOKUP($F193,'FCDB 2017 (full)'!$C:$C,'FCDB 2017 (full)'!$E:$E),0)</f>
        <v>0</v>
      </c>
      <c r="J193" s="10">
        <f t="shared" ca="1" si="39"/>
        <v>0</v>
      </c>
      <c r="K193" s="9">
        <f ca="1">IFERROR(_xlfn.XLOOKUP($F193,'FCDB 2017 (full)'!$C:$C,'FCDB 2017 (full)'!$G:$G),0)</f>
        <v>0</v>
      </c>
      <c r="L193" s="13" t="e">
        <f t="shared" ca="1" si="40"/>
        <v>#NAME?</v>
      </c>
      <c r="M193" s="13" t="e">
        <f t="shared" ca="1" si="41"/>
        <v>#NAME?</v>
      </c>
      <c r="N193" s="9">
        <f ca="1">IFERROR(_xlfn.XLOOKUP($F193,'FCDB 2017 (full)'!$C:$C,'FCDB 2017 (full)'!$H:$H),0)</f>
        <v>0</v>
      </c>
      <c r="O193" s="14" t="e">
        <f t="shared" ca="1" si="42"/>
        <v>#NAME?</v>
      </c>
      <c r="P193" s="14" t="e">
        <f t="shared" ca="1" si="43"/>
        <v>#NAME?</v>
      </c>
      <c r="Q193" s="9">
        <f ca="1">IFERROR(_xlfn.XLOOKUP($F193,'FCDB 2017 (full)'!$C:$C,'FCDB 2017 (full)'!$I:$I),0)</f>
        <v>0</v>
      </c>
      <c r="R193" s="15">
        <f t="shared" ca="1" si="44"/>
        <v>0</v>
      </c>
      <c r="S193" s="16">
        <f ca="1">IFERROR(_xlfn.XLOOKUP($F193,'FCDB 2017 (full)'!$C:$C,'FCDB 2017 (full)'!$J:$J)*$H193/100,0)</f>
        <v>0</v>
      </c>
      <c r="T193" s="16">
        <f ca="1">IFERROR(_xlfn.XLOOKUP($F193,'FCDB 2017 (full)'!$C:$C,'FCDB 2017 (full)'!$K:$K)*$H193/100,0)</f>
        <v>0</v>
      </c>
      <c r="U193" s="16">
        <f ca="1">IFERROR(_xlfn.XLOOKUP($F193,'FCDB 2017 (full)'!$C:$C,'FCDB 2017 (full)'!$L:$L)*$H193/100,0)</f>
        <v>0</v>
      </c>
      <c r="V193" s="16">
        <f ca="1">IFERROR(_xlfn.XLOOKUP($F193,'FCDB 2017 (full)'!$C:$C,'FCDB 2017 (full)'!$M:$M)*$H193/100,0)</f>
        <v>0</v>
      </c>
      <c r="W193" s="16">
        <f ca="1">IFERROR(_xlfn.XLOOKUP($F193,'FCDB 2017 (full)'!$C:$C,'FCDB 2017 (full)'!$N:$N)*$H193/100,0)</f>
        <v>0</v>
      </c>
      <c r="X193" s="16">
        <f ca="1">IFERROR(_xlfn.XLOOKUP($F193,'FCDB 2017 (full)'!$C:$C,'FCDB 2017 (full)'!$O:$O)*$H193/100,0)</f>
        <v>0</v>
      </c>
      <c r="Y193" s="16">
        <f ca="1">IFERROR(_xlfn.XLOOKUP($F193,'FCDB 2017 (full)'!$C:$C,'FCDB 2017 (full)'!$P:$P)*$H193/100,0)</f>
        <v>0</v>
      </c>
      <c r="Z193" s="16">
        <f ca="1">IFERROR(_xlfn.XLOOKUP($F193,'FCDB 2017 (full)'!$C:$C,'FCDB 2017 (full)'!$Q:$Q)*$H193/100,0)</f>
        <v>0</v>
      </c>
      <c r="AA193" s="16">
        <f ca="1">IFERROR(_xlfn.XLOOKUP($F193,'FCDB 2017 (full)'!$C:$C,'FCDB 2017 (full)'!$R:$R)*$H193/100,0)</f>
        <v>0</v>
      </c>
      <c r="AB193" s="16">
        <f ca="1">IFERROR(_xlfn.XLOOKUP($F193,'FCDB 2017 (full)'!$C:$C,'FCDB 2017 (full)'!$S:$S)*$H193/100,0)</f>
        <v>0</v>
      </c>
      <c r="AC193" s="16">
        <f ca="1">IFERROR(_xlfn.XLOOKUP($F193,'FCDB 2017 (full)'!$C:$C,'FCDB 2017 (full)'!$T:$T)*$H193/100,0)</f>
        <v>0</v>
      </c>
      <c r="AD193" s="16">
        <f ca="1">IFERROR(_xlfn.XLOOKUP($F193,'FCDB 2017 (full)'!$C:$C,'FCDB 2017 (full)'!$U:$U)*$H193/100,0)</f>
        <v>0</v>
      </c>
      <c r="AE193" s="16">
        <f ca="1">IFERROR(_xlfn.XLOOKUP($F193,'FCDB 2017 (full)'!$C:$C,'FCDB 2017 (full)'!$V:$V)*$H193/100,0)</f>
        <v>0</v>
      </c>
      <c r="AF193" s="16">
        <f ca="1">IFERROR(_xlfn.XLOOKUP($F193,'FCDB 2017 (full)'!$C:$C,'FCDB 2017 (full)'!$W:$W)*$H193/100,0)</f>
        <v>0</v>
      </c>
      <c r="AG193" s="16">
        <f ca="1">IFERROR(_xlfn.XLOOKUP($F193,'FCDB 2017 (full)'!$C:$C,'FCDB 2017 (full)'!$X:$X)*$H193/100,0)</f>
        <v>0</v>
      </c>
      <c r="AH193" s="16">
        <f ca="1">IFERROR(_xlfn.XLOOKUP($F193,'FCDB 2017 (full)'!$C:$C,'FCDB 2017 (full)'!$Y:$Y)*$H193/100,0)</f>
        <v>0</v>
      </c>
      <c r="AI193" s="16">
        <f ca="1">IFERROR(_xlfn.XLOOKUP($F193,'FCDB 2017 (full)'!$C:$C,'FCDB 2017 (full)'!$Z:$Z)*$H193/100,0)</f>
        <v>0</v>
      </c>
      <c r="AJ193" s="16">
        <f ca="1">IFERROR(_xlfn.XLOOKUP($F193,'FCDB 2017 (full)'!$C:$C,'FCDB 2017 (full)'!$AA:$AA)*$H193/100,0)</f>
        <v>0</v>
      </c>
      <c r="AK193" s="16">
        <f ca="1">IFERROR(_xlfn.XLOOKUP($F193,'FCDB 2017 (full)'!$C:$C,'FCDB 2017 (full)'!$AB:$AB)*$H193/100,0)</f>
        <v>0</v>
      </c>
      <c r="AL193" s="16">
        <f ca="1">IFERROR(_xlfn.XLOOKUP($F193,'FCDB 2017 (full)'!$C:$C,'FCDB 2017 (full)'!$AC:$AC)*$H193/100,0)</f>
        <v>0</v>
      </c>
      <c r="AM193" s="16">
        <f ca="1">IFERROR(_xlfn.XLOOKUP($F193,'FCDB 2017 (full)'!$C:$C,'FCDB 2017 (full)'!$AD:$AD)*$H193/100,0)</f>
        <v>0</v>
      </c>
      <c r="AN193" s="16">
        <f ca="1">IFERROR(_xlfn.XLOOKUP($F193,'FCDB 2017 (full)'!$C:$C,'FCDB 2017 (full)'!$AE:$AE)*$H193/100,0)</f>
        <v>0</v>
      </c>
      <c r="AO193" s="16">
        <f ca="1">IFERROR(_xlfn.XLOOKUP($F193,'FCDB 2017 (full)'!$C:$C,'FCDB 2017 (full)'!$AF:$AF)*$H193/100,0)</f>
        <v>0</v>
      </c>
      <c r="AP193" s="16">
        <f ca="1">IFERROR(_xlfn.XLOOKUP($F193,'FCDB 2017 (full)'!$C:$C,'FCDB 2017 (full)'!$AG:$AG)*$H193/100,0)</f>
        <v>0</v>
      </c>
      <c r="AQ193" s="16">
        <f ca="1">IFERROR(_xlfn.XLOOKUP($F193,'FCDB 2017 (full)'!$C:$C,'FCDB 2017 (full)'!$AH:$AH)*$H193/100,0)</f>
        <v>0</v>
      </c>
      <c r="AR193" s="16">
        <f ca="1">IFERROR(_xlfn.XLOOKUP($F193,'FCDB 2017 (full)'!$C:$C,'FCDB 2017 (full)'!$AI:$AI)*$H193/100,0)</f>
        <v>0</v>
      </c>
      <c r="AS193" s="16">
        <f ca="1">IFERROR(_xlfn.XLOOKUP($F193,'FCDB 2017 (full)'!$C:$C,'FCDB 2017 (full)'!$AJ:$AJ)*$H193/100,0)</f>
        <v>0</v>
      </c>
      <c r="AT193" s="16">
        <f ca="1">IFERROR(_xlfn.XLOOKUP($F193,'FCDB 2017 (full)'!$C:$C,'FCDB 2017 (full)'!$AK:$AK)*$H193/100,0)</f>
        <v>0</v>
      </c>
      <c r="AU193" s="16">
        <f ca="1">IFERROR(_xlfn.XLOOKUP($F193,'FCDB 2017 (full)'!$C:$C,'FCDB 2017 (full)'!$AK:$AK)*$H193/100,0)</f>
        <v>0</v>
      </c>
      <c r="AV193" s="16">
        <f ca="1">IFERROR(_xlfn.XLOOKUP($F193,'FCDB 2017 (full)'!$C:$C,'FCDB 2017 (full)'!$AM:$AM)*$H193/100,0)</f>
        <v>0</v>
      </c>
      <c r="AW193" s="16">
        <f ca="1">IFERROR(_xlfn.XLOOKUP($F193,'FCDB 2017 (full)'!$C:$C,'FCDB 2017 (full)'!$AN:$AN)*$H193/100,0)</f>
        <v>0</v>
      </c>
      <c r="AX193" s="16">
        <f ca="1">IFERROR(_xlfn.XLOOKUP($F193,'FCDB 2017 (full)'!$C:$C,'FCDB 2017 (full)'!$AO:$AO)*$H193/100,0)</f>
        <v>0</v>
      </c>
      <c r="AY193" s="16">
        <f ca="1">IFERROR(_xlfn.XLOOKUP($F193,'FCDB 2017 (full)'!$C:$C,'FCDB 2017 (full)'!$AP:$AP)*$H193/100,0)</f>
        <v>0</v>
      </c>
      <c r="AZ193" s="16">
        <f ca="1">IFERROR(_xlfn.XLOOKUP($F193,'FCDB 2017 (full)'!$C:$C,'FCDB 2017 (full)'!$AQ:$AQ)*$H193/100,0)</f>
        <v>0</v>
      </c>
      <c r="BA193" s="16">
        <f ca="1">IFERROR(_xlfn.XLOOKUP($F193,'FCDB 2017 (full)'!$C:$C,'FCDB 2017 (full)'!$AR:$AR)*$H193/100,0)</f>
        <v>0</v>
      </c>
      <c r="BB193" s="16">
        <f ca="1">IFERROR(_xlfn.XLOOKUP($F193,'FCDB 2017 (full)'!$C:$C,'FCDB 2017 (full)'!$AS:$AS)*$H193/100,0)</f>
        <v>0</v>
      </c>
      <c r="BC193" s="16">
        <f ca="1">IFERROR(_xlfn.XLOOKUP($F193,'FCDB 2017 (full)'!$C:$C,'FCDB 2017 (full)'!$AT:$AT)*$H193/100,0)</f>
        <v>0</v>
      </c>
      <c r="BD193" s="16">
        <f ca="1">IFERROR(_xlfn.XLOOKUP($F193,'FCDB 2017 (full)'!$C:$C,'FCDB 2017 (full)'!$AU:$AU)*$H193/100,0)</f>
        <v>0</v>
      </c>
      <c r="BE193" s="16">
        <f ca="1">IFERROR(_xlfn.XLOOKUP($F193,'FCDB 2017 (full)'!$C:$C,'FCDB 2017 (full)'!$AV:$AV)*$H193/100,0)</f>
        <v>0</v>
      </c>
      <c r="BF193" s="16">
        <f ca="1">IFERROR(_xlfn.XLOOKUP($F193,'FCDB 2017 (full)'!$C:$C,'FCDB 2017 (full)'!$AW:$AW)*$H193/100,0)</f>
        <v>0</v>
      </c>
      <c r="BG193" s="16">
        <f ca="1">IFERROR(_xlfn.XLOOKUP($F193,'FCDB 2017 (full)'!$C:$C,'FCDB 2017 (full)'!$AX:$AX)*$H193/100,0)</f>
        <v>0</v>
      </c>
      <c r="BH193" s="16">
        <f ca="1">IFERROR(_xlfn.XLOOKUP($F193,'FCDB 2017 (full)'!$C:$C,'FCDB 2017 (full)'!$AY:$AY)*$H193/100,0)</f>
        <v>0</v>
      </c>
      <c r="BI193" s="16">
        <f ca="1">IFERROR(_xlfn.XLOOKUP($F193,'FCDB 2017 (full)'!$C:$C,'FCDB 2017 (full)'!$AZ:$AZ)*$H193/100,0)</f>
        <v>0</v>
      </c>
      <c r="BJ193" s="16">
        <f ca="1">IFERROR(_xlfn.XLOOKUP($F193,'FCDB 2017 (full)'!$C:$C,'FCDB 2017 (full)'!$BA:$BA)*$H193/100,0)</f>
        <v>0</v>
      </c>
      <c r="BK193" s="16">
        <f ca="1">IFERROR(_xlfn.XLOOKUP($F193,'FCDB 2017 (full)'!$C:$C,'FCDB 2017 (full)'!$BB:$BB)*$H193/100,0)</f>
        <v>0</v>
      </c>
      <c r="BL193" s="16">
        <f ca="1">IFERROR(_xlfn.XLOOKUP($F193,'FCDB 2017 (full)'!$C:$C,'FCDB 2017 (full)'!$BC:$BC)*$H193/100,0)</f>
        <v>0</v>
      </c>
      <c r="BM193" s="16">
        <f ca="1">IFERROR(_xlfn.XLOOKUP($F193,'FCDB 2017 (full)'!$C:$C,'FCDB 2017 (full)'!$BD:$BD)*$H193/100,0)</f>
        <v>0</v>
      </c>
      <c r="BN193" s="16">
        <f ca="1">IFERROR(_xlfn.XLOOKUP($F193,'FCDB 2017 (full)'!$C:$C,'FCDB 2017 (full)'!$BE:$BE)*$H193/100,0)</f>
        <v>0</v>
      </c>
      <c r="BO193" s="16">
        <f ca="1">IFERROR(_xlfn.XLOOKUP($F193,'FCDB 2017 (full)'!$C:$C,'FCDB 2017 (full)'!$BF:$BF)*$H193/100,0)</f>
        <v>0</v>
      </c>
      <c r="BP193" s="16">
        <f ca="1">IFERROR(_xlfn.XLOOKUP($F193,'FCDB 2017 (full)'!$C:$C,'FCDB 2017 (full)'!$BG:$BG)*$H193/100,0)</f>
        <v>0</v>
      </c>
      <c r="BQ193" s="16">
        <f ca="1">IFERROR(_xlfn.XLOOKUP($F193,'FCDB 2017 (full)'!$C:$C,'FCDB 2017 (full)'!$BH:$BH)*$H193/100,0)</f>
        <v>0</v>
      </c>
      <c r="BR193" s="16">
        <f ca="1">IFERROR(_xlfn.XLOOKUP($F193,'FCDB 2017 (full)'!$C:$C,'FCDB 2017 (full)'!$BI:$BI)*$H193/100,0)</f>
        <v>0</v>
      </c>
      <c r="BS193" s="16">
        <f ca="1">IFERROR(_xlfn.XLOOKUP($F193,'FCDB 2017 (full)'!$C:$C,'FCDB 2017 (full)'!$BJ:$BJ)*$H193/100,0)</f>
        <v>0</v>
      </c>
      <c r="BT193" s="16">
        <f ca="1">IFERROR(_xlfn.XLOOKUP($F193,'FCDB 2017 (full)'!$C:$C,'FCDB 2017 (full)'!$BK:$BK)*$H193/100,0)</f>
        <v>0</v>
      </c>
      <c r="BU193" s="16">
        <f ca="1">IFERROR(_xlfn.XLOOKUP($F193,'FCDB 2017 (full)'!$C:$C,'FCDB 2017 (full)'!$BL:$BL)*$H193/100,0)</f>
        <v>0</v>
      </c>
      <c r="BV193" s="16">
        <f ca="1">IFERROR(_xlfn.XLOOKUP($F193,'FCDB 2017 (full)'!$C:$C,'FCDB 2017 (full)'!$BM:$BM)*$H193/100,0)</f>
        <v>0</v>
      </c>
      <c r="BW193" s="16">
        <f ca="1">IFERROR(_xlfn.XLOOKUP($F193,'FCDB 2017 (full)'!$C:$C,'FCDB 2017 (full)'!$BN:$BN)*$H193/100,0)</f>
        <v>0</v>
      </c>
      <c r="BX193" s="16">
        <f ca="1">IFERROR(_xlfn.XLOOKUP($F193,'FCDB 2017 (full)'!$C:$C,'FCDB 2017 (full)'!$BO:$BO)*$H193/100,0)</f>
        <v>0</v>
      </c>
      <c r="BY193" s="16">
        <f ca="1">IFERROR(_xlfn.XLOOKUP($F193,'FCDB 2017 (full)'!$C:$C,'FCDB 2017 (full)'!$BP:$BP)*$H193/100,0)</f>
        <v>0</v>
      </c>
      <c r="BZ193" s="16">
        <f ca="1">IFERROR(_xlfn.XLOOKUP($F193,'FCDB 2017 (full)'!$C:$C,'FCDB 2017 (full)'!$BQ:$BQ)*$H193/100,0)</f>
        <v>0</v>
      </c>
      <c r="CA193" s="16">
        <f ca="1">IFERROR(_xlfn.XLOOKUP($F193,'FCDB 2017 (full)'!$C:$C,'FCDB 2017 (full)'!$BR:$BR)*$H193/100,0)</f>
        <v>0</v>
      </c>
      <c r="CB193" s="16">
        <f ca="1">IFERROR(_xlfn.XLOOKUP($F193,'FCDB 2017 (full)'!$C:$C,'FCDB 2017 (full)'!$BS:$BS)*$H193/100,0)</f>
        <v>0</v>
      </c>
      <c r="CC193" s="16">
        <f ca="1">IFERROR(_xlfn.XLOOKUP($F193,'FCDB 2017 (full)'!$C:$C,'FCDB 2017 (full)'!$BT:$BT)*$H193/100,0)</f>
        <v>0</v>
      </c>
      <c r="CD193" s="16">
        <f ca="1">IFERROR(_xlfn.XLOOKUP($F193,'FCDB 2017 (full)'!$C:$C,'FCDB 2017 (full)'!$BU:$BU)*$H193/100,0)</f>
        <v>0</v>
      </c>
      <c r="CE193" s="16">
        <f ca="1">IFERROR(_xlfn.XLOOKUP($F193,'FCDB 2017 (full)'!$C:$C,'FCDB 2017 (full)'!$BV:$BV)*$H193/100,0)</f>
        <v>0</v>
      </c>
      <c r="CF193" s="16">
        <f ca="1">IFERROR(_xlfn.XLOOKUP($F193,'FCDB 2017 (full)'!$C:$C,'FCDB 2017 (full)'!$BW:$BW)*$H193/100,0)</f>
        <v>0</v>
      </c>
      <c r="CG193" s="16">
        <f ca="1">IFERROR(_xlfn.XLOOKUP($F193,'FCDB 2017 (full)'!$C:$C,'FCDB 2017 (full)'!$BX:$BX)*$H193/100,0)</f>
        <v>0</v>
      </c>
      <c r="CH193" s="16">
        <f ca="1">IFERROR(_xlfn.XLOOKUP($F193,'FCDB 2017 (full)'!$C:$C,'FCDB 2017 (full)'!$BY:$BY)*$H193/100,0)</f>
        <v>0</v>
      </c>
      <c r="CI193" s="16">
        <f ca="1">IFERROR(_xlfn.XLOOKUP($F193,'FCDB 2017 (full)'!$C:$C,'FCDB 2017 (full)'!$BZ:$BZ)*$H193/100,0)</f>
        <v>0</v>
      </c>
      <c r="CJ193" s="16">
        <f ca="1">IFERROR(_xlfn.XLOOKUP($F193,'FCDB 2017 (full)'!$C:$C,'FCDB 2017 (full)'!$CA:$CA)*$H193/100,0)</f>
        <v>0</v>
      </c>
      <c r="CK193" s="16">
        <f ca="1">IFERROR(_xlfn.XLOOKUP($F193,'FCDB 2017 (full)'!$C:$C,'FCDB 2017 (full)'!$CB:$CB)*$H193/100,0)</f>
        <v>0</v>
      </c>
      <c r="CL193" s="16">
        <f ca="1">IFERROR(_xlfn.XLOOKUP($F193,'FCDB 2017 (full)'!$C:$C,'FCDB 2017 (full)'!$CC:$CC)*$H193/100,0)</f>
        <v>0</v>
      </c>
      <c r="CM193" s="16">
        <f ca="1">IFERROR(_xlfn.XLOOKUP($F193,'FCDB 2017 (full)'!$C:$C,'FCDB 2017 (full)'!$CD:$CD)*$H193/100,0)</f>
        <v>0</v>
      </c>
      <c r="CN193" s="16">
        <f ca="1">IFERROR(_xlfn.XLOOKUP($F193,'FCDB 2017 (full)'!$C:$C,'FCDB 2017 (full)'!$CE:$CE)*$H193/100,0)</f>
        <v>0</v>
      </c>
      <c r="CO193" s="16">
        <f ca="1">IFERROR(_xlfn.XLOOKUP($F193,'FCDB 2017 (full)'!$C:$C,'FCDB 2017 (full)'!$CF:$CF)*$H193/100,0)</f>
        <v>0</v>
      </c>
      <c r="CP193" s="16">
        <f ca="1">IFERROR(_xlfn.XLOOKUP($F193,'FCDB 2017 (full)'!$C:$C,'FCDB 2017 (full)'!$CG:$CG)*$H193/100,0)</f>
        <v>0</v>
      </c>
      <c r="CQ193" s="16">
        <f ca="1">IFERROR(_xlfn.XLOOKUP($F193,'FCDB 2017 (full)'!$C:$C,'FCDB 2017 (full)'!$CH:$CH)*$H193/100,0)</f>
        <v>0</v>
      </c>
      <c r="DA193" s="72" t="s">
        <v>987</v>
      </c>
    </row>
    <row r="194" spans="4:105" ht="16.8">
      <c r="D194"/>
      <c r="E194"/>
      <c r="F194" s="11" t="str">
        <f>IFERROR(VLOOKUP($D$182,$D:$AE,9,0),0)</f>
        <v>Rau mồng tơi</v>
      </c>
      <c r="G194" s="7" t="e" cm="1">
        <f t="array" aca="1" ref="G194" ca="1">IF(F194=0,0,IF(_xlfn.XLOOKUP(F194,$E$182:$AE$182,$E$183:$AE$183)=0,"Nhập ĐV/TV",_xlfn.XLOOKUP(F194,$E$182:$AE$182,$E$183:$AE$183)))</f>
        <v>#NAME?</v>
      </c>
      <c r="H194" s="8" cm="1">
        <f t="array" ref="H194">IFERROR(INDEX($E$184:$AE$184,MATCH(F194,$E$182:$AE$182,0)),0)</f>
        <v>50</v>
      </c>
      <c r="I194" s="9">
        <f ca="1">IFERROR(_xlfn.XLOOKUP($F194,'FCDB 2017 (full)'!$C:$C,'FCDB 2017 (full)'!$E:$E),0)</f>
        <v>0</v>
      </c>
      <c r="J194" s="10">
        <f t="shared" ca="1" si="39"/>
        <v>0</v>
      </c>
      <c r="K194" s="9">
        <f ca="1">IFERROR(_xlfn.XLOOKUP($F194,'FCDB 2017 (full)'!$C:$C,'FCDB 2017 (full)'!$G:$G),0)</f>
        <v>0</v>
      </c>
      <c r="L194" s="13" t="e">
        <f t="shared" ca="1" si="40"/>
        <v>#NAME?</v>
      </c>
      <c r="M194" s="13" t="e">
        <f t="shared" ca="1" si="41"/>
        <v>#NAME?</v>
      </c>
      <c r="N194" s="9">
        <f ca="1">IFERROR(_xlfn.XLOOKUP($F194,'FCDB 2017 (full)'!$C:$C,'FCDB 2017 (full)'!$H:$H),0)</f>
        <v>0</v>
      </c>
      <c r="O194" s="14" t="e">
        <f t="shared" ca="1" si="42"/>
        <v>#NAME?</v>
      </c>
      <c r="P194" s="14" t="e">
        <f t="shared" ca="1" si="43"/>
        <v>#NAME?</v>
      </c>
      <c r="Q194" s="9">
        <f ca="1">IFERROR(_xlfn.XLOOKUP($F194,'FCDB 2017 (full)'!$C:$C,'FCDB 2017 (full)'!$I:$I),0)</f>
        <v>0</v>
      </c>
      <c r="R194" s="15">
        <f t="shared" ca="1" si="44"/>
        <v>0</v>
      </c>
      <c r="S194" s="16">
        <f ca="1">IFERROR(_xlfn.XLOOKUP($F194,'FCDB 2017 (full)'!$C:$C,'FCDB 2017 (full)'!$J:$J)*$H194/100,0)</f>
        <v>0</v>
      </c>
      <c r="T194" s="16">
        <f ca="1">IFERROR(_xlfn.XLOOKUP($F194,'FCDB 2017 (full)'!$C:$C,'FCDB 2017 (full)'!$K:$K)*$H194/100,0)</f>
        <v>0</v>
      </c>
      <c r="U194" s="16">
        <f ca="1">IFERROR(_xlfn.XLOOKUP($F194,'FCDB 2017 (full)'!$C:$C,'FCDB 2017 (full)'!$L:$L)*$H194/100,0)</f>
        <v>0</v>
      </c>
      <c r="V194" s="16">
        <f ca="1">IFERROR(_xlfn.XLOOKUP($F194,'FCDB 2017 (full)'!$C:$C,'FCDB 2017 (full)'!$M:$M)*$H194/100,0)</f>
        <v>0</v>
      </c>
      <c r="W194" s="16">
        <f ca="1">IFERROR(_xlfn.XLOOKUP($F194,'FCDB 2017 (full)'!$C:$C,'FCDB 2017 (full)'!$N:$N)*$H194/100,0)</f>
        <v>0</v>
      </c>
      <c r="X194" s="16">
        <f ca="1">IFERROR(_xlfn.XLOOKUP($F194,'FCDB 2017 (full)'!$C:$C,'FCDB 2017 (full)'!$O:$O)*$H194/100,0)</f>
        <v>0</v>
      </c>
      <c r="Y194" s="16">
        <f ca="1">IFERROR(_xlfn.XLOOKUP($F194,'FCDB 2017 (full)'!$C:$C,'FCDB 2017 (full)'!$P:$P)*$H194/100,0)</f>
        <v>0</v>
      </c>
      <c r="Z194" s="16">
        <f ca="1">IFERROR(_xlfn.XLOOKUP($F194,'FCDB 2017 (full)'!$C:$C,'FCDB 2017 (full)'!$Q:$Q)*$H194/100,0)</f>
        <v>0</v>
      </c>
      <c r="AA194" s="16">
        <f ca="1">IFERROR(_xlfn.XLOOKUP($F194,'FCDB 2017 (full)'!$C:$C,'FCDB 2017 (full)'!$R:$R)*$H194/100,0)</f>
        <v>0</v>
      </c>
      <c r="AB194" s="16">
        <f ca="1">IFERROR(_xlfn.XLOOKUP($F194,'FCDB 2017 (full)'!$C:$C,'FCDB 2017 (full)'!$S:$S)*$H194/100,0)</f>
        <v>0</v>
      </c>
      <c r="AC194" s="16">
        <f ca="1">IFERROR(_xlfn.XLOOKUP($F194,'FCDB 2017 (full)'!$C:$C,'FCDB 2017 (full)'!$T:$T)*$H194/100,0)</f>
        <v>0</v>
      </c>
      <c r="AD194" s="16">
        <f ca="1">IFERROR(_xlfn.XLOOKUP($F194,'FCDB 2017 (full)'!$C:$C,'FCDB 2017 (full)'!$U:$U)*$H194/100,0)</f>
        <v>0</v>
      </c>
      <c r="AE194" s="16">
        <f ca="1">IFERROR(_xlfn.XLOOKUP($F194,'FCDB 2017 (full)'!$C:$C,'FCDB 2017 (full)'!$V:$V)*$H194/100,0)</f>
        <v>0</v>
      </c>
      <c r="AF194" s="16">
        <f ca="1">IFERROR(_xlfn.XLOOKUP($F194,'FCDB 2017 (full)'!$C:$C,'FCDB 2017 (full)'!$W:$W)*$H194/100,0)</f>
        <v>0</v>
      </c>
      <c r="AG194" s="16">
        <f ca="1">IFERROR(_xlfn.XLOOKUP($F194,'FCDB 2017 (full)'!$C:$C,'FCDB 2017 (full)'!$X:$X)*$H194/100,0)</f>
        <v>0</v>
      </c>
      <c r="AH194" s="16">
        <f ca="1">IFERROR(_xlfn.XLOOKUP($F194,'FCDB 2017 (full)'!$C:$C,'FCDB 2017 (full)'!$Y:$Y)*$H194/100,0)</f>
        <v>0</v>
      </c>
      <c r="AI194" s="16">
        <f ca="1">IFERROR(_xlfn.XLOOKUP($F194,'FCDB 2017 (full)'!$C:$C,'FCDB 2017 (full)'!$Z:$Z)*$H194/100,0)</f>
        <v>0</v>
      </c>
      <c r="AJ194" s="16">
        <f ca="1">IFERROR(_xlfn.XLOOKUP($F194,'FCDB 2017 (full)'!$C:$C,'FCDB 2017 (full)'!$AA:$AA)*$H194/100,0)</f>
        <v>0</v>
      </c>
      <c r="AK194" s="16">
        <f ca="1">IFERROR(_xlfn.XLOOKUP($F194,'FCDB 2017 (full)'!$C:$C,'FCDB 2017 (full)'!$AB:$AB)*$H194/100,0)</f>
        <v>0</v>
      </c>
      <c r="AL194" s="16">
        <f ca="1">IFERROR(_xlfn.XLOOKUP($F194,'FCDB 2017 (full)'!$C:$C,'FCDB 2017 (full)'!$AC:$AC)*$H194/100,0)</f>
        <v>0</v>
      </c>
      <c r="AM194" s="16">
        <f ca="1">IFERROR(_xlfn.XLOOKUP($F194,'FCDB 2017 (full)'!$C:$C,'FCDB 2017 (full)'!$AD:$AD)*$H194/100,0)</f>
        <v>0</v>
      </c>
      <c r="AN194" s="16">
        <f ca="1">IFERROR(_xlfn.XLOOKUP($F194,'FCDB 2017 (full)'!$C:$C,'FCDB 2017 (full)'!$AE:$AE)*$H194/100,0)</f>
        <v>0</v>
      </c>
      <c r="AO194" s="16">
        <f ca="1">IFERROR(_xlfn.XLOOKUP($F194,'FCDB 2017 (full)'!$C:$C,'FCDB 2017 (full)'!$AF:$AF)*$H194/100,0)</f>
        <v>0</v>
      </c>
      <c r="AP194" s="16">
        <f ca="1">IFERROR(_xlfn.XLOOKUP($F194,'FCDB 2017 (full)'!$C:$C,'FCDB 2017 (full)'!$AG:$AG)*$H194/100,0)</f>
        <v>0</v>
      </c>
      <c r="AQ194" s="16">
        <f ca="1">IFERROR(_xlfn.XLOOKUP($F194,'FCDB 2017 (full)'!$C:$C,'FCDB 2017 (full)'!$AH:$AH)*$H194/100,0)</f>
        <v>0</v>
      </c>
      <c r="AR194" s="16">
        <f ca="1">IFERROR(_xlfn.XLOOKUP($F194,'FCDB 2017 (full)'!$C:$C,'FCDB 2017 (full)'!$AI:$AI)*$H194/100,0)</f>
        <v>0</v>
      </c>
      <c r="AS194" s="16">
        <f ca="1">IFERROR(_xlfn.XLOOKUP($F194,'FCDB 2017 (full)'!$C:$C,'FCDB 2017 (full)'!$AJ:$AJ)*$H194/100,0)</f>
        <v>0</v>
      </c>
      <c r="AT194" s="16">
        <f ca="1">IFERROR(_xlfn.XLOOKUP($F194,'FCDB 2017 (full)'!$C:$C,'FCDB 2017 (full)'!$AK:$AK)*$H194/100,0)</f>
        <v>0</v>
      </c>
      <c r="AU194" s="16">
        <f ca="1">IFERROR(_xlfn.XLOOKUP($F194,'FCDB 2017 (full)'!$C:$C,'FCDB 2017 (full)'!$AK:$AK)*$H194/100,0)</f>
        <v>0</v>
      </c>
      <c r="AV194" s="16">
        <f ca="1">IFERROR(_xlfn.XLOOKUP($F194,'FCDB 2017 (full)'!$C:$C,'FCDB 2017 (full)'!$AM:$AM)*$H194/100,0)</f>
        <v>0</v>
      </c>
      <c r="AW194" s="16">
        <f ca="1">IFERROR(_xlfn.XLOOKUP($F194,'FCDB 2017 (full)'!$C:$C,'FCDB 2017 (full)'!$AN:$AN)*$H194/100,0)</f>
        <v>0</v>
      </c>
      <c r="AX194" s="16">
        <f ca="1">IFERROR(_xlfn.XLOOKUP($F194,'FCDB 2017 (full)'!$C:$C,'FCDB 2017 (full)'!$AO:$AO)*$H194/100,0)</f>
        <v>0</v>
      </c>
      <c r="AY194" s="16">
        <f ca="1">IFERROR(_xlfn.XLOOKUP($F194,'FCDB 2017 (full)'!$C:$C,'FCDB 2017 (full)'!$AP:$AP)*$H194/100,0)</f>
        <v>0</v>
      </c>
      <c r="AZ194" s="16">
        <f ca="1">IFERROR(_xlfn.XLOOKUP($F194,'FCDB 2017 (full)'!$C:$C,'FCDB 2017 (full)'!$AQ:$AQ)*$H194/100,0)</f>
        <v>0</v>
      </c>
      <c r="BA194" s="16">
        <f ca="1">IFERROR(_xlfn.XLOOKUP($F194,'FCDB 2017 (full)'!$C:$C,'FCDB 2017 (full)'!$AR:$AR)*$H194/100,0)</f>
        <v>0</v>
      </c>
      <c r="BB194" s="16">
        <f ca="1">IFERROR(_xlfn.XLOOKUP($F194,'FCDB 2017 (full)'!$C:$C,'FCDB 2017 (full)'!$AS:$AS)*$H194/100,0)</f>
        <v>0</v>
      </c>
      <c r="BC194" s="16">
        <f ca="1">IFERROR(_xlfn.XLOOKUP($F194,'FCDB 2017 (full)'!$C:$C,'FCDB 2017 (full)'!$AT:$AT)*$H194/100,0)</f>
        <v>0</v>
      </c>
      <c r="BD194" s="16">
        <f ca="1">IFERROR(_xlfn.XLOOKUP($F194,'FCDB 2017 (full)'!$C:$C,'FCDB 2017 (full)'!$AU:$AU)*$H194/100,0)</f>
        <v>0</v>
      </c>
      <c r="BE194" s="16">
        <f ca="1">IFERROR(_xlfn.XLOOKUP($F194,'FCDB 2017 (full)'!$C:$C,'FCDB 2017 (full)'!$AV:$AV)*$H194/100,0)</f>
        <v>0</v>
      </c>
      <c r="BF194" s="16">
        <f ca="1">IFERROR(_xlfn.XLOOKUP($F194,'FCDB 2017 (full)'!$C:$C,'FCDB 2017 (full)'!$AW:$AW)*$H194/100,0)</f>
        <v>0</v>
      </c>
      <c r="BG194" s="16">
        <f ca="1">IFERROR(_xlfn.XLOOKUP($F194,'FCDB 2017 (full)'!$C:$C,'FCDB 2017 (full)'!$AX:$AX)*$H194/100,0)</f>
        <v>0</v>
      </c>
      <c r="BH194" s="16">
        <f ca="1">IFERROR(_xlfn.XLOOKUP($F194,'FCDB 2017 (full)'!$C:$C,'FCDB 2017 (full)'!$AY:$AY)*$H194/100,0)</f>
        <v>0</v>
      </c>
      <c r="BI194" s="16">
        <f ca="1">IFERROR(_xlfn.XLOOKUP($F194,'FCDB 2017 (full)'!$C:$C,'FCDB 2017 (full)'!$AZ:$AZ)*$H194/100,0)</f>
        <v>0</v>
      </c>
      <c r="BJ194" s="16">
        <f ca="1">IFERROR(_xlfn.XLOOKUP($F194,'FCDB 2017 (full)'!$C:$C,'FCDB 2017 (full)'!$BA:$BA)*$H194/100,0)</f>
        <v>0</v>
      </c>
      <c r="BK194" s="16">
        <f ca="1">IFERROR(_xlfn.XLOOKUP($F194,'FCDB 2017 (full)'!$C:$C,'FCDB 2017 (full)'!$BB:$BB)*$H194/100,0)</f>
        <v>0</v>
      </c>
      <c r="BL194" s="16">
        <f ca="1">IFERROR(_xlfn.XLOOKUP($F194,'FCDB 2017 (full)'!$C:$C,'FCDB 2017 (full)'!$BC:$BC)*$H194/100,0)</f>
        <v>0</v>
      </c>
      <c r="BM194" s="16">
        <f ca="1">IFERROR(_xlfn.XLOOKUP($F194,'FCDB 2017 (full)'!$C:$C,'FCDB 2017 (full)'!$BD:$BD)*$H194/100,0)</f>
        <v>0</v>
      </c>
      <c r="BN194" s="16">
        <f ca="1">IFERROR(_xlfn.XLOOKUP($F194,'FCDB 2017 (full)'!$C:$C,'FCDB 2017 (full)'!$BE:$BE)*$H194/100,0)</f>
        <v>0</v>
      </c>
      <c r="BO194" s="16">
        <f ca="1">IFERROR(_xlfn.XLOOKUP($F194,'FCDB 2017 (full)'!$C:$C,'FCDB 2017 (full)'!$BF:$BF)*$H194/100,0)</f>
        <v>0</v>
      </c>
      <c r="BP194" s="16">
        <f ca="1">IFERROR(_xlfn.XLOOKUP($F194,'FCDB 2017 (full)'!$C:$C,'FCDB 2017 (full)'!$BG:$BG)*$H194/100,0)</f>
        <v>0</v>
      </c>
      <c r="BQ194" s="16">
        <f ca="1">IFERROR(_xlfn.XLOOKUP($F194,'FCDB 2017 (full)'!$C:$C,'FCDB 2017 (full)'!$BH:$BH)*$H194/100,0)</f>
        <v>0</v>
      </c>
      <c r="BR194" s="16">
        <f ca="1">IFERROR(_xlfn.XLOOKUP($F194,'FCDB 2017 (full)'!$C:$C,'FCDB 2017 (full)'!$BI:$BI)*$H194/100,0)</f>
        <v>0</v>
      </c>
      <c r="BS194" s="16">
        <f ca="1">IFERROR(_xlfn.XLOOKUP($F194,'FCDB 2017 (full)'!$C:$C,'FCDB 2017 (full)'!$BJ:$BJ)*$H194/100,0)</f>
        <v>0</v>
      </c>
      <c r="BT194" s="16">
        <f ca="1">IFERROR(_xlfn.XLOOKUP($F194,'FCDB 2017 (full)'!$C:$C,'FCDB 2017 (full)'!$BK:$BK)*$H194/100,0)</f>
        <v>0</v>
      </c>
      <c r="BU194" s="16">
        <f ca="1">IFERROR(_xlfn.XLOOKUP($F194,'FCDB 2017 (full)'!$C:$C,'FCDB 2017 (full)'!$BL:$BL)*$H194/100,0)</f>
        <v>0</v>
      </c>
      <c r="BV194" s="16">
        <f ca="1">IFERROR(_xlfn.XLOOKUP($F194,'FCDB 2017 (full)'!$C:$C,'FCDB 2017 (full)'!$BM:$BM)*$H194/100,0)</f>
        <v>0</v>
      </c>
      <c r="BW194" s="16">
        <f ca="1">IFERROR(_xlfn.XLOOKUP($F194,'FCDB 2017 (full)'!$C:$C,'FCDB 2017 (full)'!$BN:$BN)*$H194/100,0)</f>
        <v>0</v>
      </c>
      <c r="BX194" s="16">
        <f ca="1">IFERROR(_xlfn.XLOOKUP($F194,'FCDB 2017 (full)'!$C:$C,'FCDB 2017 (full)'!$BO:$BO)*$H194/100,0)</f>
        <v>0</v>
      </c>
      <c r="BY194" s="16">
        <f ca="1">IFERROR(_xlfn.XLOOKUP($F194,'FCDB 2017 (full)'!$C:$C,'FCDB 2017 (full)'!$BP:$BP)*$H194/100,0)</f>
        <v>0</v>
      </c>
      <c r="BZ194" s="16">
        <f ca="1">IFERROR(_xlfn.XLOOKUP($F194,'FCDB 2017 (full)'!$C:$C,'FCDB 2017 (full)'!$BQ:$BQ)*$H194/100,0)</f>
        <v>0</v>
      </c>
      <c r="CA194" s="16">
        <f ca="1">IFERROR(_xlfn.XLOOKUP($F194,'FCDB 2017 (full)'!$C:$C,'FCDB 2017 (full)'!$BR:$BR)*$H194/100,0)</f>
        <v>0</v>
      </c>
      <c r="CB194" s="16">
        <f ca="1">IFERROR(_xlfn.XLOOKUP($F194,'FCDB 2017 (full)'!$C:$C,'FCDB 2017 (full)'!$BS:$BS)*$H194/100,0)</f>
        <v>0</v>
      </c>
      <c r="CC194" s="16">
        <f ca="1">IFERROR(_xlfn.XLOOKUP($F194,'FCDB 2017 (full)'!$C:$C,'FCDB 2017 (full)'!$BT:$BT)*$H194/100,0)</f>
        <v>0</v>
      </c>
      <c r="CD194" s="16">
        <f ca="1">IFERROR(_xlfn.XLOOKUP($F194,'FCDB 2017 (full)'!$C:$C,'FCDB 2017 (full)'!$BU:$BU)*$H194/100,0)</f>
        <v>0</v>
      </c>
      <c r="CE194" s="16">
        <f ca="1">IFERROR(_xlfn.XLOOKUP($F194,'FCDB 2017 (full)'!$C:$C,'FCDB 2017 (full)'!$BV:$BV)*$H194/100,0)</f>
        <v>0</v>
      </c>
      <c r="CF194" s="16">
        <f ca="1">IFERROR(_xlfn.XLOOKUP($F194,'FCDB 2017 (full)'!$C:$C,'FCDB 2017 (full)'!$BW:$BW)*$H194/100,0)</f>
        <v>0</v>
      </c>
      <c r="CG194" s="16">
        <f ca="1">IFERROR(_xlfn.XLOOKUP($F194,'FCDB 2017 (full)'!$C:$C,'FCDB 2017 (full)'!$BX:$BX)*$H194/100,0)</f>
        <v>0</v>
      </c>
      <c r="CH194" s="16">
        <f ca="1">IFERROR(_xlfn.XLOOKUP($F194,'FCDB 2017 (full)'!$C:$C,'FCDB 2017 (full)'!$BY:$BY)*$H194/100,0)</f>
        <v>0</v>
      </c>
      <c r="CI194" s="16">
        <f ca="1">IFERROR(_xlfn.XLOOKUP($F194,'FCDB 2017 (full)'!$C:$C,'FCDB 2017 (full)'!$BZ:$BZ)*$H194/100,0)</f>
        <v>0</v>
      </c>
      <c r="CJ194" s="16">
        <f ca="1">IFERROR(_xlfn.XLOOKUP($F194,'FCDB 2017 (full)'!$C:$C,'FCDB 2017 (full)'!$CA:$CA)*$H194/100,0)</f>
        <v>0</v>
      </c>
      <c r="CK194" s="16">
        <f ca="1">IFERROR(_xlfn.XLOOKUP($F194,'FCDB 2017 (full)'!$C:$C,'FCDB 2017 (full)'!$CB:$CB)*$H194/100,0)</f>
        <v>0</v>
      </c>
      <c r="CL194" s="16">
        <f ca="1">IFERROR(_xlfn.XLOOKUP($F194,'FCDB 2017 (full)'!$C:$C,'FCDB 2017 (full)'!$CC:$CC)*$H194/100,0)</f>
        <v>0</v>
      </c>
      <c r="CM194" s="16">
        <f ca="1">IFERROR(_xlfn.XLOOKUP($F194,'FCDB 2017 (full)'!$C:$C,'FCDB 2017 (full)'!$CD:$CD)*$H194/100,0)</f>
        <v>0</v>
      </c>
      <c r="CN194" s="16">
        <f ca="1">IFERROR(_xlfn.XLOOKUP($F194,'FCDB 2017 (full)'!$C:$C,'FCDB 2017 (full)'!$CE:$CE)*$H194/100,0)</f>
        <v>0</v>
      </c>
      <c r="CO194" s="16">
        <f ca="1">IFERROR(_xlfn.XLOOKUP($F194,'FCDB 2017 (full)'!$C:$C,'FCDB 2017 (full)'!$CF:$CF)*$H194/100,0)</f>
        <v>0</v>
      </c>
      <c r="CP194" s="16">
        <f ca="1">IFERROR(_xlfn.XLOOKUP($F194,'FCDB 2017 (full)'!$C:$C,'FCDB 2017 (full)'!$CG:$CG)*$H194/100,0)</f>
        <v>0</v>
      </c>
      <c r="CQ194" s="16">
        <f ca="1">IFERROR(_xlfn.XLOOKUP($F194,'FCDB 2017 (full)'!$C:$C,'FCDB 2017 (full)'!$CH:$CH)*$H194/100,0)</f>
        <v>0</v>
      </c>
      <c r="CR194"/>
      <c r="DA194" s="72" t="s">
        <v>987</v>
      </c>
    </row>
    <row r="195" spans="4:105" ht="16.8">
      <c r="D195"/>
      <c r="E195"/>
      <c r="F195" s="11" t="str">
        <f>IFERROR(VLOOKUP($D$182,$D:$AE,10,0),0)</f>
        <v>Mướp</v>
      </c>
      <c r="G195" s="7" t="e" cm="1">
        <f t="array" aca="1" ref="G195" ca="1">IF(F195=0,0,IF(_xlfn.XLOOKUP(F195,$E$182:$AE$182,$E$183:$AE$183)=0,"Nhập ĐV/TV",_xlfn.XLOOKUP(F195,$E$182:$AE$182,$E$183:$AE$183)))</f>
        <v>#NAME?</v>
      </c>
      <c r="H195" s="8" cm="1">
        <f t="array" ref="H195">IFERROR(INDEX($E$184:$AE$184,MATCH(F195,$E$182:$AE$182,0)),0)</f>
        <v>50</v>
      </c>
      <c r="I195" s="9">
        <f ca="1">IFERROR(_xlfn.XLOOKUP($F195,'FCDB 2017 (full)'!$C:$C,'FCDB 2017 (full)'!$E:$E),0)</f>
        <v>0</v>
      </c>
      <c r="J195" s="10">
        <f t="shared" ca="1" si="39"/>
        <v>0</v>
      </c>
      <c r="K195" s="9">
        <f ca="1">IFERROR(_xlfn.XLOOKUP($F195,'FCDB 2017 (full)'!$C:$C,'FCDB 2017 (full)'!$G:$G),0)</f>
        <v>0</v>
      </c>
      <c r="L195" s="13" t="e">
        <f t="shared" ca="1" si="40"/>
        <v>#NAME?</v>
      </c>
      <c r="M195" s="13" t="e">
        <f t="shared" ca="1" si="41"/>
        <v>#NAME?</v>
      </c>
      <c r="N195" s="9">
        <f ca="1">IFERROR(_xlfn.XLOOKUP($F195,'FCDB 2017 (full)'!$C:$C,'FCDB 2017 (full)'!$H:$H),0)</f>
        <v>0</v>
      </c>
      <c r="O195" s="14" t="e">
        <f t="shared" ca="1" si="42"/>
        <v>#NAME?</v>
      </c>
      <c r="P195" s="14" t="e">
        <f t="shared" ca="1" si="43"/>
        <v>#NAME?</v>
      </c>
      <c r="Q195" s="9">
        <f ca="1">IFERROR(_xlfn.XLOOKUP($F195,'FCDB 2017 (full)'!$C:$C,'FCDB 2017 (full)'!$I:$I),0)</f>
        <v>0</v>
      </c>
      <c r="R195" s="15">
        <f t="shared" ca="1" si="44"/>
        <v>0</v>
      </c>
      <c r="S195" s="16">
        <f ca="1">IFERROR(_xlfn.XLOOKUP($F195,'FCDB 2017 (full)'!$C:$C,'FCDB 2017 (full)'!$J:$J)*$H195/100,0)</f>
        <v>0</v>
      </c>
      <c r="T195" s="16">
        <f ca="1">IFERROR(_xlfn.XLOOKUP($F195,'FCDB 2017 (full)'!$C:$C,'FCDB 2017 (full)'!$K:$K)*$H195/100,0)</f>
        <v>0</v>
      </c>
      <c r="U195" s="16">
        <f ca="1">IFERROR(_xlfn.XLOOKUP($F195,'FCDB 2017 (full)'!$C:$C,'FCDB 2017 (full)'!$L:$L)*$H195/100,0)</f>
        <v>0</v>
      </c>
      <c r="V195" s="16">
        <f ca="1">IFERROR(_xlfn.XLOOKUP($F195,'FCDB 2017 (full)'!$C:$C,'FCDB 2017 (full)'!$M:$M)*$H195/100,0)</f>
        <v>0</v>
      </c>
      <c r="W195" s="16">
        <f ca="1">IFERROR(_xlfn.XLOOKUP($F195,'FCDB 2017 (full)'!$C:$C,'FCDB 2017 (full)'!$N:$N)*$H195/100,0)</f>
        <v>0</v>
      </c>
      <c r="X195" s="16">
        <f ca="1">IFERROR(_xlfn.XLOOKUP($F195,'FCDB 2017 (full)'!$C:$C,'FCDB 2017 (full)'!$O:$O)*$H195/100,0)</f>
        <v>0</v>
      </c>
      <c r="Y195" s="16">
        <f ca="1">IFERROR(_xlfn.XLOOKUP($F195,'FCDB 2017 (full)'!$C:$C,'FCDB 2017 (full)'!$P:$P)*$H195/100,0)</f>
        <v>0</v>
      </c>
      <c r="Z195" s="16">
        <f ca="1">IFERROR(_xlfn.XLOOKUP($F195,'FCDB 2017 (full)'!$C:$C,'FCDB 2017 (full)'!$Q:$Q)*$H195/100,0)</f>
        <v>0</v>
      </c>
      <c r="AA195" s="16">
        <f ca="1">IFERROR(_xlfn.XLOOKUP($F195,'FCDB 2017 (full)'!$C:$C,'FCDB 2017 (full)'!$R:$R)*$H195/100,0)</f>
        <v>0</v>
      </c>
      <c r="AB195" s="16">
        <f ca="1">IFERROR(_xlfn.XLOOKUP($F195,'FCDB 2017 (full)'!$C:$C,'FCDB 2017 (full)'!$S:$S)*$H195/100,0)</f>
        <v>0</v>
      </c>
      <c r="AC195" s="16">
        <f ca="1">IFERROR(_xlfn.XLOOKUP($F195,'FCDB 2017 (full)'!$C:$C,'FCDB 2017 (full)'!$T:$T)*$H195/100,0)</f>
        <v>0</v>
      </c>
      <c r="AD195" s="16">
        <f ca="1">IFERROR(_xlfn.XLOOKUP($F195,'FCDB 2017 (full)'!$C:$C,'FCDB 2017 (full)'!$U:$U)*$H195/100,0)</f>
        <v>0</v>
      </c>
      <c r="AE195" s="16">
        <f ca="1">IFERROR(_xlfn.XLOOKUP($F195,'FCDB 2017 (full)'!$C:$C,'FCDB 2017 (full)'!$V:$V)*$H195/100,0)</f>
        <v>0</v>
      </c>
      <c r="AF195" s="16">
        <f ca="1">IFERROR(_xlfn.XLOOKUP($F195,'FCDB 2017 (full)'!$C:$C,'FCDB 2017 (full)'!$W:$W)*$H195/100,0)</f>
        <v>0</v>
      </c>
      <c r="AG195" s="16">
        <f ca="1">IFERROR(_xlfn.XLOOKUP($F195,'FCDB 2017 (full)'!$C:$C,'FCDB 2017 (full)'!$X:$X)*$H195/100,0)</f>
        <v>0</v>
      </c>
      <c r="AH195" s="16">
        <f ca="1">IFERROR(_xlfn.XLOOKUP($F195,'FCDB 2017 (full)'!$C:$C,'FCDB 2017 (full)'!$Y:$Y)*$H195/100,0)</f>
        <v>0</v>
      </c>
      <c r="AI195" s="16">
        <f ca="1">IFERROR(_xlfn.XLOOKUP($F195,'FCDB 2017 (full)'!$C:$C,'FCDB 2017 (full)'!$Z:$Z)*$H195/100,0)</f>
        <v>0</v>
      </c>
      <c r="AJ195" s="16">
        <f ca="1">IFERROR(_xlfn.XLOOKUP($F195,'FCDB 2017 (full)'!$C:$C,'FCDB 2017 (full)'!$AA:$AA)*$H195/100,0)</f>
        <v>0</v>
      </c>
      <c r="AK195" s="16">
        <f ca="1">IFERROR(_xlfn.XLOOKUP($F195,'FCDB 2017 (full)'!$C:$C,'FCDB 2017 (full)'!$AB:$AB)*$H195/100,0)</f>
        <v>0</v>
      </c>
      <c r="AL195" s="16">
        <f ca="1">IFERROR(_xlfn.XLOOKUP($F195,'FCDB 2017 (full)'!$C:$C,'FCDB 2017 (full)'!$AC:$AC)*$H195/100,0)</f>
        <v>0</v>
      </c>
      <c r="AM195" s="16">
        <f ca="1">IFERROR(_xlfn.XLOOKUP($F195,'FCDB 2017 (full)'!$C:$C,'FCDB 2017 (full)'!$AD:$AD)*$H195/100,0)</f>
        <v>0</v>
      </c>
      <c r="AN195" s="16">
        <f ca="1">IFERROR(_xlfn.XLOOKUP($F195,'FCDB 2017 (full)'!$C:$C,'FCDB 2017 (full)'!$AE:$AE)*$H195/100,0)</f>
        <v>0</v>
      </c>
      <c r="AO195" s="16">
        <f ca="1">IFERROR(_xlfn.XLOOKUP($F195,'FCDB 2017 (full)'!$C:$C,'FCDB 2017 (full)'!$AF:$AF)*$H195/100,0)</f>
        <v>0</v>
      </c>
      <c r="AP195" s="16">
        <f ca="1">IFERROR(_xlfn.XLOOKUP($F195,'FCDB 2017 (full)'!$C:$C,'FCDB 2017 (full)'!$AG:$AG)*$H195/100,0)</f>
        <v>0</v>
      </c>
      <c r="AQ195" s="16">
        <f ca="1">IFERROR(_xlfn.XLOOKUP($F195,'FCDB 2017 (full)'!$C:$C,'FCDB 2017 (full)'!$AH:$AH)*$H195/100,0)</f>
        <v>0</v>
      </c>
      <c r="AR195" s="16">
        <f ca="1">IFERROR(_xlfn.XLOOKUP($F195,'FCDB 2017 (full)'!$C:$C,'FCDB 2017 (full)'!$AI:$AI)*$H195/100,0)</f>
        <v>0</v>
      </c>
      <c r="AS195" s="16">
        <f ca="1">IFERROR(_xlfn.XLOOKUP($F195,'FCDB 2017 (full)'!$C:$C,'FCDB 2017 (full)'!$AJ:$AJ)*$H195/100,0)</f>
        <v>0</v>
      </c>
      <c r="AT195" s="16">
        <f ca="1">IFERROR(_xlfn.XLOOKUP($F195,'FCDB 2017 (full)'!$C:$C,'FCDB 2017 (full)'!$AK:$AK)*$H195/100,0)</f>
        <v>0</v>
      </c>
      <c r="AU195" s="16">
        <f ca="1">IFERROR(_xlfn.XLOOKUP($F195,'FCDB 2017 (full)'!$C:$C,'FCDB 2017 (full)'!$AK:$AK)*$H195/100,0)</f>
        <v>0</v>
      </c>
      <c r="AV195" s="16">
        <f ca="1">IFERROR(_xlfn.XLOOKUP($F195,'FCDB 2017 (full)'!$C:$C,'FCDB 2017 (full)'!$AM:$AM)*$H195/100,0)</f>
        <v>0</v>
      </c>
      <c r="AW195" s="16">
        <f ca="1">IFERROR(_xlfn.XLOOKUP($F195,'FCDB 2017 (full)'!$C:$C,'FCDB 2017 (full)'!$AN:$AN)*$H195/100,0)</f>
        <v>0</v>
      </c>
      <c r="AX195" s="16">
        <f ca="1">IFERROR(_xlfn.XLOOKUP($F195,'FCDB 2017 (full)'!$C:$C,'FCDB 2017 (full)'!$AO:$AO)*$H195/100,0)</f>
        <v>0</v>
      </c>
      <c r="AY195" s="16">
        <f ca="1">IFERROR(_xlfn.XLOOKUP($F195,'FCDB 2017 (full)'!$C:$C,'FCDB 2017 (full)'!$AP:$AP)*$H195/100,0)</f>
        <v>0</v>
      </c>
      <c r="AZ195" s="16">
        <f ca="1">IFERROR(_xlfn.XLOOKUP($F195,'FCDB 2017 (full)'!$C:$C,'FCDB 2017 (full)'!$AQ:$AQ)*$H195/100,0)</f>
        <v>0</v>
      </c>
      <c r="BA195" s="16">
        <f ca="1">IFERROR(_xlfn.XLOOKUP($F195,'FCDB 2017 (full)'!$C:$C,'FCDB 2017 (full)'!$AR:$AR)*$H195/100,0)</f>
        <v>0</v>
      </c>
      <c r="BB195" s="16">
        <f ca="1">IFERROR(_xlfn.XLOOKUP($F195,'FCDB 2017 (full)'!$C:$C,'FCDB 2017 (full)'!$AS:$AS)*$H195/100,0)</f>
        <v>0</v>
      </c>
      <c r="BC195" s="16">
        <f ca="1">IFERROR(_xlfn.XLOOKUP($F195,'FCDB 2017 (full)'!$C:$C,'FCDB 2017 (full)'!$AT:$AT)*$H195/100,0)</f>
        <v>0</v>
      </c>
      <c r="BD195" s="16">
        <f ca="1">IFERROR(_xlfn.XLOOKUP($F195,'FCDB 2017 (full)'!$C:$C,'FCDB 2017 (full)'!$AU:$AU)*$H195/100,0)</f>
        <v>0</v>
      </c>
      <c r="BE195" s="16">
        <f ca="1">IFERROR(_xlfn.XLOOKUP($F195,'FCDB 2017 (full)'!$C:$C,'FCDB 2017 (full)'!$AV:$AV)*$H195/100,0)</f>
        <v>0</v>
      </c>
      <c r="BF195" s="16">
        <f ca="1">IFERROR(_xlfn.XLOOKUP($F195,'FCDB 2017 (full)'!$C:$C,'FCDB 2017 (full)'!$AW:$AW)*$H195/100,0)</f>
        <v>0</v>
      </c>
      <c r="BG195" s="16">
        <f ca="1">IFERROR(_xlfn.XLOOKUP($F195,'FCDB 2017 (full)'!$C:$C,'FCDB 2017 (full)'!$AX:$AX)*$H195/100,0)</f>
        <v>0</v>
      </c>
      <c r="BH195" s="16">
        <f ca="1">IFERROR(_xlfn.XLOOKUP($F195,'FCDB 2017 (full)'!$C:$C,'FCDB 2017 (full)'!$AY:$AY)*$H195/100,0)</f>
        <v>0</v>
      </c>
      <c r="BI195" s="16">
        <f ca="1">IFERROR(_xlfn.XLOOKUP($F195,'FCDB 2017 (full)'!$C:$C,'FCDB 2017 (full)'!$AZ:$AZ)*$H195/100,0)</f>
        <v>0</v>
      </c>
      <c r="BJ195" s="16">
        <f ca="1">IFERROR(_xlfn.XLOOKUP($F195,'FCDB 2017 (full)'!$C:$C,'FCDB 2017 (full)'!$BA:$BA)*$H195/100,0)</f>
        <v>0</v>
      </c>
      <c r="BK195" s="16">
        <f ca="1">IFERROR(_xlfn.XLOOKUP($F195,'FCDB 2017 (full)'!$C:$C,'FCDB 2017 (full)'!$BB:$BB)*$H195/100,0)</f>
        <v>0</v>
      </c>
      <c r="BL195" s="16">
        <f ca="1">IFERROR(_xlfn.XLOOKUP($F195,'FCDB 2017 (full)'!$C:$C,'FCDB 2017 (full)'!$BC:$BC)*$H195/100,0)</f>
        <v>0</v>
      </c>
      <c r="BM195" s="16">
        <f ca="1">IFERROR(_xlfn.XLOOKUP($F195,'FCDB 2017 (full)'!$C:$C,'FCDB 2017 (full)'!$BD:$BD)*$H195/100,0)</f>
        <v>0</v>
      </c>
      <c r="BN195" s="16">
        <f ca="1">IFERROR(_xlfn.XLOOKUP($F195,'FCDB 2017 (full)'!$C:$C,'FCDB 2017 (full)'!$BE:$BE)*$H195/100,0)</f>
        <v>0</v>
      </c>
      <c r="BO195" s="16">
        <f ca="1">IFERROR(_xlfn.XLOOKUP($F195,'FCDB 2017 (full)'!$C:$C,'FCDB 2017 (full)'!$BF:$BF)*$H195/100,0)</f>
        <v>0</v>
      </c>
      <c r="BP195" s="16">
        <f ca="1">IFERROR(_xlfn.XLOOKUP($F195,'FCDB 2017 (full)'!$C:$C,'FCDB 2017 (full)'!$BG:$BG)*$H195/100,0)</f>
        <v>0</v>
      </c>
      <c r="BQ195" s="16">
        <f ca="1">IFERROR(_xlfn.XLOOKUP($F195,'FCDB 2017 (full)'!$C:$C,'FCDB 2017 (full)'!$BH:$BH)*$H195/100,0)</f>
        <v>0</v>
      </c>
      <c r="BR195" s="16">
        <f ca="1">IFERROR(_xlfn.XLOOKUP($F195,'FCDB 2017 (full)'!$C:$C,'FCDB 2017 (full)'!$BI:$BI)*$H195/100,0)</f>
        <v>0</v>
      </c>
      <c r="BS195" s="16">
        <f ca="1">IFERROR(_xlfn.XLOOKUP($F195,'FCDB 2017 (full)'!$C:$C,'FCDB 2017 (full)'!$BJ:$BJ)*$H195/100,0)</f>
        <v>0</v>
      </c>
      <c r="BT195" s="16">
        <f ca="1">IFERROR(_xlfn.XLOOKUP($F195,'FCDB 2017 (full)'!$C:$C,'FCDB 2017 (full)'!$BK:$BK)*$H195/100,0)</f>
        <v>0</v>
      </c>
      <c r="BU195" s="16">
        <f ca="1">IFERROR(_xlfn.XLOOKUP($F195,'FCDB 2017 (full)'!$C:$C,'FCDB 2017 (full)'!$BL:$BL)*$H195/100,0)</f>
        <v>0</v>
      </c>
      <c r="BV195" s="16">
        <f ca="1">IFERROR(_xlfn.XLOOKUP($F195,'FCDB 2017 (full)'!$C:$C,'FCDB 2017 (full)'!$BM:$BM)*$H195/100,0)</f>
        <v>0</v>
      </c>
      <c r="BW195" s="16">
        <f ca="1">IFERROR(_xlfn.XLOOKUP($F195,'FCDB 2017 (full)'!$C:$C,'FCDB 2017 (full)'!$BN:$BN)*$H195/100,0)</f>
        <v>0</v>
      </c>
      <c r="BX195" s="16">
        <f ca="1">IFERROR(_xlfn.XLOOKUP($F195,'FCDB 2017 (full)'!$C:$C,'FCDB 2017 (full)'!$BO:$BO)*$H195/100,0)</f>
        <v>0</v>
      </c>
      <c r="BY195" s="16">
        <f ca="1">IFERROR(_xlfn.XLOOKUP($F195,'FCDB 2017 (full)'!$C:$C,'FCDB 2017 (full)'!$BP:$BP)*$H195/100,0)</f>
        <v>0</v>
      </c>
      <c r="BZ195" s="16">
        <f ca="1">IFERROR(_xlfn.XLOOKUP($F195,'FCDB 2017 (full)'!$C:$C,'FCDB 2017 (full)'!$BQ:$BQ)*$H195/100,0)</f>
        <v>0</v>
      </c>
      <c r="CA195" s="16">
        <f ca="1">IFERROR(_xlfn.XLOOKUP($F195,'FCDB 2017 (full)'!$C:$C,'FCDB 2017 (full)'!$BR:$BR)*$H195/100,0)</f>
        <v>0</v>
      </c>
      <c r="CB195" s="16">
        <f ca="1">IFERROR(_xlfn.XLOOKUP($F195,'FCDB 2017 (full)'!$C:$C,'FCDB 2017 (full)'!$BS:$BS)*$H195/100,0)</f>
        <v>0</v>
      </c>
      <c r="CC195" s="16">
        <f ca="1">IFERROR(_xlfn.XLOOKUP($F195,'FCDB 2017 (full)'!$C:$C,'FCDB 2017 (full)'!$BT:$BT)*$H195/100,0)</f>
        <v>0</v>
      </c>
      <c r="CD195" s="16">
        <f ca="1">IFERROR(_xlfn.XLOOKUP($F195,'FCDB 2017 (full)'!$C:$C,'FCDB 2017 (full)'!$BU:$BU)*$H195/100,0)</f>
        <v>0</v>
      </c>
      <c r="CE195" s="16">
        <f ca="1">IFERROR(_xlfn.XLOOKUP($F195,'FCDB 2017 (full)'!$C:$C,'FCDB 2017 (full)'!$BV:$BV)*$H195/100,0)</f>
        <v>0</v>
      </c>
      <c r="CF195" s="16">
        <f ca="1">IFERROR(_xlfn.XLOOKUP($F195,'FCDB 2017 (full)'!$C:$C,'FCDB 2017 (full)'!$BW:$BW)*$H195/100,0)</f>
        <v>0</v>
      </c>
      <c r="CG195" s="16">
        <f ca="1">IFERROR(_xlfn.XLOOKUP($F195,'FCDB 2017 (full)'!$C:$C,'FCDB 2017 (full)'!$BX:$BX)*$H195/100,0)</f>
        <v>0</v>
      </c>
      <c r="CH195" s="16">
        <f ca="1">IFERROR(_xlfn.XLOOKUP($F195,'FCDB 2017 (full)'!$C:$C,'FCDB 2017 (full)'!$BY:$BY)*$H195/100,0)</f>
        <v>0</v>
      </c>
      <c r="CI195" s="16">
        <f ca="1">IFERROR(_xlfn.XLOOKUP($F195,'FCDB 2017 (full)'!$C:$C,'FCDB 2017 (full)'!$BZ:$BZ)*$H195/100,0)</f>
        <v>0</v>
      </c>
      <c r="CJ195" s="16">
        <f ca="1">IFERROR(_xlfn.XLOOKUP($F195,'FCDB 2017 (full)'!$C:$C,'FCDB 2017 (full)'!$CA:$CA)*$H195/100,0)</f>
        <v>0</v>
      </c>
      <c r="CK195" s="16">
        <f ca="1">IFERROR(_xlfn.XLOOKUP($F195,'FCDB 2017 (full)'!$C:$C,'FCDB 2017 (full)'!$CB:$CB)*$H195/100,0)</f>
        <v>0</v>
      </c>
      <c r="CL195" s="16">
        <f ca="1">IFERROR(_xlfn.XLOOKUP($F195,'FCDB 2017 (full)'!$C:$C,'FCDB 2017 (full)'!$CC:$CC)*$H195/100,0)</f>
        <v>0</v>
      </c>
      <c r="CM195" s="16">
        <f ca="1">IFERROR(_xlfn.XLOOKUP($F195,'FCDB 2017 (full)'!$C:$C,'FCDB 2017 (full)'!$CD:$CD)*$H195/100,0)</f>
        <v>0</v>
      </c>
      <c r="CN195" s="16">
        <f ca="1">IFERROR(_xlfn.XLOOKUP($F195,'FCDB 2017 (full)'!$C:$C,'FCDB 2017 (full)'!$CE:$CE)*$H195/100,0)</f>
        <v>0</v>
      </c>
      <c r="CO195" s="16">
        <f ca="1">IFERROR(_xlfn.XLOOKUP($F195,'FCDB 2017 (full)'!$C:$C,'FCDB 2017 (full)'!$CF:$CF)*$H195/100,0)</f>
        <v>0</v>
      </c>
      <c r="CP195" s="16">
        <f ca="1">IFERROR(_xlfn.XLOOKUP($F195,'FCDB 2017 (full)'!$C:$C,'FCDB 2017 (full)'!$CG:$CG)*$H195/100,0)</f>
        <v>0</v>
      </c>
      <c r="CQ195" s="16">
        <f ca="1">IFERROR(_xlfn.XLOOKUP($F195,'FCDB 2017 (full)'!$C:$C,'FCDB 2017 (full)'!$CH:$CH)*$H195/100,0)</f>
        <v>0</v>
      </c>
      <c r="CR195"/>
      <c r="DA195" s="72" t="s">
        <v>987</v>
      </c>
    </row>
    <row r="196" spans="4:105" ht="16.8">
      <c r="D196"/>
      <c r="E196"/>
      <c r="F196" s="11">
        <f>IFERROR(VLOOKUP($D$182,$D:$AE,12,0),0)</f>
        <v>0</v>
      </c>
      <c r="G196" s="7" cm="1">
        <f t="array" ref="G196">IF(F196=0,0,IF(_xlfn.XLOOKUP(F196,$E$182:$AE$182,$E$183:$AE$183)=0,"Nhập ĐV/TV",_xlfn.XLOOKUP(F196,$E$182:$AE$182,$E$183:$AE$183)))</f>
        <v>0</v>
      </c>
      <c r="H196" s="8" cm="1">
        <f t="array" ref="H196">IFERROR(INDEX($E$184:$AE$184,MATCH(F196,$E$182:$AE$182,0)),0)</f>
        <v>0</v>
      </c>
      <c r="I196" s="9">
        <f ca="1">IFERROR(_xlfn.XLOOKUP($F196,'FCDB 2017 (full)'!$C:$C,'FCDB 2017 (full)'!$E:$E),0)</f>
        <v>0</v>
      </c>
      <c r="J196" s="10">
        <f t="shared" ca="1" si="39"/>
        <v>0</v>
      </c>
      <c r="K196" s="9">
        <f ca="1">IFERROR(_xlfn.XLOOKUP($F196,'FCDB 2017 (full)'!$C:$C,'FCDB 2017 (full)'!$G:$G),0)</f>
        <v>0</v>
      </c>
      <c r="L196" s="13">
        <f t="shared" si="40"/>
        <v>0</v>
      </c>
      <c r="M196" s="13">
        <f t="shared" si="41"/>
        <v>0</v>
      </c>
      <c r="N196" s="9">
        <f ca="1">IFERROR(_xlfn.XLOOKUP($F196,'FCDB 2017 (full)'!$C:$C,'FCDB 2017 (full)'!$H:$H),0)</f>
        <v>0</v>
      </c>
      <c r="O196" s="14">
        <f t="shared" si="42"/>
        <v>0</v>
      </c>
      <c r="P196" s="14">
        <f t="shared" si="43"/>
        <v>0</v>
      </c>
      <c r="Q196" s="9">
        <f ca="1">IFERROR(_xlfn.XLOOKUP($F196,'FCDB 2017 (full)'!$C:$C,'FCDB 2017 (full)'!$I:$I),0)</f>
        <v>0</v>
      </c>
      <c r="R196" s="15">
        <f t="shared" ca="1" si="44"/>
        <v>0</v>
      </c>
      <c r="S196" s="16">
        <f ca="1">IFERROR(_xlfn.XLOOKUP($F196,'FCDB 2017 (full)'!$C:$C,'FCDB 2017 (full)'!$J:$J)*$H196/100,0)</f>
        <v>0</v>
      </c>
      <c r="T196" s="16">
        <f ca="1">IFERROR(_xlfn.XLOOKUP($F196,'FCDB 2017 (full)'!$C:$C,'FCDB 2017 (full)'!$K:$K)*$H196/100,0)</f>
        <v>0</v>
      </c>
      <c r="U196" s="16">
        <f ca="1">IFERROR(_xlfn.XLOOKUP($F196,'FCDB 2017 (full)'!$C:$C,'FCDB 2017 (full)'!$L:$L)*$H196/100,0)</f>
        <v>0</v>
      </c>
      <c r="V196" s="16">
        <f ca="1">IFERROR(_xlfn.XLOOKUP($F196,'FCDB 2017 (full)'!$C:$C,'FCDB 2017 (full)'!$M:$M)*$H196/100,0)</f>
        <v>0</v>
      </c>
      <c r="W196" s="16">
        <f ca="1">IFERROR(_xlfn.XLOOKUP($F196,'FCDB 2017 (full)'!$C:$C,'FCDB 2017 (full)'!$N:$N)*$H196/100,0)</f>
        <v>0</v>
      </c>
      <c r="X196" s="16">
        <f ca="1">IFERROR(_xlfn.XLOOKUP($F196,'FCDB 2017 (full)'!$C:$C,'FCDB 2017 (full)'!$O:$O)*$H196/100,0)</f>
        <v>0</v>
      </c>
      <c r="Y196" s="16">
        <f ca="1">IFERROR(_xlfn.XLOOKUP($F196,'FCDB 2017 (full)'!$C:$C,'FCDB 2017 (full)'!$P:$P)*$H196/100,0)</f>
        <v>0</v>
      </c>
      <c r="Z196" s="16">
        <f ca="1">IFERROR(_xlfn.XLOOKUP($F196,'FCDB 2017 (full)'!$C:$C,'FCDB 2017 (full)'!$Q:$Q)*$H196/100,0)</f>
        <v>0</v>
      </c>
      <c r="AA196" s="16">
        <f ca="1">IFERROR(_xlfn.XLOOKUP($F196,'FCDB 2017 (full)'!$C:$C,'FCDB 2017 (full)'!$R:$R)*$H196/100,0)</f>
        <v>0</v>
      </c>
      <c r="AB196" s="16">
        <f ca="1">IFERROR(_xlfn.XLOOKUP($F196,'FCDB 2017 (full)'!$C:$C,'FCDB 2017 (full)'!$S:$S)*$H196/100,0)</f>
        <v>0</v>
      </c>
      <c r="AC196" s="16">
        <f ca="1">IFERROR(_xlfn.XLOOKUP($F196,'FCDB 2017 (full)'!$C:$C,'FCDB 2017 (full)'!$T:$T)*$H196/100,0)</f>
        <v>0</v>
      </c>
      <c r="AD196" s="16">
        <f ca="1">IFERROR(_xlfn.XLOOKUP($F196,'FCDB 2017 (full)'!$C:$C,'FCDB 2017 (full)'!$U:$U)*$H196/100,0)</f>
        <v>0</v>
      </c>
      <c r="AE196" s="16">
        <f ca="1">IFERROR(_xlfn.XLOOKUP($F196,'FCDB 2017 (full)'!$C:$C,'FCDB 2017 (full)'!$V:$V)*$H196/100,0)</f>
        <v>0</v>
      </c>
      <c r="AF196" s="16">
        <f ca="1">IFERROR(_xlfn.XLOOKUP($F196,'FCDB 2017 (full)'!$C:$C,'FCDB 2017 (full)'!$W:$W)*$H196/100,0)</f>
        <v>0</v>
      </c>
      <c r="AG196" s="16">
        <f ca="1">IFERROR(_xlfn.XLOOKUP($F196,'FCDB 2017 (full)'!$C:$C,'FCDB 2017 (full)'!$X:$X)*$H196/100,0)</f>
        <v>0</v>
      </c>
      <c r="AH196" s="16">
        <f ca="1">IFERROR(_xlfn.XLOOKUP($F196,'FCDB 2017 (full)'!$C:$C,'FCDB 2017 (full)'!$Y:$Y)*$H196/100,0)</f>
        <v>0</v>
      </c>
      <c r="AI196" s="16">
        <f ca="1">IFERROR(_xlfn.XLOOKUP($F196,'FCDB 2017 (full)'!$C:$C,'FCDB 2017 (full)'!$Z:$Z)*$H196/100,0)</f>
        <v>0</v>
      </c>
      <c r="AJ196" s="16">
        <f ca="1">IFERROR(_xlfn.XLOOKUP($F196,'FCDB 2017 (full)'!$C:$C,'FCDB 2017 (full)'!$AA:$AA)*$H196/100,0)</f>
        <v>0</v>
      </c>
      <c r="AK196" s="16">
        <f ca="1">IFERROR(_xlfn.XLOOKUP($F196,'FCDB 2017 (full)'!$C:$C,'FCDB 2017 (full)'!$AB:$AB)*$H196/100,0)</f>
        <v>0</v>
      </c>
      <c r="AL196" s="16">
        <f ca="1">IFERROR(_xlfn.XLOOKUP($F196,'FCDB 2017 (full)'!$C:$C,'FCDB 2017 (full)'!$AC:$AC)*$H196/100,0)</f>
        <v>0</v>
      </c>
      <c r="AM196" s="16">
        <f ca="1">IFERROR(_xlfn.XLOOKUP($F196,'FCDB 2017 (full)'!$C:$C,'FCDB 2017 (full)'!$AD:$AD)*$H196/100,0)</f>
        <v>0</v>
      </c>
      <c r="AN196" s="16">
        <f ca="1">IFERROR(_xlfn.XLOOKUP($F196,'FCDB 2017 (full)'!$C:$C,'FCDB 2017 (full)'!$AE:$AE)*$H196/100,0)</f>
        <v>0</v>
      </c>
      <c r="AO196" s="16">
        <f ca="1">IFERROR(_xlfn.XLOOKUP($F196,'FCDB 2017 (full)'!$C:$C,'FCDB 2017 (full)'!$AF:$AF)*$H196/100,0)</f>
        <v>0</v>
      </c>
      <c r="AP196" s="16">
        <f ca="1">IFERROR(_xlfn.XLOOKUP($F196,'FCDB 2017 (full)'!$C:$C,'FCDB 2017 (full)'!$AG:$AG)*$H196/100,0)</f>
        <v>0</v>
      </c>
      <c r="AQ196" s="16">
        <f ca="1">IFERROR(_xlfn.XLOOKUP($F196,'FCDB 2017 (full)'!$C:$C,'FCDB 2017 (full)'!$AH:$AH)*$H196/100,0)</f>
        <v>0</v>
      </c>
      <c r="AR196" s="16">
        <f ca="1">IFERROR(_xlfn.XLOOKUP($F196,'FCDB 2017 (full)'!$C:$C,'FCDB 2017 (full)'!$AI:$AI)*$H196/100,0)</f>
        <v>0</v>
      </c>
      <c r="AS196" s="16">
        <f ca="1">IFERROR(_xlfn.XLOOKUP($F196,'FCDB 2017 (full)'!$C:$C,'FCDB 2017 (full)'!$AJ:$AJ)*$H196/100,0)</f>
        <v>0</v>
      </c>
      <c r="AT196" s="16">
        <f ca="1">IFERROR(_xlfn.XLOOKUP($F196,'FCDB 2017 (full)'!$C:$C,'FCDB 2017 (full)'!$AK:$AK)*$H196/100,0)</f>
        <v>0</v>
      </c>
      <c r="AU196" s="16">
        <f ca="1">IFERROR(_xlfn.XLOOKUP($F196,'FCDB 2017 (full)'!$C:$C,'FCDB 2017 (full)'!$AK:$AK)*$H196/100,0)</f>
        <v>0</v>
      </c>
      <c r="AV196" s="16">
        <f ca="1">IFERROR(_xlfn.XLOOKUP($F196,'FCDB 2017 (full)'!$C:$C,'FCDB 2017 (full)'!$AM:$AM)*$H196/100,0)</f>
        <v>0</v>
      </c>
      <c r="AW196" s="16">
        <f ca="1">IFERROR(_xlfn.XLOOKUP($F196,'FCDB 2017 (full)'!$C:$C,'FCDB 2017 (full)'!$AN:$AN)*$H196/100,0)</f>
        <v>0</v>
      </c>
      <c r="AX196" s="16">
        <f ca="1">IFERROR(_xlfn.XLOOKUP($F196,'FCDB 2017 (full)'!$C:$C,'FCDB 2017 (full)'!$AO:$AO)*$H196/100,0)</f>
        <v>0</v>
      </c>
      <c r="AY196" s="16">
        <f ca="1">IFERROR(_xlfn.XLOOKUP($F196,'FCDB 2017 (full)'!$C:$C,'FCDB 2017 (full)'!$AP:$AP)*$H196/100,0)</f>
        <v>0</v>
      </c>
      <c r="AZ196" s="16">
        <f ca="1">IFERROR(_xlfn.XLOOKUP($F196,'FCDB 2017 (full)'!$C:$C,'FCDB 2017 (full)'!$AQ:$AQ)*$H196/100,0)</f>
        <v>0</v>
      </c>
      <c r="BA196" s="16">
        <f ca="1">IFERROR(_xlfn.XLOOKUP($F196,'FCDB 2017 (full)'!$C:$C,'FCDB 2017 (full)'!$AR:$AR)*$H196/100,0)</f>
        <v>0</v>
      </c>
      <c r="BB196" s="16">
        <f ca="1">IFERROR(_xlfn.XLOOKUP($F196,'FCDB 2017 (full)'!$C:$C,'FCDB 2017 (full)'!$AS:$AS)*$H196/100,0)</f>
        <v>0</v>
      </c>
      <c r="BC196" s="16">
        <f ca="1">IFERROR(_xlfn.XLOOKUP($F196,'FCDB 2017 (full)'!$C:$C,'FCDB 2017 (full)'!$AT:$AT)*$H196/100,0)</f>
        <v>0</v>
      </c>
      <c r="BD196" s="16">
        <f ca="1">IFERROR(_xlfn.XLOOKUP($F196,'FCDB 2017 (full)'!$C:$C,'FCDB 2017 (full)'!$AU:$AU)*$H196/100,0)</f>
        <v>0</v>
      </c>
      <c r="BE196" s="16">
        <f ca="1">IFERROR(_xlfn.XLOOKUP($F196,'FCDB 2017 (full)'!$C:$C,'FCDB 2017 (full)'!$AV:$AV)*$H196/100,0)</f>
        <v>0</v>
      </c>
      <c r="BF196" s="16">
        <f ca="1">IFERROR(_xlfn.XLOOKUP($F196,'FCDB 2017 (full)'!$C:$C,'FCDB 2017 (full)'!$AW:$AW)*$H196/100,0)</f>
        <v>0</v>
      </c>
      <c r="BG196" s="16">
        <f ca="1">IFERROR(_xlfn.XLOOKUP($F196,'FCDB 2017 (full)'!$C:$C,'FCDB 2017 (full)'!$AX:$AX)*$H196/100,0)</f>
        <v>0</v>
      </c>
      <c r="BH196" s="16">
        <f ca="1">IFERROR(_xlfn.XLOOKUP($F196,'FCDB 2017 (full)'!$C:$C,'FCDB 2017 (full)'!$AY:$AY)*$H196/100,0)</f>
        <v>0</v>
      </c>
      <c r="BI196" s="16">
        <f ca="1">IFERROR(_xlfn.XLOOKUP($F196,'FCDB 2017 (full)'!$C:$C,'FCDB 2017 (full)'!$AZ:$AZ)*$H196/100,0)</f>
        <v>0</v>
      </c>
      <c r="BJ196" s="16">
        <f ca="1">IFERROR(_xlfn.XLOOKUP($F196,'FCDB 2017 (full)'!$C:$C,'FCDB 2017 (full)'!$BA:$BA)*$H196/100,0)</f>
        <v>0</v>
      </c>
      <c r="BK196" s="16">
        <f ca="1">IFERROR(_xlfn.XLOOKUP($F196,'FCDB 2017 (full)'!$C:$C,'FCDB 2017 (full)'!$BB:$BB)*$H196/100,0)</f>
        <v>0</v>
      </c>
      <c r="BL196" s="16">
        <f ca="1">IFERROR(_xlfn.XLOOKUP($F196,'FCDB 2017 (full)'!$C:$C,'FCDB 2017 (full)'!$BC:$BC)*$H196/100,0)</f>
        <v>0</v>
      </c>
      <c r="BM196" s="16">
        <f ca="1">IFERROR(_xlfn.XLOOKUP($F196,'FCDB 2017 (full)'!$C:$C,'FCDB 2017 (full)'!$BD:$BD)*$H196/100,0)</f>
        <v>0</v>
      </c>
      <c r="BN196" s="16">
        <f ca="1">IFERROR(_xlfn.XLOOKUP($F196,'FCDB 2017 (full)'!$C:$C,'FCDB 2017 (full)'!$BE:$BE)*$H196/100,0)</f>
        <v>0</v>
      </c>
      <c r="BO196" s="16">
        <f ca="1">IFERROR(_xlfn.XLOOKUP($F196,'FCDB 2017 (full)'!$C:$C,'FCDB 2017 (full)'!$BF:$BF)*$H196/100,0)</f>
        <v>0</v>
      </c>
      <c r="BP196" s="16">
        <f ca="1">IFERROR(_xlfn.XLOOKUP($F196,'FCDB 2017 (full)'!$C:$C,'FCDB 2017 (full)'!$BG:$BG)*$H196/100,0)</f>
        <v>0</v>
      </c>
      <c r="BQ196" s="16">
        <f ca="1">IFERROR(_xlfn.XLOOKUP($F196,'FCDB 2017 (full)'!$C:$C,'FCDB 2017 (full)'!$BH:$BH)*$H196/100,0)</f>
        <v>0</v>
      </c>
      <c r="BR196" s="16">
        <f ca="1">IFERROR(_xlfn.XLOOKUP($F196,'FCDB 2017 (full)'!$C:$C,'FCDB 2017 (full)'!$BI:$BI)*$H196/100,0)</f>
        <v>0</v>
      </c>
      <c r="BS196" s="16">
        <f ca="1">IFERROR(_xlfn.XLOOKUP($F196,'FCDB 2017 (full)'!$C:$C,'FCDB 2017 (full)'!$BJ:$BJ)*$H196/100,0)</f>
        <v>0</v>
      </c>
      <c r="BT196" s="16">
        <f ca="1">IFERROR(_xlfn.XLOOKUP($F196,'FCDB 2017 (full)'!$C:$C,'FCDB 2017 (full)'!$BK:$BK)*$H196/100,0)</f>
        <v>0</v>
      </c>
      <c r="BU196" s="16">
        <f ca="1">IFERROR(_xlfn.XLOOKUP($F196,'FCDB 2017 (full)'!$C:$C,'FCDB 2017 (full)'!$BL:$BL)*$H196/100,0)</f>
        <v>0</v>
      </c>
      <c r="BV196" s="16">
        <f ca="1">IFERROR(_xlfn.XLOOKUP($F196,'FCDB 2017 (full)'!$C:$C,'FCDB 2017 (full)'!$BM:$BM)*$H196/100,0)</f>
        <v>0</v>
      </c>
      <c r="BW196" s="16">
        <f ca="1">IFERROR(_xlfn.XLOOKUP($F196,'FCDB 2017 (full)'!$C:$C,'FCDB 2017 (full)'!$BN:$BN)*$H196/100,0)</f>
        <v>0</v>
      </c>
      <c r="BX196" s="16">
        <f ca="1">IFERROR(_xlfn.XLOOKUP($F196,'FCDB 2017 (full)'!$C:$C,'FCDB 2017 (full)'!$BO:$BO)*$H196/100,0)</f>
        <v>0</v>
      </c>
      <c r="BY196" s="16">
        <f ca="1">IFERROR(_xlfn.XLOOKUP($F196,'FCDB 2017 (full)'!$C:$C,'FCDB 2017 (full)'!$BP:$BP)*$H196/100,0)</f>
        <v>0</v>
      </c>
      <c r="BZ196" s="16">
        <f ca="1">IFERROR(_xlfn.XLOOKUP($F196,'FCDB 2017 (full)'!$C:$C,'FCDB 2017 (full)'!$BQ:$BQ)*$H196/100,0)</f>
        <v>0</v>
      </c>
      <c r="CA196" s="16">
        <f ca="1">IFERROR(_xlfn.XLOOKUP($F196,'FCDB 2017 (full)'!$C:$C,'FCDB 2017 (full)'!$BR:$BR)*$H196/100,0)</f>
        <v>0</v>
      </c>
      <c r="CB196" s="16">
        <f ca="1">IFERROR(_xlfn.XLOOKUP($F196,'FCDB 2017 (full)'!$C:$C,'FCDB 2017 (full)'!$BS:$BS)*$H196/100,0)</f>
        <v>0</v>
      </c>
      <c r="CC196" s="16">
        <f ca="1">IFERROR(_xlfn.XLOOKUP($F196,'FCDB 2017 (full)'!$C:$C,'FCDB 2017 (full)'!$BT:$BT)*$H196/100,0)</f>
        <v>0</v>
      </c>
      <c r="CD196" s="16">
        <f ca="1">IFERROR(_xlfn.XLOOKUP($F196,'FCDB 2017 (full)'!$C:$C,'FCDB 2017 (full)'!$BU:$BU)*$H196/100,0)</f>
        <v>0</v>
      </c>
      <c r="CE196" s="16">
        <f ca="1">IFERROR(_xlfn.XLOOKUP($F196,'FCDB 2017 (full)'!$C:$C,'FCDB 2017 (full)'!$BV:$BV)*$H196/100,0)</f>
        <v>0</v>
      </c>
      <c r="CF196" s="16">
        <f ca="1">IFERROR(_xlfn.XLOOKUP($F196,'FCDB 2017 (full)'!$C:$C,'FCDB 2017 (full)'!$BW:$BW)*$H196/100,0)</f>
        <v>0</v>
      </c>
      <c r="CG196" s="16">
        <f ca="1">IFERROR(_xlfn.XLOOKUP($F196,'FCDB 2017 (full)'!$C:$C,'FCDB 2017 (full)'!$BX:$BX)*$H196/100,0)</f>
        <v>0</v>
      </c>
      <c r="CH196" s="16">
        <f ca="1">IFERROR(_xlfn.XLOOKUP($F196,'FCDB 2017 (full)'!$C:$C,'FCDB 2017 (full)'!$BY:$BY)*$H196/100,0)</f>
        <v>0</v>
      </c>
      <c r="CI196" s="16">
        <f ca="1">IFERROR(_xlfn.XLOOKUP($F196,'FCDB 2017 (full)'!$C:$C,'FCDB 2017 (full)'!$BZ:$BZ)*$H196/100,0)</f>
        <v>0</v>
      </c>
      <c r="CJ196" s="16">
        <f ca="1">IFERROR(_xlfn.XLOOKUP($F196,'FCDB 2017 (full)'!$C:$C,'FCDB 2017 (full)'!$CA:$CA)*$H196/100,0)</f>
        <v>0</v>
      </c>
      <c r="CK196" s="16">
        <f ca="1">IFERROR(_xlfn.XLOOKUP($F196,'FCDB 2017 (full)'!$C:$C,'FCDB 2017 (full)'!$CB:$CB)*$H196/100,0)</f>
        <v>0</v>
      </c>
      <c r="CL196" s="16">
        <f ca="1">IFERROR(_xlfn.XLOOKUP($F196,'FCDB 2017 (full)'!$C:$C,'FCDB 2017 (full)'!$CC:$CC)*$H196/100,0)</f>
        <v>0</v>
      </c>
      <c r="CM196" s="16">
        <f ca="1">IFERROR(_xlfn.XLOOKUP($F196,'FCDB 2017 (full)'!$C:$C,'FCDB 2017 (full)'!$CD:$CD)*$H196/100,0)</f>
        <v>0</v>
      </c>
      <c r="CN196" s="16">
        <f ca="1">IFERROR(_xlfn.XLOOKUP($F196,'FCDB 2017 (full)'!$C:$C,'FCDB 2017 (full)'!$CE:$CE)*$H196/100,0)</f>
        <v>0</v>
      </c>
      <c r="CO196" s="16">
        <f ca="1">IFERROR(_xlfn.XLOOKUP($F196,'FCDB 2017 (full)'!$C:$C,'FCDB 2017 (full)'!$CF:$CF)*$H196/100,0)</f>
        <v>0</v>
      </c>
      <c r="CP196" s="16">
        <f ca="1">IFERROR(_xlfn.XLOOKUP($F196,'FCDB 2017 (full)'!$C:$C,'FCDB 2017 (full)'!$CG:$CG)*$H196/100,0)</f>
        <v>0</v>
      </c>
      <c r="CQ196" s="16">
        <f ca="1">IFERROR(_xlfn.XLOOKUP($F196,'FCDB 2017 (full)'!$C:$C,'FCDB 2017 (full)'!$CH:$CH)*$H196/100,0)</f>
        <v>0</v>
      </c>
      <c r="CR196"/>
      <c r="DA196" s="72" t="s">
        <v>987</v>
      </c>
    </row>
    <row r="197" spans="4:105" ht="16.8">
      <c r="D197"/>
      <c r="E197"/>
      <c r="F197" s="11">
        <f>IFERROR(VLOOKUP($D$182,$D:$AE,13,0),0)</f>
        <v>0</v>
      </c>
      <c r="G197" s="7" cm="1">
        <f t="array" ref="G197">IF(F197=0,0,IF(_xlfn.XLOOKUP(F197,$E$182:$AE$182,$E$183:$AE$183)=0,"Nhập ĐV/TV",_xlfn.XLOOKUP(F197,$E$182:$AE$182,$E$183:$AE$183)))</f>
        <v>0</v>
      </c>
      <c r="H197" s="8" cm="1">
        <f t="array" ref="H197">IFERROR(INDEX($E$184:$AE$184,MATCH(F197,$E$182:$AE$182,0)),0)</f>
        <v>0</v>
      </c>
      <c r="I197" s="9">
        <f ca="1">IFERROR(_xlfn.XLOOKUP($F197,'FCDB 2017 (full)'!$C:$C,'FCDB 2017 (full)'!$E:$E),0)</f>
        <v>0</v>
      </c>
      <c r="J197" s="10">
        <f t="shared" ca="1" si="39"/>
        <v>0</v>
      </c>
      <c r="K197" s="9">
        <f ca="1">IFERROR(_xlfn.XLOOKUP($F197,'FCDB 2017 (full)'!$C:$C,'FCDB 2017 (full)'!$G:$G),0)</f>
        <v>0</v>
      </c>
      <c r="L197" s="13">
        <f t="shared" si="40"/>
        <v>0</v>
      </c>
      <c r="M197" s="13">
        <f t="shared" si="41"/>
        <v>0</v>
      </c>
      <c r="N197" s="9">
        <f ca="1">IFERROR(_xlfn.XLOOKUP($F197,'FCDB 2017 (full)'!$C:$C,'FCDB 2017 (full)'!$H:$H),0)</f>
        <v>0</v>
      </c>
      <c r="O197" s="14">
        <f t="shared" si="42"/>
        <v>0</v>
      </c>
      <c r="P197" s="14">
        <f t="shared" si="43"/>
        <v>0</v>
      </c>
      <c r="Q197" s="9">
        <f ca="1">IFERROR(_xlfn.XLOOKUP($F197,'FCDB 2017 (full)'!$C:$C,'FCDB 2017 (full)'!$I:$I),0)</f>
        <v>0</v>
      </c>
      <c r="R197" s="15">
        <f t="shared" ca="1" si="44"/>
        <v>0</v>
      </c>
      <c r="S197" s="16">
        <f ca="1">IFERROR(_xlfn.XLOOKUP($F197,'FCDB 2017 (full)'!$C:$C,'FCDB 2017 (full)'!$J:$J)*$H197/100,0)</f>
        <v>0</v>
      </c>
      <c r="T197" s="16">
        <f ca="1">IFERROR(_xlfn.XLOOKUP($F197,'FCDB 2017 (full)'!$C:$C,'FCDB 2017 (full)'!$K:$K)*$H197/100,0)</f>
        <v>0</v>
      </c>
      <c r="U197" s="16">
        <f ca="1">IFERROR(_xlfn.XLOOKUP($F197,'FCDB 2017 (full)'!$C:$C,'FCDB 2017 (full)'!$L:$L)*$H197/100,0)</f>
        <v>0</v>
      </c>
      <c r="V197" s="16">
        <f ca="1">IFERROR(_xlfn.XLOOKUP($F197,'FCDB 2017 (full)'!$C:$C,'FCDB 2017 (full)'!$M:$M)*$H197/100,0)</f>
        <v>0</v>
      </c>
      <c r="W197" s="16">
        <f ca="1">IFERROR(_xlfn.XLOOKUP($F197,'FCDB 2017 (full)'!$C:$C,'FCDB 2017 (full)'!$N:$N)*$H197/100,0)</f>
        <v>0</v>
      </c>
      <c r="X197" s="16">
        <f ca="1">IFERROR(_xlfn.XLOOKUP($F197,'FCDB 2017 (full)'!$C:$C,'FCDB 2017 (full)'!$O:$O)*$H197/100,0)</f>
        <v>0</v>
      </c>
      <c r="Y197" s="16">
        <f ca="1">IFERROR(_xlfn.XLOOKUP($F197,'FCDB 2017 (full)'!$C:$C,'FCDB 2017 (full)'!$P:$P)*$H197/100,0)</f>
        <v>0</v>
      </c>
      <c r="Z197" s="16">
        <f ca="1">IFERROR(_xlfn.XLOOKUP($F197,'FCDB 2017 (full)'!$C:$C,'FCDB 2017 (full)'!$Q:$Q)*$H197/100,0)</f>
        <v>0</v>
      </c>
      <c r="AA197" s="16">
        <f ca="1">IFERROR(_xlfn.XLOOKUP($F197,'FCDB 2017 (full)'!$C:$C,'FCDB 2017 (full)'!$R:$R)*$H197/100,0)</f>
        <v>0</v>
      </c>
      <c r="AB197" s="16">
        <f ca="1">IFERROR(_xlfn.XLOOKUP($F197,'FCDB 2017 (full)'!$C:$C,'FCDB 2017 (full)'!$S:$S)*$H197/100,0)</f>
        <v>0</v>
      </c>
      <c r="AC197" s="16">
        <f ca="1">IFERROR(_xlfn.XLOOKUP($F197,'FCDB 2017 (full)'!$C:$C,'FCDB 2017 (full)'!$T:$T)*$H197/100,0)</f>
        <v>0</v>
      </c>
      <c r="AD197" s="16">
        <f ca="1">IFERROR(_xlfn.XLOOKUP($F197,'FCDB 2017 (full)'!$C:$C,'FCDB 2017 (full)'!$U:$U)*$H197/100,0)</f>
        <v>0</v>
      </c>
      <c r="AE197" s="16">
        <f ca="1">IFERROR(_xlfn.XLOOKUP($F197,'FCDB 2017 (full)'!$C:$C,'FCDB 2017 (full)'!$V:$V)*$H197/100,0)</f>
        <v>0</v>
      </c>
      <c r="AF197" s="16">
        <f ca="1">IFERROR(_xlfn.XLOOKUP($F197,'FCDB 2017 (full)'!$C:$C,'FCDB 2017 (full)'!$W:$W)*$H197/100,0)</f>
        <v>0</v>
      </c>
      <c r="AG197" s="16">
        <f ca="1">IFERROR(_xlfn.XLOOKUP($F197,'FCDB 2017 (full)'!$C:$C,'FCDB 2017 (full)'!$X:$X)*$H197/100,0)</f>
        <v>0</v>
      </c>
      <c r="AH197" s="16">
        <f ca="1">IFERROR(_xlfn.XLOOKUP($F197,'FCDB 2017 (full)'!$C:$C,'FCDB 2017 (full)'!$Y:$Y)*$H197/100,0)</f>
        <v>0</v>
      </c>
      <c r="AI197" s="16">
        <f ca="1">IFERROR(_xlfn.XLOOKUP($F197,'FCDB 2017 (full)'!$C:$C,'FCDB 2017 (full)'!$Z:$Z)*$H197/100,0)</f>
        <v>0</v>
      </c>
      <c r="AJ197" s="16">
        <f ca="1">IFERROR(_xlfn.XLOOKUP($F197,'FCDB 2017 (full)'!$C:$C,'FCDB 2017 (full)'!$AA:$AA)*$H197/100,0)</f>
        <v>0</v>
      </c>
      <c r="AK197" s="16">
        <f ca="1">IFERROR(_xlfn.XLOOKUP($F197,'FCDB 2017 (full)'!$C:$C,'FCDB 2017 (full)'!$AB:$AB)*$H197/100,0)</f>
        <v>0</v>
      </c>
      <c r="AL197" s="16">
        <f ca="1">IFERROR(_xlfn.XLOOKUP($F197,'FCDB 2017 (full)'!$C:$C,'FCDB 2017 (full)'!$AC:$AC)*$H197/100,0)</f>
        <v>0</v>
      </c>
      <c r="AM197" s="16">
        <f ca="1">IFERROR(_xlfn.XLOOKUP($F197,'FCDB 2017 (full)'!$C:$C,'FCDB 2017 (full)'!$AD:$AD)*$H197/100,0)</f>
        <v>0</v>
      </c>
      <c r="AN197" s="16">
        <f ca="1">IFERROR(_xlfn.XLOOKUP($F197,'FCDB 2017 (full)'!$C:$C,'FCDB 2017 (full)'!$AE:$AE)*$H197/100,0)</f>
        <v>0</v>
      </c>
      <c r="AO197" s="16">
        <f ca="1">IFERROR(_xlfn.XLOOKUP($F197,'FCDB 2017 (full)'!$C:$C,'FCDB 2017 (full)'!$AF:$AF)*$H197/100,0)</f>
        <v>0</v>
      </c>
      <c r="AP197" s="16">
        <f ca="1">IFERROR(_xlfn.XLOOKUP($F197,'FCDB 2017 (full)'!$C:$C,'FCDB 2017 (full)'!$AG:$AG)*$H197/100,0)</f>
        <v>0</v>
      </c>
      <c r="AQ197" s="16">
        <f ca="1">IFERROR(_xlfn.XLOOKUP($F197,'FCDB 2017 (full)'!$C:$C,'FCDB 2017 (full)'!$AH:$AH)*$H197/100,0)</f>
        <v>0</v>
      </c>
      <c r="AR197" s="16">
        <f ca="1">IFERROR(_xlfn.XLOOKUP($F197,'FCDB 2017 (full)'!$C:$C,'FCDB 2017 (full)'!$AI:$AI)*$H197/100,0)</f>
        <v>0</v>
      </c>
      <c r="AS197" s="16">
        <f ca="1">IFERROR(_xlfn.XLOOKUP($F197,'FCDB 2017 (full)'!$C:$C,'FCDB 2017 (full)'!$AJ:$AJ)*$H197/100,0)</f>
        <v>0</v>
      </c>
      <c r="AT197" s="16">
        <f ca="1">IFERROR(_xlfn.XLOOKUP($F197,'FCDB 2017 (full)'!$C:$C,'FCDB 2017 (full)'!$AK:$AK)*$H197/100,0)</f>
        <v>0</v>
      </c>
      <c r="AU197" s="16">
        <f ca="1">IFERROR(_xlfn.XLOOKUP($F197,'FCDB 2017 (full)'!$C:$C,'FCDB 2017 (full)'!$AK:$AK)*$H197/100,0)</f>
        <v>0</v>
      </c>
      <c r="AV197" s="16">
        <f ca="1">IFERROR(_xlfn.XLOOKUP($F197,'FCDB 2017 (full)'!$C:$C,'FCDB 2017 (full)'!$AM:$AM)*$H197/100,0)</f>
        <v>0</v>
      </c>
      <c r="AW197" s="16">
        <f ca="1">IFERROR(_xlfn.XLOOKUP($F197,'FCDB 2017 (full)'!$C:$C,'FCDB 2017 (full)'!$AN:$AN)*$H197/100,0)</f>
        <v>0</v>
      </c>
      <c r="AX197" s="16">
        <f ca="1">IFERROR(_xlfn.XLOOKUP($F197,'FCDB 2017 (full)'!$C:$C,'FCDB 2017 (full)'!$AO:$AO)*$H197/100,0)</f>
        <v>0</v>
      </c>
      <c r="AY197" s="16">
        <f ca="1">IFERROR(_xlfn.XLOOKUP($F197,'FCDB 2017 (full)'!$C:$C,'FCDB 2017 (full)'!$AP:$AP)*$H197/100,0)</f>
        <v>0</v>
      </c>
      <c r="AZ197" s="16">
        <f ca="1">IFERROR(_xlfn.XLOOKUP($F197,'FCDB 2017 (full)'!$C:$C,'FCDB 2017 (full)'!$AQ:$AQ)*$H197/100,0)</f>
        <v>0</v>
      </c>
      <c r="BA197" s="16">
        <f ca="1">IFERROR(_xlfn.XLOOKUP($F197,'FCDB 2017 (full)'!$C:$C,'FCDB 2017 (full)'!$AR:$AR)*$H197/100,0)</f>
        <v>0</v>
      </c>
      <c r="BB197" s="16">
        <f ca="1">IFERROR(_xlfn.XLOOKUP($F197,'FCDB 2017 (full)'!$C:$C,'FCDB 2017 (full)'!$AS:$AS)*$H197/100,0)</f>
        <v>0</v>
      </c>
      <c r="BC197" s="16">
        <f ca="1">IFERROR(_xlfn.XLOOKUP($F197,'FCDB 2017 (full)'!$C:$C,'FCDB 2017 (full)'!$AT:$AT)*$H197/100,0)</f>
        <v>0</v>
      </c>
      <c r="BD197" s="16">
        <f ca="1">IFERROR(_xlfn.XLOOKUP($F197,'FCDB 2017 (full)'!$C:$C,'FCDB 2017 (full)'!$AU:$AU)*$H197/100,0)</f>
        <v>0</v>
      </c>
      <c r="BE197" s="16">
        <f ca="1">IFERROR(_xlfn.XLOOKUP($F197,'FCDB 2017 (full)'!$C:$C,'FCDB 2017 (full)'!$AV:$AV)*$H197/100,0)</f>
        <v>0</v>
      </c>
      <c r="BF197" s="16">
        <f ca="1">IFERROR(_xlfn.XLOOKUP($F197,'FCDB 2017 (full)'!$C:$C,'FCDB 2017 (full)'!$AW:$AW)*$H197/100,0)</f>
        <v>0</v>
      </c>
      <c r="BG197" s="16">
        <f ca="1">IFERROR(_xlfn.XLOOKUP($F197,'FCDB 2017 (full)'!$C:$C,'FCDB 2017 (full)'!$AX:$AX)*$H197/100,0)</f>
        <v>0</v>
      </c>
      <c r="BH197" s="16">
        <f ca="1">IFERROR(_xlfn.XLOOKUP($F197,'FCDB 2017 (full)'!$C:$C,'FCDB 2017 (full)'!$AY:$AY)*$H197/100,0)</f>
        <v>0</v>
      </c>
      <c r="BI197" s="16">
        <f ca="1">IFERROR(_xlfn.XLOOKUP($F197,'FCDB 2017 (full)'!$C:$C,'FCDB 2017 (full)'!$AZ:$AZ)*$H197/100,0)</f>
        <v>0</v>
      </c>
      <c r="BJ197" s="16">
        <f ca="1">IFERROR(_xlfn.XLOOKUP($F197,'FCDB 2017 (full)'!$C:$C,'FCDB 2017 (full)'!$BA:$BA)*$H197/100,0)</f>
        <v>0</v>
      </c>
      <c r="BK197" s="16">
        <f ca="1">IFERROR(_xlfn.XLOOKUP($F197,'FCDB 2017 (full)'!$C:$C,'FCDB 2017 (full)'!$BB:$BB)*$H197/100,0)</f>
        <v>0</v>
      </c>
      <c r="BL197" s="16">
        <f ca="1">IFERROR(_xlfn.XLOOKUP($F197,'FCDB 2017 (full)'!$C:$C,'FCDB 2017 (full)'!$BC:$BC)*$H197/100,0)</f>
        <v>0</v>
      </c>
      <c r="BM197" s="16">
        <f ca="1">IFERROR(_xlfn.XLOOKUP($F197,'FCDB 2017 (full)'!$C:$C,'FCDB 2017 (full)'!$BD:$BD)*$H197/100,0)</f>
        <v>0</v>
      </c>
      <c r="BN197" s="16">
        <f ca="1">IFERROR(_xlfn.XLOOKUP($F197,'FCDB 2017 (full)'!$C:$C,'FCDB 2017 (full)'!$BE:$BE)*$H197/100,0)</f>
        <v>0</v>
      </c>
      <c r="BO197" s="16">
        <f ca="1">IFERROR(_xlfn.XLOOKUP($F197,'FCDB 2017 (full)'!$C:$C,'FCDB 2017 (full)'!$BF:$BF)*$H197/100,0)</f>
        <v>0</v>
      </c>
      <c r="BP197" s="16">
        <f ca="1">IFERROR(_xlfn.XLOOKUP($F197,'FCDB 2017 (full)'!$C:$C,'FCDB 2017 (full)'!$BG:$BG)*$H197/100,0)</f>
        <v>0</v>
      </c>
      <c r="BQ197" s="16">
        <f ca="1">IFERROR(_xlfn.XLOOKUP($F197,'FCDB 2017 (full)'!$C:$C,'FCDB 2017 (full)'!$BH:$BH)*$H197/100,0)</f>
        <v>0</v>
      </c>
      <c r="BR197" s="16">
        <f ca="1">IFERROR(_xlfn.XLOOKUP($F197,'FCDB 2017 (full)'!$C:$C,'FCDB 2017 (full)'!$BI:$BI)*$H197/100,0)</f>
        <v>0</v>
      </c>
      <c r="BS197" s="16">
        <f ca="1">IFERROR(_xlfn.XLOOKUP($F197,'FCDB 2017 (full)'!$C:$C,'FCDB 2017 (full)'!$BJ:$BJ)*$H197/100,0)</f>
        <v>0</v>
      </c>
      <c r="BT197" s="16">
        <f ca="1">IFERROR(_xlfn.XLOOKUP($F197,'FCDB 2017 (full)'!$C:$C,'FCDB 2017 (full)'!$BK:$BK)*$H197/100,0)</f>
        <v>0</v>
      </c>
      <c r="BU197" s="16">
        <f ca="1">IFERROR(_xlfn.XLOOKUP($F197,'FCDB 2017 (full)'!$C:$C,'FCDB 2017 (full)'!$BL:$BL)*$H197/100,0)</f>
        <v>0</v>
      </c>
      <c r="BV197" s="16">
        <f ca="1">IFERROR(_xlfn.XLOOKUP($F197,'FCDB 2017 (full)'!$C:$C,'FCDB 2017 (full)'!$BM:$BM)*$H197/100,0)</f>
        <v>0</v>
      </c>
      <c r="BW197" s="16">
        <f ca="1">IFERROR(_xlfn.XLOOKUP($F197,'FCDB 2017 (full)'!$C:$C,'FCDB 2017 (full)'!$BN:$BN)*$H197/100,0)</f>
        <v>0</v>
      </c>
      <c r="BX197" s="16">
        <f ca="1">IFERROR(_xlfn.XLOOKUP($F197,'FCDB 2017 (full)'!$C:$C,'FCDB 2017 (full)'!$BO:$BO)*$H197/100,0)</f>
        <v>0</v>
      </c>
      <c r="BY197" s="16">
        <f ca="1">IFERROR(_xlfn.XLOOKUP($F197,'FCDB 2017 (full)'!$C:$C,'FCDB 2017 (full)'!$BP:$BP)*$H197/100,0)</f>
        <v>0</v>
      </c>
      <c r="BZ197" s="16">
        <f ca="1">IFERROR(_xlfn.XLOOKUP($F197,'FCDB 2017 (full)'!$C:$C,'FCDB 2017 (full)'!$BQ:$BQ)*$H197/100,0)</f>
        <v>0</v>
      </c>
      <c r="CA197" s="16">
        <f ca="1">IFERROR(_xlfn.XLOOKUP($F197,'FCDB 2017 (full)'!$C:$C,'FCDB 2017 (full)'!$BR:$BR)*$H197/100,0)</f>
        <v>0</v>
      </c>
      <c r="CB197" s="16">
        <f ca="1">IFERROR(_xlfn.XLOOKUP($F197,'FCDB 2017 (full)'!$C:$C,'FCDB 2017 (full)'!$BS:$BS)*$H197/100,0)</f>
        <v>0</v>
      </c>
      <c r="CC197" s="16">
        <f ca="1">IFERROR(_xlfn.XLOOKUP($F197,'FCDB 2017 (full)'!$C:$C,'FCDB 2017 (full)'!$BT:$BT)*$H197/100,0)</f>
        <v>0</v>
      </c>
      <c r="CD197" s="16">
        <f ca="1">IFERROR(_xlfn.XLOOKUP($F197,'FCDB 2017 (full)'!$C:$C,'FCDB 2017 (full)'!$BU:$BU)*$H197/100,0)</f>
        <v>0</v>
      </c>
      <c r="CE197" s="16">
        <f ca="1">IFERROR(_xlfn.XLOOKUP($F197,'FCDB 2017 (full)'!$C:$C,'FCDB 2017 (full)'!$BV:$BV)*$H197/100,0)</f>
        <v>0</v>
      </c>
      <c r="CF197" s="16">
        <f ca="1">IFERROR(_xlfn.XLOOKUP($F197,'FCDB 2017 (full)'!$C:$C,'FCDB 2017 (full)'!$BW:$BW)*$H197/100,0)</f>
        <v>0</v>
      </c>
      <c r="CG197" s="16">
        <f ca="1">IFERROR(_xlfn.XLOOKUP($F197,'FCDB 2017 (full)'!$C:$C,'FCDB 2017 (full)'!$BX:$BX)*$H197/100,0)</f>
        <v>0</v>
      </c>
      <c r="CH197" s="16">
        <f ca="1">IFERROR(_xlfn.XLOOKUP($F197,'FCDB 2017 (full)'!$C:$C,'FCDB 2017 (full)'!$BY:$BY)*$H197/100,0)</f>
        <v>0</v>
      </c>
      <c r="CI197" s="16">
        <f ca="1">IFERROR(_xlfn.XLOOKUP($F197,'FCDB 2017 (full)'!$C:$C,'FCDB 2017 (full)'!$BZ:$BZ)*$H197/100,0)</f>
        <v>0</v>
      </c>
      <c r="CJ197" s="16">
        <f ca="1">IFERROR(_xlfn.XLOOKUP($F197,'FCDB 2017 (full)'!$C:$C,'FCDB 2017 (full)'!$CA:$CA)*$H197/100,0)</f>
        <v>0</v>
      </c>
      <c r="CK197" s="16">
        <f ca="1">IFERROR(_xlfn.XLOOKUP($F197,'FCDB 2017 (full)'!$C:$C,'FCDB 2017 (full)'!$CB:$CB)*$H197/100,0)</f>
        <v>0</v>
      </c>
      <c r="CL197" s="16">
        <f ca="1">IFERROR(_xlfn.XLOOKUP($F197,'FCDB 2017 (full)'!$C:$C,'FCDB 2017 (full)'!$CC:$CC)*$H197/100,0)</f>
        <v>0</v>
      </c>
      <c r="CM197" s="16">
        <f ca="1">IFERROR(_xlfn.XLOOKUP($F197,'FCDB 2017 (full)'!$C:$C,'FCDB 2017 (full)'!$CD:$CD)*$H197/100,0)</f>
        <v>0</v>
      </c>
      <c r="CN197" s="16">
        <f ca="1">IFERROR(_xlfn.XLOOKUP($F197,'FCDB 2017 (full)'!$C:$C,'FCDB 2017 (full)'!$CE:$CE)*$H197/100,0)</f>
        <v>0</v>
      </c>
      <c r="CO197" s="16">
        <f ca="1">IFERROR(_xlfn.XLOOKUP($F197,'FCDB 2017 (full)'!$C:$C,'FCDB 2017 (full)'!$CF:$CF)*$H197/100,0)</f>
        <v>0</v>
      </c>
      <c r="CP197" s="16">
        <f ca="1">IFERROR(_xlfn.XLOOKUP($F197,'FCDB 2017 (full)'!$C:$C,'FCDB 2017 (full)'!$CG:$CG)*$H197/100,0)</f>
        <v>0</v>
      </c>
      <c r="CQ197" s="16">
        <f ca="1">IFERROR(_xlfn.XLOOKUP($F197,'FCDB 2017 (full)'!$C:$C,'FCDB 2017 (full)'!$CH:$CH)*$H197/100,0)</f>
        <v>0</v>
      </c>
      <c r="CR197"/>
      <c r="DA197" s="72" t="s">
        <v>987</v>
      </c>
    </row>
    <row r="198" spans="4:105" ht="16.8">
      <c r="D198"/>
      <c r="E198"/>
      <c r="F198" s="11">
        <f>IFERROR(VLOOKUP($D$182,$D:$AE,15,0),0)</f>
        <v>0</v>
      </c>
      <c r="G198" s="7" cm="1">
        <f t="array" ref="G198">IF(F198=0,0,IF(_xlfn.XLOOKUP(F198,$E$182:$AE$182,$E$183:$AE$183)=0,"Nhập ĐV/TV",_xlfn.XLOOKUP(F198,$E$182:$AE$182,$E$183:$AE$183)))</f>
        <v>0</v>
      </c>
      <c r="H198" s="8" cm="1">
        <f t="array" ref="H198">IFERROR(INDEX($E$184:$AE$184,MATCH(F198,$E$182:$AE$182,0)),0)</f>
        <v>0</v>
      </c>
      <c r="I198" s="9">
        <f ca="1">IFERROR(_xlfn.XLOOKUP($F198,'FCDB 2017 (full)'!$C:$C,'FCDB 2017 (full)'!$E:$E),0)</f>
        <v>0</v>
      </c>
      <c r="J198" s="10">
        <f t="shared" ca="1" si="39"/>
        <v>0</v>
      </c>
      <c r="K198" s="9">
        <f ca="1">IFERROR(_xlfn.XLOOKUP($F198,'FCDB 2017 (full)'!$C:$C,'FCDB 2017 (full)'!$G:$G),0)</f>
        <v>0</v>
      </c>
      <c r="L198" s="13">
        <f t="shared" si="40"/>
        <v>0</v>
      </c>
      <c r="M198" s="13">
        <f t="shared" si="41"/>
        <v>0</v>
      </c>
      <c r="N198" s="9">
        <f ca="1">IFERROR(_xlfn.XLOOKUP($F198,'FCDB 2017 (full)'!$C:$C,'FCDB 2017 (full)'!$H:$H),0)</f>
        <v>0</v>
      </c>
      <c r="O198" s="14">
        <f t="shared" si="42"/>
        <v>0</v>
      </c>
      <c r="P198" s="14">
        <f t="shared" si="43"/>
        <v>0</v>
      </c>
      <c r="Q198" s="9">
        <f ca="1">IFERROR(_xlfn.XLOOKUP($F198,'FCDB 2017 (full)'!$C:$C,'FCDB 2017 (full)'!$I:$I),0)</f>
        <v>0</v>
      </c>
      <c r="R198" s="15">
        <f t="shared" ca="1" si="44"/>
        <v>0</v>
      </c>
      <c r="S198" s="16">
        <f ca="1">IFERROR(_xlfn.XLOOKUP($F198,'FCDB 2017 (full)'!$C:$C,'FCDB 2017 (full)'!$J:$J)*$H198/100,0)</f>
        <v>0</v>
      </c>
      <c r="T198" s="16">
        <f ca="1">IFERROR(_xlfn.XLOOKUP($F198,'FCDB 2017 (full)'!$C:$C,'FCDB 2017 (full)'!$K:$K)*$H198/100,0)</f>
        <v>0</v>
      </c>
      <c r="U198" s="16">
        <f ca="1">IFERROR(_xlfn.XLOOKUP($F198,'FCDB 2017 (full)'!$C:$C,'FCDB 2017 (full)'!$L:$L)*$H198/100,0)</f>
        <v>0</v>
      </c>
      <c r="V198" s="16">
        <f ca="1">IFERROR(_xlfn.XLOOKUP($F198,'FCDB 2017 (full)'!$C:$C,'FCDB 2017 (full)'!$M:$M)*$H198/100,0)</f>
        <v>0</v>
      </c>
      <c r="W198" s="16">
        <f ca="1">IFERROR(_xlfn.XLOOKUP($F198,'FCDB 2017 (full)'!$C:$C,'FCDB 2017 (full)'!$N:$N)*$H198/100,0)</f>
        <v>0</v>
      </c>
      <c r="X198" s="16">
        <f ca="1">IFERROR(_xlfn.XLOOKUP($F198,'FCDB 2017 (full)'!$C:$C,'FCDB 2017 (full)'!$O:$O)*$H198/100,0)</f>
        <v>0</v>
      </c>
      <c r="Y198" s="16">
        <f ca="1">IFERROR(_xlfn.XLOOKUP($F198,'FCDB 2017 (full)'!$C:$C,'FCDB 2017 (full)'!$P:$P)*$H198/100,0)</f>
        <v>0</v>
      </c>
      <c r="Z198" s="16">
        <f ca="1">IFERROR(_xlfn.XLOOKUP($F198,'FCDB 2017 (full)'!$C:$C,'FCDB 2017 (full)'!$Q:$Q)*$H198/100,0)</f>
        <v>0</v>
      </c>
      <c r="AA198" s="16">
        <f ca="1">IFERROR(_xlfn.XLOOKUP($F198,'FCDB 2017 (full)'!$C:$C,'FCDB 2017 (full)'!$R:$R)*$H198/100,0)</f>
        <v>0</v>
      </c>
      <c r="AB198" s="16">
        <f ca="1">IFERROR(_xlfn.XLOOKUP($F198,'FCDB 2017 (full)'!$C:$C,'FCDB 2017 (full)'!$S:$S)*$H198/100,0)</f>
        <v>0</v>
      </c>
      <c r="AC198" s="16">
        <f ca="1">IFERROR(_xlfn.XLOOKUP($F198,'FCDB 2017 (full)'!$C:$C,'FCDB 2017 (full)'!$T:$T)*$H198/100,0)</f>
        <v>0</v>
      </c>
      <c r="AD198" s="16">
        <f ca="1">IFERROR(_xlfn.XLOOKUP($F198,'FCDB 2017 (full)'!$C:$C,'FCDB 2017 (full)'!$U:$U)*$H198/100,0)</f>
        <v>0</v>
      </c>
      <c r="AE198" s="16">
        <f ca="1">IFERROR(_xlfn.XLOOKUP($F198,'FCDB 2017 (full)'!$C:$C,'FCDB 2017 (full)'!$V:$V)*$H198/100,0)</f>
        <v>0</v>
      </c>
      <c r="AF198" s="16">
        <f ca="1">IFERROR(_xlfn.XLOOKUP($F198,'FCDB 2017 (full)'!$C:$C,'FCDB 2017 (full)'!$W:$W)*$H198/100,0)</f>
        <v>0</v>
      </c>
      <c r="AG198" s="16">
        <f ca="1">IFERROR(_xlfn.XLOOKUP($F198,'FCDB 2017 (full)'!$C:$C,'FCDB 2017 (full)'!$X:$X)*$H198/100,0)</f>
        <v>0</v>
      </c>
      <c r="AH198" s="16">
        <f ca="1">IFERROR(_xlfn.XLOOKUP($F198,'FCDB 2017 (full)'!$C:$C,'FCDB 2017 (full)'!$Y:$Y)*$H198/100,0)</f>
        <v>0</v>
      </c>
      <c r="AI198" s="16">
        <f ca="1">IFERROR(_xlfn.XLOOKUP($F198,'FCDB 2017 (full)'!$C:$C,'FCDB 2017 (full)'!$Z:$Z)*$H198/100,0)</f>
        <v>0</v>
      </c>
      <c r="AJ198" s="16">
        <f ca="1">IFERROR(_xlfn.XLOOKUP($F198,'FCDB 2017 (full)'!$C:$C,'FCDB 2017 (full)'!$AA:$AA)*$H198/100,0)</f>
        <v>0</v>
      </c>
      <c r="AK198" s="16">
        <f ca="1">IFERROR(_xlfn.XLOOKUP($F198,'FCDB 2017 (full)'!$C:$C,'FCDB 2017 (full)'!$AB:$AB)*$H198/100,0)</f>
        <v>0</v>
      </c>
      <c r="AL198" s="16">
        <f ca="1">IFERROR(_xlfn.XLOOKUP($F198,'FCDB 2017 (full)'!$C:$C,'FCDB 2017 (full)'!$AC:$AC)*$H198/100,0)</f>
        <v>0</v>
      </c>
      <c r="AM198" s="16">
        <f ca="1">IFERROR(_xlfn.XLOOKUP($F198,'FCDB 2017 (full)'!$C:$C,'FCDB 2017 (full)'!$AD:$AD)*$H198/100,0)</f>
        <v>0</v>
      </c>
      <c r="AN198" s="16">
        <f ca="1">IFERROR(_xlfn.XLOOKUP($F198,'FCDB 2017 (full)'!$C:$C,'FCDB 2017 (full)'!$AE:$AE)*$H198/100,0)</f>
        <v>0</v>
      </c>
      <c r="AO198" s="16">
        <f ca="1">IFERROR(_xlfn.XLOOKUP($F198,'FCDB 2017 (full)'!$C:$C,'FCDB 2017 (full)'!$AF:$AF)*$H198/100,0)</f>
        <v>0</v>
      </c>
      <c r="AP198" s="16">
        <f ca="1">IFERROR(_xlfn.XLOOKUP($F198,'FCDB 2017 (full)'!$C:$C,'FCDB 2017 (full)'!$AG:$AG)*$H198/100,0)</f>
        <v>0</v>
      </c>
      <c r="AQ198" s="16">
        <f ca="1">IFERROR(_xlfn.XLOOKUP($F198,'FCDB 2017 (full)'!$C:$C,'FCDB 2017 (full)'!$AH:$AH)*$H198/100,0)</f>
        <v>0</v>
      </c>
      <c r="AR198" s="16">
        <f ca="1">IFERROR(_xlfn.XLOOKUP($F198,'FCDB 2017 (full)'!$C:$C,'FCDB 2017 (full)'!$AI:$AI)*$H198/100,0)</f>
        <v>0</v>
      </c>
      <c r="AS198" s="16">
        <f ca="1">IFERROR(_xlfn.XLOOKUP($F198,'FCDB 2017 (full)'!$C:$C,'FCDB 2017 (full)'!$AJ:$AJ)*$H198/100,0)</f>
        <v>0</v>
      </c>
      <c r="AT198" s="16">
        <f ca="1">IFERROR(_xlfn.XLOOKUP($F198,'FCDB 2017 (full)'!$C:$C,'FCDB 2017 (full)'!$AK:$AK)*$H198/100,0)</f>
        <v>0</v>
      </c>
      <c r="AU198" s="16">
        <f ca="1">IFERROR(_xlfn.XLOOKUP($F198,'FCDB 2017 (full)'!$C:$C,'FCDB 2017 (full)'!$AK:$AK)*$H198/100,0)</f>
        <v>0</v>
      </c>
      <c r="AV198" s="16">
        <f ca="1">IFERROR(_xlfn.XLOOKUP($F198,'FCDB 2017 (full)'!$C:$C,'FCDB 2017 (full)'!$AM:$AM)*$H198/100,0)</f>
        <v>0</v>
      </c>
      <c r="AW198" s="16">
        <f ca="1">IFERROR(_xlfn.XLOOKUP($F198,'FCDB 2017 (full)'!$C:$C,'FCDB 2017 (full)'!$AN:$AN)*$H198/100,0)</f>
        <v>0</v>
      </c>
      <c r="AX198" s="16">
        <f ca="1">IFERROR(_xlfn.XLOOKUP($F198,'FCDB 2017 (full)'!$C:$C,'FCDB 2017 (full)'!$AO:$AO)*$H198/100,0)</f>
        <v>0</v>
      </c>
      <c r="AY198" s="16">
        <f ca="1">IFERROR(_xlfn.XLOOKUP($F198,'FCDB 2017 (full)'!$C:$C,'FCDB 2017 (full)'!$AP:$AP)*$H198/100,0)</f>
        <v>0</v>
      </c>
      <c r="AZ198" s="16">
        <f ca="1">IFERROR(_xlfn.XLOOKUP($F198,'FCDB 2017 (full)'!$C:$C,'FCDB 2017 (full)'!$AQ:$AQ)*$H198/100,0)</f>
        <v>0</v>
      </c>
      <c r="BA198" s="16">
        <f ca="1">IFERROR(_xlfn.XLOOKUP($F198,'FCDB 2017 (full)'!$C:$C,'FCDB 2017 (full)'!$AR:$AR)*$H198/100,0)</f>
        <v>0</v>
      </c>
      <c r="BB198" s="16">
        <f ca="1">IFERROR(_xlfn.XLOOKUP($F198,'FCDB 2017 (full)'!$C:$C,'FCDB 2017 (full)'!$AS:$AS)*$H198/100,0)</f>
        <v>0</v>
      </c>
      <c r="BC198" s="16">
        <f ca="1">IFERROR(_xlfn.XLOOKUP($F198,'FCDB 2017 (full)'!$C:$C,'FCDB 2017 (full)'!$AT:$AT)*$H198/100,0)</f>
        <v>0</v>
      </c>
      <c r="BD198" s="16">
        <f ca="1">IFERROR(_xlfn.XLOOKUP($F198,'FCDB 2017 (full)'!$C:$C,'FCDB 2017 (full)'!$AU:$AU)*$H198/100,0)</f>
        <v>0</v>
      </c>
      <c r="BE198" s="16">
        <f ca="1">IFERROR(_xlfn.XLOOKUP($F198,'FCDB 2017 (full)'!$C:$C,'FCDB 2017 (full)'!$AV:$AV)*$H198/100,0)</f>
        <v>0</v>
      </c>
      <c r="BF198" s="16">
        <f ca="1">IFERROR(_xlfn.XLOOKUP($F198,'FCDB 2017 (full)'!$C:$C,'FCDB 2017 (full)'!$AW:$AW)*$H198/100,0)</f>
        <v>0</v>
      </c>
      <c r="BG198" s="16">
        <f ca="1">IFERROR(_xlfn.XLOOKUP($F198,'FCDB 2017 (full)'!$C:$C,'FCDB 2017 (full)'!$AX:$AX)*$H198/100,0)</f>
        <v>0</v>
      </c>
      <c r="BH198" s="16">
        <f ca="1">IFERROR(_xlfn.XLOOKUP($F198,'FCDB 2017 (full)'!$C:$C,'FCDB 2017 (full)'!$AY:$AY)*$H198/100,0)</f>
        <v>0</v>
      </c>
      <c r="BI198" s="16">
        <f ca="1">IFERROR(_xlfn.XLOOKUP($F198,'FCDB 2017 (full)'!$C:$C,'FCDB 2017 (full)'!$AZ:$AZ)*$H198/100,0)</f>
        <v>0</v>
      </c>
      <c r="BJ198" s="16">
        <f ca="1">IFERROR(_xlfn.XLOOKUP($F198,'FCDB 2017 (full)'!$C:$C,'FCDB 2017 (full)'!$BA:$BA)*$H198/100,0)</f>
        <v>0</v>
      </c>
      <c r="BK198" s="16">
        <f ca="1">IFERROR(_xlfn.XLOOKUP($F198,'FCDB 2017 (full)'!$C:$C,'FCDB 2017 (full)'!$BB:$BB)*$H198/100,0)</f>
        <v>0</v>
      </c>
      <c r="BL198" s="16">
        <f ca="1">IFERROR(_xlfn.XLOOKUP($F198,'FCDB 2017 (full)'!$C:$C,'FCDB 2017 (full)'!$BC:$BC)*$H198/100,0)</f>
        <v>0</v>
      </c>
      <c r="BM198" s="16">
        <f ca="1">IFERROR(_xlfn.XLOOKUP($F198,'FCDB 2017 (full)'!$C:$C,'FCDB 2017 (full)'!$BD:$BD)*$H198/100,0)</f>
        <v>0</v>
      </c>
      <c r="BN198" s="16">
        <f ca="1">IFERROR(_xlfn.XLOOKUP($F198,'FCDB 2017 (full)'!$C:$C,'FCDB 2017 (full)'!$BE:$BE)*$H198/100,0)</f>
        <v>0</v>
      </c>
      <c r="BO198" s="16">
        <f ca="1">IFERROR(_xlfn.XLOOKUP($F198,'FCDB 2017 (full)'!$C:$C,'FCDB 2017 (full)'!$BF:$BF)*$H198/100,0)</f>
        <v>0</v>
      </c>
      <c r="BP198" s="16">
        <f ca="1">IFERROR(_xlfn.XLOOKUP($F198,'FCDB 2017 (full)'!$C:$C,'FCDB 2017 (full)'!$BG:$BG)*$H198/100,0)</f>
        <v>0</v>
      </c>
      <c r="BQ198" s="16">
        <f ca="1">IFERROR(_xlfn.XLOOKUP($F198,'FCDB 2017 (full)'!$C:$C,'FCDB 2017 (full)'!$BH:$BH)*$H198/100,0)</f>
        <v>0</v>
      </c>
      <c r="BR198" s="16">
        <f ca="1">IFERROR(_xlfn.XLOOKUP($F198,'FCDB 2017 (full)'!$C:$C,'FCDB 2017 (full)'!$BI:$BI)*$H198/100,0)</f>
        <v>0</v>
      </c>
      <c r="BS198" s="16">
        <f ca="1">IFERROR(_xlfn.XLOOKUP($F198,'FCDB 2017 (full)'!$C:$C,'FCDB 2017 (full)'!$BJ:$BJ)*$H198/100,0)</f>
        <v>0</v>
      </c>
      <c r="BT198" s="16">
        <f ca="1">IFERROR(_xlfn.XLOOKUP($F198,'FCDB 2017 (full)'!$C:$C,'FCDB 2017 (full)'!$BK:$BK)*$H198/100,0)</f>
        <v>0</v>
      </c>
      <c r="BU198" s="16">
        <f ca="1">IFERROR(_xlfn.XLOOKUP($F198,'FCDB 2017 (full)'!$C:$C,'FCDB 2017 (full)'!$BL:$BL)*$H198/100,0)</f>
        <v>0</v>
      </c>
      <c r="BV198" s="16">
        <f ca="1">IFERROR(_xlfn.XLOOKUP($F198,'FCDB 2017 (full)'!$C:$C,'FCDB 2017 (full)'!$BM:$BM)*$H198/100,0)</f>
        <v>0</v>
      </c>
      <c r="BW198" s="16">
        <f ca="1">IFERROR(_xlfn.XLOOKUP($F198,'FCDB 2017 (full)'!$C:$C,'FCDB 2017 (full)'!$BN:$BN)*$H198/100,0)</f>
        <v>0</v>
      </c>
      <c r="BX198" s="16">
        <f ca="1">IFERROR(_xlfn.XLOOKUP($F198,'FCDB 2017 (full)'!$C:$C,'FCDB 2017 (full)'!$BO:$BO)*$H198/100,0)</f>
        <v>0</v>
      </c>
      <c r="BY198" s="16">
        <f ca="1">IFERROR(_xlfn.XLOOKUP($F198,'FCDB 2017 (full)'!$C:$C,'FCDB 2017 (full)'!$BP:$BP)*$H198/100,0)</f>
        <v>0</v>
      </c>
      <c r="BZ198" s="16">
        <f ca="1">IFERROR(_xlfn.XLOOKUP($F198,'FCDB 2017 (full)'!$C:$C,'FCDB 2017 (full)'!$BQ:$BQ)*$H198/100,0)</f>
        <v>0</v>
      </c>
      <c r="CA198" s="16">
        <f ca="1">IFERROR(_xlfn.XLOOKUP($F198,'FCDB 2017 (full)'!$C:$C,'FCDB 2017 (full)'!$BR:$BR)*$H198/100,0)</f>
        <v>0</v>
      </c>
      <c r="CB198" s="16">
        <f ca="1">IFERROR(_xlfn.XLOOKUP($F198,'FCDB 2017 (full)'!$C:$C,'FCDB 2017 (full)'!$BS:$BS)*$H198/100,0)</f>
        <v>0</v>
      </c>
      <c r="CC198" s="16">
        <f ca="1">IFERROR(_xlfn.XLOOKUP($F198,'FCDB 2017 (full)'!$C:$C,'FCDB 2017 (full)'!$BT:$BT)*$H198/100,0)</f>
        <v>0</v>
      </c>
      <c r="CD198" s="16">
        <f ca="1">IFERROR(_xlfn.XLOOKUP($F198,'FCDB 2017 (full)'!$C:$C,'FCDB 2017 (full)'!$BU:$BU)*$H198/100,0)</f>
        <v>0</v>
      </c>
      <c r="CE198" s="16">
        <f ca="1">IFERROR(_xlfn.XLOOKUP($F198,'FCDB 2017 (full)'!$C:$C,'FCDB 2017 (full)'!$BV:$BV)*$H198/100,0)</f>
        <v>0</v>
      </c>
      <c r="CF198" s="16">
        <f ca="1">IFERROR(_xlfn.XLOOKUP($F198,'FCDB 2017 (full)'!$C:$C,'FCDB 2017 (full)'!$BW:$BW)*$H198/100,0)</f>
        <v>0</v>
      </c>
      <c r="CG198" s="16">
        <f ca="1">IFERROR(_xlfn.XLOOKUP($F198,'FCDB 2017 (full)'!$C:$C,'FCDB 2017 (full)'!$BX:$BX)*$H198/100,0)</f>
        <v>0</v>
      </c>
      <c r="CH198" s="16">
        <f ca="1">IFERROR(_xlfn.XLOOKUP($F198,'FCDB 2017 (full)'!$C:$C,'FCDB 2017 (full)'!$BY:$BY)*$H198/100,0)</f>
        <v>0</v>
      </c>
      <c r="CI198" s="16">
        <f ca="1">IFERROR(_xlfn.XLOOKUP($F198,'FCDB 2017 (full)'!$C:$C,'FCDB 2017 (full)'!$BZ:$BZ)*$H198/100,0)</f>
        <v>0</v>
      </c>
      <c r="CJ198" s="16">
        <f ca="1">IFERROR(_xlfn.XLOOKUP($F198,'FCDB 2017 (full)'!$C:$C,'FCDB 2017 (full)'!$CA:$CA)*$H198/100,0)</f>
        <v>0</v>
      </c>
      <c r="CK198" s="16">
        <f ca="1">IFERROR(_xlfn.XLOOKUP($F198,'FCDB 2017 (full)'!$C:$C,'FCDB 2017 (full)'!$CB:$CB)*$H198/100,0)</f>
        <v>0</v>
      </c>
      <c r="CL198" s="16">
        <f ca="1">IFERROR(_xlfn.XLOOKUP($F198,'FCDB 2017 (full)'!$C:$C,'FCDB 2017 (full)'!$CC:$CC)*$H198/100,0)</f>
        <v>0</v>
      </c>
      <c r="CM198" s="16">
        <f ca="1">IFERROR(_xlfn.XLOOKUP($F198,'FCDB 2017 (full)'!$C:$C,'FCDB 2017 (full)'!$CD:$CD)*$H198/100,0)</f>
        <v>0</v>
      </c>
      <c r="CN198" s="16">
        <f ca="1">IFERROR(_xlfn.XLOOKUP($F198,'FCDB 2017 (full)'!$C:$C,'FCDB 2017 (full)'!$CE:$CE)*$H198/100,0)</f>
        <v>0</v>
      </c>
      <c r="CO198" s="16">
        <f ca="1">IFERROR(_xlfn.XLOOKUP($F198,'FCDB 2017 (full)'!$C:$C,'FCDB 2017 (full)'!$CF:$CF)*$H198/100,0)</f>
        <v>0</v>
      </c>
      <c r="CP198" s="16">
        <f ca="1">IFERROR(_xlfn.XLOOKUP($F198,'FCDB 2017 (full)'!$C:$C,'FCDB 2017 (full)'!$CG:$CG)*$H198/100,0)</f>
        <v>0</v>
      </c>
      <c r="CQ198" s="16">
        <f ca="1">IFERROR(_xlfn.XLOOKUP($F198,'FCDB 2017 (full)'!$C:$C,'FCDB 2017 (full)'!$CH:$CH)*$H198/100,0)</f>
        <v>0</v>
      </c>
      <c r="CR198"/>
      <c r="DA198" s="72" t="s">
        <v>987</v>
      </c>
    </row>
    <row r="199" spans="4:105" ht="16.8">
      <c r="D199"/>
      <c r="E199"/>
      <c r="F199" s="11">
        <f>IFERROR(VLOOKUP($D$182,$D:$AE,16,0),0)</f>
        <v>0</v>
      </c>
      <c r="G199" s="7" cm="1">
        <f t="array" ref="G199">IF(F199=0,0,IF(_xlfn.XLOOKUP(F199,$E$182:$AE$182,$E$183:$AE$183)=0,"Nhập ĐV/TV",_xlfn.XLOOKUP(F199,$E$182:$AE$182,$E$183:$AE$183)))</f>
        <v>0</v>
      </c>
      <c r="H199" s="8" cm="1">
        <f t="array" ref="H199">IFERROR(INDEX($E$184:$AE$184,MATCH(F199,$E$182:$AE$182,0)),0)</f>
        <v>0</v>
      </c>
      <c r="I199" s="9">
        <f ca="1">IFERROR(_xlfn.XLOOKUP($F199,'FCDB 2017 (full)'!$C:$C,'FCDB 2017 (full)'!$E:$E),0)</f>
        <v>0</v>
      </c>
      <c r="J199" s="10">
        <f t="shared" ca="1" si="39"/>
        <v>0</v>
      </c>
      <c r="K199" s="9">
        <f ca="1">IFERROR(_xlfn.XLOOKUP($F199,'FCDB 2017 (full)'!$C:$C,'FCDB 2017 (full)'!$G:$G),0)</f>
        <v>0</v>
      </c>
      <c r="L199" s="13">
        <f t="shared" si="40"/>
        <v>0</v>
      </c>
      <c r="M199" s="13">
        <f t="shared" si="41"/>
        <v>0</v>
      </c>
      <c r="N199" s="9">
        <f ca="1">IFERROR(_xlfn.XLOOKUP($F199,'FCDB 2017 (full)'!$C:$C,'FCDB 2017 (full)'!$H:$H),0)</f>
        <v>0</v>
      </c>
      <c r="O199" s="14">
        <f t="shared" si="42"/>
        <v>0</v>
      </c>
      <c r="P199" s="14">
        <f t="shared" si="43"/>
        <v>0</v>
      </c>
      <c r="Q199" s="9">
        <f ca="1">IFERROR(_xlfn.XLOOKUP($F199,'FCDB 2017 (full)'!$C:$C,'FCDB 2017 (full)'!$I:$I),0)</f>
        <v>0</v>
      </c>
      <c r="R199" s="15">
        <f t="shared" ca="1" si="44"/>
        <v>0</v>
      </c>
      <c r="S199" s="16">
        <f ca="1">IFERROR(_xlfn.XLOOKUP($F199,'FCDB 2017 (full)'!$C:$C,'FCDB 2017 (full)'!$J:$J)*$H199/100,0)</f>
        <v>0</v>
      </c>
      <c r="T199" s="16">
        <f ca="1">IFERROR(_xlfn.XLOOKUP($F199,'FCDB 2017 (full)'!$C:$C,'FCDB 2017 (full)'!$K:$K)*$H199/100,0)</f>
        <v>0</v>
      </c>
      <c r="U199" s="16">
        <f ca="1">IFERROR(_xlfn.XLOOKUP($F199,'FCDB 2017 (full)'!$C:$C,'FCDB 2017 (full)'!$L:$L)*$H199/100,0)</f>
        <v>0</v>
      </c>
      <c r="V199" s="16">
        <f ca="1">IFERROR(_xlfn.XLOOKUP($F199,'FCDB 2017 (full)'!$C:$C,'FCDB 2017 (full)'!$M:$M)*$H199/100,0)</f>
        <v>0</v>
      </c>
      <c r="W199" s="16">
        <f ca="1">IFERROR(_xlfn.XLOOKUP($F199,'FCDB 2017 (full)'!$C:$C,'FCDB 2017 (full)'!$N:$N)*$H199/100,0)</f>
        <v>0</v>
      </c>
      <c r="X199" s="16">
        <f ca="1">IFERROR(_xlfn.XLOOKUP($F199,'FCDB 2017 (full)'!$C:$C,'FCDB 2017 (full)'!$O:$O)*$H199/100,0)</f>
        <v>0</v>
      </c>
      <c r="Y199" s="16">
        <f ca="1">IFERROR(_xlfn.XLOOKUP($F199,'FCDB 2017 (full)'!$C:$C,'FCDB 2017 (full)'!$P:$P)*$H199/100,0)</f>
        <v>0</v>
      </c>
      <c r="Z199" s="16">
        <f ca="1">IFERROR(_xlfn.XLOOKUP($F199,'FCDB 2017 (full)'!$C:$C,'FCDB 2017 (full)'!$Q:$Q)*$H199/100,0)</f>
        <v>0</v>
      </c>
      <c r="AA199" s="16">
        <f ca="1">IFERROR(_xlfn.XLOOKUP($F199,'FCDB 2017 (full)'!$C:$C,'FCDB 2017 (full)'!$R:$R)*$H199/100,0)</f>
        <v>0</v>
      </c>
      <c r="AB199" s="16">
        <f ca="1">IFERROR(_xlfn.XLOOKUP($F199,'FCDB 2017 (full)'!$C:$C,'FCDB 2017 (full)'!$S:$S)*$H199/100,0)</f>
        <v>0</v>
      </c>
      <c r="AC199" s="16">
        <f ca="1">IFERROR(_xlfn.XLOOKUP($F199,'FCDB 2017 (full)'!$C:$C,'FCDB 2017 (full)'!$T:$T)*$H199/100,0)</f>
        <v>0</v>
      </c>
      <c r="AD199" s="16">
        <f ca="1">IFERROR(_xlfn.XLOOKUP($F199,'FCDB 2017 (full)'!$C:$C,'FCDB 2017 (full)'!$U:$U)*$H199/100,0)</f>
        <v>0</v>
      </c>
      <c r="AE199" s="16">
        <f ca="1">IFERROR(_xlfn.XLOOKUP($F199,'FCDB 2017 (full)'!$C:$C,'FCDB 2017 (full)'!$V:$V)*$H199/100,0)</f>
        <v>0</v>
      </c>
      <c r="AF199" s="16">
        <f ca="1">IFERROR(_xlfn.XLOOKUP($F199,'FCDB 2017 (full)'!$C:$C,'FCDB 2017 (full)'!$W:$W)*$H199/100,0)</f>
        <v>0</v>
      </c>
      <c r="AG199" s="16">
        <f ca="1">IFERROR(_xlfn.XLOOKUP($F199,'FCDB 2017 (full)'!$C:$C,'FCDB 2017 (full)'!$X:$X)*$H199/100,0)</f>
        <v>0</v>
      </c>
      <c r="AH199" s="16">
        <f ca="1">IFERROR(_xlfn.XLOOKUP($F199,'FCDB 2017 (full)'!$C:$C,'FCDB 2017 (full)'!$Y:$Y)*$H199/100,0)</f>
        <v>0</v>
      </c>
      <c r="AI199" s="16">
        <f ca="1">IFERROR(_xlfn.XLOOKUP($F199,'FCDB 2017 (full)'!$C:$C,'FCDB 2017 (full)'!$Z:$Z)*$H199/100,0)</f>
        <v>0</v>
      </c>
      <c r="AJ199" s="16">
        <f ca="1">IFERROR(_xlfn.XLOOKUP($F199,'FCDB 2017 (full)'!$C:$C,'FCDB 2017 (full)'!$AA:$AA)*$H199/100,0)</f>
        <v>0</v>
      </c>
      <c r="AK199" s="16">
        <f ca="1">IFERROR(_xlfn.XLOOKUP($F199,'FCDB 2017 (full)'!$C:$C,'FCDB 2017 (full)'!$AB:$AB)*$H199/100,0)</f>
        <v>0</v>
      </c>
      <c r="AL199" s="16">
        <f ca="1">IFERROR(_xlfn.XLOOKUP($F199,'FCDB 2017 (full)'!$C:$C,'FCDB 2017 (full)'!$AC:$AC)*$H199/100,0)</f>
        <v>0</v>
      </c>
      <c r="AM199" s="16">
        <f ca="1">IFERROR(_xlfn.XLOOKUP($F199,'FCDB 2017 (full)'!$C:$C,'FCDB 2017 (full)'!$AD:$AD)*$H199/100,0)</f>
        <v>0</v>
      </c>
      <c r="AN199" s="16">
        <f ca="1">IFERROR(_xlfn.XLOOKUP($F199,'FCDB 2017 (full)'!$C:$C,'FCDB 2017 (full)'!$AE:$AE)*$H199/100,0)</f>
        <v>0</v>
      </c>
      <c r="AO199" s="16">
        <f ca="1">IFERROR(_xlfn.XLOOKUP($F199,'FCDB 2017 (full)'!$C:$C,'FCDB 2017 (full)'!$AF:$AF)*$H199/100,0)</f>
        <v>0</v>
      </c>
      <c r="AP199" s="16">
        <f ca="1">IFERROR(_xlfn.XLOOKUP($F199,'FCDB 2017 (full)'!$C:$C,'FCDB 2017 (full)'!$AG:$AG)*$H199/100,0)</f>
        <v>0</v>
      </c>
      <c r="AQ199" s="16">
        <f ca="1">IFERROR(_xlfn.XLOOKUP($F199,'FCDB 2017 (full)'!$C:$C,'FCDB 2017 (full)'!$AH:$AH)*$H199/100,0)</f>
        <v>0</v>
      </c>
      <c r="AR199" s="16">
        <f ca="1">IFERROR(_xlfn.XLOOKUP($F199,'FCDB 2017 (full)'!$C:$C,'FCDB 2017 (full)'!$AI:$AI)*$H199/100,0)</f>
        <v>0</v>
      </c>
      <c r="AS199" s="16">
        <f ca="1">IFERROR(_xlfn.XLOOKUP($F199,'FCDB 2017 (full)'!$C:$C,'FCDB 2017 (full)'!$AJ:$AJ)*$H199/100,0)</f>
        <v>0</v>
      </c>
      <c r="AT199" s="16">
        <f ca="1">IFERROR(_xlfn.XLOOKUP($F199,'FCDB 2017 (full)'!$C:$C,'FCDB 2017 (full)'!$AK:$AK)*$H199/100,0)</f>
        <v>0</v>
      </c>
      <c r="AU199" s="16">
        <f ca="1">IFERROR(_xlfn.XLOOKUP($F199,'FCDB 2017 (full)'!$C:$C,'FCDB 2017 (full)'!$AK:$AK)*$H199/100,0)</f>
        <v>0</v>
      </c>
      <c r="AV199" s="16">
        <f ca="1">IFERROR(_xlfn.XLOOKUP($F199,'FCDB 2017 (full)'!$C:$C,'FCDB 2017 (full)'!$AM:$AM)*$H199/100,0)</f>
        <v>0</v>
      </c>
      <c r="AW199" s="16">
        <f ca="1">IFERROR(_xlfn.XLOOKUP($F199,'FCDB 2017 (full)'!$C:$C,'FCDB 2017 (full)'!$AN:$AN)*$H199/100,0)</f>
        <v>0</v>
      </c>
      <c r="AX199" s="16">
        <f ca="1">IFERROR(_xlfn.XLOOKUP($F199,'FCDB 2017 (full)'!$C:$C,'FCDB 2017 (full)'!$AO:$AO)*$H199/100,0)</f>
        <v>0</v>
      </c>
      <c r="AY199" s="16">
        <f ca="1">IFERROR(_xlfn.XLOOKUP($F199,'FCDB 2017 (full)'!$C:$C,'FCDB 2017 (full)'!$AP:$AP)*$H199/100,0)</f>
        <v>0</v>
      </c>
      <c r="AZ199" s="16">
        <f ca="1">IFERROR(_xlfn.XLOOKUP($F199,'FCDB 2017 (full)'!$C:$C,'FCDB 2017 (full)'!$AQ:$AQ)*$H199/100,0)</f>
        <v>0</v>
      </c>
      <c r="BA199" s="16">
        <f ca="1">IFERROR(_xlfn.XLOOKUP($F199,'FCDB 2017 (full)'!$C:$C,'FCDB 2017 (full)'!$AR:$AR)*$H199/100,0)</f>
        <v>0</v>
      </c>
      <c r="BB199" s="16">
        <f ca="1">IFERROR(_xlfn.XLOOKUP($F199,'FCDB 2017 (full)'!$C:$C,'FCDB 2017 (full)'!$AS:$AS)*$H199/100,0)</f>
        <v>0</v>
      </c>
      <c r="BC199" s="16">
        <f ca="1">IFERROR(_xlfn.XLOOKUP($F199,'FCDB 2017 (full)'!$C:$C,'FCDB 2017 (full)'!$AT:$AT)*$H199/100,0)</f>
        <v>0</v>
      </c>
      <c r="BD199" s="16">
        <f ca="1">IFERROR(_xlfn.XLOOKUP($F199,'FCDB 2017 (full)'!$C:$C,'FCDB 2017 (full)'!$AU:$AU)*$H199/100,0)</f>
        <v>0</v>
      </c>
      <c r="BE199" s="16">
        <f ca="1">IFERROR(_xlfn.XLOOKUP($F199,'FCDB 2017 (full)'!$C:$C,'FCDB 2017 (full)'!$AV:$AV)*$H199/100,0)</f>
        <v>0</v>
      </c>
      <c r="BF199" s="16">
        <f ca="1">IFERROR(_xlfn.XLOOKUP($F199,'FCDB 2017 (full)'!$C:$C,'FCDB 2017 (full)'!$AW:$AW)*$H199/100,0)</f>
        <v>0</v>
      </c>
      <c r="BG199" s="16">
        <f ca="1">IFERROR(_xlfn.XLOOKUP($F199,'FCDB 2017 (full)'!$C:$C,'FCDB 2017 (full)'!$AX:$AX)*$H199/100,0)</f>
        <v>0</v>
      </c>
      <c r="BH199" s="16">
        <f ca="1">IFERROR(_xlfn.XLOOKUP($F199,'FCDB 2017 (full)'!$C:$C,'FCDB 2017 (full)'!$AY:$AY)*$H199/100,0)</f>
        <v>0</v>
      </c>
      <c r="BI199" s="16">
        <f ca="1">IFERROR(_xlfn.XLOOKUP($F199,'FCDB 2017 (full)'!$C:$C,'FCDB 2017 (full)'!$AZ:$AZ)*$H199/100,0)</f>
        <v>0</v>
      </c>
      <c r="BJ199" s="16">
        <f ca="1">IFERROR(_xlfn.XLOOKUP($F199,'FCDB 2017 (full)'!$C:$C,'FCDB 2017 (full)'!$BA:$BA)*$H199/100,0)</f>
        <v>0</v>
      </c>
      <c r="BK199" s="16">
        <f ca="1">IFERROR(_xlfn.XLOOKUP($F199,'FCDB 2017 (full)'!$C:$C,'FCDB 2017 (full)'!$BB:$BB)*$H199/100,0)</f>
        <v>0</v>
      </c>
      <c r="BL199" s="16">
        <f ca="1">IFERROR(_xlfn.XLOOKUP($F199,'FCDB 2017 (full)'!$C:$C,'FCDB 2017 (full)'!$BC:$BC)*$H199/100,0)</f>
        <v>0</v>
      </c>
      <c r="BM199" s="16">
        <f ca="1">IFERROR(_xlfn.XLOOKUP($F199,'FCDB 2017 (full)'!$C:$C,'FCDB 2017 (full)'!$BD:$BD)*$H199/100,0)</f>
        <v>0</v>
      </c>
      <c r="BN199" s="16">
        <f ca="1">IFERROR(_xlfn.XLOOKUP($F199,'FCDB 2017 (full)'!$C:$C,'FCDB 2017 (full)'!$BE:$BE)*$H199/100,0)</f>
        <v>0</v>
      </c>
      <c r="BO199" s="16">
        <f ca="1">IFERROR(_xlfn.XLOOKUP($F199,'FCDB 2017 (full)'!$C:$C,'FCDB 2017 (full)'!$BF:$BF)*$H199/100,0)</f>
        <v>0</v>
      </c>
      <c r="BP199" s="16">
        <f ca="1">IFERROR(_xlfn.XLOOKUP($F199,'FCDB 2017 (full)'!$C:$C,'FCDB 2017 (full)'!$BG:$BG)*$H199/100,0)</f>
        <v>0</v>
      </c>
      <c r="BQ199" s="16">
        <f ca="1">IFERROR(_xlfn.XLOOKUP($F199,'FCDB 2017 (full)'!$C:$C,'FCDB 2017 (full)'!$BH:$BH)*$H199/100,0)</f>
        <v>0</v>
      </c>
      <c r="BR199" s="16">
        <f ca="1">IFERROR(_xlfn.XLOOKUP($F199,'FCDB 2017 (full)'!$C:$C,'FCDB 2017 (full)'!$BI:$BI)*$H199/100,0)</f>
        <v>0</v>
      </c>
      <c r="BS199" s="16">
        <f ca="1">IFERROR(_xlfn.XLOOKUP($F199,'FCDB 2017 (full)'!$C:$C,'FCDB 2017 (full)'!$BJ:$BJ)*$H199/100,0)</f>
        <v>0</v>
      </c>
      <c r="BT199" s="16">
        <f ca="1">IFERROR(_xlfn.XLOOKUP($F199,'FCDB 2017 (full)'!$C:$C,'FCDB 2017 (full)'!$BK:$BK)*$H199/100,0)</f>
        <v>0</v>
      </c>
      <c r="BU199" s="16">
        <f ca="1">IFERROR(_xlfn.XLOOKUP($F199,'FCDB 2017 (full)'!$C:$C,'FCDB 2017 (full)'!$BL:$BL)*$H199/100,0)</f>
        <v>0</v>
      </c>
      <c r="BV199" s="16">
        <f ca="1">IFERROR(_xlfn.XLOOKUP($F199,'FCDB 2017 (full)'!$C:$C,'FCDB 2017 (full)'!$BM:$BM)*$H199/100,0)</f>
        <v>0</v>
      </c>
      <c r="BW199" s="16">
        <f ca="1">IFERROR(_xlfn.XLOOKUP($F199,'FCDB 2017 (full)'!$C:$C,'FCDB 2017 (full)'!$BN:$BN)*$H199/100,0)</f>
        <v>0</v>
      </c>
      <c r="BX199" s="16">
        <f ca="1">IFERROR(_xlfn.XLOOKUP($F199,'FCDB 2017 (full)'!$C:$C,'FCDB 2017 (full)'!$BO:$BO)*$H199/100,0)</f>
        <v>0</v>
      </c>
      <c r="BY199" s="16">
        <f ca="1">IFERROR(_xlfn.XLOOKUP($F199,'FCDB 2017 (full)'!$C:$C,'FCDB 2017 (full)'!$BP:$BP)*$H199/100,0)</f>
        <v>0</v>
      </c>
      <c r="BZ199" s="16">
        <f ca="1">IFERROR(_xlfn.XLOOKUP($F199,'FCDB 2017 (full)'!$C:$C,'FCDB 2017 (full)'!$BQ:$BQ)*$H199/100,0)</f>
        <v>0</v>
      </c>
      <c r="CA199" s="16">
        <f ca="1">IFERROR(_xlfn.XLOOKUP($F199,'FCDB 2017 (full)'!$C:$C,'FCDB 2017 (full)'!$BR:$BR)*$H199/100,0)</f>
        <v>0</v>
      </c>
      <c r="CB199" s="16">
        <f ca="1">IFERROR(_xlfn.XLOOKUP($F199,'FCDB 2017 (full)'!$C:$C,'FCDB 2017 (full)'!$BS:$BS)*$H199/100,0)</f>
        <v>0</v>
      </c>
      <c r="CC199" s="16">
        <f ca="1">IFERROR(_xlfn.XLOOKUP($F199,'FCDB 2017 (full)'!$C:$C,'FCDB 2017 (full)'!$BT:$BT)*$H199/100,0)</f>
        <v>0</v>
      </c>
      <c r="CD199" s="16">
        <f ca="1">IFERROR(_xlfn.XLOOKUP($F199,'FCDB 2017 (full)'!$C:$C,'FCDB 2017 (full)'!$BU:$BU)*$H199/100,0)</f>
        <v>0</v>
      </c>
      <c r="CE199" s="16">
        <f ca="1">IFERROR(_xlfn.XLOOKUP($F199,'FCDB 2017 (full)'!$C:$C,'FCDB 2017 (full)'!$BV:$BV)*$H199/100,0)</f>
        <v>0</v>
      </c>
      <c r="CF199" s="16">
        <f ca="1">IFERROR(_xlfn.XLOOKUP($F199,'FCDB 2017 (full)'!$C:$C,'FCDB 2017 (full)'!$BW:$BW)*$H199/100,0)</f>
        <v>0</v>
      </c>
      <c r="CG199" s="16">
        <f ca="1">IFERROR(_xlfn.XLOOKUP($F199,'FCDB 2017 (full)'!$C:$C,'FCDB 2017 (full)'!$BX:$BX)*$H199/100,0)</f>
        <v>0</v>
      </c>
      <c r="CH199" s="16">
        <f ca="1">IFERROR(_xlfn.XLOOKUP($F199,'FCDB 2017 (full)'!$C:$C,'FCDB 2017 (full)'!$BY:$BY)*$H199/100,0)</f>
        <v>0</v>
      </c>
      <c r="CI199" s="16">
        <f ca="1">IFERROR(_xlfn.XLOOKUP($F199,'FCDB 2017 (full)'!$C:$C,'FCDB 2017 (full)'!$BZ:$BZ)*$H199/100,0)</f>
        <v>0</v>
      </c>
      <c r="CJ199" s="16">
        <f ca="1">IFERROR(_xlfn.XLOOKUP($F199,'FCDB 2017 (full)'!$C:$C,'FCDB 2017 (full)'!$CA:$CA)*$H199/100,0)</f>
        <v>0</v>
      </c>
      <c r="CK199" s="16">
        <f ca="1">IFERROR(_xlfn.XLOOKUP($F199,'FCDB 2017 (full)'!$C:$C,'FCDB 2017 (full)'!$CB:$CB)*$H199/100,0)</f>
        <v>0</v>
      </c>
      <c r="CL199" s="16">
        <f ca="1">IFERROR(_xlfn.XLOOKUP($F199,'FCDB 2017 (full)'!$C:$C,'FCDB 2017 (full)'!$CC:$CC)*$H199/100,0)</f>
        <v>0</v>
      </c>
      <c r="CM199" s="16">
        <f ca="1">IFERROR(_xlfn.XLOOKUP($F199,'FCDB 2017 (full)'!$C:$C,'FCDB 2017 (full)'!$CD:$CD)*$H199/100,0)</f>
        <v>0</v>
      </c>
      <c r="CN199" s="16">
        <f ca="1">IFERROR(_xlfn.XLOOKUP($F199,'FCDB 2017 (full)'!$C:$C,'FCDB 2017 (full)'!$CE:$CE)*$H199/100,0)</f>
        <v>0</v>
      </c>
      <c r="CO199" s="16">
        <f ca="1">IFERROR(_xlfn.XLOOKUP($F199,'FCDB 2017 (full)'!$C:$C,'FCDB 2017 (full)'!$CF:$CF)*$H199/100,0)</f>
        <v>0</v>
      </c>
      <c r="CP199" s="16">
        <f ca="1">IFERROR(_xlfn.XLOOKUP($F199,'FCDB 2017 (full)'!$C:$C,'FCDB 2017 (full)'!$CG:$CG)*$H199/100,0)</f>
        <v>0</v>
      </c>
      <c r="CQ199" s="16">
        <f ca="1">IFERROR(_xlfn.XLOOKUP($F199,'FCDB 2017 (full)'!$C:$C,'FCDB 2017 (full)'!$CH:$CH)*$H199/100,0)</f>
        <v>0</v>
      </c>
      <c r="CR199"/>
      <c r="DA199" s="72" t="s">
        <v>987</v>
      </c>
    </row>
    <row r="200" spans="4:105" ht="16.8">
      <c r="D200"/>
      <c r="E200"/>
      <c r="F200" s="11">
        <f>IFERROR(VLOOKUP($D$182,$D:$AE,17,0),0)</f>
        <v>0</v>
      </c>
      <c r="G200" s="7" cm="1">
        <f t="array" ref="G200">IF(F200=0,0,IF(_xlfn.XLOOKUP(F200,$E$182:$AE$182,$E$183:$AE$183)=0,"Nhập ĐV/TV",_xlfn.XLOOKUP(F200,$E$182:$AE$182,$E$183:$AE$183)))</f>
        <v>0</v>
      </c>
      <c r="H200" s="8" cm="1">
        <f t="array" ref="H200">IFERROR(INDEX($E$184:$AE$184,MATCH(F200,$E$182:$AE$182,0)),0)</f>
        <v>0</v>
      </c>
      <c r="I200" s="9">
        <f ca="1">IFERROR(_xlfn.XLOOKUP($F200,'FCDB 2017 (full)'!$C:$C,'FCDB 2017 (full)'!$E:$E),0)</f>
        <v>0</v>
      </c>
      <c r="J200" s="10">
        <f t="shared" ca="1" si="39"/>
        <v>0</v>
      </c>
      <c r="K200" s="9">
        <f ca="1">IFERROR(_xlfn.XLOOKUP($F200,'FCDB 2017 (full)'!$C:$C,'FCDB 2017 (full)'!$G:$G),0)</f>
        <v>0</v>
      </c>
      <c r="L200" s="13">
        <f t="shared" si="40"/>
        <v>0</v>
      </c>
      <c r="M200" s="13">
        <f t="shared" si="41"/>
        <v>0</v>
      </c>
      <c r="N200" s="9">
        <f ca="1">IFERROR(_xlfn.XLOOKUP($F200,'FCDB 2017 (full)'!$C:$C,'FCDB 2017 (full)'!$H:$H),0)</f>
        <v>0</v>
      </c>
      <c r="O200" s="14">
        <f t="shared" si="42"/>
        <v>0</v>
      </c>
      <c r="P200" s="14">
        <f t="shared" si="43"/>
        <v>0</v>
      </c>
      <c r="Q200" s="9">
        <f ca="1">IFERROR(_xlfn.XLOOKUP($F200,'FCDB 2017 (full)'!$C:$C,'FCDB 2017 (full)'!$I:$I),0)</f>
        <v>0</v>
      </c>
      <c r="R200" s="15">
        <f t="shared" ca="1" si="44"/>
        <v>0</v>
      </c>
      <c r="S200" s="16">
        <f ca="1">IFERROR(_xlfn.XLOOKUP($F200,'FCDB 2017 (full)'!$C:$C,'FCDB 2017 (full)'!$J:$J)*$H200/100,0)</f>
        <v>0</v>
      </c>
      <c r="T200" s="16">
        <f ca="1">IFERROR(_xlfn.XLOOKUP($F200,'FCDB 2017 (full)'!$C:$C,'FCDB 2017 (full)'!$K:$K)*$H200/100,0)</f>
        <v>0</v>
      </c>
      <c r="U200" s="16">
        <f ca="1">IFERROR(_xlfn.XLOOKUP($F200,'FCDB 2017 (full)'!$C:$C,'FCDB 2017 (full)'!$L:$L)*$H200/100,0)</f>
        <v>0</v>
      </c>
      <c r="V200" s="16">
        <f ca="1">IFERROR(_xlfn.XLOOKUP($F200,'FCDB 2017 (full)'!$C:$C,'FCDB 2017 (full)'!$M:$M)*$H200/100,0)</f>
        <v>0</v>
      </c>
      <c r="W200" s="16">
        <f ca="1">IFERROR(_xlfn.XLOOKUP($F200,'FCDB 2017 (full)'!$C:$C,'FCDB 2017 (full)'!$N:$N)*$H200/100,0)</f>
        <v>0</v>
      </c>
      <c r="X200" s="16">
        <f ca="1">IFERROR(_xlfn.XLOOKUP($F200,'FCDB 2017 (full)'!$C:$C,'FCDB 2017 (full)'!$O:$O)*$H200/100,0)</f>
        <v>0</v>
      </c>
      <c r="Y200" s="16">
        <f ca="1">IFERROR(_xlfn.XLOOKUP($F200,'FCDB 2017 (full)'!$C:$C,'FCDB 2017 (full)'!$P:$P)*$H200/100,0)</f>
        <v>0</v>
      </c>
      <c r="Z200" s="16">
        <f ca="1">IFERROR(_xlfn.XLOOKUP($F200,'FCDB 2017 (full)'!$C:$C,'FCDB 2017 (full)'!$Q:$Q)*$H200/100,0)</f>
        <v>0</v>
      </c>
      <c r="AA200" s="16">
        <f ca="1">IFERROR(_xlfn.XLOOKUP($F200,'FCDB 2017 (full)'!$C:$C,'FCDB 2017 (full)'!$R:$R)*$H200/100,0)</f>
        <v>0</v>
      </c>
      <c r="AB200" s="16">
        <f ca="1">IFERROR(_xlfn.XLOOKUP($F200,'FCDB 2017 (full)'!$C:$C,'FCDB 2017 (full)'!$S:$S)*$H200/100,0)</f>
        <v>0</v>
      </c>
      <c r="AC200" s="16">
        <f ca="1">IFERROR(_xlfn.XLOOKUP($F200,'FCDB 2017 (full)'!$C:$C,'FCDB 2017 (full)'!$T:$T)*$H200/100,0)</f>
        <v>0</v>
      </c>
      <c r="AD200" s="16">
        <f ca="1">IFERROR(_xlfn.XLOOKUP($F200,'FCDB 2017 (full)'!$C:$C,'FCDB 2017 (full)'!$U:$U)*$H200/100,0)</f>
        <v>0</v>
      </c>
      <c r="AE200" s="16">
        <f ca="1">IFERROR(_xlfn.XLOOKUP($F200,'FCDB 2017 (full)'!$C:$C,'FCDB 2017 (full)'!$V:$V)*$H200/100,0)</f>
        <v>0</v>
      </c>
      <c r="AF200" s="16">
        <f ca="1">IFERROR(_xlfn.XLOOKUP($F200,'FCDB 2017 (full)'!$C:$C,'FCDB 2017 (full)'!$W:$W)*$H200/100,0)</f>
        <v>0</v>
      </c>
      <c r="AG200" s="16">
        <f ca="1">IFERROR(_xlfn.XLOOKUP($F200,'FCDB 2017 (full)'!$C:$C,'FCDB 2017 (full)'!$X:$X)*$H200/100,0)</f>
        <v>0</v>
      </c>
      <c r="AH200" s="16">
        <f ca="1">IFERROR(_xlfn.XLOOKUP($F200,'FCDB 2017 (full)'!$C:$C,'FCDB 2017 (full)'!$Y:$Y)*$H200/100,0)</f>
        <v>0</v>
      </c>
      <c r="AI200" s="16">
        <f ca="1">IFERROR(_xlfn.XLOOKUP($F200,'FCDB 2017 (full)'!$C:$C,'FCDB 2017 (full)'!$Z:$Z)*$H200/100,0)</f>
        <v>0</v>
      </c>
      <c r="AJ200" s="16">
        <f ca="1">IFERROR(_xlfn.XLOOKUP($F200,'FCDB 2017 (full)'!$C:$C,'FCDB 2017 (full)'!$AA:$AA)*$H200/100,0)</f>
        <v>0</v>
      </c>
      <c r="AK200" s="16">
        <f ca="1">IFERROR(_xlfn.XLOOKUP($F200,'FCDB 2017 (full)'!$C:$C,'FCDB 2017 (full)'!$AB:$AB)*$H200/100,0)</f>
        <v>0</v>
      </c>
      <c r="AL200" s="16">
        <f ca="1">IFERROR(_xlfn.XLOOKUP($F200,'FCDB 2017 (full)'!$C:$C,'FCDB 2017 (full)'!$AC:$AC)*$H200/100,0)</f>
        <v>0</v>
      </c>
      <c r="AM200" s="16">
        <f ca="1">IFERROR(_xlfn.XLOOKUP($F200,'FCDB 2017 (full)'!$C:$C,'FCDB 2017 (full)'!$AD:$AD)*$H200/100,0)</f>
        <v>0</v>
      </c>
      <c r="AN200" s="16">
        <f ca="1">IFERROR(_xlfn.XLOOKUP($F200,'FCDB 2017 (full)'!$C:$C,'FCDB 2017 (full)'!$AE:$AE)*$H200/100,0)</f>
        <v>0</v>
      </c>
      <c r="AO200" s="16">
        <f ca="1">IFERROR(_xlfn.XLOOKUP($F200,'FCDB 2017 (full)'!$C:$C,'FCDB 2017 (full)'!$AF:$AF)*$H200/100,0)</f>
        <v>0</v>
      </c>
      <c r="AP200" s="16">
        <f ca="1">IFERROR(_xlfn.XLOOKUP($F200,'FCDB 2017 (full)'!$C:$C,'FCDB 2017 (full)'!$AG:$AG)*$H200/100,0)</f>
        <v>0</v>
      </c>
      <c r="AQ200" s="16">
        <f ca="1">IFERROR(_xlfn.XLOOKUP($F200,'FCDB 2017 (full)'!$C:$C,'FCDB 2017 (full)'!$AH:$AH)*$H200/100,0)</f>
        <v>0</v>
      </c>
      <c r="AR200" s="16">
        <f ca="1">IFERROR(_xlfn.XLOOKUP($F200,'FCDB 2017 (full)'!$C:$C,'FCDB 2017 (full)'!$AI:$AI)*$H200/100,0)</f>
        <v>0</v>
      </c>
      <c r="AS200" s="16">
        <f ca="1">IFERROR(_xlfn.XLOOKUP($F200,'FCDB 2017 (full)'!$C:$C,'FCDB 2017 (full)'!$AJ:$AJ)*$H200/100,0)</f>
        <v>0</v>
      </c>
      <c r="AT200" s="16">
        <f ca="1">IFERROR(_xlfn.XLOOKUP($F200,'FCDB 2017 (full)'!$C:$C,'FCDB 2017 (full)'!$AK:$AK)*$H200/100,0)</f>
        <v>0</v>
      </c>
      <c r="AU200" s="16">
        <f ca="1">IFERROR(_xlfn.XLOOKUP($F200,'FCDB 2017 (full)'!$C:$C,'FCDB 2017 (full)'!$AK:$AK)*$H200/100,0)</f>
        <v>0</v>
      </c>
      <c r="AV200" s="16">
        <f ca="1">IFERROR(_xlfn.XLOOKUP($F200,'FCDB 2017 (full)'!$C:$C,'FCDB 2017 (full)'!$AM:$AM)*$H200/100,0)</f>
        <v>0</v>
      </c>
      <c r="AW200" s="16">
        <f ca="1">IFERROR(_xlfn.XLOOKUP($F200,'FCDB 2017 (full)'!$C:$C,'FCDB 2017 (full)'!$AN:$AN)*$H200/100,0)</f>
        <v>0</v>
      </c>
      <c r="AX200" s="16">
        <f ca="1">IFERROR(_xlfn.XLOOKUP($F200,'FCDB 2017 (full)'!$C:$C,'FCDB 2017 (full)'!$AO:$AO)*$H200/100,0)</f>
        <v>0</v>
      </c>
      <c r="AY200" s="16">
        <f ca="1">IFERROR(_xlfn.XLOOKUP($F200,'FCDB 2017 (full)'!$C:$C,'FCDB 2017 (full)'!$AP:$AP)*$H200/100,0)</f>
        <v>0</v>
      </c>
      <c r="AZ200" s="16">
        <f ca="1">IFERROR(_xlfn.XLOOKUP($F200,'FCDB 2017 (full)'!$C:$C,'FCDB 2017 (full)'!$AQ:$AQ)*$H200/100,0)</f>
        <v>0</v>
      </c>
      <c r="BA200" s="16">
        <f ca="1">IFERROR(_xlfn.XLOOKUP($F200,'FCDB 2017 (full)'!$C:$C,'FCDB 2017 (full)'!$AR:$AR)*$H200/100,0)</f>
        <v>0</v>
      </c>
      <c r="BB200" s="16">
        <f ca="1">IFERROR(_xlfn.XLOOKUP($F200,'FCDB 2017 (full)'!$C:$C,'FCDB 2017 (full)'!$AS:$AS)*$H200/100,0)</f>
        <v>0</v>
      </c>
      <c r="BC200" s="16">
        <f ca="1">IFERROR(_xlfn.XLOOKUP($F200,'FCDB 2017 (full)'!$C:$C,'FCDB 2017 (full)'!$AT:$AT)*$H200/100,0)</f>
        <v>0</v>
      </c>
      <c r="BD200" s="16">
        <f ca="1">IFERROR(_xlfn.XLOOKUP($F200,'FCDB 2017 (full)'!$C:$C,'FCDB 2017 (full)'!$AU:$AU)*$H200/100,0)</f>
        <v>0</v>
      </c>
      <c r="BE200" s="16">
        <f ca="1">IFERROR(_xlfn.XLOOKUP($F200,'FCDB 2017 (full)'!$C:$C,'FCDB 2017 (full)'!$AV:$AV)*$H200/100,0)</f>
        <v>0</v>
      </c>
      <c r="BF200" s="16">
        <f ca="1">IFERROR(_xlfn.XLOOKUP($F200,'FCDB 2017 (full)'!$C:$C,'FCDB 2017 (full)'!$AW:$AW)*$H200/100,0)</f>
        <v>0</v>
      </c>
      <c r="BG200" s="16">
        <f ca="1">IFERROR(_xlfn.XLOOKUP($F200,'FCDB 2017 (full)'!$C:$C,'FCDB 2017 (full)'!$AX:$AX)*$H200/100,0)</f>
        <v>0</v>
      </c>
      <c r="BH200" s="16">
        <f ca="1">IFERROR(_xlfn.XLOOKUP($F200,'FCDB 2017 (full)'!$C:$C,'FCDB 2017 (full)'!$AY:$AY)*$H200/100,0)</f>
        <v>0</v>
      </c>
      <c r="BI200" s="16">
        <f ca="1">IFERROR(_xlfn.XLOOKUP($F200,'FCDB 2017 (full)'!$C:$C,'FCDB 2017 (full)'!$AZ:$AZ)*$H200/100,0)</f>
        <v>0</v>
      </c>
      <c r="BJ200" s="16">
        <f ca="1">IFERROR(_xlfn.XLOOKUP($F200,'FCDB 2017 (full)'!$C:$C,'FCDB 2017 (full)'!$BA:$BA)*$H200/100,0)</f>
        <v>0</v>
      </c>
      <c r="BK200" s="16">
        <f ca="1">IFERROR(_xlfn.XLOOKUP($F200,'FCDB 2017 (full)'!$C:$C,'FCDB 2017 (full)'!$BB:$BB)*$H200/100,0)</f>
        <v>0</v>
      </c>
      <c r="BL200" s="16">
        <f ca="1">IFERROR(_xlfn.XLOOKUP($F200,'FCDB 2017 (full)'!$C:$C,'FCDB 2017 (full)'!$BC:$BC)*$H200/100,0)</f>
        <v>0</v>
      </c>
      <c r="BM200" s="16">
        <f ca="1">IFERROR(_xlfn.XLOOKUP($F200,'FCDB 2017 (full)'!$C:$C,'FCDB 2017 (full)'!$BD:$BD)*$H200/100,0)</f>
        <v>0</v>
      </c>
      <c r="BN200" s="16">
        <f ca="1">IFERROR(_xlfn.XLOOKUP($F200,'FCDB 2017 (full)'!$C:$C,'FCDB 2017 (full)'!$BE:$BE)*$H200/100,0)</f>
        <v>0</v>
      </c>
      <c r="BO200" s="16">
        <f ca="1">IFERROR(_xlfn.XLOOKUP($F200,'FCDB 2017 (full)'!$C:$C,'FCDB 2017 (full)'!$BF:$BF)*$H200/100,0)</f>
        <v>0</v>
      </c>
      <c r="BP200" s="16">
        <f ca="1">IFERROR(_xlfn.XLOOKUP($F200,'FCDB 2017 (full)'!$C:$C,'FCDB 2017 (full)'!$BG:$BG)*$H200/100,0)</f>
        <v>0</v>
      </c>
      <c r="BQ200" s="16">
        <f ca="1">IFERROR(_xlfn.XLOOKUP($F200,'FCDB 2017 (full)'!$C:$C,'FCDB 2017 (full)'!$BH:$BH)*$H200/100,0)</f>
        <v>0</v>
      </c>
      <c r="BR200" s="16">
        <f ca="1">IFERROR(_xlfn.XLOOKUP($F200,'FCDB 2017 (full)'!$C:$C,'FCDB 2017 (full)'!$BI:$BI)*$H200/100,0)</f>
        <v>0</v>
      </c>
      <c r="BS200" s="16">
        <f ca="1">IFERROR(_xlfn.XLOOKUP($F200,'FCDB 2017 (full)'!$C:$C,'FCDB 2017 (full)'!$BJ:$BJ)*$H200/100,0)</f>
        <v>0</v>
      </c>
      <c r="BT200" s="16">
        <f ca="1">IFERROR(_xlfn.XLOOKUP($F200,'FCDB 2017 (full)'!$C:$C,'FCDB 2017 (full)'!$BK:$BK)*$H200/100,0)</f>
        <v>0</v>
      </c>
      <c r="BU200" s="16">
        <f ca="1">IFERROR(_xlfn.XLOOKUP($F200,'FCDB 2017 (full)'!$C:$C,'FCDB 2017 (full)'!$BL:$BL)*$H200/100,0)</f>
        <v>0</v>
      </c>
      <c r="BV200" s="16">
        <f ca="1">IFERROR(_xlfn.XLOOKUP($F200,'FCDB 2017 (full)'!$C:$C,'FCDB 2017 (full)'!$BM:$BM)*$H200/100,0)</f>
        <v>0</v>
      </c>
      <c r="BW200" s="16">
        <f ca="1">IFERROR(_xlfn.XLOOKUP($F200,'FCDB 2017 (full)'!$C:$C,'FCDB 2017 (full)'!$BN:$BN)*$H200/100,0)</f>
        <v>0</v>
      </c>
      <c r="BX200" s="16">
        <f ca="1">IFERROR(_xlfn.XLOOKUP($F200,'FCDB 2017 (full)'!$C:$C,'FCDB 2017 (full)'!$BO:$BO)*$H200/100,0)</f>
        <v>0</v>
      </c>
      <c r="BY200" s="16">
        <f ca="1">IFERROR(_xlfn.XLOOKUP($F200,'FCDB 2017 (full)'!$C:$C,'FCDB 2017 (full)'!$BP:$BP)*$H200/100,0)</f>
        <v>0</v>
      </c>
      <c r="BZ200" s="16">
        <f ca="1">IFERROR(_xlfn.XLOOKUP($F200,'FCDB 2017 (full)'!$C:$C,'FCDB 2017 (full)'!$BQ:$BQ)*$H200/100,0)</f>
        <v>0</v>
      </c>
      <c r="CA200" s="16">
        <f ca="1">IFERROR(_xlfn.XLOOKUP($F200,'FCDB 2017 (full)'!$C:$C,'FCDB 2017 (full)'!$BR:$BR)*$H200/100,0)</f>
        <v>0</v>
      </c>
      <c r="CB200" s="16">
        <f ca="1">IFERROR(_xlfn.XLOOKUP($F200,'FCDB 2017 (full)'!$C:$C,'FCDB 2017 (full)'!$BS:$BS)*$H200/100,0)</f>
        <v>0</v>
      </c>
      <c r="CC200" s="16">
        <f ca="1">IFERROR(_xlfn.XLOOKUP($F200,'FCDB 2017 (full)'!$C:$C,'FCDB 2017 (full)'!$BT:$BT)*$H200/100,0)</f>
        <v>0</v>
      </c>
      <c r="CD200" s="16">
        <f ca="1">IFERROR(_xlfn.XLOOKUP($F200,'FCDB 2017 (full)'!$C:$C,'FCDB 2017 (full)'!$BU:$BU)*$H200/100,0)</f>
        <v>0</v>
      </c>
      <c r="CE200" s="16">
        <f ca="1">IFERROR(_xlfn.XLOOKUP($F200,'FCDB 2017 (full)'!$C:$C,'FCDB 2017 (full)'!$BV:$BV)*$H200/100,0)</f>
        <v>0</v>
      </c>
      <c r="CF200" s="16">
        <f ca="1">IFERROR(_xlfn.XLOOKUP($F200,'FCDB 2017 (full)'!$C:$C,'FCDB 2017 (full)'!$BW:$BW)*$H200/100,0)</f>
        <v>0</v>
      </c>
      <c r="CG200" s="16">
        <f ca="1">IFERROR(_xlfn.XLOOKUP($F200,'FCDB 2017 (full)'!$C:$C,'FCDB 2017 (full)'!$BX:$BX)*$H200/100,0)</f>
        <v>0</v>
      </c>
      <c r="CH200" s="16">
        <f ca="1">IFERROR(_xlfn.XLOOKUP($F200,'FCDB 2017 (full)'!$C:$C,'FCDB 2017 (full)'!$BY:$BY)*$H200/100,0)</f>
        <v>0</v>
      </c>
      <c r="CI200" s="16">
        <f ca="1">IFERROR(_xlfn.XLOOKUP($F200,'FCDB 2017 (full)'!$C:$C,'FCDB 2017 (full)'!$BZ:$BZ)*$H200/100,0)</f>
        <v>0</v>
      </c>
      <c r="CJ200" s="16">
        <f ca="1">IFERROR(_xlfn.XLOOKUP($F200,'FCDB 2017 (full)'!$C:$C,'FCDB 2017 (full)'!$CA:$CA)*$H200/100,0)</f>
        <v>0</v>
      </c>
      <c r="CK200" s="16">
        <f ca="1">IFERROR(_xlfn.XLOOKUP($F200,'FCDB 2017 (full)'!$C:$C,'FCDB 2017 (full)'!$CB:$CB)*$H200/100,0)</f>
        <v>0</v>
      </c>
      <c r="CL200" s="16">
        <f ca="1">IFERROR(_xlfn.XLOOKUP($F200,'FCDB 2017 (full)'!$C:$C,'FCDB 2017 (full)'!$CC:$CC)*$H200/100,0)</f>
        <v>0</v>
      </c>
      <c r="CM200" s="16">
        <f ca="1">IFERROR(_xlfn.XLOOKUP($F200,'FCDB 2017 (full)'!$C:$C,'FCDB 2017 (full)'!$CD:$CD)*$H200/100,0)</f>
        <v>0</v>
      </c>
      <c r="CN200" s="16">
        <f ca="1">IFERROR(_xlfn.XLOOKUP($F200,'FCDB 2017 (full)'!$C:$C,'FCDB 2017 (full)'!$CE:$CE)*$H200/100,0)</f>
        <v>0</v>
      </c>
      <c r="CO200" s="16">
        <f ca="1">IFERROR(_xlfn.XLOOKUP($F200,'FCDB 2017 (full)'!$C:$C,'FCDB 2017 (full)'!$CF:$CF)*$H200/100,0)</f>
        <v>0</v>
      </c>
      <c r="CP200" s="16">
        <f ca="1">IFERROR(_xlfn.XLOOKUP($F200,'FCDB 2017 (full)'!$C:$C,'FCDB 2017 (full)'!$CG:$CG)*$H200/100,0)</f>
        <v>0</v>
      </c>
      <c r="CQ200" s="16">
        <f ca="1">IFERROR(_xlfn.XLOOKUP($F200,'FCDB 2017 (full)'!$C:$C,'FCDB 2017 (full)'!$CH:$CH)*$H200/100,0)</f>
        <v>0</v>
      </c>
      <c r="CR200"/>
      <c r="DA200" s="72" t="s">
        <v>987</v>
      </c>
    </row>
    <row r="201" spans="4:105" ht="16.8">
      <c r="D201"/>
      <c r="E201"/>
      <c r="F201" s="11" t="str">
        <f>IFERROR(VLOOKUP($D$182,$D:$AE,18,0),0)</f>
        <v>Thịt lợn nửa nạc, nửa mỡ</v>
      </c>
      <c r="G201" s="7" t="e" cm="1">
        <f t="array" aca="1" ref="G201" ca="1">IF(F201=0,0,IF(_xlfn.XLOOKUP(F201,$E$182:$AE$182,$E$183:$AE$183)=0,"Nhập ĐV/TV",_xlfn.XLOOKUP(F201,$E$182:$AE$182,$E$183:$AE$183)))</f>
        <v>#NAME?</v>
      </c>
      <c r="H201" s="8" cm="1">
        <f t="array" ref="H201">IFERROR(INDEX($E$184:$AE$184,MATCH(F201,$E$182:$AE$182,0)),0)</f>
        <v>25</v>
      </c>
      <c r="I201" s="9">
        <f ca="1">IFERROR(_xlfn.XLOOKUP($F201,'FCDB 2017 (full)'!$C:$C,'FCDB 2017 (full)'!$E:$E),0)</f>
        <v>0</v>
      </c>
      <c r="J201" s="10">
        <f t="shared" ca="1" si="39"/>
        <v>0</v>
      </c>
      <c r="K201" s="9">
        <f ca="1">IFERROR(_xlfn.XLOOKUP($F201,'FCDB 2017 (full)'!$C:$C,'FCDB 2017 (full)'!$G:$G),0)</f>
        <v>0</v>
      </c>
      <c r="L201" s="13" t="e">
        <f t="shared" ca="1" si="40"/>
        <v>#NAME?</v>
      </c>
      <c r="M201" s="13" t="e">
        <f t="shared" ca="1" si="41"/>
        <v>#NAME?</v>
      </c>
      <c r="N201" s="9">
        <f ca="1">IFERROR(_xlfn.XLOOKUP($F201,'FCDB 2017 (full)'!$C:$C,'FCDB 2017 (full)'!$H:$H),0)</f>
        <v>0</v>
      </c>
      <c r="O201" s="14" t="e">
        <f t="shared" ca="1" si="42"/>
        <v>#NAME?</v>
      </c>
      <c r="P201" s="14" t="e">
        <f t="shared" ca="1" si="43"/>
        <v>#NAME?</v>
      </c>
      <c r="Q201" s="9">
        <f ca="1">IFERROR(_xlfn.XLOOKUP($F201,'FCDB 2017 (full)'!$C:$C,'FCDB 2017 (full)'!$I:$I),0)</f>
        <v>0</v>
      </c>
      <c r="R201" s="15">
        <f t="shared" ca="1" si="44"/>
        <v>0</v>
      </c>
      <c r="S201" s="16">
        <f ca="1">IFERROR(_xlfn.XLOOKUP($F201,'FCDB 2017 (full)'!$C:$C,'FCDB 2017 (full)'!$J:$J)*$H201/100,0)</f>
        <v>0</v>
      </c>
      <c r="T201" s="16">
        <f ca="1">IFERROR(_xlfn.XLOOKUP($F201,'FCDB 2017 (full)'!$C:$C,'FCDB 2017 (full)'!$K:$K)*$H201/100,0)</f>
        <v>0</v>
      </c>
      <c r="U201" s="16">
        <f ca="1">IFERROR(_xlfn.XLOOKUP($F201,'FCDB 2017 (full)'!$C:$C,'FCDB 2017 (full)'!$L:$L)*$H201/100,0)</f>
        <v>0</v>
      </c>
      <c r="V201" s="16">
        <f ca="1">IFERROR(_xlfn.XLOOKUP($F201,'FCDB 2017 (full)'!$C:$C,'FCDB 2017 (full)'!$M:$M)*$H201/100,0)</f>
        <v>0</v>
      </c>
      <c r="W201" s="16">
        <f ca="1">IFERROR(_xlfn.XLOOKUP($F201,'FCDB 2017 (full)'!$C:$C,'FCDB 2017 (full)'!$N:$N)*$H201/100,0)</f>
        <v>0</v>
      </c>
      <c r="X201" s="16">
        <f ca="1">IFERROR(_xlfn.XLOOKUP($F201,'FCDB 2017 (full)'!$C:$C,'FCDB 2017 (full)'!$O:$O)*$H201/100,0)</f>
        <v>0</v>
      </c>
      <c r="Y201" s="16">
        <f ca="1">IFERROR(_xlfn.XLOOKUP($F201,'FCDB 2017 (full)'!$C:$C,'FCDB 2017 (full)'!$P:$P)*$H201/100,0)</f>
        <v>0</v>
      </c>
      <c r="Z201" s="16">
        <f ca="1">IFERROR(_xlfn.XLOOKUP($F201,'FCDB 2017 (full)'!$C:$C,'FCDB 2017 (full)'!$Q:$Q)*$H201/100,0)</f>
        <v>0</v>
      </c>
      <c r="AA201" s="16">
        <f ca="1">IFERROR(_xlfn.XLOOKUP($F201,'FCDB 2017 (full)'!$C:$C,'FCDB 2017 (full)'!$R:$R)*$H201/100,0)</f>
        <v>0</v>
      </c>
      <c r="AB201" s="16">
        <f ca="1">IFERROR(_xlfn.XLOOKUP($F201,'FCDB 2017 (full)'!$C:$C,'FCDB 2017 (full)'!$S:$S)*$H201/100,0)</f>
        <v>0</v>
      </c>
      <c r="AC201" s="16">
        <f ca="1">IFERROR(_xlfn.XLOOKUP($F201,'FCDB 2017 (full)'!$C:$C,'FCDB 2017 (full)'!$T:$T)*$H201/100,0)</f>
        <v>0</v>
      </c>
      <c r="AD201" s="16">
        <f ca="1">IFERROR(_xlfn.XLOOKUP($F201,'FCDB 2017 (full)'!$C:$C,'FCDB 2017 (full)'!$U:$U)*$H201/100,0)</f>
        <v>0</v>
      </c>
      <c r="AE201" s="16">
        <f ca="1">IFERROR(_xlfn.XLOOKUP($F201,'FCDB 2017 (full)'!$C:$C,'FCDB 2017 (full)'!$V:$V)*$H201/100,0)</f>
        <v>0</v>
      </c>
      <c r="AF201" s="16">
        <f ca="1">IFERROR(_xlfn.XLOOKUP($F201,'FCDB 2017 (full)'!$C:$C,'FCDB 2017 (full)'!$W:$W)*$H201/100,0)</f>
        <v>0</v>
      </c>
      <c r="AG201" s="16">
        <f ca="1">IFERROR(_xlfn.XLOOKUP($F201,'FCDB 2017 (full)'!$C:$C,'FCDB 2017 (full)'!$X:$X)*$H201/100,0)</f>
        <v>0</v>
      </c>
      <c r="AH201" s="16">
        <f ca="1">IFERROR(_xlfn.XLOOKUP($F201,'FCDB 2017 (full)'!$C:$C,'FCDB 2017 (full)'!$Y:$Y)*$H201/100,0)</f>
        <v>0</v>
      </c>
      <c r="AI201" s="16">
        <f ca="1">IFERROR(_xlfn.XLOOKUP($F201,'FCDB 2017 (full)'!$C:$C,'FCDB 2017 (full)'!$Z:$Z)*$H201/100,0)</f>
        <v>0</v>
      </c>
      <c r="AJ201" s="16">
        <f ca="1">IFERROR(_xlfn.XLOOKUP($F201,'FCDB 2017 (full)'!$C:$C,'FCDB 2017 (full)'!$AA:$AA)*$H201/100,0)</f>
        <v>0</v>
      </c>
      <c r="AK201" s="16">
        <f ca="1">IFERROR(_xlfn.XLOOKUP($F201,'FCDB 2017 (full)'!$C:$C,'FCDB 2017 (full)'!$AB:$AB)*$H201/100,0)</f>
        <v>0</v>
      </c>
      <c r="AL201" s="16">
        <f ca="1">IFERROR(_xlfn.XLOOKUP($F201,'FCDB 2017 (full)'!$C:$C,'FCDB 2017 (full)'!$AC:$AC)*$H201/100,0)</f>
        <v>0</v>
      </c>
      <c r="AM201" s="16">
        <f ca="1">IFERROR(_xlfn.XLOOKUP($F201,'FCDB 2017 (full)'!$C:$C,'FCDB 2017 (full)'!$AD:$AD)*$H201/100,0)</f>
        <v>0</v>
      </c>
      <c r="AN201" s="16">
        <f ca="1">IFERROR(_xlfn.XLOOKUP($F201,'FCDB 2017 (full)'!$C:$C,'FCDB 2017 (full)'!$AE:$AE)*$H201/100,0)</f>
        <v>0</v>
      </c>
      <c r="AO201" s="16">
        <f ca="1">IFERROR(_xlfn.XLOOKUP($F201,'FCDB 2017 (full)'!$C:$C,'FCDB 2017 (full)'!$AF:$AF)*$H201/100,0)</f>
        <v>0</v>
      </c>
      <c r="AP201" s="16">
        <f ca="1">IFERROR(_xlfn.XLOOKUP($F201,'FCDB 2017 (full)'!$C:$C,'FCDB 2017 (full)'!$AG:$AG)*$H201/100,0)</f>
        <v>0</v>
      </c>
      <c r="AQ201" s="16">
        <f ca="1">IFERROR(_xlfn.XLOOKUP($F201,'FCDB 2017 (full)'!$C:$C,'FCDB 2017 (full)'!$AH:$AH)*$H201/100,0)</f>
        <v>0</v>
      </c>
      <c r="AR201" s="16">
        <f ca="1">IFERROR(_xlfn.XLOOKUP($F201,'FCDB 2017 (full)'!$C:$C,'FCDB 2017 (full)'!$AI:$AI)*$H201/100,0)</f>
        <v>0</v>
      </c>
      <c r="AS201" s="16">
        <f ca="1">IFERROR(_xlfn.XLOOKUP($F201,'FCDB 2017 (full)'!$C:$C,'FCDB 2017 (full)'!$AJ:$AJ)*$H201/100,0)</f>
        <v>0</v>
      </c>
      <c r="AT201" s="16">
        <f ca="1">IFERROR(_xlfn.XLOOKUP($F201,'FCDB 2017 (full)'!$C:$C,'FCDB 2017 (full)'!$AK:$AK)*$H201/100,0)</f>
        <v>0</v>
      </c>
      <c r="AU201" s="16">
        <f ca="1">IFERROR(_xlfn.XLOOKUP($F201,'FCDB 2017 (full)'!$C:$C,'FCDB 2017 (full)'!$AK:$AK)*$H201/100,0)</f>
        <v>0</v>
      </c>
      <c r="AV201" s="16">
        <f ca="1">IFERROR(_xlfn.XLOOKUP($F201,'FCDB 2017 (full)'!$C:$C,'FCDB 2017 (full)'!$AM:$AM)*$H201/100,0)</f>
        <v>0</v>
      </c>
      <c r="AW201" s="16">
        <f ca="1">IFERROR(_xlfn.XLOOKUP($F201,'FCDB 2017 (full)'!$C:$C,'FCDB 2017 (full)'!$AN:$AN)*$H201/100,0)</f>
        <v>0</v>
      </c>
      <c r="AX201" s="16">
        <f ca="1">IFERROR(_xlfn.XLOOKUP($F201,'FCDB 2017 (full)'!$C:$C,'FCDB 2017 (full)'!$AO:$AO)*$H201/100,0)</f>
        <v>0</v>
      </c>
      <c r="AY201" s="16">
        <f ca="1">IFERROR(_xlfn.XLOOKUP($F201,'FCDB 2017 (full)'!$C:$C,'FCDB 2017 (full)'!$AP:$AP)*$H201/100,0)</f>
        <v>0</v>
      </c>
      <c r="AZ201" s="16">
        <f ca="1">IFERROR(_xlfn.XLOOKUP($F201,'FCDB 2017 (full)'!$C:$C,'FCDB 2017 (full)'!$AQ:$AQ)*$H201/100,0)</f>
        <v>0</v>
      </c>
      <c r="BA201" s="16">
        <f ca="1">IFERROR(_xlfn.XLOOKUP($F201,'FCDB 2017 (full)'!$C:$C,'FCDB 2017 (full)'!$AR:$AR)*$H201/100,0)</f>
        <v>0</v>
      </c>
      <c r="BB201" s="16">
        <f ca="1">IFERROR(_xlfn.XLOOKUP($F201,'FCDB 2017 (full)'!$C:$C,'FCDB 2017 (full)'!$AS:$AS)*$H201/100,0)</f>
        <v>0</v>
      </c>
      <c r="BC201" s="16">
        <f ca="1">IFERROR(_xlfn.XLOOKUP($F201,'FCDB 2017 (full)'!$C:$C,'FCDB 2017 (full)'!$AT:$AT)*$H201/100,0)</f>
        <v>0</v>
      </c>
      <c r="BD201" s="16">
        <f ca="1">IFERROR(_xlfn.XLOOKUP($F201,'FCDB 2017 (full)'!$C:$C,'FCDB 2017 (full)'!$AU:$AU)*$H201/100,0)</f>
        <v>0</v>
      </c>
      <c r="BE201" s="16">
        <f ca="1">IFERROR(_xlfn.XLOOKUP($F201,'FCDB 2017 (full)'!$C:$C,'FCDB 2017 (full)'!$AV:$AV)*$H201/100,0)</f>
        <v>0</v>
      </c>
      <c r="BF201" s="16">
        <f ca="1">IFERROR(_xlfn.XLOOKUP($F201,'FCDB 2017 (full)'!$C:$C,'FCDB 2017 (full)'!$AW:$AW)*$H201/100,0)</f>
        <v>0</v>
      </c>
      <c r="BG201" s="16">
        <f ca="1">IFERROR(_xlfn.XLOOKUP($F201,'FCDB 2017 (full)'!$C:$C,'FCDB 2017 (full)'!$AX:$AX)*$H201/100,0)</f>
        <v>0</v>
      </c>
      <c r="BH201" s="16">
        <f ca="1">IFERROR(_xlfn.XLOOKUP($F201,'FCDB 2017 (full)'!$C:$C,'FCDB 2017 (full)'!$AY:$AY)*$H201/100,0)</f>
        <v>0</v>
      </c>
      <c r="BI201" s="16">
        <f ca="1">IFERROR(_xlfn.XLOOKUP($F201,'FCDB 2017 (full)'!$C:$C,'FCDB 2017 (full)'!$AZ:$AZ)*$H201/100,0)</f>
        <v>0</v>
      </c>
      <c r="BJ201" s="16">
        <f ca="1">IFERROR(_xlfn.XLOOKUP($F201,'FCDB 2017 (full)'!$C:$C,'FCDB 2017 (full)'!$BA:$BA)*$H201/100,0)</f>
        <v>0</v>
      </c>
      <c r="BK201" s="16">
        <f ca="1">IFERROR(_xlfn.XLOOKUP($F201,'FCDB 2017 (full)'!$C:$C,'FCDB 2017 (full)'!$BB:$BB)*$H201/100,0)</f>
        <v>0</v>
      </c>
      <c r="BL201" s="16">
        <f ca="1">IFERROR(_xlfn.XLOOKUP($F201,'FCDB 2017 (full)'!$C:$C,'FCDB 2017 (full)'!$BC:$BC)*$H201/100,0)</f>
        <v>0</v>
      </c>
      <c r="BM201" s="16">
        <f ca="1">IFERROR(_xlfn.XLOOKUP($F201,'FCDB 2017 (full)'!$C:$C,'FCDB 2017 (full)'!$BD:$BD)*$H201/100,0)</f>
        <v>0</v>
      </c>
      <c r="BN201" s="16">
        <f ca="1">IFERROR(_xlfn.XLOOKUP($F201,'FCDB 2017 (full)'!$C:$C,'FCDB 2017 (full)'!$BE:$BE)*$H201/100,0)</f>
        <v>0</v>
      </c>
      <c r="BO201" s="16">
        <f ca="1">IFERROR(_xlfn.XLOOKUP($F201,'FCDB 2017 (full)'!$C:$C,'FCDB 2017 (full)'!$BF:$BF)*$H201/100,0)</f>
        <v>0</v>
      </c>
      <c r="BP201" s="16">
        <f ca="1">IFERROR(_xlfn.XLOOKUP($F201,'FCDB 2017 (full)'!$C:$C,'FCDB 2017 (full)'!$BG:$BG)*$H201/100,0)</f>
        <v>0</v>
      </c>
      <c r="BQ201" s="16">
        <f ca="1">IFERROR(_xlfn.XLOOKUP($F201,'FCDB 2017 (full)'!$C:$C,'FCDB 2017 (full)'!$BH:$BH)*$H201/100,0)</f>
        <v>0</v>
      </c>
      <c r="BR201" s="16">
        <f ca="1">IFERROR(_xlfn.XLOOKUP($F201,'FCDB 2017 (full)'!$C:$C,'FCDB 2017 (full)'!$BI:$BI)*$H201/100,0)</f>
        <v>0</v>
      </c>
      <c r="BS201" s="16">
        <f ca="1">IFERROR(_xlfn.XLOOKUP($F201,'FCDB 2017 (full)'!$C:$C,'FCDB 2017 (full)'!$BJ:$BJ)*$H201/100,0)</f>
        <v>0</v>
      </c>
      <c r="BT201" s="16">
        <f ca="1">IFERROR(_xlfn.XLOOKUP($F201,'FCDB 2017 (full)'!$C:$C,'FCDB 2017 (full)'!$BK:$BK)*$H201/100,0)</f>
        <v>0</v>
      </c>
      <c r="BU201" s="16">
        <f ca="1">IFERROR(_xlfn.XLOOKUP($F201,'FCDB 2017 (full)'!$C:$C,'FCDB 2017 (full)'!$BL:$BL)*$H201/100,0)</f>
        <v>0</v>
      </c>
      <c r="BV201" s="16">
        <f ca="1">IFERROR(_xlfn.XLOOKUP($F201,'FCDB 2017 (full)'!$C:$C,'FCDB 2017 (full)'!$BM:$BM)*$H201/100,0)</f>
        <v>0</v>
      </c>
      <c r="BW201" s="16">
        <f ca="1">IFERROR(_xlfn.XLOOKUP($F201,'FCDB 2017 (full)'!$C:$C,'FCDB 2017 (full)'!$BN:$BN)*$H201/100,0)</f>
        <v>0</v>
      </c>
      <c r="BX201" s="16">
        <f ca="1">IFERROR(_xlfn.XLOOKUP($F201,'FCDB 2017 (full)'!$C:$C,'FCDB 2017 (full)'!$BO:$BO)*$H201/100,0)</f>
        <v>0</v>
      </c>
      <c r="BY201" s="16">
        <f ca="1">IFERROR(_xlfn.XLOOKUP($F201,'FCDB 2017 (full)'!$C:$C,'FCDB 2017 (full)'!$BP:$BP)*$H201/100,0)</f>
        <v>0</v>
      </c>
      <c r="BZ201" s="16">
        <f ca="1">IFERROR(_xlfn.XLOOKUP($F201,'FCDB 2017 (full)'!$C:$C,'FCDB 2017 (full)'!$BQ:$BQ)*$H201/100,0)</f>
        <v>0</v>
      </c>
      <c r="CA201" s="16">
        <f ca="1">IFERROR(_xlfn.XLOOKUP($F201,'FCDB 2017 (full)'!$C:$C,'FCDB 2017 (full)'!$BR:$BR)*$H201/100,0)</f>
        <v>0</v>
      </c>
      <c r="CB201" s="16">
        <f ca="1">IFERROR(_xlfn.XLOOKUP($F201,'FCDB 2017 (full)'!$C:$C,'FCDB 2017 (full)'!$BS:$BS)*$H201/100,0)</f>
        <v>0</v>
      </c>
      <c r="CC201" s="16">
        <f ca="1">IFERROR(_xlfn.XLOOKUP($F201,'FCDB 2017 (full)'!$C:$C,'FCDB 2017 (full)'!$BT:$BT)*$H201/100,0)</f>
        <v>0</v>
      </c>
      <c r="CD201" s="16">
        <f ca="1">IFERROR(_xlfn.XLOOKUP($F201,'FCDB 2017 (full)'!$C:$C,'FCDB 2017 (full)'!$BU:$BU)*$H201/100,0)</f>
        <v>0</v>
      </c>
      <c r="CE201" s="16">
        <f ca="1">IFERROR(_xlfn.XLOOKUP($F201,'FCDB 2017 (full)'!$C:$C,'FCDB 2017 (full)'!$BV:$BV)*$H201/100,0)</f>
        <v>0</v>
      </c>
      <c r="CF201" s="16">
        <f ca="1">IFERROR(_xlfn.XLOOKUP($F201,'FCDB 2017 (full)'!$C:$C,'FCDB 2017 (full)'!$BW:$BW)*$H201/100,0)</f>
        <v>0</v>
      </c>
      <c r="CG201" s="16">
        <f ca="1">IFERROR(_xlfn.XLOOKUP($F201,'FCDB 2017 (full)'!$C:$C,'FCDB 2017 (full)'!$BX:$BX)*$H201/100,0)</f>
        <v>0</v>
      </c>
      <c r="CH201" s="16">
        <f ca="1">IFERROR(_xlfn.XLOOKUP($F201,'FCDB 2017 (full)'!$C:$C,'FCDB 2017 (full)'!$BY:$BY)*$H201/100,0)</f>
        <v>0</v>
      </c>
      <c r="CI201" s="16">
        <f ca="1">IFERROR(_xlfn.XLOOKUP($F201,'FCDB 2017 (full)'!$C:$C,'FCDB 2017 (full)'!$BZ:$BZ)*$H201/100,0)</f>
        <v>0</v>
      </c>
      <c r="CJ201" s="16">
        <f ca="1">IFERROR(_xlfn.XLOOKUP($F201,'FCDB 2017 (full)'!$C:$C,'FCDB 2017 (full)'!$CA:$CA)*$H201/100,0)</f>
        <v>0</v>
      </c>
      <c r="CK201" s="16">
        <f ca="1">IFERROR(_xlfn.XLOOKUP($F201,'FCDB 2017 (full)'!$C:$C,'FCDB 2017 (full)'!$CB:$CB)*$H201/100,0)</f>
        <v>0</v>
      </c>
      <c r="CL201" s="16">
        <f ca="1">IFERROR(_xlfn.XLOOKUP($F201,'FCDB 2017 (full)'!$C:$C,'FCDB 2017 (full)'!$CC:$CC)*$H201/100,0)</f>
        <v>0</v>
      </c>
      <c r="CM201" s="16">
        <f ca="1">IFERROR(_xlfn.XLOOKUP($F201,'FCDB 2017 (full)'!$C:$C,'FCDB 2017 (full)'!$CD:$CD)*$H201/100,0)</f>
        <v>0</v>
      </c>
      <c r="CN201" s="16">
        <f ca="1">IFERROR(_xlfn.XLOOKUP($F201,'FCDB 2017 (full)'!$C:$C,'FCDB 2017 (full)'!$CE:$CE)*$H201/100,0)</f>
        <v>0</v>
      </c>
      <c r="CO201" s="16">
        <f ca="1">IFERROR(_xlfn.XLOOKUP($F201,'FCDB 2017 (full)'!$C:$C,'FCDB 2017 (full)'!$CF:$CF)*$H201/100,0)</f>
        <v>0</v>
      </c>
      <c r="CP201" s="16">
        <f ca="1">IFERROR(_xlfn.XLOOKUP($F201,'FCDB 2017 (full)'!$C:$C,'FCDB 2017 (full)'!$CG:$CG)*$H201/100,0)</f>
        <v>0</v>
      </c>
      <c r="CQ201" s="16">
        <f ca="1">IFERROR(_xlfn.XLOOKUP($F201,'FCDB 2017 (full)'!$C:$C,'FCDB 2017 (full)'!$CH:$CH)*$H201/100,0)</f>
        <v>0</v>
      </c>
      <c r="CR201"/>
      <c r="DA201" s="72" t="s">
        <v>987</v>
      </c>
    </row>
    <row r="202" spans="4:105">
      <c r="D202" s="29"/>
      <c r="E202" s="29"/>
      <c r="F202" s="11" t="str">
        <f>IFERROR(VLOOKUP($D$182,$D:$AE,19,0),0)</f>
        <v>Trứng chim cút</v>
      </c>
      <c r="G202" s="7" t="e" cm="1">
        <f t="array" aca="1" ref="G202" ca="1">IF(F202=0,0,IF(_xlfn.XLOOKUP(F202,$E$182:$AE$182,$E$183:$AE$183)=0,"Nhập ĐV/TV",_xlfn.XLOOKUP(F202,$E$182:$AE$182,$E$183:$AE$183)))</f>
        <v>#NAME?</v>
      </c>
      <c r="H202" s="8" cm="1">
        <f t="array" ref="H202">IFERROR(INDEX($E$184:$AE$184,MATCH(F202,$E$182:$AE$182,0)),0)</f>
        <v>20</v>
      </c>
      <c r="I202" s="9">
        <f ca="1">IFERROR(_xlfn.XLOOKUP($F202,'FCDB 2017 (full)'!$C:$C,'FCDB 2017 (full)'!$E:$E),0)</f>
        <v>0</v>
      </c>
      <c r="J202" s="10">
        <f t="shared" ca="1" si="39"/>
        <v>0</v>
      </c>
      <c r="K202" s="9">
        <f ca="1">IFERROR(_xlfn.XLOOKUP($F202,'FCDB 2017 (full)'!$C:$C,'FCDB 2017 (full)'!$G:$G),0)</f>
        <v>0</v>
      </c>
      <c r="L202" s="13" t="e">
        <f t="shared" ca="1" si="40"/>
        <v>#NAME?</v>
      </c>
      <c r="M202" s="13" t="e">
        <f t="shared" ca="1" si="41"/>
        <v>#NAME?</v>
      </c>
      <c r="N202" s="9">
        <f ca="1">IFERROR(_xlfn.XLOOKUP($F202,'FCDB 2017 (full)'!$C:$C,'FCDB 2017 (full)'!$H:$H),0)</f>
        <v>0</v>
      </c>
      <c r="O202" s="14" t="e">
        <f t="shared" ca="1" si="42"/>
        <v>#NAME?</v>
      </c>
      <c r="P202" s="14" t="e">
        <f t="shared" ca="1" si="43"/>
        <v>#NAME?</v>
      </c>
      <c r="Q202" s="9">
        <f ca="1">IFERROR(_xlfn.XLOOKUP($F202,'FCDB 2017 (full)'!$C:$C,'FCDB 2017 (full)'!$I:$I),0)</f>
        <v>0</v>
      </c>
      <c r="R202" s="15">
        <f t="shared" ca="1" si="44"/>
        <v>0</v>
      </c>
      <c r="S202" s="16">
        <f ca="1">IFERROR(_xlfn.XLOOKUP($F202,'FCDB 2017 (full)'!$C:$C,'FCDB 2017 (full)'!$J:$J)*$H202/100,0)</f>
        <v>0</v>
      </c>
      <c r="T202" s="16">
        <f ca="1">IFERROR(_xlfn.XLOOKUP($F202,'FCDB 2017 (full)'!$C:$C,'FCDB 2017 (full)'!$K:$K)*$H202/100,0)</f>
        <v>0</v>
      </c>
      <c r="U202" s="16">
        <f ca="1">IFERROR(_xlfn.XLOOKUP($F202,'FCDB 2017 (full)'!$C:$C,'FCDB 2017 (full)'!$L:$L)*$H202/100,0)</f>
        <v>0</v>
      </c>
      <c r="V202" s="16">
        <f ca="1">IFERROR(_xlfn.XLOOKUP($F202,'FCDB 2017 (full)'!$C:$C,'FCDB 2017 (full)'!$M:$M)*$H202/100,0)</f>
        <v>0</v>
      </c>
      <c r="W202" s="16">
        <f ca="1">IFERROR(_xlfn.XLOOKUP($F202,'FCDB 2017 (full)'!$C:$C,'FCDB 2017 (full)'!$N:$N)*$H202/100,0)</f>
        <v>0</v>
      </c>
      <c r="X202" s="16">
        <f ca="1">IFERROR(_xlfn.XLOOKUP($F202,'FCDB 2017 (full)'!$C:$C,'FCDB 2017 (full)'!$O:$O)*$H202/100,0)</f>
        <v>0</v>
      </c>
      <c r="Y202" s="16">
        <f ca="1">IFERROR(_xlfn.XLOOKUP($F202,'FCDB 2017 (full)'!$C:$C,'FCDB 2017 (full)'!$P:$P)*$H202/100,0)</f>
        <v>0</v>
      </c>
      <c r="Z202" s="16">
        <f ca="1">IFERROR(_xlfn.XLOOKUP($F202,'FCDB 2017 (full)'!$C:$C,'FCDB 2017 (full)'!$Q:$Q)*$H202/100,0)</f>
        <v>0</v>
      </c>
      <c r="AA202" s="16">
        <f ca="1">IFERROR(_xlfn.XLOOKUP($F202,'FCDB 2017 (full)'!$C:$C,'FCDB 2017 (full)'!$R:$R)*$H202/100,0)</f>
        <v>0</v>
      </c>
      <c r="AB202" s="16">
        <f ca="1">IFERROR(_xlfn.XLOOKUP($F202,'FCDB 2017 (full)'!$C:$C,'FCDB 2017 (full)'!$S:$S)*$H202/100,0)</f>
        <v>0</v>
      </c>
      <c r="AC202" s="16">
        <f ca="1">IFERROR(_xlfn.XLOOKUP($F202,'FCDB 2017 (full)'!$C:$C,'FCDB 2017 (full)'!$T:$T)*$H202/100,0)</f>
        <v>0</v>
      </c>
      <c r="AD202" s="16">
        <f ca="1">IFERROR(_xlfn.XLOOKUP($F202,'FCDB 2017 (full)'!$C:$C,'FCDB 2017 (full)'!$U:$U)*$H202/100,0)</f>
        <v>0</v>
      </c>
      <c r="AE202" s="16">
        <f ca="1">IFERROR(_xlfn.XLOOKUP($F202,'FCDB 2017 (full)'!$C:$C,'FCDB 2017 (full)'!$V:$V)*$H202/100,0)</f>
        <v>0</v>
      </c>
      <c r="AF202" s="16">
        <f ca="1">IFERROR(_xlfn.XLOOKUP($F202,'FCDB 2017 (full)'!$C:$C,'FCDB 2017 (full)'!$W:$W)*$H202/100,0)</f>
        <v>0</v>
      </c>
      <c r="AG202" s="16">
        <f ca="1">IFERROR(_xlfn.XLOOKUP($F202,'FCDB 2017 (full)'!$C:$C,'FCDB 2017 (full)'!$X:$X)*$H202/100,0)</f>
        <v>0</v>
      </c>
      <c r="AH202" s="16">
        <f ca="1">IFERROR(_xlfn.XLOOKUP($F202,'FCDB 2017 (full)'!$C:$C,'FCDB 2017 (full)'!$Y:$Y)*$H202/100,0)</f>
        <v>0</v>
      </c>
      <c r="AI202" s="16">
        <f ca="1">IFERROR(_xlfn.XLOOKUP($F202,'FCDB 2017 (full)'!$C:$C,'FCDB 2017 (full)'!$Z:$Z)*$H202/100,0)</f>
        <v>0</v>
      </c>
      <c r="AJ202" s="16">
        <f ca="1">IFERROR(_xlfn.XLOOKUP($F202,'FCDB 2017 (full)'!$C:$C,'FCDB 2017 (full)'!$AA:$AA)*$H202/100,0)</f>
        <v>0</v>
      </c>
      <c r="AK202" s="16">
        <f ca="1">IFERROR(_xlfn.XLOOKUP($F202,'FCDB 2017 (full)'!$C:$C,'FCDB 2017 (full)'!$AB:$AB)*$H202/100,0)</f>
        <v>0</v>
      </c>
      <c r="AL202" s="16">
        <f ca="1">IFERROR(_xlfn.XLOOKUP($F202,'FCDB 2017 (full)'!$C:$C,'FCDB 2017 (full)'!$AC:$AC)*$H202/100,0)</f>
        <v>0</v>
      </c>
      <c r="AM202" s="16">
        <f ca="1">IFERROR(_xlfn.XLOOKUP($F202,'FCDB 2017 (full)'!$C:$C,'FCDB 2017 (full)'!$AD:$AD)*$H202/100,0)</f>
        <v>0</v>
      </c>
      <c r="AN202" s="16">
        <f ca="1">IFERROR(_xlfn.XLOOKUP($F202,'FCDB 2017 (full)'!$C:$C,'FCDB 2017 (full)'!$AE:$AE)*$H202/100,0)</f>
        <v>0</v>
      </c>
      <c r="AO202" s="16">
        <f ca="1">IFERROR(_xlfn.XLOOKUP($F202,'FCDB 2017 (full)'!$C:$C,'FCDB 2017 (full)'!$AF:$AF)*$H202/100,0)</f>
        <v>0</v>
      </c>
      <c r="AP202" s="16">
        <f ca="1">IFERROR(_xlfn.XLOOKUP($F202,'FCDB 2017 (full)'!$C:$C,'FCDB 2017 (full)'!$AG:$AG)*$H202/100,0)</f>
        <v>0</v>
      </c>
      <c r="AQ202" s="16">
        <f ca="1">IFERROR(_xlfn.XLOOKUP($F202,'FCDB 2017 (full)'!$C:$C,'FCDB 2017 (full)'!$AH:$AH)*$H202/100,0)</f>
        <v>0</v>
      </c>
      <c r="AR202" s="16">
        <f ca="1">IFERROR(_xlfn.XLOOKUP($F202,'FCDB 2017 (full)'!$C:$C,'FCDB 2017 (full)'!$AI:$AI)*$H202/100,0)</f>
        <v>0</v>
      </c>
      <c r="AS202" s="16">
        <f ca="1">IFERROR(_xlfn.XLOOKUP($F202,'FCDB 2017 (full)'!$C:$C,'FCDB 2017 (full)'!$AJ:$AJ)*$H202/100,0)</f>
        <v>0</v>
      </c>
      <c r="AT202" s="16">
        <f ca="1">IFERROR(_xlfn.XLOOKUP($F202,'FCDB 2017 (full)'!$C:$C,'FCDB 2017 (full)'!$AK:$AK)*$H202/100,0)</f>
        <v>0</v>
      </c>
      <c r="AU202" s="16">
        <f ca="1">IFERROR(_xlfn.XLOOKUP($F202,'FCDB 2017 (full)'!$C:$C,'FCDB 2017 (full)'!$AK:$AK)*$H202/100,0)</f>
        <v>0</v>
      </c>
      <c r="AV202" s="16">
        <f ca="1">IFERROR(_xlfn.XLOOKUP($F202,'FCDB 2017 (full)'!$C:$C,'FCDB 2017 (full)'!$AM:$AM)*$H202/100,0)</f>
        <v>0</v>
      </c>
      <c r="AW202" s="16">
        <f ca="1">IFERROR(_xlfn.XLOOKUP($F202,'FCDB 2017 (full)'!$C:$C,'FCDB 2017 (full)'!$AN:$AN)*$H202/100,0)</f>
        <v>0</v>
      </c>
      <c r="AX202" s="16">
        <f ca="1">IFERROR(_xlfn.XLOOKUP($F202,'FCDB 2017 (full)'!$C:$C,'FCDB 2017 (full)'!$AO:$AO)*$H202/100,0)</f>
        <v>0</v>
      </c>
      <c r="AY202" s="16">
        <f ca="1">IFERROR(_xlfn.XLOOKUP($F202,'FCDB 2017 (full)'!$C:$C,'FCDB 2017 (full)'!$AP:$AP)*$H202/100,0)</f>
        <v>0</v>
      </c>
      <c r="AZ202" s="16">
        <f ca="1">IFERROR(_xlfn.XLOOKUP($F202,'FCDB 2017 (full)'!$C:$C,'FCDB 2017 (full)'!$AQ:$AQ)*$H202/100,0)</f>
        <v>0</v>
      </c>
      <c r="BA202" s="16">
        <f ca="1">IFERROR(_xlfn.XLOOKUP($F202,'FCDB 2017 (full)'!$C:$C,'FCDB 2017 (full)'!$AR:$AR)*$H202/100,0)</f>
        <v>0</v>
      </c>
      <c r="BB202" s="16">
        <f ca="1">IFERROR(_xlfn.XLOOKUP($F202,'FCDB 2017 (full)'!$C:$C,'FCDB 2017 (full)'!$AS:$AS)*$H202/100,0)</f>
        <v>0</v>
      </c>
      <c r="BC202" s="16">
        <f ca="1">IFERROR(_xlfn.XLOOKUP($F202,'FCDB 2017 (full)'!$C:$C,'FCDB 2017 (full)'!$AT:$AT)*$H202/100,0)</f>
        <v>0</v>
      </c>
      <c r="BD202" s="16">
        <f ca="1">IFERROR(_xlfn.XLOOKUP($F202,'FCDB 2017 (full)'!$C:$C,'FCDB 2017 (full)'!$AU:$AU)*$H202/100,0)</f>
        <v>0</v>
      </c>
      <c r="BE202" s="16">
        <f ca="1">IFERROR(_xlfn.XLOOKUP($F202,'FCDB 2017 (full)'!$C:$C,'FCDB 2017 (full)'!$AV:$AV)*$H202/100,0)</f>
        <v>0</v>
      </c>
      <c r="BF202" s="16">
        <f ca="1">IFERROR(_xlfn.XLOOKUP($F202,'FCDB 2017 (full)'!$C:$C,'FCDB 2017 (full)'!$AW:$AW)*$H202/100,0)</f>
        <v>0</v>
      </c>
      <c r="BG202" s="16">
        <f ca="1">IFERROR(_xlfn.XLOOKUP($F202,'FCDB 2017 (full)'!$C:$C,'FCDB 2017 (full)'!$AX:$AX)*$H202/100,0)</f>
        <v>0</v>
      </c>
      <c r="BH202" s="16">
        <f ca="1">IFERROR(_xlfn.XLOOKUP($F202,'FCDB 2017 (full)'!$C:$C,'FCDB 2017 (full)'!$AY:$AY)*$H202/100,0)</f>
        <v>0</v>
      </c>
      <c r="BI202" s="16">
        <f ca="1">IFERROR(_xlfn.XLOOKUP($F202,'FCDB 2017 (full)'!$C:$C,'FCDB 2017 (full)'!$AZ:$AZ)*$H202/100,0)</f>
        <v>0</v>
      </c>
      <c r="BJ202" s="16">
        <f ca="1">IFERROR(_xlfn.XLOOKUP($F202,'FCDB 2017 (full)'!$C:$C,'FCDB 2017 (full)'!$BA:$BA)*$H202/100,0)</f>
        <v>0</v>
      </c>
      <c r="BK202" s="16">
        <f ca="1">IFERROR(_xlfn.XLOOKUP($F202,'FCDB 2017 (full)'!$C:$C,'FCDB 2017 (full)'!$BB:$BB)*$H202/100,0)</f>
        <v>0</v>
      </c>
      <c r="BL202" s="16">
        <f ca="1">IFERROR(_xlfn.XLOOKUP($F202,'FCDB 2017 (full)'!$C:$C,'FCDB 2017 (full)'!$BC:$BC)*$H202/100,0)</f>
        <v>0</v>
      </c>
      <c r="BM202" s="16">
        <f ca="1">IFERROR(_xlfn.XLOOKUP($F202,'FCDB 2017 (full)'!$C:$C,'FCDB 2017 (full)'!$BD:$BD)*$H202/100,0)</f>
        <v>0</v>
      </c>
      <c r="BN202" s="16">
        <f ca="1">IFERROR(_xlfn.XLOOKUP($F202,'FCDB 2017 (full)'!$C:$C,'FCDB 2017 (full)'!$BE:$BE)*$H202/100,0)</f>
        <v>0</v>
      </c>
      <c r="BO202" s="16">
        <f ca="1">IFERROR(_xlfn.XLOOKUP($F202,'FCDB 2017 (full)'!$C:$C,'FCDB 2017 (full)'!$BF:$BF)*$H202/100,0)</f>
        <v>0</v>
      </c>
      <c r="BP202" s="16">
        <f ca="1">IFERROR(_xlfn.XLOOKUP($F202,'FCDB 2017 (full)'!$C:$C,'FCDB 2017 (full)'!$BG:$BG)*$H202/100,0)</f>
        <v>0</v>
      </c>
      <c r="BQ202" s="16">
        <f ca="1">IFERROR(_xlfn.XLOOKUP($F202,'FCDB 2017 (full)'!$C:$C,'FCDB 2017 (full)'!$BH:$BH)*$H202/100,0)</f>
        <v>0</v>
      </c>
      <c r="BR202" s="16">
        <f ca="1">IFERROR(_xlfn.XLOOKUP($F202,'FCDB 2017 (full)'!$C:$C,'FCDB 2017 (full)'!$BI:$BI)*$H202/100,0)</f>
        <v>0</v>
      </c>
      <c r="BS202" s="16">
        <f ca="1">IFERROR(_xlfn.XLOOKUP($F202,'FCDB 2017 (full)'!$C:$C,'FCDB 2017 (full)'!$BJ:$BJ)*$H202/100,0)</f>
        <v>0</v>
      </c>
      <c r="BT202" s="16">
        <f ca="1">IFERROR(_xlfn.XLOOKUP($F202,'FCDB 2017 (full)'!$C:$C,'FCDB 2017 (full)'!$BK:$BK)*$H202/100,0)</f>
        <v>0</v>
      </c>
      <c r="BU202" s="16">
        <f ca="1">IFERROR(_xlfn.XLOOKUP($F202,'FCDB 2017 (full)'!$C:$C,'FCDB 2017 (full)'!$BL:$BL)*$H202/100,0)</f>
        <v>0</v>
      </c>
      <c r="BV202" s="16">
        <f ca="1">IFERROR(_xlfn.XLOOKUP($F202,'FCDB 2017 (full)'!$C:$C,'FCDB 2017 (full)'!$BM:$BM)*$H202/100,0)</f>
        <v>0</v>
      </c>
      <c r="BW202" s="16">
        <f ca="1">IFERROR(_xlfn.XLOOKUP($F202,'FCDB 2017 (full)'!$C:$C,'FCDB 2017 (full)'!$BN:$BN)*$H202/100,0)</f>
        <v>0</v>
      </c>
      <c r="BX202" s="16">
        <f ca="1">IFERROR(_xlfn.XLOOKUP($F202,'FCDB 2017 (full)'!$C:$C,'FCDB 2017 (full)'!$BO:$BO)*$H202/100,0)</f>
        <v>0</v>
      </c>
      <c r="BY202" s="16">
        <f ca="1">IFERROR(_xlfn.XLOOKUP($F202,'FCDB 2017 (full)'!$C:$C,'FCDB 2017 (full)'!$BP:$BP)*$H202/100,0)</f>
        <v>0</v>
      </c>
      <c r="BZ202" s="16">
        <f ca="1">IFERROR(_xlfn.XLOOKUP($F202,'FCDB 2017 (full)'!$C:$C,'FCDB 2017 (full)'!$BQ:$BQ)*$H202/100,0)</f>
        <v>0</v>
      </c>
      <c r="CA202" s="16">
        <f ca="1">IFERROR(_xlfn.XLOOKUP($F202,'FCDB 2017 (full)'!$C:$C,'FCDB 2017 (full)'!$BR:$BR)*$H202/100,0)</f>
        <v>0</v>
      </c>
      <c r="CB202" s="16">
        <f ca="1">IFERROR(_xlfn.XLOOKUP($F202,'FCDB 2017 (full)'!$C:$C,'FCDB 2017 (full)'!$BS:$BS)*$H202/100,0)</f>
        <v>0</v>
      </c>
      <c r="CC202" s="16">
        <f ca="1">IFERROR(_xlfn.XLOOKUP($F202,'FCDB 2017 (full)'!$C:$C,'FCDB 2017 (full)'!$BT:$BT)*$H202/100,0)</f>
        <v>0</v>
      </c>
      <c r="CD202" s="16">
        <f ca="1">IFERROR(_xlfn.XLOOKUP($F202,'FCDB 2017 (full)'!$C:$C,'FCDB 2017 (full)'!$BU:$BU)*$H202/100,0)</f>
        <v>0</v>
      </c>
      <c r="CE202" s="16">
        <f ca="1">IFERROR(_xlfn.XLOOKUP($F202,'FCDB 2017 (full)'!$C:$C,'FCDB 2017 (full)'!$BV:$BV)*$H202/100,0)</f>
        <v>0</v>
      </c>
      <c r="CF202" s="16">
        <f ca="1">IFERROR(_xlfn.XLOOKUP($F202,'FCDB 2017 (full)'!$C:$C,'FCDB 2017 (full)'!$BW:$BW)*$H202/100,0)</f>
        <v>0</v>
      </c>
      <c r="CG202" s="16">
        <f ca="1">IFERROR(_xlfn.XLOOKUP($F202,'FCDB 2017 (full)'!$C:$C,'FCDB 2017 (full)'!$BX:$BX)*$H202/100,0)</f>
        <v>0</v>
      </c>
      <c r="CH202" s="16">
        <f ca="1">IFERROR(_xlfn.XLOOKUP($F202,'FCDB 2017 (full)'!$C:$C,'FCDB 2017 (full)'!$BY:$BY)*$H202/100,0)</f>
        <v>0</v>
      </c>
      <c r="CI202" s="16">
        <f ca="1">IFERROR(_xlfn.XLOOKUP($F202,'FCDB 2017 (full)'!$C:$C,'FCDB 2017 (full)'!$BZ:$BZ)*$H202/100,0)</f>
        <v>0</v>
      </c>
      <c r="CJ202" s="16">
        <f ca="1">IFERROR(_xlfn.XLOOKUP($F202,'FCDB 2017 (full)'!$C:$C,'FCDB 2017 (full)'!$CA:$CA)*$H202/100,0)</f>
        <v>0</v>
      </c>
      <c r="CK202" s="16">
        <f ca="1">IFERROR(_xlfn.XLOOKUP($F202,'FCDB 2017 (full)'!$C:$C,'FCDB 2017 (full)'!$CB:$CB)*$H202/100,0)</f>
        <v>0</v>
      </c>
      <c r="CL202" s="16">
        <f ca="1">IFERROR(_xlfn.XLOOKUP($F202,'FCDB 2017 (full)'!$C:$C,'FCDB 2017 (full)'!$CC:$CC)*$H202/100,0)</f>
        <v>0</v>
      </c>
      <c r="CM202" s="16">
        <f ca="1">IFERROR(_xlfn.XLOOKUP($F202,'FCDB 2017 (full)'!$C:$C,'FCDB 2017 (full)'!$CD:$CD)*$H202/100,0)</f>
        <v>0</v>
      </c>
      <c r="CN202" s="16">
        <f ca="1">IFERROR(_xlfn.XLOOKUP($F202,'FCDB 2017 (full)'!$C:$C,'FCDB 2017 (full)'!$CE:$CE)*$H202/100,0)</f>
        <v>0</v>
      </c>
      <c r="CO202" s="16">
        <f ca="1">IFERROR(_xlfn.XLOOKUP($F202,'FCDB 2017 (full)'!$C:$C,'FCDB 2017 (full)'!$CF:$CF)*$H202/100,0)</f>
        <v>0</v>
      </c>
      <c r="CP202" s="16">
        <f ca="1">IFERROR(_xlfn.XLOOKUP($F202,'FCDB 2017 (full)'!$C:$C,'FCDB 2017 (full)'!$CG:$CG)*$H202/100,0)</f>
        <v>0</v>
      </c>
      <c r="CQ202" s="16">
        <f ca="1">IFERROR(_xlfn.XLOOKUP($F202,'FCDB 2017 (full)'!$C:$C,'FCDB 2017 (full)'!$CH:$CH)*$H202/100,0)</f>
        <v>0</v>
      </c>
      <c r="CR202" s="29"/>
      <c r="DA202" s="72" t="s">
        <v>987</v>
      </c>
    </row>
    <row r="203" spans="4:105">
      <c r="D203" s="29"/>
      <c r="E203" s="29"/>
      <c r="F203" s="11" t="str">
        <f>IFERROR(VLOOKUP($D$182,$D:$AE,20,0),0)</f>
        <v>Cua đồng</v>
      </c>
      <c r="G203" s="7" t="e" cm="1">
        <f t="array" aca="1" ref="G203" ca="1">IF(F203=0,0,IF(_xlfn.XLOOKUP(F203,$E$182:$AE$182,$E$183:$AE$183)=0,"Nhập ĐV/TV",_xlfn.XLOOKUP(F203,$E$182:$AE$182,$E$183:$AE$183)))</f>
        <v>#NAME?</v>
      </c>
      <c r="H203" s="8" cm="1">
        <f t="array" ref="H203">IFERROR(INDEX($E$184:$AE$184,MATCH(F203,$E$182:$AE$182,0)),0)</f>
        <v>30</v>
      </c>
      <c r="I203" s="9">
        <f ca="1">IFERROR(_xlfn.XLOOKUP($F203,'FCDB 2017 (full)'!$C:$C,'FCDB 2017 (full)'!$E:$E),0)</f>
        <v>0</v>
      </c>
      <c r="J203" s="10">
        <f t="shared" ca="1" si="39"/>
        <v>0</v>
      </c>
      <c r="K203" s="9">
        <f ca="1">IFERROR(_xlfn.XLOOKUP($F203,'FCDB 2017 (full)'!$C:$C,'FCDB 2017 (full)'!$G:$G),0)</f>
        <v>0</v>
      </c>
      <c r="L203" s="13" t="e">
        <f t="shared" ca="1" si="40"/>
        <v>#NAME?</v>
      </c>
      <c r="M203" s="13" t="e">
        <f t="shared" ca="1" si="41"/>
        <v>#NAME?</v>
      </c>
      <c r="N203" s="9">
        <f ca="1">IFERROR(_xlfn.XLOOKUP($F203,'FCDB 2017 (full)'!$C:$C,'FCDB 2017 (full)'!$H:$H),0)</f>
        <v>0</v>
      </c>
      <c r="O203" s="14" t="e">
        <f t="shared" ca="1" si="42"/>
        <v>#NAME?</v>
      </c>
      <c r="P203" s="14" t="e">
        <f t="shared" ca="1" si="43"/>
        <v>#NAME?</v>
      </c>
      <c r="Q203" s="9">
        <f ca="1">IFERROR(_xlfn.XLOOKUP($F203,'FCDB 2017 (full)'!$C:$C,'FCDB 2017 (full)'!$I:$I),0)</f>
        <v>0</v>
      </c>
      <c r="R203" s="15">
        <f t="shared" ca="1" si="44"/>
        <v>0</v>
      </c>
      <c r="S203" s="16">
        <f ca="1">IFERROR(_xlfn.XLOOKUP($F203,'FCDB 2017 (full)'!$C:$C,'FCDB 2017 (full)'!$J:$J)*$H203/100,0)</f>
        <v>0</v>
      </c>
      <c r="T203" s="16">
        <f ca="1">IFERROR(_xlfn.XLOOKUP($F203,'FCDB 2017 (full)'!$C:$C,'FCDB 2017 (full)'!$K:$K)*$H203/100,0)</f>
        <v>0</v>
      </c>
      <c r="U203" s="16">
        <f ca="1">IFERROR(_xlfn.XLOOKUP($F203,'FCDB 2017 (full)'!$C:$C,'FCDB 2017 (full)'!$L:$L)*$H203/100,0)</f>
        <v>0</v>
      </c>
      <c r="V203" s="16">
        <f ca="1">IFERROR(_xlfn.XLOOKUP($F203,'FCDB 2017 (full)'!$C:$C,'FCDB 2017 (full)'!$M:$M)*$H203/100,0)</f>
        <v>0</v>
      </c>
      <c r="W203" s="16">
        <f ca="1">IFERROR(_xlfn.XLOOKUP($F203,'FCDB 2017 (full)'!$C:$C,'FCDB 2017 (full)'!$N:$N)*$H203/100,0)</f>
        <v>0</v>
      </c>
      <c r="X203" s="16">
        <f ca="1">IFERROR(_xlfn.XLOOKUP($F203,'FCDB 2017 (full)'!$C:$C,'FCDB 2017 (full)'!$O:$O)*$H203/100,0)</f>
        <v>0</v>
      </c>
      <c r="Y203" s="16">
        <f ca="1">IFERROR(_xlfn.XLOOKUP($F203,'FCDB 2017 (full)'!$C:$C,'FCDB 2017 (full)'!$P:$P)*$H203/100,0)</f>
        <v>0</v>
      </c>
      <c r="Z203" s="16">
        <f ca="1">IFERROR(_xlfn.XLOOKUP($F203,'FCDB 2017 (full)'!$C:$C,'FCDB 2017 (full)'!$Q:$Q)*$H203/100,0)</f>
        <v>0</v>
      </c>
      <c r="AA203" s="16">
        <f ca="1">IFERROR(_xlfn.XLOOKUP($F203,'FCDB 2017 (full)'!$C:$C,'FCDB 2017 (full)'!$R:$R)*$H203/100,0)</f>
        <v>0</v>
      </c>
      <c r="AB203" s="16">
        <f ca="1">IFERROR(_xlfn.XLOOKUP($F203,'FCDB 2017 (full)'!$C:$C,'FCDB 2017 (full)'!$S:$S)*$H203/100,0)</f>
        <v>0</v>
      </c>
      <c r="AC203" s="16">
        <f ca="1">IFERROR(_xlfn.XLOOKUP($F203,'FCDB 2017 (full)'!$C:$C,'FCDB 2017 (full)'!$T:$T)*$H203/100,0)</f>
        <v>0</v>
      </c>
      <c r="AD203" s="16">
        <f ca="1">IFERROR(_xlfn.XLOOKUP($F203,'FCDB 2017 (full)'!$C:$C,'FCDB 2017 (full)'!$U:$U)*$H203/100,0)</f>
        <v>0</v>
      </c>
      <c r="AE203" s="16">
        <f ca="1">IFERROR(_xlfn.XLOOKUP($F203,'FCDB 2017 (full)'!$C:$C,'FCDB 2017 (full)'!$V:$V)*$H203/100,0)</f>
        <v>0</v>
      </c>
      <c r="AF203" s="16">
        <f ca="1">IFERROR(_xlfn.XLOOKUP($F203,'FCDB 2017 (full)'!$C:$C,'FCDB 2017 (full)'!$W:$W)*$H203/100,0)</f>
        <v>0</v>
      </c>
      <c r="AG203" s="16">
        <f ca="1">IFERROR(_xlfn.XLOOKUP($F203,'FCDB 2017 (full)'!$C:$C,'FCDB 2017 (full)'!$X:$X)*$H203/100,0)</f>
        <v>0</v>
      </c>
      <c r="AH203" s="16">
        <f ca="1">IFERROR(_xlfn.XLOOKUP($F203,'FCDB 2017 (full)'!$C:$C,'FCDB 2017 (full)'!$Y:$Y)*$H203/100,0)</f>
        <v>0</v>
      </c>
      <c r="AI203" s="16">
        <f ca="1">IFERROR(_xlfn.XLOOKUP($F203,'FCDB 2017 (full)'!$C:$C,'FCDB 2017 (full)'!$Z:$Z)*$H203/100,0)</f>
        <v>0</v>
      </c>
      <c r="AJ203" s="16">
        <f ca="1">IFERROR(_xlfn.XLOOKUP($F203,'FCDB 2017 (full)'!$C:$C,'FCDB 2017 (full)'!$AA:$AA)*$H203/100,0)</f>
        <v>0</v>
      </c>
      <c r="AK203" s="16">
        <f ca="1">IFERROR(_xlfn.XLOOKUP($F203,'FCDB 2017 (full)'!$C:$C,'FCDB 2017 (full)'!$AB:$AB)*$H203/100,0)</f>
        <v>0</v>
      </c>
      <c r="AL203" s="16">
        <f ca="1">IFERROR(_xlfn.XLOOKUP($F203,'FCDB 2017 (full)'!$C:$C,'FCDB 2017 (full)'!$AC:$AC)*$H203/100,0)</f>
        <v>0</v>
      </c>
      <c r="AM203" s="16">
        <f ca="1">IFERROR(_xlfn.XLOOKUP($F203,'FCDB 2017 (full)'!$C:$C,'FCDB 2017 (full)'!$AD:$AD)*$H203/100,0)</f>
        <v>0</v>
      </c>
      <c r="AN203" s="16">
        <f ca="1">IFERROR(_xlfn.XLOOKUP($F203,'FCDB 2017 (full)'!$C:$C,'FCDB 2017 (full)'!$AE:$AE)*$H203/100,0)</f>
        <v>0</v>
      </c>
      <c r="AO203" s="16">
        <f ca="1">IFERROR(_xlfn.XLOOKUP($F203,'FCDB 2017 (full)'!$C:$C,'FCDB 2017 (full)'!$AF:$AF)*$H203/100,0)</f>
        <v>0</v>
      </c>
      <c r="AP203" s="16">
        <f ca="1">IFERROR(_xlfn.XLOOKUP($F203,'FCDB 2017 (full)'!$C:$C,'FCDB 2017 (full)'!$AG:$AG)*$H203/100,0)</f>
        <v>0</v>
      </c>
      <c r="AQ203" s="16">
        <f ca="1">IFERROR(_xlfn.XLOOKUP($F203,'FCDB 2017 (full)'!$C:$C,'FCDB 2017 (full)'!$AH:$AH)*$H203/100,0)</f>
        <v>0</v>
      </c>
      <c r="AR203" s="16">
        <f ca="1">IFERROR(_xlfn.XLOOKUP($F203,'FCDB 2017 (full)'!$C:$C,'FCDB 2017 (full)'!$AI:$AI)*$H203/100,0)</f>
        <v>0</v>
      </c>
      <c r="AS203" s="16">
        <f ca="1">IFERROR(_xlfn.XLOOKUP($F203,'FCDB 2017 (full)'!$C:$C,'FCDB 2017 (full)'!$AJ:$AJ)*$H203/100,0)</f>
        <v>0</v>
      </c>
      <c r="AT203" s="16">
        <f ca="1">IFERROR(_xlfn.XLOOKUP($F203,'FCDB 2017 (full)'!$C:$C,'FCDB 2017 (full)'!$AK:$AK)*$H203/100,0)</f>
        <v>0</v>
      </c>
      <c r="AU203" s="16">
        <f ca="1">IFERROR(_xlfn.XLOOKUP($F203,'FCDB 2017 (full)'!$C:$C,'FCDB 2017 (full)'!$AK:$AK)*$H203/100,0)</f>
        <v>0</v>
      </c>
      <c r="AV203" s="16">
        <f ca="1">IFERROR(_xlfn.XLOOKUP($F203,'FCDB 2017 (full)'!$C:$C,'FCDB 2017 (full)'!$AM:$AM)*$H203/100,0)</f>
        <v>0</v>
      </c>
      <c r="AW203" s="16">
        <f ca="1">IFERROR(_xlfn.XLOOKUP($F203,'FCDB 2017 (full)'!$C:$C,'FCDB 2017 (full)'!$AN:$AN)*$H203/100,0)</f>
        <v>0</v>
      </c>
      <c r="AX203" s="16">
        <f ca="1">IFERROR(_xlfn.XLOOKUP($F203,'FCDB 2017 (full)'!$C:$C,'FCDB 2017 (full)'!$AO:$AO)*$H203/100,0)</f>
        <v>0</v>
      </c>
      <c r="AY203" s="16">
        <f ca="1">IFERROR(_xlfn.XLOOKUP($F203,'FCDB 2017 (full)'!$C:$C,'FCDB 2017 (full)'!$AP:$AP)*$H203/100,0)</f>
        <v>0</v>
      </c>
      <c r="AZ203" s="16">
        <f ca="1">IFERROR(_xlfn.XLOOKUP($F203,'FCDB 2017 (full)'!$C:$C,'FCDB 2017 (full)'!$AQ:$AQ)*$H203/100,0)</f>
        <v>0</v>
      </c>
      <c r="BA203" s="16">
        <f ca="1">IFERROR(_xlfn.XLOOKUP($F203,'FCDB 2017 (full)'!$C:$C,'FCDB 2017 (full)'!$AR:$AR)*$H203/100,0)</f>
        <v>0</v>
      </c>
      <c r="BB203" s="16">
        <f ca="1">IFERROR(_xlfn.XLOOKUP($F203,'FCDB 2017 (full)'!$C:$C,'FCDB 2017 (full)'!$AS:$AS)*$H203/100,0)</f>
        <v>0</v>
      </c>
      <c r="BC203" s="16">
        <f ca="1">IFERROR(_xlfn.XLOOKUP($F203,'FCDB 2017 (full)'!$C:$C,'FCDB 2017 (full)'!$AT:$AT)*$H203/100,0)</f>
        <v>0</v>
      </c>
      <c r="BD203" s="16">
        <f ca="1">IFERROR(_xlfn.XLOOKUP($F203,'FCDB 2017 (full)'!$C:$C,'FCDB 2017 (full)'!$AU:$AU)*$H203/100,0)</f>
        <v>0</v>
      </c>
      <c r="BE203" s="16">
        <f ca="1">IFERROR(_xlfn.XLOOKUP($F203,'FCDB 2017 (full)'!$C:$C,'FCDB 2017 (full)'!$AV:$AV)*$H203/100,0)</f>
        <v>0</v>
      </c>
      <c r="BF203" s="16">
        <f ca="1">IFERROR(_xlfn.XLOOKUP($F203,'FCDB 2017 (full)'!$C:$C,'FCDB 2017 (full)'!$AW:$AW)*$H203/100,0)</f>
        <v>0</v>
      </c>
      <c r="BG203" s="16">
        <f ca="1">IFERROR(_xlfn.XLOOKUP($F203,'FCDB 2017 (full)'!$C:$C,'FCDB 2017 (full)'!$AX:$AX)*$H203/100,0)</f>
        <v>0</v>
      </c>
      <c r="BH203" s="16">
        <f ca="1">IFERROR(_xlfn.XLOOKUP($F203,'FCDB 2017 (full)'!$C:$C,'FCDB 2017 (full)'!$AY:$AY)*$H203/100,0)</f>
        <v>0</v>
      </c>
      <c r="BI203" s="16">
        <f ca="1">IFERROR(_xlfn.XLOOKUP($F203,'FCDB 2017 (full)'!$C:$C,'FCDB 2017 (full)'!$AZ:$AZ)*$H203/100,0)</f>
        <v>0</v>
      </c>
      <c r="BJ203" s="16">
        <f ca="1">IFERROR(_xlfn.XLOOKUP($F203,'FCDB 2017 (full)'!$C:$C,'FCDB 2017 (full)'!$BA:$BA)*$H203/100,0)</f>
        <v>0</v>
      </c>
      <c r="BK203" s="16">
        <f ca="1">IFERROR(_xlfn.XLOOKUP($F203,'FCDB 2017 (full)'!$C:$C,'FCDB 2017 (full)'!$BB:$BB)*$H203/100,0)</f>
        <v>0</v>
      </c>
      <c r="BL203" s="16">
        <f ca="1">IFERROR(_xlfn.XLOOKUP($F203,'FCDB 2017 (full)'!$C:$C,'FCDB 2017 (full)'!$BC:$BC)*$H203/100,0)</f>
        <v>0</v>
      </c>
      <c r="BM203" s="16">
        <f ca="1">IFERROR(_xlfn.XLOOKUP($F203,'FCDB 2017 (full)'!$C:$C,'FCDB 2017 (full)'!$BD:$BD)*$H203/100,0)</f>
        <v>0</v>
      </c>
      <c r="BN203" s="16">
        <f ca="1">IFERROR(_xlfn.XLOOKUP($F203,'FCDB 2017 (full)'!$C:$C,'FCDB 2017 (full)'!$BE:$BE)*$H203/100,0)</f>
        <v>0</v>
      </c>
      <c r="BO203" s="16">
        <f ca="1">IFERROR(_xlfn.XLOOKUP($F203,'FCDB 2017 (full)'!$C:$C,'FCDB 2017 (full)'!$BF:$BF)*$H203/100,0)</f>
        <v>0</v>
      </c>
      <c r="BP203" s="16">
        <f ca="1">IFERROR(_xlfn.XLOOKUP($F203,'FCDB 2017 (full)'!$C:$C,'FCDB 2017 (full)'!$BG:$BG)*$H203/100,0)</f>
        <v>0</v>
      </c>
      <c r="BQ203" s="16">
        <f ca="1">IFERROR(_xlfn.XLOOKUP($F203,'FCDB 2017 (full)'!$C:$C,'FCDB 2017 (full)'!$BH:$BH)*$H203/100,0)</f>
        <v>0</v>
      </c>
      <c r="BR203" s="16">
        <f ca="1">IFERROR(_xlfn.XLOOKUP($F203,'FCDB 2017 (full)'!$C:$C,'FCDB 2017 (full)'!$BI:$BI)*$H203/100,0)</f>
        <v>0</v>
      </c>
      <c r="BS203" s="16">
        <f ca="1">IFERROR(_xlfn.XLOOKUP($F203,'FCDB 2017 (full)'!$C:$C,'FCDB 2017 (full)'!$BJ:$BJ)*$H203/100,0)</f>
        <v>0</v>
      </c>
      <c r="BT203" s="16">
        <f ca="1">IFERROR(_xlfn.XLOOKUP($F203,'FCDB 2017 (full)'!$C:$C,'FCDB 2017 (full)'!$BK:$BK)*$H203/100,0)</f>
        <v>0</v>
      </c>
      <c r="BU203" s="16">
        <f ca="1">IFERROR(_xlfn.XLOOKUP($F203,'FCDB 2017 (full)'!$C:$C,'FCDB 2017 (full)'!$BL:$BL)*$H203/100,0)</f>
        <v>0</v>
      </c>
      <c r="BV203" s="16">
        <f ca="1">IFERROR(_xlfn.XLOOKUP($F203,'FCDB 2017 (full)'!$C:$C,'FCDB 2017 (full)'!$BM:$BM)*$H203/100,0)</f>
        <v>0</v>
      </c>
      <c r="BW203" s="16">
        <f ca="1">IFERROR(_xlfn.XLOOKUP($F203,'FCDB 2017 (full)'!$C:$C,'FCDB 2017 (full)'!$BN:$BN)*$H203/100,0)</f>
        <v>0</v>
      </c>
      <c r="BX203" s="16">
        <f ca="1">IFERROR(_xlfn.XLOOKUP($F203,'FCDB 2017 (full)'!$C:$C,'FCDB 2017 (full)'!$BO:$BO)*$H203/100,0)</f>
        <v>0</v>
      </c>
      <c r="BY203" s="16">
        <f ca="1">IFERROR(_xlfn.XLOOKUP($F203,'FCDB 2017 (full)'!$C:$C,'FCDB 2017 (full)'!$BP:$BP)*$H203/100,0)</f>
        <v>0</v>
      </c>
      <c r="BZ203" s="16">
        <f ca="1">IFERROR(_xlfn.XLOOKUP($F203,'FCDB 2017 (full)'!$C:$C,'FCDB 2017 (full)'!$BQ:$BQ)*$H203/100,0)</f>
        <v>0</v>
      </c>
      <c r="CA203" s="16">
        <f ca="1">IFERROR(_xlfn.XLOOKUP($F203,'FCDB 2017 (full)'!$C:$C,'FCDB 2017 (full)'!$BR:$BR)*$H203/100,0)</f>
        <v>0</v>
      </c>
      <c r="CB203" s="16">
        <f ca="1">IFERROR(_xlfn.XLOOKUP($F203,'FCDB 2017 (full)'!$C:$C,'FCDB 2017 (full)'!$BS:$BS)*$H203/100,0)</f>
        <v>0</v>
      </c>
      <c r="CC203" s="16">
        <f ca="1">IFERROR(_xlfn.XLOOKUP($F203,'FCDB 2017 (full)'!$C:$C,'FCDB 2017 (full)'!$BT:$BT)*$H203/100,0)</f>
        <v>0</v>
      </c>
      <c r="CD203" s="16">
        <f ca="1">IFERROR(_xlfn.XLOOKUP($F203,'FCDB 2017 (full)'!$C:$C,'FCDB 2017 (full)'!$BU:$BU)*$H203/100,0)</f>
        <v>0</v>
      </c>
      <c r="CE203" s="16">
        <f ca="1">IFERROR(_xlfn.XLOOKUP($F203,'FCDB 2017 (full)'!$C:$C,'FCDB 2017 (full)'!$BV:$BV)*$H203/100,0)</f>
        <v>0</v>
      </c>
      <c r="CF203" s="16">
        <f ca="1">IFERROR(_xlfn.XLOOKUP($F203,'FCDB 2017 (full)'!$C:$C,'FCDB 2017 (full)'!$BW:$BW)*$H203/100,0)</f>
        <v>0</v>
      </c>
      <c r="CG203" s="16">
        <f ca="1">IFERROR(_xlfn.XLOOKUP($F203,'FCDB 2017 (full)'!$C:$C,'FCDB 2017 (full)'!$BX:$BX)*$H203/100,0)</f>
        <v>0</v>
      </c>
      <c r="CH203" s="16">
        <f ca="1">IFERROR(_xlfn.XLOOKUP($F203,'FCDB 2017 (full)'!$C:$C,'FCDB 2017 (full)'!$BY:$BY)*$H203/100,0)</f>
        <v>0</v>
      </c>
      <c r="CI203" s="16">
        <f ca="1">IFERROR(_xlfn.XLOOKUP($F203,'FCDB 2017 (full)'!$C:$C,'FCDB 2017 (full)'!$BZ:$BZ)*$H203/100,0)</f>
        <v>0</v>
      </c>
      <c r="CJ203" s="16">
        <f ca="1">IFERROR(_xlfn.XLOOKUP($F203,'FCDB 2017 (full)'!$C:$C,'FCDB 2017 (full)'!$CA:$CA)*$H203/100,0)</f>
        <v>0</v>
      </c>
      <c r="CK203" s="16">
        <f ca="1">IFERROR(_xlfn.XLOOKUP($F203,'FCDB 2017 (full)'!$C:$C,'FCDB 2017 (full)'!$CB:$CB)*$H203/100,0)</f>
        <v>0</v>
      </c>
      <c r="CL203" s="16">
        <f ca="1">IFERROR(_xlfn.XLOOKUP($F203,'FCDB 2017 (full)'!$C:$C,'FCDB 2017 (full)'!$CC:$CC)*$H203/100,0)</f>
        <v>0</v>
      </c>
      <c r="CM203" s="16">
        <f ca="1">IFERROR(_xlfn.XLOOKUP($F203,'FCDB 2017 (full)'!$C:$C,'FCDB 2017 (full)'!$CD:$CD)*$H203/100,0)</f>
        <v>0</v>
      </c>
      <c r="CN203" s="16">
        <f ca="1">IFERROR(_xlfn.XLOOKUP($F203,'FCDB 2017 (full)'!$C:$C,'FCDB 2017 (full)'!$CE:$CE)*$H203/100,0)</f>
        <v>0</v>
      </c>
      <c r="CO203" s="16">
        <f ca="1">IFERROR(_xlfn.XLOOKUP($F203,'FCDB 2017 (full)'!$C:$C,'FCDB 2017 (full)'!$CF:$CF)*$H203/100,0)</f>
        <v>0</v>
      </c>
      <c r="CP203" s="16">
        <f ca="1">IFERROR(_xlfn.XLOOKUP($F203,'FCDB 2017 (full)'!$C:$C,'FCDB 2017 (full)'!$CG:$CG)*$H203/100,0)</f>
        <v>0</v>
      </c>
      <c r="CQ203" s="16">
        <f ca="1">IFERROR(_xlfn.XLOOKUP($F203,'FCDB 2017 (full)'!$C:$C,'FCDB 2017 (full)'!$CH:$CH)*$H203/100,0)</f>
        <v>0</v>
      </c>
      <c r="CR203" s="29"/>
      <c r="DA203" s="72" t="s">
        <v>987</v>
      </c>
    </row>
    <row r="204" spans="4:105">
      <c r="D204" s="29"/>
      <c r="E204" s="29"/>
      <c r="F204" s="11">
        <f>IFERROR(VLOOKUP($D$182,$D:$AE,21,0),0)</f>
        <v>0</v>
      </c>
      <c r="G204" s="7" cm="1">
        <f t="array" ref="G204">IF(F204=0,0,IF(_xlfn.XLOOKUP(F204,$E$182:$AE$182,$E$183:$AE$183)=0,"Nhập ĐV/TV",_xlfn.XLOOKUP(F204,$E$182:$AE$182,$E$183:$AE$183)))</f>
        <v>0</v>
      </c>
      <c r="H204" s="8" cm="1">
        <f t="array" ref="H204">IFERROR(INDEX($E$184:$AE$184,MATCH(F204,$E$182:$AE$182,0)),0)</f>
        <v>0</v>
      </c>
      <c r="I204" s="9">
        <f ca="1">IFERROR(_xlfn.XLOOKUP($F204,'FCDB 2017 (full)'!$C:$C,'FCDB 2017 (full)'!$E:$E),0)</f>
        <v>0</v>
      </c>
      <c r="J204" s="10">
        <f t="shared" ca="1" si="39"/>
        <v>0</v>
      </c>
      <c r="K204" s="9">
        <f ca="1">IFERROR(_xlfn.XLOOKUP($F204,'FCDB 2017 (full)'!$C:$C,'FCDB 2017 (full)'!$G:$G),0)</f>
        <v>0</v>
      </c>
      <c r="L204" s="13">
        <f t="shared" si="40"/>
        <v>0</v>
      </c>
      <c r="M204" s="13">
        <f t="shared" si="41"/>
        <v>0</v>
      </c>
      <c r="N204" s="9">
        <f ca="1">IFERROR(_xlfn.XLOOKUP($F204,'FCDB 2017 (full)'!$C:$C,'FCDB 2017 (full)'!$H:$H),0)</f>
        <v>0</v>
      </c>
      <c r="O204" s="14">
        <f t="shared" si="42"/>
        <v>0</v>
      </c>
      <c r="P204" s="14">
        <f t="shared" si="43"/>
        <v>0</v>
      </c>
      <c r="Q204" s="9">
        <f ca="1">IFERROR(_xlfn.XLOOKUP($F204,'FCDB 2017 (full)'!$C:$C,'FCDB 2017 (full)'!$I:$I),0)</f>
        <v>0</v>
      </c>
      <c r="R204" s="15">
        <f t="shared" ca="1" si="44"/>
        <v>0</v>
      </c>
      <c r="S204" s="16">
        <f ca="1">IFERROR(_xlfn.XLOOKUP($F204,'FCDB 2017 (full)'!$C:$C,'FCDB 2017 (full)'!$J:$J)*$H204/100,0)</f>
        <v>0</v>
      </c>
      <c r="T204" s="16">
        <f ca="1">IFERROR(_xlfn.XLOOKUP($F204,'FCDB 2017 (full)'!$C:$C,'FCDB 2017 (full)'!$K:$K)*$H204/100,0)</f>
        <v>0</v>
      </c>
      <c r="U204" s="16">
        <f ca="1">IFERROR(_xlfn.XLOOKUP($F204,'FCDB 2017 (full)'!$C:$C,'FCDB 2017 (full)'!$L:$L)*$H204/100,0)</f>
        <v>0</v>
      </c>
      <c r="V204" s="16">
        <f ca="1">IFERROR(_xlfn.XLOOKUP($F204,'FCDB 2017 (full)'!$C:$C,'FCDB 2017 (full)'!$M:$M)*$H204/100,0)</f>
        <v>0</v>
      </c>
      <c r="W204" s="16">
        <f ca="1">IFERROR(_xlfn.XLOOKUP($F204,'FCDB 2017 (full)'!$C:$C,'FCDB 2017 (full)'!$N:$N)*$H204/100,0)</f>
        <v>0</v>
      </c>
      <c r="X204" s="16">
        <f ca="1">IFERROR(_xlfn.XLOOKUP($F204,'FCDB 2017 (full)'!$C:$C,'FCDB 2017 (full)'!$O:$O)*$H204/100,0)</f>
        <v>0</v>
      </c>
      <c r="Y204" s="16">
        <f ca="1">IFERROR(_xlfn.XLOOKUP($F204,'FCDB 2017 (full)'!$C:$C,'FCDB 2017 (full)'!$P:$P)*$H204/100,0)</f>
        <v>0</v>
      </c>
      <c r="Z204" s="16">
        <f ca="1">IFERROR(_xlfn.XLOOKUP($F204,'FCDB 2017 (full)'!$C:$C,'FCDB 2017 (full)'!$Q:$Q)*$H204/100,0)</f>
        <v>0</v>
      </c>
      <c r="AA204" s="16">
        <f ca="1">IFERROR(_xlfn.XLOOKUP($F204,'FCDB 2017 (full)'!$C:$C,'FCDB 2017 (full)'!$R:$R)*$H204/100,0)</f>
        <v>0</v>
      </c>
      <c r="AB204" s="16">
        <f ca="1">IFERROR(_xlfn.XLOOKUP($F204,'FCDB 2017 (full)'!$C:$C,'FCDB 2017 (full)'!$S:$S)*$H204/100,0)</f>
        <v>0</v>
      </c>
      <c r="AC204" s="16">
        <f ca="1">IFERROR(_xlfn.XLOOKUP($F204,'FCDB 2017 (full)'!$C:$C,'FCDB 2017 (full)'!$T:$T)*$H204/100,0)</f>
        <v>0</v>
      </c>
      <c r="AD204" s="16">
        <f ca="1">IFERROR(_xlfn.XLOOKUP($F204,'FCDB 2017 (full)'!$C:$C,'FCDB 2017 (full)'!$U:$U)*$H204/100,0)</f>
        <v>0</v>
      </c>
      <c r="AE204" s="16">
        <f ca="1">IFERROR(_xlfn.XLOOKUP($F204,'FCDB 2017 (full)'!$C:$C,'FCDB 2017 (full)'!$V:$V)*$H204/100,0)</f>
        <v>0</v>
      </c>
      <c r="AF204" s="16">
        <f ca="1">IFERROR(_xlfn.XLOOKUP($F204,'FCDB 2017 (full)'!$C:$C,'FCDB 2017 (full)'!$W:$W)*$H204/100,0)</f>
        <v>0</v>
      </c>
      <c r="AG204" s="16">
        <f ca="1">IFERROR(_xlfn.XLOOKUP($F204,'FCDB 2017 (full)'!$C:$C,'FCDB 2017 (full)'!$X:$X)*$H204/100,0)</f>
        <v>0</v>
      </c>
      <c r="AH204" s="16">
        <f ca="1">IFERROR(_xlfn.XLOOKUP($F204,'FCDB 2017 (full)'!$C:$C,'FCDB 2017 (full)'!$Y:$Y)*$H204/100,0)</f>
        <v>0</v>
      </c>
      <c r="AI204" s="16">
        <f ca="1">IFERROR(_xlfn.XLOOKUP($F204,'FCDB 2017 (full)'!$C:$C,'FCDB 2017 (full)'!$Z:$Z)*$H204/100,0)</f>
        <v>0</v>
      </c>
      <c r="AJ204" s="16">
        <f ca="1">IFERROR(_xlfn.XLOOKUP($F204,'FCDB 2017 (full)'!$C:$C,'FCDB 2017 (full)'!$AA:$AA)*$H204/100,0)</f>
        <v>0</v>
      </c>
      <c r="AK204" s="16">
        <f ca="1">IFERROR(_xlfn.XLOOKUP($F204,'FCDB 2017 (full)'!$C:$C,'FCDB 2017 (full)'!$AB:$AB)*$H204/100,0)</f>
        <v>0</v>
      </c>
      <c r="AL204" s="16">
        <f ca="1">IFERROR(_xlfn.XLOOKUP($F204,'FCDB 2017 (full)'!$C:$C,'FCDB 2017 (full)'!$AC:$AC)*$H204/100,0)</f>
        <v>0</v>
      </c>
      <c r="AM204" s="16">
        <f ca="1">IFERROR(_xlfn.XLOOKUP($F204,'FCDB 2017 (full)'!$C:$C,'FCDB 2017 (full)'!$AD:$AD)*$H204/100,0)</f>
        <v>0</v>
      </c>
      <c r="AN204" s="16">
        <f ca="1">IFERROR(_xlfn.XLOOKUP($F204,'FCDB 2017 (full)'!$C:$C,'FCDB 2017 (full)'!$AE:$AE)*$H204/100,0)</f>
        <v>0</v>
      </c>
      <c r="AO204" s="16">
        <f ca="1">IFERROR(_xlfn.XLOOKUP($F204,'FCDB 2017 (full)'!$C:$C,'FCDB 2017 (full)'!$AF:$AF)*$H204/100,0)</f>
        <v>0</v>
      </c>
      <c r="AP204" s="16">
        <f ca="1">IFERROR(_xlfn.XLOOKUP($F204,'FCDB 2017 (full)'!$C:$C,'FCDB 2017 (full)'!$AG:$AG)*$H204/100,0)</f>
        <v>0</v>
      </c>
      <c r="AQ204" s="16">
        <f ca="1">IFERROR(_xlfn.XLOOKUP($F204,'FCDB 2017 (full)'!$C:$C,'FCDB 2017 (full)'!$AH:$AH)*$H204/100,0)</f>
        <v>0</v>
      </c>
      <c r="AR204" s="16">
        <f ca="1">IFERROR(_xlfn.XLOOKUP($F204,'FCDB 2017 (full)'!$C:$C,'FCDB 2017 (full)'!$AI:$AI)*$H204/100,0)</f>
        <v>0</v>
      </c>
      <c r="AS204" s="16">
        <f ca="1">IFERROR(_xlfn.XLOOKUP($F204,'FCDB 2017 (full)'!$C:$C,'FCDB 2017 (full)'!$AJ:$AJ)*$H204/100,0)</f>
        <v>0</v>
      </c>
      <c r="AT204" s="16">
        <f ca="1">IFERROR(_xlfn.XLOOKUP($F204,'FCDB 2017 (full)'!$C:$C,'FCDB 2017 (full)'!$AK:$AK)*$H204/100,0)</f>
        <v>0</v>
      </c>
      <c r="AU204" s="16">
        <f ca="1">IFERROR(_xlfn.XLOOKUP($F204,'FCDB 2017 (full)'!$C:$C,'FCDB 2017 (full)'!$AK:$AK)*$H204/100,0)</f>
        <v>0</v>
      </c>
      <c r="AV204" s="16">
        <f ca="1">IFERROR(_xlfn.XLOOKUP($F204,'FCDB 2017 (full)'!$C:$C,'FCDB 2017 (full)'!$AM:$AM)*$H204/100,0)</f>
        <v>0</v>
      </c>
      <c r="AW204" s="16">
        <f ca="1">IFERROR(_xlfn.XLOOKUP($F204,'FCDB 2017 (full)'!$C:$C,'FCDB 2017 (full)'!$AN:$AN)*$H204/100,0)</f>
        <v>0</v>
      </c>
      <c r="AX204" s="16">
        <f ca="1">IFERROR(_xlfn.XLOOKUP($F204,'FCDB 2017 (full)'!$C:$C,'FCDB 2017 (full)'!$AO:$AO)*$H204/100,0)</f>
        <v>0</v>
      </c>
      <c r="AY204" s="16">
        <f ca="1">IFERROR(_xlfn.XLOOKUP($F204,'FCDB 2017 (full)'!$C:$C,'FCDB 2017 (full)'!$AP:$AP)*$H204/100,0)</f>
        <v>0</v>
      </c>
      <c r="AZ204" s="16">
        <f ca="1">IFERROR(_xlfn.XLOOKUP($F204,'FCDB 2017 (full)'!$C:$C,'FCDB 2017 (full)'!$AQ:$AQ)*$H204/100,0)</f>
        <v>0</v>
      </c>
      <c r="BA204" s="16">
        <f ca="1">IFERROR(_xlfn.XLOOKUP($F204,'FCDB 2017 (full)'!$C:$C,'FCDB 2017 (full)'!$AR:$AR)*$H204/100,0)</f>
        <v>0</v>
      </c>
      <c r="BB204" s="16">
        <f ca="1">IFERROR(_xlfn.XLOOKUP($F204,'FCDB 2017 (full)'!$C:$C,'FCDB 2017 (full)'!$AS:$AS)*$H204/100,0)</f>
        <v>0</v>
      </c>
      <c r="BC204" s="16">
        <f ca="1">IFERROR(_xlfn.XLOOKUP($F204,'FCDB 2017 (full)'!$C:$C,'FCDB 2017 (full)'!$AT:$AT)*$H204/100,0)</f>
        <v>0</v>
      </c>
      <c r="BD204" s="16">
        <f ca="1">IFERROR(_xlfn.XLOOKUP($F204,'FCDB 2017 (full)'!$C:$C,'FCDB 2017 (full)'!$AU:$AU)*$H204/100,0)</f>
        <v>0</v>
      </c>
      <c r="BE204" s="16">
        <f ca="1">IFERROR(_xlfn.XLOOKUP($F204,'FCDB 2017 (full)'!$C:$C,'FCDB 2017 (full)'!$AV:$AV)*$H204/100,0)</f>
        <v>0</v>
      </c>
      <c r="BF204" s="16">
        <f ca="1">IFERROR(_xlfn.XLOOKUP($F204,'FCDB 2017 (full)'!$C:$C,'FCDB 2017 (full)'!$AW:$AW)*$H204/100,0)</f>
        <v>0</v>
      </c>
      <c r="BG204" s="16">
        <f ca="1">IFERROR(_xlfn.XLOOKUP($F204,'FCDB 2017 (full)'!$C:$C,'FCDB 2017 (full)'!$AX:$AX)*$H204/100,0)</f>
        <v>0</v>
      </c>
      <c r="BH204" s="16">
        <f ca="1">IFERROR(_xlfn.XLOOKUP($F204,'FCDB 2017 (full)'!$C:$C,'FCDB 2017 (full)'!$AY:$AY)*$H204/100,0)</f>
        <v>0</v>
      </c>
      <c r="BI204" s="16">
        <f ca="1">IFERROR(_xlfn.XLOOKUP($F204,'FCDB 2017 (full)'!$C:$C,'FCDB 2017 (full)'!$AZ:$AZ)*$H204/100,0)</f>
        <v>0</v>
      </c>
      <c r="BJ204" s="16">
        <f ca="1">IFERROR(_xlfn.XLOOKUP($F204,'FCDB 2017 (full)'!$C:$C,'FCDB 2017 (full)'!$BA:$BA)*$H204/100,0)</f>
        <v>0</v>
      </c>
      <c r="BK204" s="16">
        <f ca="1">IFERROR(_xlfn.XLOOKUP($F204,'FCDB 2017 (full)'!$C:$C,'FCDB 2017 (full)'!$BB:$BB)*$H204/100,0)</f>
        <v>0</v>
      </c>
      <c r="BL204" s="16">
        <f ca="1">IFERROR(_xlfn.XLOOKUP($F204,'FCDB 2017 (full)'!$C:$C,'FCDB 2017 (full)'!$BC:$BC)*$H204/100,0)</f>
        <v>0</v>
      </c>
      <c r="BM204" s="16">
        <f ca="1">IFERROR(_xlfn.XLOOKUP($F204,'FCDB 2017 (full)'!$C:$C,'FCDB 2017 (full)'!$BD:$BD)*$H204/100,0)</f>
        <v>0</v>
      </c>
      <c r="BN204" s="16">
        <f ca="1">IFERROR(_xlfn.XLOOKUP($F204,'FCDB 2017 (full)'!$C:$C,'FCDB 2017 (full)'!$BE:$BE)*$H204/100,0)</f>
        <v>0</v>
      </c>
      <c r="BO204" s="16">
        <f ca="1">IFERROR(_xlfn.XLOOKUP($F204,'FCDB 2017 (full)'!$C:$C,'FCDB 2017 (full)'!$BF:$BF)*$H204/100,0)</f>
        <v>0</v>
      </c>
      <c r="BP204" s="16">
        <f ca="1">IFERROR(_xlfn.XLOOKUP($F204,'FCDB 2017 (full)'!$C:$C,'FCDB 2017 (full)'!$BG:$BG)*$H204/100,0)</f>
        <v>0</v>
      </c>
      <c r="BQ204" s="16">
        <f ca="1">IFERROR(_xlfn.XLOOKUP($F204,'FCDB 2017 (full)'!$C:$C,'FCDB 2017 (full)'!$BH:$BH)*$H204/100,0)</f>
        <v>0</v>
      </c>
      <c r="BR204" s="16">
        <f ca="1">IFERROR(_xlfn.XLOOKUP($F204,'FCDB 2017 (full)'!$C:$C,'FCDB 2017 (full)'!$BI:$BI)*$H204/100,0)</f>
        <v>0</v>
      </c>
      <c r="BS204" s="16">
        <f ca="1">IFERROR(_xlfn.XLOOKUP($F204,'FCDB 2017 (full)'!$C:$C,'FCDB 2017 (full)'!$BJ:$BJ)*$H204/100,0)</f>
        <v>0</v>
      </c>
      <c r="BT204" s="16">
        <f ca="1">IFERROR(_xlfn.XLOOKUP($F204,'FCDB 2017 (full)'!$C:$C,'FCDB 2017 (full)'!$BK:$BK)*$H204/100,0)</f>
        <v>0</v>
      </c>
      <c r="BU204" s="16">
        <f ca="1">IFERROR(_xlfn.XLOOKUP($F204,'FCDB 2017 (full)'!$C:$C,'FCDB 2017 (full)'!$BL:$BL)*$H204/100,0)</f>
        <v>0</v>
      </c>
      <c r="BV204" s="16">
        <f ca="1">IFERROR(_xlfn.XLOOKUP($F204,'FCDB 2017 (full)'!$C:$C,'FCDB 2017 (full)'!$BM:$BM)*$H204/100,0)</f>
        <v>0</v>
      </c>
      <c r="BW204" s="16">
        <f ca="1">IFERROR(_xlfn.XLOOKUP($F204,'FCDB 2017 (full)'!$C:$C,'FCDB 2017 (full)'!$BN:$BN)*$H204/100,0)</f>
        <v>0</v>
      </c>
      <c r="BX204" s="16">
        <f ca="1">IFERROR(_xlfn.XLOOKUP($F204,'FCDB 2017 (full)'!$C:$C,'FCDB 2017 (full)'!$BO:$BO)*$H204/100,0)</f>
        <v>0</v>
      </c>
      <c r="BY204" s="16">
        <f ca="1">IFERROR(_xlfn.XLOOKUP($F204,'FCDB 2017 (full)'!$C:$C,'FCDB 2017 (full)'!$BP:$BP)*$H204/100,0)</f>
        <v>0</v>
      </c>
      <c r="BZ204" s="16">
        <f ca="1">IFERROR(_xlfn.XLOOKUP($F204,'FCDB 2017 (full)'!$C:$C,'FCDB 2017 (full)'!$BQ:$BQ)*$H204/100,0)</f>
        <v>0</v>
      </c>
      <c r="CA204" s="16">
        <f ca="1">IFERROR(_xlfn.XLOOKUP($F204,'FCDB 2017 (full)'!$C:$C,'FCDB 2017 (full)'!$BR:$BR)*$H204/100,0)</f>
        <v>0</v>
      </c>
      <c r="CB204" s="16">
        <f ca="1">IFERROR(_xlfn.XLOOKUP($F204,'FCDB 2017 (full)'!$C:$C,'FCDB 2017 (full)'!$BS:$BS)*$H204/100,0)</f>
        <v>0</v>
      </c>
      <c r="CC204" s="16">
        <f ca="1">IFERROR(_xlfn.XLOOKUP($F204,'FCDB 2017 (full)'!$C:$C,'FCDB 2017 (full)'!$BT:$BT)*$H204/100,0)</f>
        <v>0</v>
      </c>
      <c r="CD204" s="16">
        <f ca="1">IFERROR(_xlfn.XLOOKUP($F204,'FCDB 2017 (full)'!$C:$C,'FCDB 2017 (full)'!$BU:$BU)*$H204/100,0)</f>
        <v>0</v>
      </c>
      <c r="CE204" s="16">
        <f ca="1">IFERROR(_xlfn.XLOOKUP($F204,'FCDB 2017 (full)'!$C:$C,'FCDB 2017 (full)'!$BV:$BV)*$H204/100,0)</f>
        <v>0</v>
      </c>
      <c r="CF204" s="16">
        <f ca="1">IFERROR(_xlfn.XLOOKUP($F204,'FCDB 2017 (full)'!$C:$C,'FCDB 2017 (full)'!$BW:$BW)*$H204/100,0)</f>
        <v>0</v>
      </c>
      <c r="CG204" s="16">
        <f ca="1">IFERROR(_xlfn.XLOOKUP($F204,'FCDB 2017 (full)'!$C:$C,'FCDB 2017 (full)'!$BX:$BX)*$H204/100,0)</f>
        <v>0</v>
      </c>
      <c r="CH204" s="16">
        <f ca="1">IFERROR(_xlfn.XLOOKUP($F204,'FCDB 2017 (full)'!$C:$C,'FCDB 2017 (full)'!$BY:$BY)*$H204/100,0)</f>
        <v>0</v>
      </c>
      <c r="CI204" s="16">
        <f ca="1">IFERROR(_xlfn.XLOOKUP($F204,'FCDB 2017 (full)'!$C:$C,'FCDB 2017 (full)'!$BZ:$BZ)*$H204/100,0)</f>
        <v>0</v>
      </c>
      <c r="CJ204" s="16">
        <f ca="1">IFERROR(_xlfn.XLOOKUP($F204,'FCDB 2017 (full)'!$C:$C,'FCDB 2017 (full)'!$CA:$CA)*$H204/100,0)</f>
        <v>0</v>
      </c>
      <c r="CK204" s="16">
        <f ca="1">IFERROR(_xlfn.XLOOKUP($F204,'FCDB 2017 (full)'!$C:$C,'FCDB 2017 (full)'!$CB:$CB)*$H204/100,0)</f>
        <v>0</v>
      </c>
      <c r="CL204" s="16">
        <f ca="1">IFERROR(_xlfn.XLOOKUP($F204,'FCDB 2017 (full)'!$C:$C,'FCDB 2017 (full)'!$CC:$CC)*$H204/100,0)</f>
        <v>0</v>
      </c>
      <c r="CM204" s="16">
        <f ca="1">IFERROR(_xlfn.XLOOKUP($F204,'FCDB 2017 (full)'!$C:$C,'FCDB 2017 (full)'!$CD:$CD)*$H204/100,0)</f>
        <v>0</v>
      </c>
      <c r="CN204" s="16">
        <f ca="1">IFERROR(_xlfn.XLOOKUP($F204,'FCDB 2017 (full)'!$C:$C,'FCDB 2017 (full)'!$CE:$CE)*$H204/100,0)</f>
        <v>0</v>
      </c>
      <c r="CO204" s="16">
        <f ca="1">IFERROR(_xlfn.XLOOKUP($F204,'FCDB 2017 (full)'!$C:$C,'FCDB 2017 (full)'!$CF:$CF)*$H204/100,0)</f>
        <v>0</v>
      </c>
      <c r="CP204" s="16">
        <f ca="1">IFERROR(_xlfn.XLOOKUP($F204,'FCDB 2017 (full)'!$C:$C,'FCDB 2017 (full)'!$CG:$CG)*$H204/100,0)</f>
        <v>0</v>
      </c>
      <c r="CQ204" s="16">
        <f ca="1">IFERROR(_xlfn.XLOOKUP($F204,'FCDB 2017 (full)'!$C:$C,'FCDB 2017 (full)'!$CH:$CH)*$H204/100,0)</f>
        <v>0</v>
      </c>
      <c r="CR204" s="29"/>
      <c r="DA204" s="72" t="s">
        <v>987</v>
      </c>
    </row>
    <row r="205" spans="4:105">
      <c r="D205" s="29"/>
      <c r="E205" s="29"/>
      <c r="F205" s="11">
        <f>IFERROR(VLOOKUP($D$182,$D:$AE,22,0),0)</f>
        <v>0</v>
      </c>
      <c r="G205" s="7" cm="1">
        <f t="array" ref="G205">IF(F205=0,0,IF(_xlfn.XLOOKUP(F205,$E$182:$AE$182,$E$183:$AE$183)=0,"Nhập ĐV/TV",_xlfn.XLOOKUP(F205,$E$182:$AE$182,$E$183:$AE$183)))</f>
        <v>0</v>
      </c>
      <c r="H205" s="8" cm="1">
        <f t="array" ref="H205">IFERROR(INDEX($E$184:$AE$184,MATCH(F205,$E$182:$AE$182,0)),0)</f>
        <v>0</v>
      </c>
      <c r="I205" s="9">
        <f ca="1">IFERROR(_xlfn.XLOOKUP($F205,'FCDB 2017 (full)'!$C:$C,'FCDB 2017 (full)'!$E:$E),0)</f>
        <v>0</v>
      </c>
      <c r="J205" s="10">
        <f t="shared" ca="1" si="39"/>
        <v>0</v>
      </c>
      <c r="K205" s="9">
        <f ca="1">IFERROR(_xlfn.XLOOKUP($F205,'FCDB 2017 (full)'!$C:$C,'FCDB 2017 (full)'!$G:$G),0)</f>
        <v>0</v>
      </c>
      <c r="L205" s="13">
        <f t="shared" si="40"/>
        <v>0</v>
      </c>
      <c r="M205" s="13">
        <f t="shared" si="41"/>
        <v>0</v>
      </c>
      <c r="N205" s="9">
        <f ca="1">IFERROR(_xlfn.XLOOKUP($F205,'FCDB 2017 (full)'!$C:$C,'FCDB 2017 (full)'!$H:$H),0)</f>
        <v>0</v>
      </c>
      <c r="O205" s="14">
        <f t="shared" si="42"/>
        <v>0</v>
      </c>
      <c r="P205" s="14">
        <f t="shared" si="43"/>
        <v>0</v>
      </c>
      <c r="Q205" s="9">
        <f ca="1">IFERROR(_xlfn.XLOOKUP($F205,'FCDB 2017 (full)'!$C:$C,'FCDB 2017 (full)'!$I:$I),0)</f>
        <v>0</v>
      </c>
      <c r="R205" s="15">
        <f t="shared" ca="1" si="44"/>
        <v>0</v>
      </c>
      <c r="S205" s="16">
        <f ca="1">IFERROR(_xlfn.XLOOKUP($F205,'FCDB 2017 (full)'!$C:$C,'FCDB 2017 (full)'!$J:$J)*$H205/100,0)</f>
        <v>0</v>
      </c>
      <c r="T205" s="16">
        <f ca="1">IFERROR(_xlfn.XLOOKUP($F205,'FCDB 2017 (full)'!$C:$C,'FCDB 2017 (full)'!$K:$K)*$H205/100,0)</f>
        <v>0</v>
      </c>
      <c r="U205" s="16">
        <f ca="1">IFERROR(_xlfn.XLOOKUP($F205,'FCDB 2017 (full)'!$C:$C,'FCDB 2017 (full)'!$L:$L)*$H205/100,0)</f>
        <v>0</v>
      </c>
      <c r="V205" s="16">
        <f ca="1">IFERROR(_xlfn.XLOOKUP($F205,'FCDB 2017 (full)'!$C:$C,'FCDB 2017 (full)'!$M:$M)*$H205/100,0)</f>
        <v>0</v>
      </c>
      <c r="W205" s="16">
        <f ca="1">IFERROR(_xlfn.XLOOKUP($F205,'FCDB 2017 (full)'!$C:$C,'FCDB 2017 (full)'!$N:$N)*$H205/100,0)</f>
        <v>0</v>
      </c>
      <c r="X205" s="16">
        <f ca="1">IFERROR(_xlfn.XLOOKUP($F205,'FCDB 2017 (full)'!$C:$C,'FCDB 2017 (full)'!$O:$O)*$H205/100,0)</f>
        <v>0</v>
      </c>
      <c r="Y205" s="16">
        <f ca="1">IFERROR(_xlfn.XLOOKUP($F205,'FCDB 2017 (full)'!$C:$C,'FCDB 2017 (full)'!$P:$P)*$H205/100,0)</f>
        <v>0</v>
      </c>
      <c r="Z205" s="16">
        <f ca="1">IFERROR(_xlfn.XLOOKUP($F205,'FCDB 2017 (full)'!$C:$C,'FCDB 2017 (full)'!$Q:$Q)*$H205/100,0)</f>
        <v>0</v>
      </c>
      <c r="AA205" s="16">
        <f ca="1">IFERROR(_xlfn.XLOOKUP($F205,'FCDB 2017 (full)'!$C:$C,'FCDB 2017 (full)'!$R:$R)*$H205/100,0)</f>
        <v>0</v>
      </c>
      <c r="AB205" s="16">
        <f ca="1">IFERROR(_xlfn.XLOOKUP($F205,'FCDB 2017 (full)'!$C:$C,'FCDB 2017 (full)'!$S:$S)*$H205/100,0)</f>
        <v>0</v>
      </c>
      <c r="AC205" s="16">
        <f ca="1">IFERROR(_xlfn.XLOOKUP($F205,'FCDB 2017 (full)'!$C:$C,'FCDB 2017 (full)'!$T:$T)*$H205/100,0)</f>
        <v>0</v>
      </c>
      <c r="AD205" s="16">
        <f ca="1">IFERROR(_xlfn.XLOOKUP($F205,'FCDB 2017 (full)'!$C:$C,'FCDB 2017 (full)'!$U:$U)*$H205/100,0)</f>
        <v>0</v>
      </c>
      <c r="AE205" s="16">
        <f ca="1">IFERROR(_xlfn.XLOOKUP($F205,'FCDB 2017 (full)'!$C:$C,'FCDB 2017 (full)'!$V:$V)*$H205/100,0)</f>
        <v>0</v>
      </c>
      <c r="AF205" s="16">
        <f ca="1">IFERROR(_xlfn.XLOOKUP($F205,'FCDB 2017 (full)'!$C:$C,'FCDB 2017 (full)'!$W:$W)*$H205/100,0)</f>
        <v>0</v>
      </c>
      <c r="AG205" s="16">
        <f ca="1">IFERROR(_xlfn.XLOOKUP($F205,'FCDB 2017 (full)'!$C:$C,'FCDB 2017 (full)'!$X:$X)*$H205/100,0)</f>
        <v>0</v>
      </c>
      <c r="AH205" s="16">
        <f ca="1">IFERROR(_xlfn.XLOOKUP($F205,'FCDB 2017 (full)'!$C:$C,'FCDB 2017 (full)'!$Y:$Y)*$H205/100,0)</f>
        <v>0</v>
      </c>
      <c r="AI205" s="16">
        <f ca="1">IFERROR(_xlfn.XLOOKUP($F205,'FCDB 2017 (full)'!$C:$C,'FCDB 2017 (full)'!$Z:$Z)*$H205/100,0)</f>
        <v>0</v>
      </c>
      <c r="AJ205" s="16">
        <f ca="1">IFERROR(_xlfn.XLOOKUP($F205,'FCDB 2017 (full)'!$C:$C,'FCDB 2017 (full)'!$AA:$AA)*$H205/100,0)</f>
        <v>0</v>
      </c>
      <c r="AK205" s="16">
        <f ca="1">IFERROR(_xlfn.XLOOKUP($F205,'FCDB 2017 (full)'!$C:$C,'FCDB 2017 (full)'!$AB:$AB)*$H205/100,0)</f>
        <v>0</v>
      </c>
      <c r="AL205" s="16">
        <f ca="1">IFERROR(_xlfn.XLOOKUP($F205,'FCDB 2017 (full)'!$C:$C,'FCDB 2017 (full)'!$AC:$AC)*$H205/100,0)</f>
        <v>0</v>
      </c>
      <c r="AM205" s="16">
        <f ca="1">IFERROR(_xlfn.XLOOKUP($F205,'FCDB 2017 (full)'!$C:$C,'FCDB 2017 (full)'!$AD:$AD)*$H205/100,0)</f>
        <v>0</v>
      </c>
      <c r="AN205" s="16">
        <f ca="1">IFERROR(_xlfn.XLOOKUP($F205,'FCDB 2017 (full)'!$C:$C,'FCDB 2017 (full)'!$AE:$AE)*$H205/100,0)</f>
        <v>0</v>
      </c>
      <c r="AO205" s="16">
        <f ca="1">IFERROR(_xlfn.XLOOKUP($F205,'FCDB 2017 (full)'!$C:$C,'FCDB 2017 (full)'!$AF:$AF)*$H205/100,0)</f>
        <v>0</v>
      </c>
      <c r="AP205" s="16">
        <f ca="1">IFERROR(_xlfn.XLOOKUP($F205,'FCDB 2017 (full)'!$C:$C,'FCDB 2017 (full)'!$AG:$AG)*$H205/100,0)</f>
        <v>0</v>
      </c>
      <c r="AQ205" s="16">
        <f ca="1">IFERROR(_xlfn.XLOOKUP($F205,'FCDB 2017 (full)'!$C:$C,'FCDB 2017 (full)'!$AH:$AH)*$H205/100,0)</f>
        <v>0</v>
      </c>
      <c r="AR205" s="16">
        <f ca="1">IFERROR(_xlfn.XLOOKUP($F205,'FCDB 2017 (full)'!$C:$C,'FCDB 2017 (full)'!$AI:$AI)*$H205/100,0)</f>
        <v>0</v>
      </c>
      <c r="AS205" s="16">
        <f ca="1">IFERROR(_xlfn.XLOOKUP($F205,'FCDB 2017 (full)'!$C:$C,'FCDB 2017 (full)'!$AJ:$AJ)*$H205/100,0)</f>
        <v>0</v>
      </c>
      <c r="AT205" s="16">
        <f ca="1">IFERROR(_xlfn.XLOOKUP($F205,'FCDB 2017 (full)'!$C:$C,'FCDB 2017 (full)'!$AK:$AK)*$H205/100,0)</f>
        <v>0</v>
      </c>
      <c r="AU205" s="16">
        <f ca="1">IFERROR(_xlfn.XLOOKUP($F205,'FCDB 2017 (full)'!$C:$C,'FCDB 2017 (full)'!$AK:$AK)*$H205/100,0)</f>
        <v>0</v>
      </c>
      <c r="AV205" s="16">
        <f ca="1">IFERROR(_xlfn.XLOOKUP($F205,'FCDB 2017 (full)'!$C:$C,'FCDB 2017 (full)'!$AM:$AM)*$H205/100,0)</f>
        <v>0</v>
      </c>
      <c r="AW205" s="16">
        <f ca="1">IFERROR(_xlfn.XLOOKUP($F205,'FCDB 2017 (full)'!$C:$C,'FCDB 2017 (full)'!$AN:$AN)*$H205/100,0)</f>
        <v>0</v>
      </c>
      <c r="AX205" s="16">
        <f ca="1">IFERROR(_xlfn.XLOOKUP($F205,'FCDB 2017 (full)'!$C:$C,'FCDB 2017 (full)'!$AO:$AO)*$H205/100,0)</f>
        <v>0</v>
      </c>
      <c r="AY205" s="16">
        <f ca="1">IFERROR(_xlfn.XLOOKUP($F205,'FCDB 2017 (full)'!$C:$C,'FCDB 2017 (full)'!$AP:$AP)*$H205/100,0)</f>
        <v>0</v>
      </c>
      <c r="AZ205" s="16">
        <f ca="1">IFERROR(_xlfn.XLOOKUP($F205,'FCDB 2017 (full)'!$C:$C,'FCDB 2017 (full)'!$AQ:$AQ)*$H205/100,0)</f>
        <v>0</v>
      </c>
      <c r="BA205" s="16">
        <f ca="1">IFERROR(_xlfn.XLOOKUP($F205,'FCDB 2017 (full)'!$C:$C,'FCDB 2017 (full)'!$AR:$AR)*$H205/100,0)</f>
        <v>0</v>
      </c>
      <c r="BB205" s="16">
        <f ca="1">IFERROR(_xlfn.XLOOKUP($F205,'FCDB 2017 (full)'!$C:$C,'FCDB 2017 (full)'!$AS:$AS)*$H205/100,0)</f>
        <v>0</v>
      </c>
      <c r="BC205" s="16">
        <f ca="1">IFERROR(_xlfn.XLOOKUP($F205,'FCDB 2017 (full)'!$C:$C,'FCDB 2017 (full)'!$AT:$AT)*$H205/100,0)</f>
        <v>0</v>
      </c>
      <c r="BD205" s="16">
        <f ca="1">IFERROR(_xlfn.XLOOKUP($F205,'FCDB 2017 (full)'!$C:$C,'FCDB 2017 (full)'!$AU:$AU)*$H205/100,0)</f>
        <v>0</v>
      </c>
      <c r="BE205" s="16">
        <f ca="1">IFERROR(_xlfn.XLOOKUP($F205,'FCDB 2017 (full)'!$C:$C,'FCDB 2017 (full)'!$AV:$AV)*$H205/100,0)</f>
        <v>0</v>
      </c>
      <c r="BF205" s="16">
        <f ca="1">IFERROR(_xlfn.XLOOKUP($F205,'FCDB 2017 (full)'!$C:$C,'FCDB 2017 (full)'!$AW:$AW)*$H205/100,0)</f>
        <v>0</v>
      </c>
      <c r="BG205" s="16">
        <f ca="1">IFERROR(_xlfn.XLOOKUP($F205,'FCDB 2017 (full)'!$C:$C,'FCDB 2017 (full)'!$AX:$AX)*$H205/100,0)</f>
        <v>0</v>
      </c>
      <c r="BH205" s="16">
        <f ca="1">IFERROR(_xlfn.XLOOKUP($F205,'FCDB 2017 (full)'!$C:$C,'FCDB 2017 (full)'!$AY:$AY)*$H205/100,0)</f>
        <v>0</v>
      </c>
      <c r="BI205" s="16">
        <f ca="1">IFERROR(_xlfn.XLOOKUP($F205,'FCDB 2017 (full)'!$C:$C,'FCDB 2017 (full)'!$AZ:$AZ)*$H205/100,0)</f>
        <v>0</v>
      </c>
      <c r="BJ205" s="16">
        <f ca="1">IFERROR(_xlfn.XLOOKUP($F205,'FCDB 2017 (full)'!$C:$C,'FCDB 2017 (full)'!$BA:$BA)*$H205/100,0)</f>
        <v>0</v>
      </c>
      <c r="BK205" s="16">
        <f ca="1">IFERROR(_xlfn.XLOOKUP($F205,'FCDB 2017 (full)'!$C:$C,'FCDB 2017 (full)'!$BB:$BB)*$H205/100,0)</f>
        <v>0</v>
      </c>
      <c r="BL205" s="16">
        <f ca="1">IFERROR(_xlfn.XLOOKUP($F205,'FCDB 2017 (full)'!$C:$C,'FCDB 2017 (full)'!$BC:$BC)*$H205/100,0)</f>
        <v>0</v>
      </c>
      <c r="BM205" s="16">
        <f ca="1">IFERROR(_xlfn.XLOOKUP($F205,'FCDB 2017 (full)'!$C:$C,'FCDB 2017 (full)'!$BD:$BD)*$H205/100,0)</f>
        <v>0</v>
      </c>
      <c r="BN205" s="16">
        <f ca="1">IFERROR(_xlfn.XLOOKUP($F205,'FCDB 2017 (full)'!$C:$C,'FCDB 2017 (full)'!$BE:$BE)*$H205/100,0)</f>
        <v>0</v>
      </c>
      <c r="BO205" s="16">
        <f ca="1">IFERROR(_xlfn.XLOOKUP($F205,'FCDB 2017 (full)'!$C:$C,'FCDB 2017 (full)'!$BF:$BF)*$H205/100,0)</f>
        <v>0</v>
      </c>
      <c r="BP205" s="16">
        <f ca="1">IFERROR(_xlfn.XLOOKUP($F205,'FCDB 2017 (full)'!$C:$C,'FCDB 2017 (full)'!$BG:$BG)*$H205/100,0)</f>
        <v>0</v>
      </c>
      <c r="BQ205" s="16">
        <f ca="1">IFERROR(_xlfn.XLOOKUP($F205,'FCDB 2017 (full)'!$C:$C,'FCDB 2017 (full)'!$BH:$BH)*$H205/100,0)</f>
        <v>0</v>
      </c>
      <c r="BR205" s="16">
        <f ca="1">IFERROR(_xlfn.XLOOKUP($F205,'FCDB 2017 (full)'!$C:$C,'FCDB 2017 (full)'!$BI:$BI)*$H205/100,0)</f>
        <v>0</v>
      </c>
      <c r="BS205" s="16">
        <f ca="1">IFERROR(_xlfn.XLOOKUP($F205,'FCDB 2017 (full)'!$C:$C,'FCDB 2017 (full)'!$BJ:$BJ)*$H205/100,0)</f>
        <v>0</v>
      </c>
      <c r="BT205" s="16">
        <f ca="1">IFERROR(_xlfn.XLOOKUP($F205,'FCDB 2017 (full)'!$C:$C,'FCDB 2017 (full)'!$BK:$BK)*$H205/100,0)</f>
        <v>0</v>
      </c>
      <c r="BU205" s="16">
        <f ca="1">IFERROR(_xlfn.XLOOKUP($F205,'FCDB 2017 (full)'!$C:$C,'FCDB 2017 (full)'!$BL:$BL)*$H205/100,0)</f>
        <v>0</v>
      </c>
      <c r="BV205" s="16">
        <f ca="1">IFERROR(_xlfn.XLOOKUP($F205,'FCDB 2017 (full)'!$C:$C,'FCDB 2017 (full)'!$BM:$BM)*$H205/100,0)</f>
        <v>0</v>
      </c>
      <c r="BW205" s="16">
        <f ca="1">IFERROR(_xlfn.XLOOKUP($F205,'FCDB 2017 (full)'!$C:$C,'FCDB 2017 (full)'!$BN:$BN)*$H205/100,0)</f>
        <v>0</v>
      </c>
      <c r="BX205" s="16">
        <f ca="1">IFERROR(_xlfn.XLOOKUP($F205,'FCDB 2017 (full)'!$C:$C,'FCDB 2017 (full)'!$BO:$BO)*$H205/100,0)</f>
        <v>0</v>
      </c>
      <c r="BY205" s="16">
        <f ca="1">IFERROR(_xlfn.XLOOKUP($F205,'FCDB 2017 (full)'!$C:$C,'FCDB 2017 (full)'!$BP:$BP)*$H205/100,0)</f>
        <v>0</v>
      </c>
      <c r="BZ205" s="16">
        <f ca="1">IFERROR(_xlfn.XLOOKUP($F205,'FCDB 2017 (full)'!$C:$C,'FCDB 2017 (full)'!$BQ:$BQ)*$H205/100,0)</f>
        <v>0</v>
      </c>
      <c r="CA205" s="16">
        <f ca="1">IFERROR(_xlfn.XLOOKUP($F205,'FCDB 2017 (full)'!$C:$C,'FCDB 2017 (full)'!$BR:$BR)*$H205/100,0)</f>
        <v>0</v>
      </c>
      <c r="CB205" s="16">
        <f ca="1">IFERROR(_xlfn.XLOOKUP($F205,'FCDB 2017 (full)'!$C:$C,'FCDB 2017 (full)'!$BS:$BS)*$H205/100,0)</f>
        <v>0</v>
      </c>
      <c r="CC205" s="16">
        <f ca="1">IFERROR(_xlfn.XLOOKUP($F205,'FCDB 2017 (full)'!$C:$C,'FCDB 2017 (full)'!$BT:$BT)*$H205/100,0)</f>
        <v>0</v>
      </c>
      <c r="CD205" s="16">
        <f ca="1">IFERROR(_xlfn.XLOOKUP($F205,'FCDB 2017 (full)'!$C:$C,'FCDB 2017 (full)'!$BU:$BU)*$H205/100,0)</f>
        <v>0</v>
      </c>
      <c r="CE205" s="16">
        <f ca="1">IFERROR(_xlfn.XLOOKUP($F205,'FCDB 2017 (full)'!$C:$C,'FCDB 2017 (full)'!$BV:$BV)*$H205/100,0)</f>
        <v>0</v>
      </c>
      <c r="CF205" s="16">
        <f ca="1">IFERROR(_xlfn.XLOOKUP($F205,'FCDB 2017 (full)'!$C:$C,'FCDB 2017 (full)'!$BW:$BW)*$H205/100,0)</f>
        <v>0</v>
      </c>
      <c r="CG205" s="16">
        <f ca="1">IFERROR(_xlfn.XLOOKUP($F205,'FCDB 2017 (full)'!$C:$C,'FCDB 2017 (full)'!$BX:$BX)*$H205/100,0)</f>
        <v>0</v>
      </c>
      <c r="CH205" s="16">
        <f ca="1">IFERROR(_xlfn.XLOOKUP($F205,'FCDB 2017 (full)'!$C:$C,'FCDB 2017 (full)'!$BY:$BY)*$H205/100,0)</f>
        <v>0</v>
      </c>
      <c r="CI205" s="16">
        <f ca="1">IFERROR(_xlfn.XLOOKUP($F205,'FCDB 2017 (full)'!$C:$C,'FCDB 2017 (full)'!$BZ:$BZ)*$H205/100,0)</f>
        <v>0</v>
      </c>
      <c r="CJ205" s="16">
        <f ca="1">IFERROR(_xlfn.XLOOKUP($F205,'FCDB 2017 (full)'!$C:$C,'FCDB 2017 (full)'!$CA:$CA)*$H205/100,0)</f>
        <v>0</v>
      </c>
      <c r="CK205" s="16">
        <f ca="1">IFERROR(_xlfn.XLOOKUP($F205,'FCDB 2017 (full)'!$C:$C,'FCDB 2017 (full)'!$CB:$CB)*$H205/100,0)</f>
        <v>0</v>
      </c>
      <c r="CL205" s="16">
        <f ca="1">IFERROR(_xlfn.XLOOKUP($F205,'FCDB 2017 (full)'!$C:$C,'FCDB 2017 (full)'!$CC:$CC)*$H205/100,0)</f>
        <v>0</v>
      </c>
      <c r="CM205" s="16">
        <f ca="1">IFERROR(_xlfn.XLOOKUP($F205,'FCDB 2017 (full)'!$C:$C,'FCDB 2017 (full)'!$CD:$CD)*$H205/100,0)</f>
        <v>0</v>
      </c>
      <c r="CN205" s="16">
        <f ca="1">IFERROR(_xlfn.XLOOKUP($F205,'FCDB 2017 (full)'!$C:$C,'FCDB 2017 (full)'!$CE:$CE)*$H205/100,0)</f>
        <v>0</v>
      </c>
      <c r="CO205" s="16">
        <f ca="1">IFERROR(_xlfn.XLOOKUP($F205,'FCDB 2017 (full)'!$C:$C,'FCDB 2017 (full)'!$CF:$CF)*$H205/100,0)</f>
        <v>0</v>
      </c>
      <c r="CP205" s="16">
        <f ca="1">IFERROR(_xlfn.XLOOKUP($F205,'FCDB 2017 (full)'!$C:$C,'FCDB 2017 (full)'!$CG:$CG)*$H205/100,0)</f>
        <v>0</v>
      </c>
      <c r="CQ205" s="16">
        <f ca="1">IFERROR(_xlfn.XLOOKUP($F205,'FCDB 2017 (full)'!$C:$C,'FCDB 2017 (full)'!$CH:$CH)*$H205/100,0)</f>
        <v>0</v>
      </c>
      <c r="CR205" s="29"/>
      <c r="DA205" s="72" t="s">
        <v>987</v>
      </c>
    </row>
    <row r="206" spans="4:105">
      <c r="D206" s="29"/>
      <c r="E206" s="29"/>
      <c r="F206" s="11">
        <f>IFERROR(VLOOKUP($D$182,$D:$AE,23,0),0)</f>
        <v>0</v>
      </c>
      <c r="G206" s="7" cm="1">
        <f t="array" ref="G206">IF(F206=0,0,IF(_xlfn.XLOOKUP(F206,$E$182:$AE$182,$E$183:$AE$183)=0,"Nhập ĐV/TV",_xlfn.XLOOKUP(F206,$E$182:$AE$182,$E$183:$AE$183)))</f>
        <v>0</v>
      </c>
      <c r="H206" s="8" cm="1">
        <f t="array" ref="H206">IFERROR(INDEX($E$184:$AE$184,MATCH(F206,$E$182:$AE$182,0)),0)</f>
        <v>0</v>
      </c>
      <c r="I206" s="9">
        <f ca="1">IFERROR(_xlfn.XLOOKUP($F206,'FCDB 2017 (full)'!$C:$C,'FCDB 2017 (full)'!$E:$E),0)</f>
        <v>0</v>
      </c>
      <c r="J206" s="10">
        <f t="shared" ca="1" si="39"/>
        <v>0</v>
      </c>
      <c r="K206" s="9">
        <f ca="1">IFERROR(_xlfn.XLOOKUP($F206,'FCDB 2017 (full)'!$C:$C,'FCDB 2017 (full)'!$G:$G),0)</f>
        <v>0</v>
      </c>
      <c r="L206" s="13">
        <f t="shared" si="40"/>
        <v>0</v>
      </c>
      <c r="M206" s="13">
        <f t="shared" si="41"/>
        <v>0</v>
      </c>
      <c r="N206" s="9">
        <f ca="1">IFERROR(_xlfn.XLOOKUP($F206,'FCDB 2017 (full)'!$C:$C,'FCDB 2017 (full)'!$H:$H),0)</f>
        <v>0</v>
      </c>
      <c r="O206" s="14">
        <f t="shared" si="42"/>
        <v>0</v>
      </c>
      <c r="P206" s="14">
        <f t="shared" si="43"/>
        <v>0</v>
      </c>
      <c r="Q206" s="9">
        <f ca="1">IFERROR(_xlfn.XLOOKUP($F206,'FCDB 2017 (full)'!$C:$C,'FCDB 2017 (full)'!$I:$I),0)</f>
        <v>0</v>
      </c>
      <c r="R206" s="15">
        <f t="shared" ca="1" si="44"/>
        <v>0</v>
      </c>
      <c r="S206" s="16">
        <f ca="1">IFERROR(_xlfn.XLOOKUP($F206,'FCDB 2017 (full)'!$C:$C,'FCDB 2017 (full)'!$J:$J)*$H206/100,0)</f>
        <v>0</v>
      </c>
      <c r="T206" s="16">
        <f ca="1">IFERROR(_xlfn.XLOOKUP($F206,'FCDB 2017 (full)'!$C:$C,'FCDB 2017 (full)'!$K:$K)*$H206/100,0)</f>
        <v>0</v>
      </c>
      <c r="U206" s="16">
        <f ca="1">IFERROR(_xlfn.XLOOKUP($F206,'FCDB 2017 (full)'!$C:$C,'FCDB 2017 (full)'!$L:$L)*$H206/100,0)</f>
        <v>0</v>
      </c>
      <c r="V206" s="16">
        <f ca="1">IFERROR(_xlfn.XLOOKUP($F206,'FCDB 2017 (full)'!$C:$C,'FCDB 2017 (full)'!$M:$M)*$H206/100,0)</f>
        <v>0</v>
      </c>
      <c r="W206" s="16">
        <f ca="1">IFERROR(_xlfn.XLOOKUP($F206,'FCDB 2017 (full)'!$C:$C,'FCDB 2017 (full)'!$N:$N)*$H206/100,0)</f>
        <v>0</v>
      </c>
      <c r="X206" s="16">
        <f ca="1">IFERROR(_xlfn.XLOOKUP($F206,'FCDB 2017 (full)'!$C:$C,'FCDB 2017 (full)'!$O:$O)*$H206/100,0)</f>
        <v>0</v>
      </c>
      <c r="Y206" s="16">
        <f ca="1">IFERROR(_xlfn.XLOOKUP($F206,'FCDB 2017 (full)'!$C:$C,'FCDB 2017 (full)'!$P:$P)*$H206/100,0)</f>
        <v>0</v>
      </c>
      <c r="Z206" s="16">
        <f ca="1">IFERROR(_xlfn.XLOOKUP($F206,'FCDB 2017 (full)'!$C:$C,'FCDB 2017 (full)'!$Q:$Q)*$H206/100,0)</f>
        <v>0</v>
      </c>
      <c r="AA206" s="16">
        <f ca="1">IFERROR(_xlfn.XLOOKUP($F206,'FCDB 2017 (full)'!$C:$C,'FCDB 2017 (full)'!$R:$R)*$H206/100,0)</f>
        <v>0</v>
      </c>
      <c r="AB206" s="16">
        <f ca="1">IFERROR(_xlfn.XLOOKUP($F206,'FCDB 2017 (full)'!$C:$C,'FCDB 2017 (full)'!$S:$S)*$H206/100,0)</f>
        <v>0</v>
      </c>
      <c r="AC206" s="16">
        <f ca="1">IFERROR(_xlfn.XLOOKUP($F206,'FCDB 2017 (full)'!$C:$C,'FCDB 2017 (full)'!$T:$T)*$H206/100,0)</f>
        <v>0</v>
      </c>
      <c r="AD206" s="16">
        <f ca="1">IFERROR(_xlfn.XLOOKUP($F206,'FCDB 2017 (full)'!$C:$C,'FCDB 2017 (full)'!$U:$U)*$H206/100,0)</f>
        <v>0</v>
      </c>
      <c r="AE206" s="16">
        <f ca="1">IFERROR(_xlfn.XLOOKUP($F206,'FCDB 2017 (full)'!$C:$C,'FCDB 2017 (full)'!$V:$V)*$H206/100,0)</f>
        <v>0</v>
      </c>
      <c r="AF206" s="16">
        <f ca="1">IFERROR(_xlfn.XLOOKUP($F206,'FCDB 2017 (full)'!$C:$C,'FCDB 2017 (full)'!$W:$W)*$H206/100,0)</f>
        <v>0</v>
      </c>
      <c r="AG206" s="16">
        <f ca="1">IFERROR(_xlfn.XLOOKUP($F206,'FCDB 2017 (full)'!$C:$C,'FCDB 2017 (full)'!$X:$X)*$H206/100,0)</f>
        <v>0</v>
      </c>
      <c r="AH206" s="16">
        <f ca="1">IFERROR(_xlfn.XLOOKUP($F206,'FCDB 2017 (full)'!$C:$C,'FCDB 2017 (full)'!$Y:$Y)*$H206/100,0)</f>
        <v>0</v>
      </c>
      <c r="AI206" s="16">
        <f ca="1">IFERROR(_xlfn.XLOOKUP($F206,'FCDB 2017 (full)'!$C:$C,'FCDB 2017 (full)'!$Z:$Z)*$H206/100,0)</f>
        <v>0</v>
      </c>
      <c r="AJ206" s="16">
        <f ca="1">IFERROR(_xlfn.XLOOKUP($F206,'FCDB 2017 (full)'!$C:$C,'FCDB 2017 (full)'!$AA:$AA)*$H206/100,0)</f>
        <v>0</v>
      </c>
      <c r="AK206" s="16">
        <f ca="1">IFERROR(_xlfn.XLOOKUP($F206,'FCDB 2017 (full)'!$C:$C,'FCDB 2017 (full)'!$AB:$AB)*$H206/100,0)</f>
        <v>0</v>
      </c>
      <c r="AL206" s="16">
        <f ca="1">IFERROR(_xlfn.XLOOKUP($F206,'FCDB 2017 (full)'!$C:$C,'FCDB 2017 (full)'!$AC:$AC)*$H206/100,0)</f>
        <v>0</v>
      </c>
      <c r="AM206" s="16">
        <f ca="1">IFERROR(_xlfn.XLOOKUP($F206,'FCDB 2017 (full)'!$C:$C,'FCDB 2017 (full)'!$AD:$AD)*$H206/100,0)</f>
        <v>0</v>
      </c>
      <c r="AN206" s="16">
        <f ca="1">IFERROR(_xlfn.XLOOKUP($F206,'FCDB 2017 (full)'!$C:$C,'FCDB 2017 (full)'!$AE:$AE)*$H206/100,0)</f>
        <v>0</v>
      </c>
      <c r="AO206" s="16">
        <f ca="1">IFERROR(_xlfn.XLOOKUP($F206,'FCDB 2017 (full)'!$C:$C,'FCDB 2017 (full)'!$AF:$AF)*$H206/100,0)</f>
        <v>0</v>
      </c>
      <c r="AP206" s="16">
        <f ca="1">IFERROR(_xlfn.XLOOKUP($F206,'FCDB 2017 (full)'!$C:$C,'FCDB 2017 (full)'!$AG:$AG)*$H206/100,0)</f>
        <v>0</v>
      </c>
      <c r="AQ206" s="16">
        <f ca="1">IFERROR(_xlfn.XLOOKUP($F206,'FCDB 2017 (full)'!$C:$C,'FCDB 2017 (full)'!$AH:$AH)*$H206/100,0)</f>
        <v>0</v>
      </c>
      <c r="AR206" s="16">
        <f ca="1">IFERROR(_xlfn.XLOOKUP($F206,'FCDB 2017 (full)'!$C:$C,'FCDB 2017 (full)'!$AI:$AI)*$H206/100,0)</f>
        <v>0</v>
      </c>
      <c r="AS206" s="16">
        <f ca="1">IFERROR(_xlfn.XLOOKUP($F206,'FCDB 2017 (full)'!$C:$C,'FCDB 2017 (full)'!$AJ:$AJ)*$H206/100,0)</f>
        <v>0</v>
      </c>
      <c r="AT206" s="16">
        <f ca="1">IFERROR(_xlfn.XLOOKUP($F206,'FCDB 2017 (full)'!$C:$C,'FCDB 2017 (full)'!$AK:$AK)*$H206/100,0)</f>
        <v>0</v>
      </c>
      <c r="AU206" s="16">
        <f ca="1">IFERROR(_xlfn.XLOOKUP($F206,'FCDB 2017 (full)'!$C:$C,'FCDB 2017 (full)'!$AK:$AK)*$H206/100,0)</f>
        <v>0</v>
      </c>
      <c r="AV206" s="16">
        <f ca="1">IFERROR(_xlfn.XLOOKUP($F206,'FCDB 2017 (full)'!$C:$C,'FCDB 2017 (full)'!$AM:$AM)*$H206/100,0)</f>
        <v>0</v>
      </c>
      <c r="AW206" s="16">
        <f ca="1">IFERROR(_xlfn.XLOOKUP($F206,'FCDB 2017 (full)'!$C:$C,'FCDB 2017 (full)'!$AN:$AN)*$H206/100,0)</f>
        <v>0</v>
      </c>
      <c r="AX206" s="16">
        <f ca="1">IFERROR(_xlfn.XLOOKUP($F206,'FCDB 2017 (full)'!$C:$C,'FCDB 2017 (full)'!$AO:$AO)*$H206/100,0)</f>
        <v>0</v>
      </c>
      <c r="AY206" s="16">
        <f ca="1">IFERROR(_xlfn.XLOOKUP($F206,'FCDB 2017 (full)'!$C:$C,'FCDB 2017 (full)'!$AP:$AP)*$H206/100,0)</f>
        <v>0</v>
      </c>
      <c r="AZ206" s="16">
        <f ca="1">IFERROR(_xlfn.XLOOKUP($F206,'FCDB 2017 (full)'!$C:$C,'FCDB 2017 (full)'!$AQ:$AQ)*$H206/100,0)</f>
        <v>0</v>
      </c>
      <c r="BA206" s="16">
        <f ca="1">IFERROR(_xlfn.XLOOKUP($F206,'FCDB 2017 (full)'!$C:$C,'FCDB 2017 (full)'!$AR:$AR)*$H206/100,0)</f>
        <v>0</v>
      </c>
      <c r="BB206" s="16">
        <f ca="1">IFERROR(_xlfn.XLOOKUP($F206,'FCDB 2017 (full)'!$C:$C,'FCDB 2017 (full)'!$AS:$AS)*$H206/100,0)</f>
        <v>0</v>
      </c>
      <c r="BC206" s="16">
        <f ca="1">IFERROR(_xlfn.XLOOKUP($F206,'FCDB 2017 (full)'!$C:$C,'FCDB 2017 (full)'!$AT:$AT)*$H206/100,0)</f>
        <v>0</v>
      </c>
      <c r="BD206" s="16">
        <f ca="1">IFERROR(_xlfn.XLOOKUP($F206,'FCDB 2017 (full)'!$C:$C,'FCDB 2017 (full)'!$AU:$AU)*$H206/100,0)</f>
        <v>0</v>
      </c>
      <c r="BE206" s="16">
        <f ca="1">IFERROR(_xlfn.XLOOKUP($F206,'FCDB 2017 (full)'!$C:$C,'FCDB 2017 (full)'!$AV:$AV)*$H206/100,0)</f>
        <v>0</v>
      </c>
      <c r="BF206" s="16">
        <f ca="1">IFERROR(_xlfn.XLOOKUP($F206,'FCDB 2017 (full)'!$C:$C,'FCDB 2017 (full)'!$AW:$AW)*$H206/100,0)</f>
        <v>0</v>
      </c>
      <c r="BG206" s="16">
        <f ca="1">IFERROR(_xlfn.XLOOKUP($F206,'FCDB 2017 (full)'!$C:$C,'FCDB 2017 (full)'!$AX:$AX)*$H206/100,0)</f>
        <v>0</v>
      </c>
      <c r="BH206" s="16">
        <f ca="1">IFERROR(_xlfn.XLOOKUP($F206,'FCDB 2017 (full)'!$C:$C,'FCDB 2017 (full)'!$AY:$AY)*$H206/100,0)</f>
        <v>0</v>
      </c>
      <c r="BI206" s="16">
        <f ca="1">IFERROR(_xlfn.XLOOKUP($F206,'FCDB 2017 (full)'!$C:$C,'FCDB 2017 (full)'!$AZ:$AZ)*$H206/100,0)</f>
        <v>0</v>
      </c>
      <c r="BJ206" s="16">
        <f ca="1">IFERROR(_xlfn.XLOOKUP($F206,'FCDB 2017 (full)'!$C:$C,'FCDB 2017 (full)'!$BA:$BA)*$H206/100,0)</f>
        <v>0</v>
      </c>
      <c r="BK206" s="16">
        <f ca="1">IFERROR(_xlfn.XLOOKUP($F206,'FCDB 2017 (full)'!$C:$C,'FCDB 2017 (full)'!$BB:$BB)*$H206/100,0)</f>
        <v>0</v>
      </c>
      <c r="BL206" s="16">
        <f ca="1">IFERROR(_xlfn.XLOOKUP($F206,'FCDB 2017 (full)'!$C:$C,'FCDB 2017 (full)'!$BC:$BC)*$H206/100,0)</f>
        <v>0</v>
      </c>
      <c r="BM206" s="16">
        <f ca="1">IFERROR(_xlfn.XLOOKUP($F206,'FCDB 2017 (full)'!$C:$C,'FCDB 2017 (full)'!$BD:$BD)*$H206/100,0)</f>
        <v>0</v>
      </c>
      <c r="BN206" s="16">
        <f ca="1">IFERROR(_xlfn.XLOOKUP($F206,'FCDB 2017 (full)'!$C:$C,'FCDB 2017 (full)'!$BE:$BE)*$H206/100,0)</f>
        <v>0</v>
      </c>
      <c r="BO206" s="16">
        <f ca="1">IFERROR(_xlfn.XLOOKUP($F206,'FCDB 2017 (full)'!$C:$C,'FCDB 2017 (full)'!$BF:$BF)*$H206/100,0)</f>
        <v>0</v>
      </c>
      <c r="BP206" s="16">
        <f ca="1">IFERROR(_xlfn.XLOOKUP($F206,'FCDB 2017 (full)'!$C:$C,'FCDB 2017 (full)'!$BG:$BG)*$H206/100,0)</f>
        <v>0</v>
      </c>
      <c r="BQ206" s="16">
        <f ca="1">IFERROR(_xlfn.XLOOKUP($F206,'FCDB 2017 (full)'!$C:$C,'FCDB 2017 (full)'!$BH:$BH)*$H206/100,0)</f>
        <v>0</v>
      </c>
      <c r="BR206" s="16">
        <f ca="1">IFERROR(_xlfn.XLOOKUP($F206,'FCDB 2017 (full)'!$C:$C,'FCDB 2017 (full)'!$BI:$BI)*$H206/100,0)</f>
        <v>0</v>
      </c>
      <c r="BS206" s="16">
        <f ca="1">IFERROR(_xlfn.XLOOKUP($F206,'FCDB 2017 (full)'!$C:$C,'FCDB 2017 (full)'!$BJ:$BJ)*$H206/100,0)</f>
        <v>0</v>
      </c>
      <c r="BT206" s="16">
        <f ca="1">IFERROR(_xlfn.XLOOKUP($F206,'FCDB 2017 (full)'!$C:$C,'FCDB 2017 (full)'!$BK:$BK)*$H206/100,0)</f>
        <v>0</v>
      </c>
      <c r="BU206" s="16">
        <f ca="1">IFERROR(_xlfn.XLOOKUP($F206,'FCDB 2017 (full)'!$C:$C,'FCDB 2017 (full)'!$BL:$BL)*$H206/100,0)</f>
        <v>0</v>
      </c>
      <c r="BV206" s="16">
        <f ca="1">IFERROR(_xlfn.XLOOKUP($F206,'FCDB 2017 (full)'!$C:$C,'FCDB 2017 (full)'!$BM:$BM)*$H206/100,0)</f>
        <v>0</v>
      </c>
      <c r="BW206" s="16">
        <f ca="1">IFERROR(_xlfn.XLOOKUP($F206,'FCDB 2017 (full)'!$C:$C,'FCDB 2017 (full)'!$BN:$BN)*$H206/100,0)</f>
        <v>0</v>
      </c>
      <c r="BX206" s="16">
        <f ca="1">IFERROR(_xlfn.XLOOKUP($F206,'FCDB 2017 (full)'!$C:$C,'FCDB 2017 (full)'!$BO:$BO)*$H206/100,0)</f>
        <v>0</v>
      </c>
      <c r="BY206" s="16">
        <f ca="1">IFERROR(_xlfn.XLOOKUP($F206,'FCDB 2017 (full)'!$C:$C,'FCDB 2017 (full)'!$BP:$BP)*$H206/100,0)</f>
        <v>0</v>
      </c>
      <c r="BZ206" s="16">
        <f ca="1">IFERROR(_xlfn.XLOOKUP($F206,'FCDB 2017 (full)'!$C:$C,'FCDB 2017 (full)'!$BQ:$BQ)*$H206/100,0)</f>
        <v>0</v>
      </c>
      <c r="CA206" s="16">
        <f ca="1">IFERROR(_xlfn.XLOOKUP($F206,'FCDB 2017 (full)'!$C:$C,'FCDB 2017 (full)'!$BR:$BR)*$H206/100,0)</f>
        <v>0</v>
      </c>
      <c r="CB206" s="16">
        <f ca="1">IFERROR(_xlfn.XLOOKUP($F206,'FCDB 2017 (full)'!$C:$C,'FCDB 2017 (full)'!$BS:$BS)*$H206/100,0)</f>
        <v>0</v>
      </c>
      <c r="CC206" s="16">
        <f ca="1">IFERROR(_xlfn.XLOOKUP($F206,'FCDB 2017 (full)'!$C:$C,'FCDB 2017 (full)'!$BT:$BT)*$H206/100,0)</f>
        <v>0</v>
      </c>
      <c r="CD206" s="16">
        <f ca="1">IFERROR(_xlfn.XLOOKUP($F206,'FCDB 2017 (full)'!$C:$C,'FCDB 2017 (full)'!$BU:$BU)*$H206/100,0)</f>
        <v>0</v>
      </c>
      <c r="CE206" s="16">
        <f ca="1">IFERROR(_xlfn.XLOOKUP($F206,'FCDB 2017 (full)'!$C:$C,'FCDB 2017 (full)'!$BV:$BV)*$H206/100,0)</f>
        <v>0</v>
      </c>
      <c r="CF206" s="16">
        <f ca="1">IFERROR(_xlfn.XLOOKUP($F206,'FCDB 2017 (full)'!$C:$C,'FCDB 2017 (full)'!$BW:$BW)*$H206/100,0)</f>
        <v>0</v>
      </c>
      <c r="CG206" s="16">
        <f ca="1">IFERROR(_xlfn.XLOOKUP($F206,'FCDB 2017 (full)'!$C:$C,'FCDB 2017 (full)'!$BX:$BX)*$H206/100,0)</f>
        <v>0</v>
      </c>
      <c r="CH206" s="16">
        <f ca="1">IFERROR(_xlfn.XLOOKUP($F206,'FCDB 2017 (full)'!$C:$C,'FCDB 2017 (full)'!$BY:$BY)*$H206/100,0)</f>
        <v>0</v>
      </c>
      <c r="CI206" s="16">
        <f ca="1">IFERROR(_xlfn.XLOOKUP($F206,'FCDB 2017 (full)'!$C:$C,'FCDB 2017 (full)'!$BZ:$BZ)*$H206/100,0)</f>
        <v>0</v>
      </c>
      <c r="CJ206" s="16">
        <f ca="1">IFERROR(_xlfn.XLOOKUP($F206,'FCDB 2017 (full)'!$C:$C,'FCDB 2017 (full)'!$CA:$CA)*$H206/100,0)</f>
        <v>0</v>
      </c>
      <c r="CK206" s="16">
        <f ca="1">IFERROR(_xlfn.XLOOKUP($F206,'FCDB 2017 (full)'!$C:$C,'FCDB 2017 (full)'!$CB:$CB)*$H206/100,0)</f>
        <v>0</v>
      </c>
      <c r="CL206" s="16">
        <f ca="1">IFERROR(_xlfn.XLOOKUP($F206,'FCDB 2017 (full)'!$C:$C,'FCDB 2017 (full)'!$CC:$CC)*$H206/100,0)</f>
        <v>0</v>
      </c>
      <c r="CM206" s="16">
        <f ca="1">IFERROR(_xlfn.XLOOKUP($F206,'FCDB 2017 (full)'!$C:$C,'FCDB 2017 (full)'!$CD:$CD)*$H206/100,0)</f>
        <v>0</v>
      </c>
      <c r="CN206" s="16">
        <f ca="1">IFERROR(_xlfn.XLOOKUP($F206,'FCDB 2017 (full)'!$C:$C,'FCDB 2017 (full)'!$CE:$CE)*$H206/100,0)</f>
        <v>0</v>
      </c>
      <c r="CO206" s="16">
        <f ca="1">IFERROR(_xlfn.XLOOKUP($F206,'FCDB 2017 (full)'!$C:$C,'FCDB 2017 (full)'!$CF:$CF)*$H206/100,0)</f>
        <v>0</v>
      </c>
      <c r="CP206" s="16">
        <f ca="1">IFERROR(_xlfn.XLOOKUP($F206,'FCDB 2017 (full)'!$C:$C,'FCDB 2017 (full)'!$CG:$CG)*$H206/100,0)</f>
        <v>0</v>
      </c>
      <c r="CQ206" s="16">
        <f ca="1">IFERROR(_xlfn.XLOOKUP($F206,'FCDB 2017 (full)'!$C:$C,'FCDB 2017 (full)'!$CH:$CH)*$H206/100,0)</f>
        <v>0</v>
      </c>
      <c r="CR206" s="29"/>
      <c r="DA206" s="72" t="s">
        <v>987</v>
      </c>
    </row>
    <row r="207" spans="4:105">
      <c r="D207" s="29"/>
      <c r="E207" s="29"/>
      <c r="F207" s="11">
        <f>IFERROR(VLOOKUP($D$182,$D:$AE,24,0),0)</f>
        <v>0</v>
      </c>
      <c r="G207" s="7" cm="1">
        <f t="array" ref="G207">IF(F207=0,0,IF(_xlfn.XLOOKUP(F207,$E$182:$AE$182,$E$183:$AE$183)=0,"Nhập ĐV/TV",_xlfn.XLOOKUP(F207,$E$182:$AE$182,$E$183:$AE$183)))</f>
        <v>0</v>
      </c>
      <c r="H207" s="8" cm="1">
        <f t="array" ref="H207">IFERROR(INDEX($E$184:$AE$184,MATCH(F207,$E$182:$AE$182,0)),0)</f>
        <v>0</v>
      </c>
      <c r="I207" s="9">
        <f ca="1">IFERROR(_xlfn.XLOOKUP($F207,'FCDB 2017 (full)'!$C:$C,'FCDB 2017 (full)'!$E:$E),0)</f>
        <v>0</v>
      </c>
      <c r="J207" s="10">
        <f t="shared" ca="1" si="39"/>
        <v>0</v>
      </c>
      <c r="K207" s="9">
        <f ca="1">IFERROR(_xlfn.XLOOKUP($F207,'FCDB 2017 (full)'!$C:$C,'FCDB 2017 (full)'!$G:$G),0)</f>
        <v>0</v>
      </c>
      <c r="L207" s="13">
        <f t="shared" si="40"/>
        <v>0</v>
      </c>
      <c r="M207" s="13">
        <f t="shared" si="41"/>
        <v>0</v>
      </c>
      <c r="N207" s="9">
        <f ca="1">IFERROR(_xlfn.XLOOKUP($F207,'FCDB 2017 (full)'!$C:$C,'FCDB 2017 (full)'!$H:$H),0)</f>
        <v>0</v>
      </c>
      <c r="O207" s="14">
        <f t="shared" si="42"/>
        <v>0</v>
      </c>
      <c r="P207" s="14">
        <f t="shared" si="43"/>
        <v>0</v>
      </c>
      <c r="Q207" s="9">
        <f ca="1">IFERROR(_xlfn.XLOOKUP($F207,'FCDB 2017 (full)'!$C:$C,'FCDB 2017 (full)'!$I:$I),0)</f>
        <v>0</v>
      </c>
      <c r="R207" s="15">
        <f t="shared" ca="1" si="44"/>
        <v>0</v>
      </c>
      <c r="S207" s="16">
        <f ca="1">IFERROR(_xlfn.XLOOKUP($F207,'FCDB 2017 (full)'!$C:$C,'FCDB 2017 (full)'!$J:$J)*$H207/100,0)</f>
        <v>0</v>
      </c>
      <c r="T207" s="16">
        <f ca="1">IFERROR(_xlfn.XLOOKUP($F207,'FCDB 2017 (full)'!$C:$C,'FCDB 2017 (full)'!$K:$K)*$H207/100,0)</f>
        <v>0</v>
      </c>
      <c r="U207" s="16">
        <f ca="1">IFERROR(_xlfn.XLOOKUP($F207,'FCDB 2017 (full)'!$C:$C,'FCDB 2017 (full)'!$L:$L)*$H207/100,0)</f>
        <v>0</v>
      </c>
      <c r="V207" s="16">
        <f ca="1">IFERROR(_xlfn.XLOOKUP($F207,'FCDB 2017 (full)'!$C:$C,'FCDB 2017 (full)'!$M:$M)*$H207/100,0)</f>
        <v>0</v>
      </c>
      <c r="W207" s="16">
        <f ca="1">IFERROR(_xlfn.XLOOKUP($F207,'FCDB 2017 (full)'!$C:$C,'FCDB 2017 (full)'!$N:$N)*$H207/100,0)</f>
        <v>0</v>
      </c>
      <c r="X207" s="16">
        <f ca="1">IFERROR(_xlfn.XLOOKUP($F207,'FCDB 2017 (full)'!$C:$C,'FCDB 2017 (full)'!$O:$O)*$H207/100,0)</f>
        <v>0</v>
      </c>
      <c r="Y207" s="16">
        <f ca="1">IFERROR(_xlfn.XLOOKUP($F207,'FCDB 2017 (full)'!$C:$C,'FCDB 2017 (full)'!$P:$P)*$H207/100,0)</f>
        <v>0</v>
      </c>
      <c r="Z207" s="16">
        <f ca="1">IFERROR(_xlfn.XLOOKUP($F207,'FCDB 2017 (full)'!$C:$C,'FCDB 2017 (full)'!$Q:$Q)*$H207/100,0)</f>
        <v>0</v>
      </c>
      <c r="AA207" s="16">
        <f ca="1">IFERROR(_xlfn.XLOOKUP($F207,'FCDB 2017 (full)'!$C:$C,'FCDB 2017 (full)'!$R:$R)*$H207/100,0)</f>
        <v>0</v>
      </c>
      <c r="AB207" s="16">
        <f ca="1">IFERROR(_xlfn.XLOOKUP($F207,'FCDB 2017 (full)'!$C:$C,'FCDB 2017 (full)'!$S:$S)*$H207/100,0)</f>
        <v>0</v>
      </c>
      <c r="AC207" s="16">
        <f ca="1">IFERROR(_xlfn.XLOOKUP($F207,'FCDB 2017 (full)'!$C:$C,'FCDB 2017 (full)'!$T:$T)*$H207/100,0)</f>
        <v>0</v>
      </c>
      <c r="AD207" s="16">
        <f ca="1">IFERROR(_xlfn.XLOOKUP($F207,'FCDB 2017 (full)'!$C:$C,'FCDB 2017 (full)'!$U:$U)*$H207/100,0)</f>
        <v>0</v>
      </c>
      <c r="AE207" s="16">
        <f ca="1">IFERROR(_xlfn.XLOOKUP($F207,'FCDB 2017 (full)'!$C:$C,'FCDB 2017 (full)'!$V:$V)*$H207/100,0)</f>
        <v>0</v>
      </c>
      <c r="AF207" s="16">
        <f ca="1">IFERROR(_xlfn.XLOOKUP($F207,'FCDB 2017 (full)'!$C:$C,'FCDB 2017 (full)'!$W:$W)*$H207/100,0)</f>
        <v>0</v>
      </c>
      <c r="AG207" s="16">
        <f ca="1">IFERROR(_xlfn.XLOOKUP($F207,'FCDB 2017 (full)'!$C:$C,'FCDB 2017 (full)'!$X:$X)*$H207/100,0)</f>
        <v>0</v>
      </c>
      <c r="AH207" s="16">
        <f ca="1">IFERROR(_xlfn.XLOOKUP($F207,'FCDB 2017 (full)'!$C:$C,'FCDB 2017 (full)'!$Y:$Y)*$H207/100,0)</f>
        <v>0</v>
      </c>
      <c r="AI207" s="16">
        <f ca="1">IFERROR(_xlfn.XLOOKUP($F207,'FCDB 2017 (full)'!$C:$C,'FCDB 2017 (full)'!$Z:$Z)*$H207/100,0)</f>
        <v>0</v>
      </c>
      <c r="AJ207" s="16">
        <f ca="1">IFERROR(_xlfn.XLOOKUP($F207,'FCDB 2017 (full)'!$C:$C,'FCDB 2017 (full)'!$AA:$AA)*$H207/100,0)</f>
        <v>0</v>
      </c>
      <c r="AK207" s="16">
        <f ca="1">IFERROR(_xlfn.XLOOKUP($F207,'FCDB 2017 (full)'!$C:$C,'FCDB 2017 (full)'!$AB:$AB)*$H207/100,0)</f>
        <v>0</v>
      </c>
      <c r="AL207" s="16">
        <f ca="1">IFERROR(_xlfn.XLOOKUP($F207,'FCDB 2017 (full)'!$C:$C,'FCDB 2017 (full)'!$AC:$AC)*$H207/100,0)</f>
        <v>0</v>
      </c>
      <c r="AM207" s="16">
        <f ca="1">IFERROR(_xlfn.XLOOKUP($F207,'FCDB 2017 (full)'!$C:$C,'FCDB 2017 (full)'!$AD:$AD)*$H207/100,0)</f>
        <v>0</v>
      </c>
      <c r="AN207" s="16">
        <f ca="1">IFERROR(_xlfn.XLOOKUP($F207,'FCDB 2017 (full)'!$C:$C,'FCDB 2017 (full)'!$AE:$AE)*$H207/100,0)</f>
        <v>0</v>
      </c>
      <c r="AO207" s="16">
        <f ca="1">IFERROR(_xlfn.XLOOKUP($F207,'FCDB 2017 (full)'!$C:$C,'FCDB 2017 (full)'!$AF:$AF)*$H207/100,0)</f>
        <v>0</v>
      </c>
      <c r="AP207" s="16">
        <f ca="1">IFERROR(_xlfn.XLOOKUP($F207,'FCDB 2017 (full)'!$C:$C,'FCDB 2017 (full)'!$AG:$AG)*$H207/100,0)</f>
        <v>0</v>
      </c>
      <c r="AQ207" s="16">
        <f ca="1">IFERROR(_xlfn.XLOOKUP($F207,'FCDB 2017 (full)'!$C:$C,'FCDB 2017 (full)'!$AH:$AH)*$H207/100,0)</f>
        <v>0</v>
      </c>
      <c r="AR207" s="16">
        <f ca="1">IFERROR(_xlfn.XLOOKUP($F207,'FCDB 2017 (full)'!$C:$C,'FCDB 2017 (full)'!$AI:$AI)*$H207/100,0)</f>
        <v>0</v>
      </c>
      <c r="AS207" s="16">
        <f ca="1">IFERROR(_xlfn.XLOOKUP($F207,'FCDB 2017 (full)'!$C:$C,'FCDB 2017 (full)'!$AJ:$AJ)*$H207/100,0)</f>
        <v>0</v>
      </c>
      <c r="AT207" s="16">
        <f ca="1">IFERROR(_xlfn.XLOOKUP($F207,'FCDB 2017 (full)'!$C:$C,'FCDB 2017 (full)'!$AK:$AK)*$H207/100,0)</f>
        <v>0</v>
      </c>
      <c r="AU207" s="16">
        <f ca="1">IFERROR(_xlfn.XLOOKUP($F207,'FCDB 2017 (full)'!$C:$C,'FCDB 2017 (full)'!$AK:$AK)*$H207/100,0)</f>
        <v>0</v>
      </c>
      <c r="AV207" s="16">
        <f ca="1">IFERROR(_xlfn.XLOOKUP($F207,'FCDB 2017 (full)'!$C:$C,'FCDB 2017 (full)'!$AM:$AM)*$H207/100,0)</f>
        <v>0</v>
      </c>
      <c r="AW207" s="16">
        <f ca="1">IFERROR(_xlfn.XLOOKUP($F207,'FCDB 2017 (full)'!$C:$C,'FCDB 2017 (full)'!$AN:$AN)*$H207/100,0)</f>
        <v>0</v>
      </c>
      <c r="AX207" s="16">
        <f ca="1">IFERROR(_xlfn.XLOOKUP($F207,'FCDB 2017 (full)'!$C:$C,'FCDB 2017 (full)'!$AO:$AO)*$H207/100,0)</f>
        <v>0</v>
      </c>
      <c r="AY207" s="16">
        <f ca="1">IFERROR(_xlfn.XLOOKUP($F207,'FCDB 2017 (full)'!$C:$C,'FCDB 2017 (full)'!$AP:$AP)*$H207/100,0)</f>
        <v>0</v>
      </c>
      <c r="AZ207" s="16">
        <f ca="1">IFERROR(_xlfn.XLOOKUP($F207,'FCDB 2017 (full)'!$C:$C,'FCDB 2017 (full)'!$AQ:$AQ)*$H207/100,0)</f>
        <v>0</v>
      </c>
      <c r="BA207" s="16">
        <f ca="1">IFERROR(_xlfn.XLOOKUP($F207,'FCDB 2017 (full)'!$C:$C,'FCDB 2017 (full)'!$AR:$AR)*$H207/100,0)</f>
        <v>0</v>
      </c>
      <c r="BB207" s="16">
        <f ca="1">IFERROR(_xlfn.XLOOKUP($F207,'FCDB 2017 (full)'!$C:$C,'FCDB 2017 (full)'!$AS:$AS)*$H207/100,0)</f>
        <v>0</v>
      </c>
      <c r="BC207" s="16">
        <f ca="1">IFERROR(_xlfn.XLOOKUP($F207,'FCDB 2017 (full)'!$C:$C,'FCDB 2017 (full)'!$AT:$AT)*$H207/100,0)</f>
        <v>0</v>
      </c>
      <c r="BD207" s="16">
        <f ca="1">IFERROR(_xlfn.XLOOKUP($F207,'FCDB 2017 (full)'!$C:$C,'FCDB 2017 (full)'!$AU:$AU)*$H207/100,0)</f>
        <v>0</v>
      </c>
      <c r="BE207" s="16">
        <f ca="1">IFERROR(_xlfn.XLOOKUP($F207,'FCDB 2017 (full)'!$C:$C,'FCDB 2017 (full)'!$AV:$AV)*$H207/100,0)</f>
        <v>0</v>
      </c>
      <c r="BF207" s="16">
        <f ca="1">IFERROR(_xlfn.XLOOKUP($F207,'FCDB 2017 (full)'!$C:$C,'FCDB 2017 (full)'!$AW:$AW)*$H207/100,0)</f>
        <v>0</v>
      </c>
      <c r="BG207" s="16">
        <f ca="1">IFERROR(_xlfn.XLOOKUP($F207,'FCDB 2017 (full)'!$C:$C,'FCDB 2017 (full)'!$AX:$AX)*$H207/100,0)</f>
        <v>0</v>
      </c>
      <c r="BH207" s="16">
        <f ca="1">IFERROR(_xlfn.XLOOKUP($F207,'FCDB 2017 (full)'!$C:$C,'FCDB 2017 (full)'!$AY:$AY)*$H207/100,0)</f>
        <v>0</v>
      </c>
      <c r="BI207" s="16">
        <f ca="1">IFERROR(_xlfn.XLOOKUP($F207,'FCDB 2017 (full)'!$C:$C,'FCDB 2017 (full)'!$AZ:$AZ)*$H207/100,0)</f>
        <v>0</v>
      </c>
      <c r="BJ207" s="16">
        <f ca="1">IFERROR(_xlfn.XLOOKUP($F207,'FCDB 2017 (full)'!$C:$C,'FCDB 2017 (full)'!$BA:$BA)*$H207/100,0)</f>
        <v>0</v>
      </c>
      <c r="BK207" s="16">
        <f ca="1">IFERROR(_xlfn.XLOOKUP($F207,'FCDB 2017 (full)'!$C:$C,'FCDB 2017 (full)'!$BB:$BB)*$H207/100,0)</f>
        <v>0</v>
      </c>
      <c r="BL207" s="16">
        <f ca="1">IFERROR(_xlfn.XLOOKUP($F207,'FCDB 2017 (full)'!$C:$C,'FCDB 2017 (full)'!$BC:$BC)*$H207/100,0)</f>
        <v>0</v>
      </c>
      <c r="BM207" s="16">
        <f ca="1">IFERROR(_xlfn.XLOOKUP($F207,'FCDB 2017 (full)'!$C:$C,'FCDB 2017 (full)'!$BD:$BD)*$H207/100,0)</f>
        <v>0</v>
      </c>
      <c r="BN207" s="16">
        <f ca="1">IFERROR(_xlfn.XLOOKUP($F207,'FCDB 2017 (full)'!$C:$C,'FCDB 2017 (full)'!$BE:$BE)*$H207/100,0)</f>
        <v>0</v>
      </c>
      <c r="BO207" s="16">
        <f ca="1">IFERROR(_xlfn.XLOOKUP($F207,'FCDB 2017 (full)'!$C:$C,'FCDB 2017 (full)'!$BF:$BF)*$H207/100,0)</f>
        <v>0</v>
      </c>
      <c r="BP207" s="16">
        <f ca="1">IFERROR(_xlfn.XLOOKUP($F207,'FCDB 2017 (full)'!$C:$C,'FCDB 2017 (full)'!$BG:$BG)*$H207/100,0)</f>
        <v>0</v>
      </c>
      <c r="BQ207" s="16">
        <f ca="1">IFERROR(_xlfn.XLOOKUP($F207,'FCDB 2017 (full)'!$C:$C,'FCDB 2017 (full)'!$BH:$BH)*$H207/100,0)</f>
        <v>0</v>
      </c>
      <c r="BR207" s="16">
        <f ca="1">IFERROR(_xlfn.XLOOKUP($F207,'FCDB 2017 (full)'!$C:$C,'FCDB 2017 (full)'!$BI:$BI)*$H207/100,0)</f>
        <v>0</v>
      </c>
      <c r="BS207" s="16">
        <f ca="1">IFERROR(_xlfn.XLOOKUP($F207,'FCDB 2017 (full)'!$C:$C,'FCDB 2017 (full)'!$BJ:$BJ)*$H207/100,0)</f>
        <v>0</v>
      </c>
      <c r="BT207" s="16">
        <f ca="1">IFERROR(_xlfn.XLOOKUP($F207,'FCDB 2017 (full)'!$C:$C,'FCDB 2017 (full)'!$BK:$BK)*$H207/100,0)</f>
        <v>0</v>
      </c>
      <c r="BU207" s="16">
        <f ca="1">IFERROR(_xlfn.XLOOKUP($F207,'FCDB 2017 (full)'!$C:$C,'FCDB 2017 (full)'!$BL:$BL)*$H207/100,0)</f>
        <v>0</v>
      </c>
      <c r="BV207" s="16">
        <f ca="1">IFERROR(_xlfn.XLOOKUP($F207,'FCDB 2017 (full)'!$C:$C,'FCDB 2017 (full)'!$BM:$BM)*$H207/100,0)</f>
        <v>0</v>
      </c>
      <c r="BW207" s="16">
        <f ca="1">IFERROR(_xlfn.XLOOKUP($F207,'FCDB 2017 (full)'!$C:$C,'FCDB 2017 (full)'!$BN:$BN)*$H207/100,0)</f>
        <v>0</v>
      </c>
      <c r="BX207" s="16">
        <f ca="1">IFERROR(_xlfn.XLOOKUP($F207,'FCDB 2017 (full)'!$C:$C,'FCDB 2017 (full)'!$BO:$BO)*$H207/100,0)</f>
        <v>0</v>
      </c>
      <c r="BY207" s="16">
        <f ca="1">IFERROR(_xlfn.XLOOKUP($F207,'FCDB 2017 (full)'!$C:$C,'FCDB 2017 (full)'!$BP:$BP)*$H207/100,0)</f>
        <v>0</v>
      </c>
      <c r="BZ207" s="16">
        <f ca="1">IFERROR(_xlfn.XLOOKUP($F207,'FCDB 2017 (full)'!$C:$C,'FCDB 2017 (full)'!$BQ:$BQ)*$H207/100,0)</f>
        <v>0</v>
      </c>
      <c r="CA207" s="16">
        <f ca="1">IFERROR(_xlfn.XLOOKUP($F207,'FCDB 2017 (full)'!$C:$C,'FCDB 2017 (full)'!$BR:$BR)*$H207/100,0)</f>
        <v>0</v>
      </c>
      <c r="CB207" s="16">
        <f ca="1">IFERROR(_xlfn.XLOOKUP($F207,'FCDB 2017 (full)'!$C:$C,'FCDB 2017 (full)'!$BS:$BS)*$H207/100,0)</f>
        <v>0</v>
      </c>
      <c r="CC207" s="16">
        <f ca="1">IFERROR(_xlfn.XLOOKUP($F207,'FCDB 2017 (full)'!$C:$C,'FCDB 2017 (full)'!$BT:$BT)*$H207/100,0)</f>
        <v>0</v>
      </c>
      <c r="CD207" s="16">
        <f ca="1">IFERROR(_xlfn.XLOOKUP($F207,'FCDB 2017 (full)'!$C:$C,'FCDB 2017 (full)'!$BU:$BU)*$H207/100,0)</f>
        <v>0</v>
      </c>
      <c r="CE207" s="16">
        <f ca="1">IFERROR(_xlfn.XLOOKUP($F207,'FCDB 2017 (full)'!$C:$C,'FCDB 2017 (full)'!$BV:$BV)*$H207/100,0)</f>
        <v>0</v>
      </c>
      <c r="CF207" s="16">
        <f ca="1">IFERROR(_xlfn.XLOOKUP($F207,'FCDB 2017 (full)'!$C:$C,'FCDB 2017 (full)'!$BW:$BW)*$H207/100,0)</f>
        <v>0</v>
      </c>
      <c r="CG207" s="16">
        <f ca="1">IFERROR(_xlfn.XLOOKUP($F207,'FCDB 2017 (full)'!$C:$C,'FCDB 2017 (full)'!$BX:$BX)*$H207/100,0)</f>
        <v>0</v>
      </c>
      <c r="CH207" s="16">
        <f ca="1">IFERROR(_xlfn.XLOOKUP($F207,'FCDB 2017 (full)'!$C:$C,'FCDB 2017 (full)'!$BY:$BY)*$H207/100,0)</f>
        <v>0</v>
      </c>
      <c r="CI207" s="16">
        <f ca="1">IFERROR(_xlfn.XLOOKUP($F207,'FCDB 2017 (full)'!$C:$C,'FCDB 2017 (full)'!$BZ:$BZ)*$H207/100,0)</f>
        <v>0</v>
      </c>
      <c r="CJ207" s="16">
        <f ca="1">IFERROR(_xlfn.XLOOKUP($F207,'FCDB 2017 (full)'!$C:$C,'FCDB 2017 (full)'!$CA:$CA)*$H207/100,0)</f>
        <v>0</v>
      </c>
      <c r="CK207" s="16">
        <f ca="1">IFERROR(_xlfn.XLOOKUP($F207,'FCDB 2017 (full)'!$C:$C,'FCDB 2017 (full)'!$CB:$CB)*$H207/100,0)</f>
        <v>0</v>
      </c>
      <c r="CL207" s="16">
        <f ca="1">IFERROR(_xlfn.XLOOKUP($F207,'FCDB 2017 (full)'!$C:$C,'FCDB 2017 (full)'!$CC:$CC)*$H207/100,0)</f>
        <v>0</v>
      </c>
      <c r="CM207" s="16">
        <f ca="1">IFERROR(_xlfn.XLOOKUP($F207,'FCDB 2017 (full)'!$C:$C,'FCDB 2017 (full)'!$CD:$CD)*$H207/100,0)</f>
        <v>0</v>
      </c>
      <c r="CN207" s="16">
        <f ca="1">IFERROR(_xlfn.XLOOKUP($F207,'FCDB 2017 (full)'!$C:$C,'FCDB 2017 (full)'!$CE:$CE)*$H207/100,0)</f>
        <v>0</v>
      </c>
      <c r="CO207" s="16">
        <f ca="1">IFERROR(_xlfn.XLOOKUP($F207,'FCDB 2017 (full)'!$C:$C,'FCDB 2017 (full)'!$CF:$CF)*$H207/100,0)</f>
        <v>0</v>
      </c>
      <c r="CP207" s="16">
        <f ca="1">IFERROR(_xlfn.XLOOKUP($F207,'FCDB 2017 (full)'!$C:$C,'FCDB 2017 (full)'!$CG:$CG)*$H207/100,0)</f>
        <v>0</v>
      </c>
      <c r="CQ207" s="16">
        <f ca="1">IFERROR(_xlfn.XLOOKUP($F207,'FCDB 2017 (full)'!$C:$C,'FCDB 2017 (full)'!$CH:$CH)*$H207/100,0)</f>
        <v>0</v>
      </c>
      <c r="CR207" s="29"/>
      <c r="DA207" s="72" t="s">
        <v>987</v>
      </c>
    </row>
    <row r="208" spans="4:105">
      <c r="D208" s="29"/>
      <c r="E208" s="29"/>
      <c r="F208" s="11">
        <f>IFERROR(VLOOKUP($D$182,$D:$AE,25,0),0)</f>
        <v>0</v>
      </c>
      <c r="G208" s="7" cm="1">
        <f t="array" ref="G208">IF(F208=0,0,IF(_xlfn.XLOOKUP(F208,$E$182:$AE$182,$E$183:$AE$183)=0,"Nhập ĐV/TV",_xlfn.XLOOKUP(F208,$E$182:$AE$182,$E$183:$AE$183)))</f>
        <v>0</v>
      </c>
      <c r="H208" s="8" cm="1">
        <f t="array" ref="H208">IFERROR(INDEX($E$184:$AE$184,MATCH(F208,$E$182:$AE$182,0)),0)</f>
        <v>0</v>
      </c>
      <c r="I208" s="9">
        <f ca="1">IFERROR(_xlfn.XLOOKUP($F208,'FCDB 2017 (full)'!$C:$C,'FCDB 2017 (full)'!$E:$E),0)</f>
        <v>0</v>
      </c>
      <c r="J208" s="10">
        <f t="shared" ca="1" si="39"/>
        <v>0</v>
      </c>
      <c r="K208" s="9">
        <f ca="1">IFERROR(_xlfn.XLOOKUP($F208,'FCDB 2017 (full)'!$C:$C,'FCDB 2017 (full)'!$G:$G),0)</f>
        <v>0</v>
      </c>
      <c r="L208" s="13">
        <f t="shared" si="40"/>
        <v>0</v>
      </c>
      <c r="M208" s="13">
        <f t="shared" si="41"/>
        <v>0</v>
      </c>
      <c r="N208" s="9">
        <f ca="1">IFERROR(_xlfn.XLOOKUP($F208,'FCDB 2017 (full)'!$C:$C,'FCDB 2017 (full)'!$H:$H),0)</f>
        <v>0</v>
      </c>
      <c r="O208" s="14">
        <f t="shared" si="42"/>
        <v>0</v>
      </c>
      <c r="P208" s="14">
        <f t="shared" si="43"/>
        <v>0</v>
      </c>
      <c r="Q208" s="9">
        <f ca="1">IFERROR(_xlfn.XLOOKUP($F208,'FCDB 2017 (full)'!$C:$C,'FCDB 2017 (full)'!$I:$I),0)</f>
        <v>0</v>
      </c>
      <c r="R208" s="15">
        <f t="shared" ca="1" si="44"/>
        <v>0</v>
      </c>
      <c r="S208" s="16">
        <f ca="1">IFERROR(_xlfn.XLOOKUP($F208,'FCDB 2017 (full)'!$C:$C,'FCDB 2017 (full)'!$J:$J)*$H208/100,0)</f>
        <v>0</v>
      </c>
      <c r="T208" s="16">
        <f ca="1">IFERROR(_xlfn.XLOOKUP($F208,'FCDB 2017 (full)'!$C:$C,'FCDB 2017 (full)'!$K:$K)*$H208/100,0)</f>
        <v>0</v>
      </c>
      <c r="U208" s="16">
        <f ca="1">IFERROR(_xlfn.XLOOKUP($F208,'FCDB 2017 (full)'!$C:$C,'FCDB 2017 (full)'!$L:$L)*$H208/100,0)</f>
        <v>0</v>
      </c>
      <c r="V208" s="16">
        <f ca="1">IFERROR(_xlfn.XLOOKUP($F208,'FCDB 2017 (full)'!$C:$C,'FCDB 2017 (full)'!$M:$M)*$H208/100,0)</f>
        <v>0</v>
      </c>
      <c r="W208" s="16">
        <f ca="1">IFERROR(_xlfn.XLOOKUP($F208,'FCDB 2017 (full)'!$C:$C,'FCDB 2017 (full)'!$N:$N)*$H208/100,0)</f>
        <v>0</v>
      </c>
      <c r="X208" s="16">
        <f ca="1">IFERROR(_xlfn.XLOOKUP($F208,'FCDB 2017 (full)'!$C:$C,'FCDB 2017 (full)'!$O:$O)*$H208/100,0)</f>
        <v>0</v>
      </c>
      <c r="Y208" s="16">
        <f ca="1">IFERROR(_xlfn.XLOOKUP($F208,'FCDB 2017 (full)'!$C:$C,'FCDB 2017 (full)'!$P:$P)*$H208/100,0)</f>
        <v>0</v>
      </c>
      <c r="Z208" s="16">
        <f ca="1">IFERROR(_xlfn.XLOOKUP($F208,'FCDB 2017 (full)'!$C:$C,'FCDB 2017 (full)'!$Q:$Q)*$H208/100,0)</f>
        <v>0</v>
      </c>
      <c r="AA208" s="16">
        <f ca="1">IFERROR(_xlfn.XLOOKUP($F208,'FCDB 2017 (full)'!$C:$C,'FCDB 2017 (full)'!$R:$R)*$H208/100,0)</f>
        <v>0</v>
      </c>
      <c r="AB208" s="16">
        <f ca="1">IFERROR(_xlfn.XLOOKUP($F208,'FCDB 2017 (full)'!$C:$C,'FCDB 2017 (full)'!$S:$S)*$H208/100,0)</f>
        <v>0</v>
      </c>
      <c r="AC208" s="16">
        <f ca="1">IFERROR(_xlfn.XLOOKUP($F208,'FCDB 2017 (full)'!$C:$C,'FCDB 2017 (full)'!$T:$T)*$H208/100,0)</f>
        <v>0</v>
      </c>
      <c r="AD208" s="16">
        <f ca="1">IFERROR(_xlfn.XLOOKUP($F208,'FCDB 2017 (full)'!$C:$C,'FCDB 2017 (full)'!$U:$U)*$H208/100,0)</f>
        <v>0</v>
      </c>
      <c r="AE208" s="16">
        <f ca="1">IFERROR(_xlfn.XLOOKUP($F208,'FCDB 2017 (full)'!$C:$C,'FCDB 2017 (full)'!$V:$V)*$H208/100,0)</f>
        <v>0</v>
      </c>
      <c r="AF208" s="16">
        <f ca="1">IFERROR(_xlfn.XLOOKUP($F208,'FCDB 2017 (full)'!$C:$C,'FCDB 2017 (full)'!$W:$W)*$H208/100,0)</f>
        <v>0</v>
      </c>
      <c r="AG208" s="16">
        <f ca="1">IFERROR(_xlfn.XLOOKUP($F208,'FCDB 2017 (full)'!$C:$C,'FCDB 2017 (full)'!$X:$X)*$H208/100,0)</f>
        <v>0</v>
      </c>
      <c r="AH208" s="16">
        <f ca="1">IFERROR(_xlfn.XLOOKUP($F208,'FCDB 2017 (full)'!$C:$C,'FCDB 2017 (full)'!$Y:$Y)*$H208/100,0)</f>
        <v>0</v>
      </c>
      <c r="AI208" s="16">
        <f ca="1">IFERROR(_xlfn.XLOOKUP($F208,'FCDB 2017 (full)'!$C:$C,'FCDB 2017 (full)'!$Z:$Z)*$H208/100,0)</f>
        <v>0</v>
      </c>
      <c r="AJ208" s="16">
        <f ca="1">IFERROR(_xlfn.XLOOKUP($F208,'FCDB 2017 (full)'!$C:$C,'FCDB 2017 (full)'!$AA:$AA)*$H208/100,0)</f>
        <v>0</v>
      </c>
      <c r="AK208" s="16">
        <f ca="1">IFERROR(_xlfn.XLOOKUP($F208,'FCDB 2017 (full)'!$C:$C,'FCDB 2017 (full)'!$AB:$AB)*$H208/100,0)</f>
        <v>0</v>
      </c>
      <c r="AL208" s="16">
        <f ca="1">IFERROR(_xlfn.XLOOKUP($F208,'FCDB 2017 (full)'!$C:$C,'FCDB 2017 (full)'!$AC:$AC)*$H208/100,0)</f>
        <v>0</v>
      </c>
      <c r="AM208" s="16">
        <f ca="1">IFERROR(_xlfn.XLOOKUP($F208,'FCDB 2017 (full)'!$C:$C,'FCDB 2017 (full)'!$AD:$AD)*$H208/100,0)</f>
        <v>0</v>
      </c>
      <c r="AN208" s="16">
        <f ca="1">IFERROR(_xlfn.XLOOKUP($F208,'FCDB 2017 (full)'!$C:$C,'FCDB 2017 (full)'!$AE:$AE)*$H208/100,0)</f>
        <v>0</v>
      </c>
      <c r="AO208" s="16">
        <f ca="1">IFERROR(_xlfn.XLOOKUP($F208,'FCDB 2017 (full)'!$C:$C,'FCDB 2017 (full)'!$AF:$AF)*$H208/100,0)</f>
        <v>0</v>
      </c>
      <c r="AP208" s="16">
        <f ca="1">IFERROR(_xlfn.XLOOKUP($F208,'FCDB 2017 (full)'!$C:$C,'FCDB 2017 (full)'!$AG:$AG)*$H208/100,0)</f>
        <v>0</v>
      </c>
      <c r="AQ208" s="16">
        <f ca="1">IFERROR(_xlfn.XLOOKUP($F208,'FCDB 2017 (full)'!$C:$C,'FCDB 2017 (full)'!$AH:$AH)*$H208/100,0)</f>
        <v>0</v>
      </c>
      <c r="AR208" s="16">
        <f ca="1">IFERROR(_xlfn.XLOOKUP($F208,'FCDB 2017 (full)'!$C:$C,'FCDB 2017 (full)'!$AI:$AI)*$H208/100,0)</f>
        <v>0</v>
      </c>
      <c r="AS208" s="16">
        <f ca="1">IFERROR(_xlfn.XLOOKUP($F208,'FCDB 2017 (full)'!$C:$C,'FCDB 2017 (full)'!$AJ:$AJ)*$H208/100,0)</f>
        <v>0</v>
      </c>
      <c r="AT208" s="16">
        <f ca="1">IFERROR(_xlfn.XLOOKUP($F208,'FCDB 2017 (full)'!$C:$C,'FCDB 2017 (full)'!$AK:$AK)*$H208/100,0)</f>
        <v>0</v>
      </c>
      <c r="AU208" s="16">
        <f ca="1">IFERROR(_xlfn.XLOOKUP($F208,'FCDB 2017 (full)'!$C:$C,'FCDB 2017 (full)'!$AK:$AK)*$H208/100,0)</f>
        <v>0</v>
      </c>
      <c r="AV208" s="16">
        <f ca="1">IFERROR(_xlfn.XLOOKUP($F208,'FCDB 2017 (full)'!$C:$C,'FCDB 2017 (full)'!$AM:$AM)*$H208/100,0)</f>
        <v>0</v>
      </c>
      <c r="AW208" s="16">
        <f ca="1">IFERROR(_xlfn.XLOOKUP($F208,'FCDB 2017 (full)'!$C:$C,'FCDB 2017 (full)'!$AN:$AN)*$H208/100,0)</f>
        <v>0</v>
      </c>
      <c r="AX208" s="16">
        <f ca="1">IFERROR(_xlfn.XLOOKUP($F208,'FCDB 2017 (full)'!$C:$C,'FCDB 2017 (full)'!$AO:$AO)*$H208/100,0)</f>
        <v>0</v>
      </c>
      <c r="AY208" s="16">
        <f ca="1">IFERROR(_xlfn.XLOOKUP($F208,'FCDB 2017 (full)'!$C:$C,'FCDB 2017 (full)'!$AP:$AP)*$H208/100,0)</f>
        <v>0</v>
      </c>
      <c r="AZ208" s="16">
        <f ca="1">IFERROR(_xlfn.XLOOKUP($F208,'FCDB 2017 (full)'!$C:$C,'FCDB 2017 (full)'!$AQ:$AQ)*$H208/100,0)</f>
        <v>0</v>
      </c>
      <c r="BA208" s="16">
        <f ca="1">IFERROR(_xlfn.XLOOKUP($F208,'FCDB 2017 (full)'!$C:$C,'FCDB 2017 (full)'!$AR:$AR)*$H208/100,0)</f>
        <v>0</v>
      </c>
      <c r="BB208" s="16">
        <f ca="1">IFERROR(_xlfn.XLOOKUP($F208,'FCDB 2017 (full)'!$C:$C,'FCDB 2017 (full)'!$AS:$AS)*$H208/100,0)</f>
        <v>0</v>
      </c>
      <c r="BC208" s="16">
        <f ca="1">IFERROR(_xlfn.XLOOKUP($F208,'FCDB 2017 (full)'!$C:$C,'FCDB 2017 (full)'!$AT:$AT)*$H208/100,0)</f>
        <v>0</v>
      </c>
      <c r="BD208" s="16">
        <f ca="1">IFERROR(_xlfn.XLOOKUP($F208,'FCDB 2017 (full)'!$C:$C,'FCDB 2017 (full)'!$AU:$AU)*$H208/100,0)</f>
        <v>0</v>
      </c>
      <c r="BE208" s="16">
        <f ca="1">IFERROR(_xlfn.XLOOKUP($F208,'FCDB 2017 (full)'!$C:$C,'FCDB 2017 (full)'!$AV:$AV)*$H208/100,0)</f>
        <v>0</v>
      </c>
      <c r="BF208" s="16">
        <f ca="1">IFERROR(_xlfn.XLOOKUP($F208,'FCDB 2017 (full)'!$C:$C,'FCDB 2017 (full)'!$AW:$AW)*$H208/100,0)</f>
        <v>0</v>
      </c>
      <c r="BG208" s="16">
        <f ca="1">IFERROR(_xlfn.XLOOKUP($F208,'FCDB 2017 (full)'!$C:$C,'FCDB 2017 (full)'!$AX:$AX)*$H208/100,0)</f>
        <v>0</v>
      </c>
      <c r="BH208" s="16">
        <f ca="1">IFERROR(_xlfn.XLOOKUP($F208,'FCDB 2017 (full)'!$C:$C,'FCDB 2017 (full)'!$AY:$AY)*$H208/100,0)</f>
        <v>0</v>
      </c>
      <c r="BI208" s="16">
        <f ca="1">IFERROR(_xlfn.XLOOKUP($F208,'FCDB 2017 (full)'!$C:$C,'FCDB 2017 (full)'!$AZ:$AZ)*$H208/100,0)</f>
        <v>0</v>
      </c>
      <c r="BJ208" s="16">
        <f ca="1">IFERROR(_xlfn.XLOOKUP($F208,'FCDB 2017 (full)'!$C:$C,'FCDB 2017 (full)'!$BA:$BA)*$H208/100,0)</f>
        <v>0</v>
      </c>
      <c r="BK208" s="16">
        <f ca="1">IFERROR(_xlfn.XLOOKUP($F208,'FCDB 2017 (full)'!$C:$C,'FCDB 2017 (full)'!$BB:$BB)*$H208/100,0)</f>
        <v>0</v>
      </c>
      <c r="BL208" s="16">
        <f ca="1">IFERROR(_xlfn.XLOOKUP($F208,'FCDB 2017 (full)'!$C:$C,'FCDB 2017 (full)'!$BC:$BC)*$H208/100,0)</f>
        <v>0</v>
      </c>
      <c r="BM208" s="16">
        <f ca="1">IFERROR(_xlfn.XLOOKUP($F208,'FCDB 2017 (full)'!$C:$C,'FCDB 2017 (full)'!$BD:$BD)*$H208/100,0)</f>
        <v>0</v>
      </c>
      <c r="BN208" s="16">
        <f ca="1">IFERROR(_xlfn.XLOOKUP($F208,'FCDB 2017 (full)'!$C:$C,'FCDB 2017 (full)'!$BE:$BE)*$H208/100,0)</f>
        <v>0</v>
      </c>
      <c r="BO208" s="16">
        <f ca="1">IFERROR(_xlfn.XLOOKUP($F208,'FCDB 2017 (full)'!$C:$C,'FCDB 2017 (full)'!$BF:$BF)*$H208/100,0)</f>
        <v>0</v>
      </c>
      <c r="BP208" s="16">
        <f ca="1">IFERROR(_xlfn.XLOOKUP($F208,'FCDB 2017 (full)'!$C:$C,'FCDB 2017 (full)'!$BG:$BG)*$H208/100,0)</f>
        <v>0</v>
      </c>
      <c r="BQ208" s="16">
        <f ca="1">IFERROR(_xlfn.XLOOKUP($F208,'FCDB 2017 (full)'!$C:$C,'FCDB 2017 (full)'!$BH:$BH)*$H208/100,0)</f>
        <v>0</v>
      </c>
      <c r="BR208" s="16">
        <f ca="1">IFERROR(_xlfn.XLOOKUP($F208,'FCDB 2017 (full)'!$C:$C,'FCDB 2017 (full)'!$BI:$BI)*$H208/100,0)</f>
        <v>0</v>
      </c>
      <c r="BS208" s="16">
        <f ca="1">IFERROR(_xlfn.XLOOKUP($F208,'FCDB 2017 (full)'!$C:$C,'FCDB 2017 (full)'!$BJ:$BJ)*$H208/100,0)</f>
        <v>0</v>
      </c>
      <c r="BT208" s="16">
        <f ca="1">IFERROR(_xlfn.XLOOKUP($F208,'FCDB 2017 (full)'!$C:$C,'FCDB 2017 (full)'!$BK:$BK)*$H208/100,0)</f>
        <v>0</v>
      </c>
      <c r="BU208" s="16">
        <f ca="1">IFERROR(_xlfn.XLOOKUP($F208,'FCDB 2017 (full)'!$C:$C,'FCDB 2017 (full)'!$BL:$BL)*$H208/100,0)</f>
        <v>0</v>
      </c>
      <c r="BV208" s="16">
        <f ca="1">IFERROR(_xlfn.XLOOKUP($F208,'FCDB 2017 (full)'!$C:$C,'FCDB 2017 (full)'!$BM:$BM)*$H208/100,0)</f>
        <v>0</v>
      </c>
      <c r="BW208" s="16">
        <f ca="1">IFERROR(_xlfn.XLOOKUP($F208,'FCDB 2017 (full)'!$C:$C,'FCDB 2017 (full)'!$BN:$BN)*$H208/100,0)</f>
        <v>0</v>
      </c>
      <c r="BX208" s="16">
        <f ca="1">IFERROR(_xlfn.XLOOKUP($F208,'FCDB 2017 (full)'!$C:$C,'FCDB 2017 (full)'!$BO:$BO)*$H208/100,0)</f>
        <v>0</v>
      </c>
      <c r="BY208" s="16">
        <f ca="1">IFERROR(_xlfn.XLOOKUP($F208,'FCDB 2017 (full)'!$C:$C,'FCDB 2017 (full)'!$BP:$BP)*$H208/100,0)</f>
        <v>0</v>
      </c>
      <c r="BZ208" s="16">
        <f ca="1">IFERROR(_xlfn.XLOOKUP($F208,'FCDB 2017 (full)'!$C:$C,'FCDB 2017 (full)'!$BQ:$BQ)*$H208/100,0)</f>
        <v>0</v>
      </c>
      <c r="CA208" s="16">
        <f ca="1">IFERROR(_xlfn.XLOOKUP($F208,'FCDB 2017 (full)'!$C:$C,'FCDB 2017 (full)'!$BR:$BR)*$H208/100,0)</f>
        <v>0</v>
      </c>
      <c r="CB208" s="16">
        <f ca="1">IFERROR(_xlfn.XLOOKUP($F208,'FCDB 2017 (full)'!$C:$C,'FCDB 2017 (full)'!$BS:$BS)*$H208/100,0)</f>
        <v>0</v>
      </c>
      <c r="CC208" s="16">
        <f ca="1">IFERROR(_xlfn.XLOOKUP($F208,'FCDB 2017 (full)'!$C:$C,'FCDB 2017 (full)'!$BT:$BT)*$H208/100,0)</f>
        <v>0</v>
      </c>
      <c r="CD208" s="16">
        <f ca="1">IFERROR(_xlfn.XLOOKUP($F208,'FCDB 2017 (full)'!$C:$C,'FCDB 2017 (full)'!$BU:$BU)*$H208/100,0)</f>
        <v>0</v>
      </c>
      <c r="CE208" s="16">
        <f ca="1">IFERROR(_xlfn.XLOOKUP($F208,'FCDB 2017 (full)'!$C:$C,'FCDB 2017 (full)'!$BV:$BV)*$H208/100,0)</f>
        <v>0</v>
      </c>
      <c r="CF208" s="16">
        <f ca="1">IFERROR(_xlfn.XLOOKUP($F208,'FCDB 2017 (full)'!$C:$C,'FCDB 2017 (full)'!$BW:$BW)*$H208/100,0)</f>
        <v>0</v>
      </c>
      <c r="CG208" s="16">
        <f ca="1">IFERROR(_xlfn.XLOOKUP($F208,'FCDB 2017 (full)'!$C:$C,'FCDB 2017 (full)'!$BX:$BX)*$H208/100,0)</f>
        <v>0</v>
      </c>
      <c r="CH208" s="16">
        <f ca="1">IFERROR(_xlfn.XLOOKUP($F208,'FCDB 2017 (full)'!$C:$C,'FCDB 2017 (full)'!$BY:$BY)*$H208/100,0)</f>
        <v>0</v>
      </c>
      <c r="CI208" s="16">
        <f ca="1">IFERROR(_xlfn.XLOOKUP($F208,'FCDB 2017 (full)'!$C:$C,'FCDB 2017 (full)'!$BZ:$BZ)*$H208/100,0)</f>
        <v>0</v>
      </c>
      <c r="CJ208" s="16">
        <f ca="1">IFERROR(_xlfn.XLOOKUP($F208,'FCDB 2017 (full)'!$C:$C,'FCDB 2017 (full)'!$CA:$CA)*$H208/100,0)</f>
        <v>0</v>
      </c>
      <c r="CK208" s="16">
        <f ca="1">IFERROR(_xlfn.XLOOKUP($F208,'FCDB 2017 (full)'!$C:$C,'FCDB 2017 (full)'!$CB:$CB)*$H208/100,0)</f>
        <v>0</v>
      </c>
      <c r="CL208" s="16">
        <f ca="1">IFERROR(_xlfn.XLOOKUP($F208,'FCDB 2017 (full)'!$C:$C,'FCDB 2017 (full)'!$CC:$CC)*$H208/100,0)</f>
        <v>0</v>
      </c>
      <c r="CM208" s="16">
        <f ca="1">IFERROR(_xlfn.XLOOKUP($F208,'FCDB 2017 (full)'!$C:$C,'FCDB 2017 (full)'!$CD:$CD)*$H208/100,0)</f>
        <v>0</v>
      </c>
      <c r="CN208" s="16">
        <f ca="1">IFERROR(_xlfn.XLOOKUP($F208,'FCDB 2017 (full)'!$C:$C,'FCDB 2017 (full)'!$CE:$CE)*$H208/100,0)</f>
        <v>0</v>
      </c>
      <c r="CO208" s="16">
        <f ca="1">IFERROR(_xlfn.XLOOKUP($F208,'FCDB 2017 (full)'!$C:$C,'FCDB 2017 (full)'!$CF:$CF)*$H208/100,0)</f>
        <v>0</v>
      </c>
      <c r="CP208" s="16">
        <f ca="1">IFERROR(_xlfn.XLOOKUP($F208,'FCDB 2017 (full)'!$C:$C,'FCDB 2017 (full)'!$CG:$CG)*$H208/100,0)</f>
        <v>0</v>
      </c>
      <c r="CQ208" s="16">
        <f ca="1">IFERROR(_xlfn.XLOOKUP($F208,'FCDB 2017 (full)'!$C:$C,'FCDB 2017 (full)'!$CH:$CH)*$H208/100,0)</f>
        <v>0</v>
      </c>
      <c r="CR208" s="29"/>
      <c r="DA208" s="72" t="s">
        <v>987</v>
      </c>
    </row>
    <row r="209" spans="4:105">
      <c r="D209" s="29"/>
      <c r="E209" s="29"/>
      <c r="F209" s="11">
        <f>IFERROR(VLOOKUP($D$182,$D:$AE,26,0),0)</f>
        <v>0</v>
      </c>
      <c r="G209" s="7" cm="1">
        <f t="array" ref="G209">IF(F209=0,0,IF(_xlfn.XLOOKUP(F209,$E$182:$AE$182,$E$183:$AE$183)=0,"Nhập ĐV/TV",_xlfn.XLOOKUP(F209,$E$182:$AE$182,$E$183:$AE$183)))</f>
        <v>0</v>
      </c>
      <c r="H209" s="8" cm="1">
        <f t="array" ref="H209">IFERROR(INDEX($E$184:$AE$184,MATCH(F209,$E$182:$AE$182,0)),0)</f>
        <v>0</v>
      </c>
      <c r="I209" s="9">
        <f ca="1">IFERROR(_xlfn.XLOOKUP($F209,'FCDB 2017 (full)'!$C:$C,'FCDB 2017 (full)'!$E:$E),0)</f>
        <v>0</v>
      </c>
      <c r="J209" s="10">
        <f t="shared" ca="1" si="39"/>
        <v>0</v>
      </c>
      <c r="K209" s="9">
        <f ca="1">IFERROR(_xlfn.XLOOKUP($F209,'FCDB 2017 (full)'!$C:$C,'FCDB 2017 (full)'!$G:$G),0)</f>
        <v>0</v>
      </c>
      <c r="L209" s="13">
        <f t="shared" si="40"/>
        <v>0</v>
      </c>
      <c r="M209" s="13">
        <f t="shared" si="41"/>
        <v>0</v>
      </c>
      <c r="N209" s="9">
        <f ca="1">IFERROR(_xlfn.XLOOKUP($F209,'FCDB 2017 (full)'!$C:$C,'FCDB 2017 (full)'!$H:$H),0)</f>
        <v>0</v>
      </c>
      <c r="O209" s="14">
        <f t="shared" si="42"/>
        <v>0</v>
      </c>
      <c r="P209" s="14">
        <f t="shared" si="43"/>
        <v>0</v>
      </c>
      <c r="Q209" s="9">
        <f ca="1">IFERROR(_xlfn.XLOOKUP($F209,'FCDB 2017 (full)'!$C:$C,'FCDB 2017 (full)'!$I:$I),0)</f>
        <v>0</v>
      </c>
      <c r="R209" s="15">
        <f t="shared" ca="1" si="44"/>
        <v>0</v>
      </c>
      <c r="S209" s="16">
        <f ca="1">IFERROR(_xlfn.XLOOKUP($F209,'FCDB 2017 (full)'!$C:$C,'FCDB 2017 (full)'!$J:$J)*$H209/100,0)</f>
        <v>0</v>
      </c>
      <c r="T209" s="16">
        <f ca="1">IFERROR(_xlfn.XLOOKUP($F209,'FCDB 2017 (full)'!$C:$C,'FCDB 2017 (full)'!$K:$K)*$H209/100,0)</f>
        <v>0</v>
      </c>
      <c r="U209" s="16">
        <f ca="1">IFERROR(_xlfn.XLOOKUP($F209,'FCDB 2017 (full)'!$C:$C,'FCDB 2017 (full)'!$L:$L)*$H209/100,0)</f>
        <v>0</v>
      </c>
      <c r="V209" s="16">
        <f ca="1">IFERROR(_xlfn.XLOOKUP($F209,'FCDB 2017 (full)'!$C:$C,'FCDB 2017 (full)'!$M:$M)*$H209/100,0)</f>
        <v>0</v>
      </c>
      <c r="W209" s="16">
        <f ca="1">IFERROR(_xlfn.XLOOKUP($F209,'FCDB 2017 (full)'!$C:$C,'FCDB 2017 (full)'!$N:$N)*$H209/100,0)</f>
        <v>0</v>
      </c>
      <c r="X209" s="16">
        <f ca="1">IFERROR(_xlfn.XLOOKUP($F209,'FCDB 2017 (full)'!$C:$C,'FCDB 2017 (full)'!$O:$O)*$H209/100,0)</f>
        <v>0</v>
      </c>
      <c r="Y209" s="16">
        <f ca="1">IFERROR(_xlfn.XLOOKUP($F209,'FCDB 2017 (full)'!$C:$C,'FCDB 2017 (full)'!$P:$P)*$H209/100,0)</f>
        <v>0</v>
      </c>
      <c r="Z209" s="16">
        <f ca="1">IFERROR(_xlfn.XLOOKUP($F209,'FCDB 2017 (full)'!$C:$C,'FCDB 2017 (full)'!$Q:$Q)*$H209/100,0)</f>
        <v>0</v>
      </c>
      <c r="AA209" s="16">
        <f ca="1">IFERROR(_xlfn.XLOOKUP($F209,'FCDB 2017 (full)'!$C:$C,'FCDB 2017 (full)'!$R:$R)*$H209/100,0)</f>
        <v>0</v>
      </c>
      <c r="AB209" s="16">
        <f ca="1">IFERROR(_xlfn.XLOOKUP($F209,'FCDB 2017 (full)'!$C:$C,'FCDB 2017 (full)'!$S:$S)*$H209/100,0)</f>
        <v>0</v>
      </c>
      <c r="AC209" s="16">
        <f ca="1">IFERROR(_xlfn.XLOOKUP($F209,'FCDB 2017 (full)'!$C:$C,'FCDB 2017 (full)'!$T:$T)*$H209/100,0)</f>
        <v>0</v>
      </c>
      <c r="AD209" s="16">
        <f ca="1">IFERROR(_xlfn.XLOOKUP($F209,'FCDB 2017 (full)'!$C:$C,'FCDB 2017 (full)'!$U:$U)*$H209/100,0)</f>
        <v>0</v>
      </c>
      <c r="AE209" s="16">
        <f ca="1">IFERROR(_xlfn.XLOOKUP($F209,'FCDB 2017 (full)'!$C:$C,'FCDB 2017 (full)'!$V:$V)*$H209/100,0)</f>
        <v>0</v>
      </c>
      <c r="AF209" s="16">
        <f ca="1">IFERROR(_xlfn.XLOOKUP($F209,'FCDB 2017 (full)'!$C:$C,'FCDB 2017 (full)'!$W:$W)*$H209/100,0)</f>
        <v>0</v>
      </c>
      <c r="AG209" s="16">
        <f ca="1">IFERROR(_xlfn.XLOOKUP($F209,'FCDB 2017 (full)'!$C:$C,'FCDB 2017 (full)'!$X:$X)*$H209/100,0)</f>
        <v>0</v>
      </c>
      <c r="AH209" s="16">
        <f ca="1">IFERROR(_xlfn.XLOOKUP($F209,'FCDB 2017 (full)'!$C:$C,'FCDB 2017 (full)'!$Y:$Y)*$H209/100,0)</f>
        <v>0</v>
      </c>
      <c r="AI209" s="16">
        <f ca="1">IFERROR(_xlfn.XLOOKUP($F209,'FCDB 2017 (full)'!$C:$C,'FCDB 2017 (full)'!$Z:$Z)*$H209/100,0)</f>
        <v>0</v>
      </c>
      <c r="AJ209" s="16">
        <f ca="1">IFERROR(_xlfn.XLOOKUP($F209,'FCDB 2017 (full)'!$C:$C,'FCDB 2017 (full)'!$AA:$AA)*$H209/100,0)</f>
        <v>0</v>
      </c>
      <c r="AK209" s="16">
        <f ca="1">IFERROR(_xlfn.XLOOKUP($F209,'FCDB 2017 (full)'!$C:$C,'FCDB 2017 (full)'!$AB:$AB)*$H209/100,0)</f>
        <v>0</v>
      </c>
      <c r="AL209" s="16">
        <f ca="1">IFERROR(_xlfn.XLOOKUP($F209,'FCDB 2017 (full)'!$C:$C,'FCDB 2017 (full)'!$AC:$AC)*$H209/100,0)</f>
        <v>0</v>
      </c>
      <c r="AM209" s="16">
        <f ca="1">IFERROR(_xlfn.XLOOKUP($F209,'FCDB 2017 (full)'!$C:$C,'FCDB 2017 (full)'!$AD:$AD)*$H209/100,0)</f>
        <v>0</v>
      </c>
      <c r="AN209" s="16">
        <f ca="1">IFERROR(_xlfn.XLOOKUP($F209,'FCDB 2017 (full)'!$C:$C,'FCDB 2017 (full)'!$AE:$AE)*$H209/100,0)</f>
        <v>0</v>
      </c>
      <c r="AO209" s="16">
        <f ca="1">IFERROR(_xlfn.XLOOKUP($F209,'FCDB 2017 (full)'!$C:$C,'FCDB 2017 (full)'!$AF:$AF)*$H209/100,0)</f>
        <v>0</v>
      </c>
      <c r="AP209" s="16">
        <f ca="1">IFERROR(_xlfn.XLOOKUP($F209,'FCDB 2017 (full)'!$C:$C,'FCDB 2017 (full)'!$AG:$AG)*$H209/100,0)</f>
        <v>0</v>
      </c>
      <c r="AQ209" s="16">
        <f ca="1">IFERROR(_xlfn.XLOOKUP($F209,'FCDB 2017 (full)'!$C:$C,'FCDB 2017 (full)'!$AH:$AH)*$H209/100,0)</f>
        <v>0</v>
      </c>
      <c r="AR209" s="16">
        <f ca="1">IFERROR(_xlfn.XLOOKUP($F209,'FCDB 2017 (full)'!$C:$C,'FCDB 2017 (full)'!$AI:$AI)*$H209/100,0)</f>
        <v>0</v>
      </c>
      <c r="AS209" s="16">
        <f ca="1">IFERROR(_xlfn.XLOOKUP($F209,'FCDB 2017 (full)'!$C:$C,'FCDB 2017 (full)'!$AJ:$AJ)*$H209/100,0)</f>
        <v>0</v>
      </c>
      <c r="AT209" s="16">
        <f ca="1">IFERROR(_xlfn.XLOOKUP($F209,'FCDB 2017 (full)'!$C:$C,'FCDB 2017 (full)'!$AK:$AK)*$H209/100,0)</f>
        <v>0</v>
      </c>
      <c r="AU209" s="16">
        <f ca="1">IFERROR(_xlfn.XLOOKUP($F209,'FCDB 2017 (full)'!$C:$C,'FCDB 2017 (full)'!$AK:$AK)*$H209/100,0)</f>
        <v>0</v>
      </c>
      <c r="AV209" s="16">
        <f ca="1">IFERROR(_xlfn.XLOOKUP($F209,'FCDB 2017 (full)'!$C:$C,'FCDB 2017 (full)'!$AM:$AM)*$H209/100,0)</f>
        <v>0</v>
      </c>
      <c r="AW209" s="16">
        <f ca="1">IFERROR(_xlfn.XLOOKUP($F209,'FCDB 2017 (full)'!$C:$C,'FCDB 2017 (full)'!$AN:$AN)*$H209/100,0)</f>
        <v>0</v>
      </c>
      <c r="AX209" s="16">
        <f ca="1">IFERROR(_xlfn.XLOOKUP($F209,'FCDB 2017 (full)'!$C:$C,'FCDB 2017 (full)'!$AO:$AO)*$H209/100,0)</f>
        <v>0</v>
      </c>
      <c r="AY209" s="16">
        <f ca="1">IFERROR(_xlfn.XLOOKUP($F209,'FCDB 2017 (full)'!$C:$C,'FCDB 2017 (full)'!$AP:$AP)*$H209/100,0)</f>
        <v>0</v>
      </c>
      <c r="AZ209" s="16">
        <f ca="1">IFERROR(_xlfn.XLOOKUP($F209,'FCDB 2017 (full)'!$C:$C,'FCDB 2017 (full)'!$AQ:$AQ)*$H209/100,0)</f>
        <v>0</v>
      </c>
      <c r="BA209" s="16">
        <f ca="1">IFERROR(_xlfn.XLOOKUP($F209,'FCDB 2017 (full)'!$C:$C,'FCDB 2017 (full)'!$AR:$AR)*$H209/100,0)</f>
        <v>0</v>
      </c>
      <c r="BB209" s="16">
        <f ca="1">IFERROR(_xlfn.XLOOKUP($F209,'FCDB 2017 (full)'!$C:$C,'FCDB 2017 (full)'!$AS:$AS)*$H209/100,0)</f>
        <v>0</v>
      </c>
      <c r="BC209" s="16">
        <f ca="1">IFERROR(_xlfn.XLOOKUP($F209,'FCDB 2017 (full)'!$C:$C,'FCDB 2017 (full)'!$AT:$AT)*$H209/100,0)</f>
        <v>0</v>
      </c>
      <c r="BD209" s="16">
        <f ca="1">IFERROR(_xlfn.XLOOKUP($F209,'FCDB 2017 (full)'!$C:$C,'FCDB 2017 (full)'!$AU:$AU)*$H209/100,0)</f>
        <v>0</v>
      </c>
      <c r="BE209" s="16">
        <f ca="1">IFERROR(_xlfn.XLOOKUP($F209,'FCDB 2017 (full)'!$C:$C,'FCDB 2017 (full)'!$AV:$AV)*$H209/100,0)</f>
        <v>0</v>
      </c>
      <c r="BF209" s="16">
        <f ca="1">IFERROR(_xlfn.XLOOKUP($F209,'FCDB 2017 (full)'!$C:$C,'FCDB 2017 (full)'!$AW:$AW)*$H209/100,0)</f>
        <v>0</v>
      </c>
      <c r="BG209" s="16">
        <f ca="1">IFERROR(_xlfn.XLOOKUP($F209,'FCDB 2017 (full)'!$C:$C,'FCDB 2017 (full)'!$AX:$AX)*$H209/100,0)</f>
        <v>0</v>
      </c>
      <c r="BH209" s="16">
        <f ca="1">IFERROR(_xlfn.XLOOKUP($F209,'FCDB 2017 (full)'!$C:$C,'FCDB 2017 (full)'!$AY:$AY)*$H209/100,0)</f>
        <v>0</v>
      </c>
      <c r="BI209" s="16">
        <f ca="1">IFERROR(_xlfn.XLOOKUP($F209,'FCDB 2017 (full)'!$C:$C,'FCDB 2017 (full)'!$AZ:$AZ)*$H209/100,0)</f>
        <v>0</v>
      </c>
      <c r="BJ209" s="16">
        <f ca="1">IFERROR(_xlfn.XLOOKUP($F209,'FCDB 2017 (full)'!$C:$C,'FCDB 2017 (full)'!$BA:$BA)*$H209/100,0)</f>
        <v>0</v>
      </c>
      <c r="BK209" s="16">
        <f ca="1">IFERROR(_xlfn.XLOOKUP($F209,'FCDB 2017 (full)'!$C:$C,'FCDB 2017 (full)'!$BB:$BB)*$H209/100,0)</f>
        <v>0</v>
      </c>
      <c r="BL209" s="16">
        <f ca="1">IFERROR(_xlfn.XLOOKUP($F209,'FCDB 2017 (full)'!$C:$C,'FCDB 2017 (full)'!$BC:$BC)*$H209/100,0)</f>
        <v>0</v>
      </c>
      <c r="BM209" s="16">
        <f ca="1">IFERROR(_xlfn.XLOOKUP($F209,'FCDB 2017 (full)'!$C:$C,'FCDB 2017 (full)'!$BD:$BD)*$H209/100,0)</f>
        <v>0</v>
      </c>
      <c r="BN209" s="16">
        <f ca="1">IFERROR(_xlfn.XLOOKUP($F209,'FCDB 2017 (full)'!$C:$C,'FCDB 2017 (full)'!$BE:$BE)*$H209/100,0)</f>
        <v>0</v>
      </c>
      <c r="BO209" s="16">
        <f ca="1">IFERROR(_xlfn.XLOOKUP($F209,'FCDB 2017 (full)'!$C:$C,'FCDB 2017 (full)'!$BF:$BF)*$H209/100,0)</f>
        <v>0</v>
      </c>
      <c r="BP209" s="16">
        <f ca="1">IFERROR(_xlfn.XLOOKUP($F209,'FCDB 2017 (full)'!$C:$C,'FCDB 2017 (full)'!$BG:$BG)*$H209/100,0)</f>
        <v>0</v>
      </c>
      <c r="BQ209" s="16">
        <f ca="1">IFERROR(_xlfn.XLOOKUP($F209,'FCDB 2017 (full)'!$C:$C,'FCDB 2017 (full)'!$BH:$BH)*$H209/100,0)</f>
        <v>0</v>
      </c>
      <c r="BR209" s="16">
        <f ca="1">IFERROR(_xlfn.XLOOKUP($F209,'FCDB 2017 (full)'!$C:$C,'FCDB 2017 (full)'!$BI:$BI)*$H209/100,0)</f>
        <v>0</v>
      </c>
      <c r="BS209" s="16">
        <f ca="1">IFERROR(_xlfn.XLOOKUP($F209,'FCDB 2017 (full)'!$C:$C,'FCDB 2017 (full)'!$BJ:$BJ)*$H209/100,0)</f>
        <v>0</v>
      </c>
      <c r="BT209" s="16">
        <f ca="1">IFERROR(_xlfn.XLOOKUP($F209,'FCDB 2017 (full)'!$C:$C,'FCDB 2017 (full)'!$BK:$BK)*$H209/100,0)</f>
        <v>0</v>
      </c>
      <c r="BU209" s="16">
        <f ca="1">IFERROR(_xlfn.XLOOKUP($F209,'FCDB 2017 (full)'!$C:$C,'FCDB 2017 (full)'!$BL:$BL)*$H209/100,0)</f>
        <v>0</v>
      </c>
      <c r="BV209" s="16">
        <f ca="1">IFERROR(_xlfn.XLOOKUP($F209,'FCDB 2017 (full)'!$C:$C,'FCDB 2017 (full)'!$BM:$BM)*$H209/100,0)</f>
        <v>0</v>
      </c>
      <c r="BW209" s="16">
        <f ca="1">IFERROR(_xlfn.XLOOKUP($F209,'FCDB 2017 (full)'!$C:$C,'FCDB 2017 (full)'!$BN:$BN)*$H209/100,0)</f>
        <v>0</v>
      </c>
      <c r="BX209" s="16">
        <f ca="1">IFERROR(_xlfn.XLOOKUP($F209,'FCDB 2017 (full)'!$C:$C,'FCDB 2017 (full)'!$BO:$BO)*$H209/100,0)</f>
        <v>0</v>
      </c>
      <c r="BY209" s="16">
        <f ca="1">IFERROR(_xlfn.XLOOKUP($F209,'FCDB 2017 (full)'!$C:$C,'FCDB 2017 (full)'!$BP:$BP)*$H209/100,0)</f>
        <v>0</v>
      </c>
      <c r="BZ209" s="16">
        <f ca="1">IFERROR(_xlfn.XLOOKUP($F209,'FCDB 2017 (full)'!$C:$C,'FCDB 2017 (full)'!$BQ:$BQ)*$H209/100,0)</f>
        <v>0</v>
      </c>
      <c r="CA209" s="16">
        <f ca="1">IFERROR(_xlfn.XLOOKUP($F209,'FCDB 2017 (full)'!$C:$C,'FCDB 2017 (full)'!$BR:$BR)*$H209/100,0)</f>
        <v>0</v>
      </c>
      <c r="CB209" s="16">
        <f ca="1">IFERROR(_xlfn.XLOOKUP($F209,'FCDB 2017 (full)'!$C:$C,'FCDB 2017 (full)'!$BS:$BS)*$H209/100,0)</f>
        <v>0</v>
      </c>
      <c r="CC209" s="16">
        <f ca="1">IFERROR(_xlfn.XLOOKUP($F209,'FCDB 2017 (full)'!$C:$C,'FCDB 2017 (full)'!$BT:$BT)*$H209/100,0)</f>
        <v>0</v>
      </c>
      <c r="CD209" s="16">
        <f ca="1">IFERROR(_xlfn.XLOOKUP($F209,'FCDB 2017 (full)'!$C:$C,'FCDB 2017 (full)'!$BU:$BU)*$H209/100,0)</f>
        <v>0</v>
      </c>
      <c r="CE209" s="16">
        <f ca="1">IFERROR(_xlfn.XLOOKUP($F209,'FCDB 2017 (full)'!$C:$C,'FCDB 2017 (full)'!$BV:$BV)*$H209/100,0)</f>
        <v>0</v>
      </c>
      <c r="CF209" s="16">
        <f ca="1">IFERROR(_xlfn.XLOOKUP($F209,'FCDB 2017 (full)'!$C:$C,'FCDB 2017 (full)'!$BW:$BW)*$H209/100,0)</f>
        <v>0</v>
      </c>
      <c r="CG209" s="16">
        <f ca="1">IFERROR(_xlfn.XLOOKUP($F209,'FCDB 2017 (full)'!$C:$C,'FCDB 2017 (full)'!$BX:$BX)*$H209/100,0)</f>
        <v>0</v>
      </c>
      <c r="CH209" s="16">
        <f ca="1">IFERROR(_xlfn.XLOOKUP($F209,'FCDB 2017 (full)'!$C:$C,'FCDB 2017 (full)'!$BY:$BY)*$H209/100,0)</f>
        <v>0</v>
      </c>
      <c r="CI209" s="16">
        <f ca="1">IFERROR(_xlfn.XLOOKUP($F209,'FCDB 2017 (full)'!$C:$C,'FCDB 2017 (full)'!$BZ:$BZ)*$H209/100,0)</f>
        <v>0</v>
      </c>
      <c r="CJ209" s="16">
        <f ca="1">IFERROR(_xlfn.XLOOKUP($F209,'FCDB 2017 (full)'!$C:$C,'FCDB 2017 (full)'!$CA:$CA)*$H209/100,0)</f>
        <v>0</v>
      </c>
      <c r="CK209" s="16">
        <f ca="1">IFERROR(_xlfn.XLOOKUP($F209,'FCDB 2017 (full)'!$C:$C,'FCDB 2017 (full)'!$CB:$CB)*$H209/100,0)</f>
        <v>0</v>
      </c>
      <c r="CL209" s="16">
        <f ca="1">IFERROR(_xlfn.XLOOKUP($F209,'FCDB 2017 (full)'!$C:$C,'FCDB 2017 (full)'!$CC:$CC)*$H209/100,0)</f>
        <v>0</v>
      </c>
      <c r="CM209" s="16">
        <f ca="1">IFERROR(_xlfn.XLOOKUP($F209,'FCDB 2017 (full)'!$C:$C,'FCDB 2017 (full)'!$CD:$CD)*$H209/100,0)</f>
        <v>0</v>
      </c>
      <c r="CN209" s="16">
        <f ca="1">IFERROR(_xlfn.XLOOKUP($F209,'FCDB 2017 (full)'!$C:$C,'FCDB 2017 (full)'!$CE:$CE)*$H209/100,0)</f>
        <v>0</v>
      </c>
      <c r="CO209" s="16">
        <f ca="1">IFERROR(_xlfn.XLOOKUP($F209,'FCDB 2017 (full)'!$C:$C,'FCDB 2017 (full)'!$CF:$CF)*$H209/100,0)</f>
        <v>0</v>
      </c>
      <c r="CP209" s="16">
        <f ca="1">IFERROR(_xlfn.XLOOKUP($F209,'FCDB 2017 (full)'!$C:$C,'FCDB 2017 (full)'!$CG:$CG)*$H209/100,0)</f>
        <v>0</v>
      </c>
      <c r="CQ209" s="16">
        <f ca="1">IFERROR(_xlfn.XLOOKUP($F209,'FCDB 2017 (full)'!$C:$C,'FCDB 2017 (full)'!$CH:$CH)*$H209/100,0)</f>
        <v>0</v>
      </c>
      <c r="CR209" s="29"/>
      <c r="DA209" s="72" t="s">
        <v>987</v>
      </c>
    </row>
    <row r="210" spans="4:105" s="29" customFormat="1">
      <c r="F210" s="11">
        <f>IFERROR(VLOOKUP($D$182,$D:$AE,27,0),0)</f>
        <v>0</v>
      </c>
      <c r="G210" s="7" cm="1">
        <f t="array" ref="G210">IF(F210=0,0,IF(_xlfn.XLOOKUP(F210,$E$182:$AE$182,$E$183:$AE$183)=0,"Nhập ĐV/TV",_xlfn.XLOOKUP(F210,$E$182:$AE$182,$E$183:$AE$183)))</f>
        <v>0</v>
      </c>
      <c r="H210" s="8" cm="1">
        <f t="array" ref="H210">IFERROR(INDEX($E$184:$AE$184,MATCH(F210,$E$182:$AE$182,0)),0)</f>
        <v>0</v>
      </c>
      <c r="I210" s="9">
        <f ca="1">IFERROR(_xlfn.XLOOKUP($F210,'FCDB 2017 (full)'!$C:$C,'FCDB 2017 (full)'!$E:$E),0)</f>
        <v>0</v>
      </c>
      <c r="J210" s="10">
        <f t="shared" ca="1" si="39"/>
        <v>0</v>
      </c>
      <c r="K210" s="9">
        <f ca="1">IFERROR(_xlfn.XLOOKUP($F210,'FCDB 2017 (full)'!$C:$C,'FCDB 2017 (full)'!$G:$G),0)</f>
        <v>0</v>
      </c>
      <c r="L210" s="13">
        <f t="shared" si="40"/>
        <v>0</v>
      </c>
      <c r="M210" s="13">
        <f t="shared" si="41"/>
        <v>0</v>
      </c>
      <c r="N210" s="9">
        <f ca="1">IFERROR(_xlfn.XLOOKUP($F210,'FCDB 2017 (full)'!$C:$C,'FCDB 2017 (full)'!$H:$H),0)</f>
        <v>0</v>
      </c>
      <c r="O210" s="14">
        <f t="shared" si="42"/>
        <v>0</v>
      </c>
      <c r="P210" s="14">
        <f t="shared" si="43"/>
        <v>0</v>
      </c>
      <c r="Q210" s="9">
        <f ca="1">IFERROR(_xlfn.XLOOKUP($F210,'FCDB 2017 (full)'!$C:$C,'FCDB 2017 (full)'!$I:$I),0)</f>
        <v>0</v>
      </c>
      <c r="R210" s="15">
        <f t="shared" ca="1" si="44"/>
        <v>0</v>
      </c>
      <c r="S210" s="16">
        <f ca="1">IFERROR(_xlfn.XLOOKUP($F210,'FCDB 2017 (full)'!$C:$C,'FCDB 2017 (full)'!$J:$J)*$H210/100,0)</f>
        <v>0</v>
      </c>
      <c r="T210" s="16">
        <f ca="1">IFERROR(_xlfn.XLOOKUP($F210,'FCDB 2017 (full)'!$C:$C,'FCDB 2017 (full)'!$K:$K)*$H210/100,0)</f>
        <v>0</v>
      </c>
      <c r="U210" s="16">
        <f ca="1">IFERROR(_xlfn.XLOOKUP($F210,'FCDB 2017 (full)'!$C:$C,'FCDB 2017 (full)'!$L:$L)*$H210/100,0)</f>
        <v>0</v>
      </c>
      <c r="V210" s="16">
        <f ca="1">IFERROR(_xlfn.XLOOKUP($F210,'FCDB 2017 (full)'!$C:$C,'FCDB 2017 (full)'!$M:$M)*$H210/100,0)</f>
        <v>0</v>
      </c>
      <c r="W210" s="16">
        <f ca="1">IFERROR(_xlfn.XLOOKUP($F210,'FCDB 2017 (full)'!$C:$C,'FCDB 2017 (full)'!$N:$N)*$H210/100,0)</f>
        <v>0</v>
      </c>
      <c r="X210" s="16">
        <f ca="1">IFERROR(_xlfn.XLOOKUP($F210,'FCDB 2017 (full)'!$C:$C,'FCDB 2017 (full)'!$O:$O)*$H210/100,0)</f>
        <v>0</v>
      </c>
      <c r="Y210" s="16">
        <f ca="1">IFERROR(_xlfn.XLOOKUP($F210,'FCDB 2017 (full)'!$C:$C,'FCDB 2017 (full)'!$P:$P)*$H210/100,0)</f>
        <v>0</v>
      </c>
      <c r="Z210" s="16">
        <f ca="1">IFERROR(_xlfn.XLOOKUP($F210,'FCDB 2017 (full)'!$C:$C,'FCDB 2017 (full)'!$Q:$Q)*$H210/100,0)</f>
        <v>0</v>
      </c>
      <c r="AA210" s="16">
        <f ca="1">IFERROR(_xlfn.XLOOKUP($F210,'FCDB 2017 (full)'!$C:$C,'FCDB 2017 (full)'!$R:$R)*$H210/100,0)</f>
        <v>0</v>
      </c>
      <c r="AB210" s="16">
        <f ca="1">IFERROR(_xlfn.XLOOKUP($F210,'FCDB 2017 (full)'!$C:$C,'FCDB 2017 (full)'!$S:$S)*$H210/100,0)</f>
        <v>0</v>
      </c>
      <c r="AC210" s="16">
        <f ca="1">IFERROR(_xlfn.XLOOKUP($F210,'FCDB 2017 (full)'!$C:$C,'FCDB 2017 (full)'!$T:$T)*$H210/100,0)</f>
        <v>0</v>
      </c>
      <c r="AD210" s="16">
        <f ca="1">IFERROR(_xlfn.XLOOKUP($F210,'FCDB 2017 (full)'!$C:$C,'FCDB 2017 (full)'!$U:$U)*$H210/100,0)</f>
        <v>0</v>
      </c>
      <c r="AE210" s="16">
        <f ca="1">IFERROR(_xlfn.XLOOKUP($F210,'FCDB 2017 (full)'!$C:$C,'FCDB 2017 (full)'!$V:$V)*$H210/100,0)</f>
        <v>0</v>
      </c>
      <c r="AF210" s="16">
        <f ca="1">IFERROR(_xlfn.XLOOKUP($F210,'FCDB 2017 (full)'!$C:$C,'FCDB 2017 (full)'!$W:$W)*$H210/100,0)</f>
        <v>0</v>
      </c>
      <c r="AG210" s="16">
        <f ca="1">IFERROR(_xlfn.XLOOKUP($F210,'FCDB 2017 (full)'!$C:$C,'FCDB 2017 (full)'!$X:$X)*$H210/100,0)</f>
        <v>0</v>
      </c>
      <c r="AH210" s="16">
        <f ca="1">IFERROR(_xlfn.XLOOKUP($F210,'FCDB 2017 (full)'!$C:$C,'FCDB 2017 (full)'!$Y:$Y)*$H210/100,0)</f>
        <v>0</v>
      </c>
      <c r="AI210" s="16">
        <f ca="1">IFERROR(_xlfn.XLOOKUP($F210,'FCDB 2017 (full)'!$C:$C,'FCDB 2017 (full)'!$Z:$Z)*$H210/100,0)</f>
        <v>0</v>
      </c>
      <c r="AJ210" s="16">
        <f ca="1">IFERROR(_xlfn.XLOOKUP($F210,'FCDB 2017 (full)'!$C:$C,'FCDB 2017 (full)'!$AA:$AA)*$H210/100,0)</f>
        <v>0</v>
      </c>
      <c r="AK210" s="16">
        <f ca="1">IFERROR(_xlfn.XLOOKUP($F210,'FCDB 2017 (full)'!$C:$C,'FCDB 2017 (full)'!$AB:$AB)*$H210/100,0)</f>
        <v>0</v>
      </c>
      <c r="AL210" s="16">
        <f ca="1">IFERROR(_xlfn.XLOOKUP($F210,'FCDB 2017 (full)'!$C:$C,'FCDB 2017 (full)'!$AC:$AC)*$H210/100,0)</f>
        <v>0</v>
      </c>
      <c r="AM210" s="16">
        <f ca="1">IFERROR(_xlfn.XLOOKUP($F210,'FCDB 2017 (full)'!$C:$C,'FCDB 2017 (full)'!$AD:$AD)*$H210/100,0)</f>
        <v>0</v>
      </c>
      <c r="AN210" s="16">
        <f ca="1">IFERROR(_xlfn.XLOOKUP($F210,'FCDB 2017 (full)'!$C:$C,'FCDB 2017 (full)'!$AE:$AE)*$H210/100,0)</f>
        <v>0</v>
      </c>
      <c r="AO210" s="16">
        <f ca="1">IFERROR(_xlfn.XLOOKUP($F210,'FCDB 2017 (full)'!$C:$C,'FCDB 2017 (full)'!$AF:$AF)*$H210/100,0)</f>
        <v>0</v>
      </c>
      <c r="AP210" s="16">
        <f ca="1">IFERROR(_xlfn.XLOOKUP($F210,'FCDB 2017 (full)'!$C:$C,'FCDB 2017 (full)'!$AG:$AG)*$H210/100,0)</f>
        <v>0</v>
      </c>
      <c r="AQ210" s="16">
        <f ca="1">IFERROR(_xlfn.XLOOKUP($F210,'FCDB 2017 (full)'!$C:$C,'FCDB 2017 (full)'!$AH:$AH)*$H210/100,0)</f>
        <v>0</v>
      </c>
      <c r="AR210" s="16">
        <f ca="1">IFERROR(_xlfn.XLOOKUP($F210,'FCDB 2017 (full)'!$C:$C,'FCDB 2017 (full)'!$AI:$AI)*$H210/100,0)</f>
        <v>0</v>
      </c>
      <c r="AS210" s="16">
        <f ca="1">IFERROR(_xlfn.XLOOKUP($F210,'FCDB 2017 (full)'!$C:$C,'FCDB 2017 (full)'!$AJ:$AJ)*$H210/100,0)</f>
        <v>0</v>
      </c>
      <c r="AT210" s="16">
        <f ca="1">IFERROR(_xlfn.XLOOKUP($F210,'FCDB 2017 (full)'!$C:$C,'FCDB 2017 (full)'!$AK:$AK)*$H210/100,0)</f>
        <v>0</v>
      </c>
      <c r="AU210" s="16">
        <f ca="1">IFERROR(_xlfn.XLOOKUP($F210,'FCDB 2017 (full)'!$C:$C,'FCDB 2017 (full)'!$AK:$AK)*$H210/100,0)</f>
        <v>0</v>
      </c>
      <c r="AV210" s="16">
        <f ca="1">IFERROR(_xlfn.XLOOKUP($F210,'FCDB 2017 (full)'!$C:$C,'FCDB 2017 (full)'!$AM:$AM)*$H210/100,0)</f>
        <v>0</v>
      </c>
      <c r="AW210" s="16">
        <f ca="1">IFERROR(_xlfn.XLOOKUP($F210,'FCDB 2017 (full)'!$C:$C,'FCDB 2017 (full)'!$AN:$AN)*$H210/100,0)</f>
        <v>0</v>
      </c>
      <c r="AX210" s="16">
        <f ca="1">IFERROR(_xlfn.XLOOKUP($F210,'FCDB 2017 (full)'!$C:$C,'FCDB 2017 (full)'!$AO:$AO)*$H210/100,0)</f>
        <v>0</v>
      </c>
      <c r="AY210" s="16">
        <f ca="1">IFERROR(_xlfn.XLOOKUP($F210,'FCDB 2017 (full)'!$C:$C,'FCDB 2017 (full)'!$AP:$AP)*$H210/100,0)</f>
        <v>0</v>
      </c>
      <c r="AZ210" s="16">
        <f ca="1">IFERROR(_xlfn.XLOOKUP($F210,'FCDB 2017 (full)'!$C:$C,'FCDB 2017 (full)'!$AQ:$AQ)*$H210/100,0)</f>
        <v>0</v>
      </c>
      <c r="BA210" s="16">
        <f ca="1">IFERROR(_xlfn.XLOOKUP($F210,'FCDB 2017 (full)'!$C:$C,'FCDB 2017 (full)'!$AR:$AR)*$H210/100,0)</f>
        <v>0</v>
      </c>
      <c r="BB210" s="16">
        <f ca="1">IFERROR(_xlfn.XLOOKUP($F210,'FCDB 2017 (full)'!$C:$C,'FCDB 2017 (full)'!$AS:$AS)*$H210/100,0)</f>
        <v>0</v>
      </c>
      <c r="BC210" s="16">
        <f ca="1">IFERROR(_xlfn.XLOOKUP($F210,'FCDB 2017 (full)'!$C:$C,'FCDB 2017 (full)'!$AT:$AT)*$H210/100,0)</f>
        <v>0</v>
      </c>
      <c r="BD210" s="16">
        <f ca="1">IFERROR(_xlfn.XLOOKUP($F210,'FCDB 2017 (full)'!$C:$C,'FCDB 2017 (full)'!$AU:$AU)*$H210/100,0)</f>
        <v>0</v>
      </c>
      <c r="BE210" s="16">
        <f ca="1">IFERROR(_xlfn.XLOOKUP($F210,'FCDB 2017 (full)'!$C:$C,'FCDB 2017 (full)'!$AV:$AV)*$H210/100,0)</f>
        <v>0</v>
      </c>
      <c r="BF210" s="16">
        <f ca="1">IFERROR(_xlfn.XLOOKUP($F210,'FCDB 2017 (full)'!$C:$C,'FCDB 2017 (full)'!$AW:$AW)*$H210/100,0)</f>
        <v>0</v>
      </c>
      <c r="BG210" s="16">
        <f ca="1">IFERROR(_xlfn.XLOOKUP($F210,'FCDB 2017 (full)'!$C:$C,'FCDB 2017 (full)'!$AX:$AX)*$H210/100,0)</f>
        <v>0</v>
      </c>
      <c r="BH210" s="16">
        <f ca="1">IFERROR(_xlfn.XLOOKUP($F210,'FCDB 2017 (full)'!$C:$C,'FCDB 2017 (full)'!$AY:$AY)*$H210/100,0)</f>
        <v>0</v>
      </c>
      <c r="BI210" s="16">
        <f ca="1">IFERROR(_xlfn.XLOOKUP($F210,'FCDB 2017 (full)'!$C:$C,'FCDB 2017 (full)'!$AZ:$AZ)*$H210/100,0)</f>
        <v>0</v>
      </c>
      <c r="BJ210" s="16">
        <f ca="1">IFERROR(_xlfn.XLOOKUP($F210,'FCDB 2017 (full)'!$C:$C,'FCDB 2017 (full)'!$BA:$BA)*$H210/100,0)</f>
        <v>0</v>
      </c>
      <c r="BK210" s="16">
        <f ca="1">IFERROR(_xlfn.XLOOKUP($F210,'FCDB 2017 (full)'!$C:$C,'FCDB 2017 (full)'!$BB:$BB)*$H210/100,0)</f>
        <v>0</v>
      </c>
      <c r="BL210" s="16">
        <f ca="1">IFERROR(_xlfn.XLOOKUP($F210,'FCDB 2017 (full)'!$C:$C,'FCDB 2017 (full)'!$BC:$BC)*$H210/100,0)</f>
        <v>0</v>
      </c>
      <c r="BM210" s="16">
        <f ca="1">IFERROR(_xlfn.XLOOKUP($F210,'FCDB 2017 (full)'!$C:$C,'FCDB 2017 (full)'!$BD:$BD)*$H210/100,0)</f>
        <v>0</v>
      </c>
      <c r="BN210" s="16">
        <f ca="1">IFERROR(_xlfn.XLOOKUP($F210,'FCDB 2017 (full)'!$C:$C,'FCDB 2017 (full)'!$BE:$BE)*$H210/100,0)</f>
        <v>0</v>
      </c>
      <c r="BO210" s="16">
        <f ca="1">IFERROR(_xlfn.XLOOKUP($F210,'FCDB 2017 (full)'!$C:$C,'FCDB 2017 (full)'!$BF:$BF)*$H210/100,0)</f>
        <v>0</v>
      </c>
      <c r="BP210" s="16">
        <f ca="1">IFERROR(_xlfn.XLOOKUP($F210,'FCDB 2017 (full)'!$C:$C,'FCDB 2017 (full)'!$BG:$BG)*$H210/100,0)</f>
        <v>0</v>
      </c>
      <c r="BQ210" s="16">
        <f ca="1">IFERROR(_xlfn.XLOOKUP($F210,'FCDB 2017 (full)'!$C:$C,'FCDB 2017 (full)'!$BH:$BH)*$H210/100,0)</f>
        <v>0</v>
      </c>
      <c r="BR210" s="16">
        <f ca="1">IFERROR(_xlfn.XLOOKUP($F210,'FCDB 2017 (full)'!$C:$C,'FCDB 2017 (full)'!$BI:$BI)*$H210/100,0)</f>
        <v>0</v>
      </c>
      <c r="BS210" s="16">
        <f ca="1">IFERROR(_xlfn.XLOOKUP($F210,'FCDB 2017 (full)'!$C:$C,'FCDB 2017 (full)'!$BJ:$BJ)*$H210/100,0)</f>
        <v>0</v>
      </c>
      <c r="BT210" s="16">
        <f ca="1">IFERROR(_xlfn.XLOOKUP($F210,'FCDB 2017 (full)'!$C:$C,'FCDB 2017 (full)'!$BK:$BK)*$H210/100,0)</f>
        <v>0</v>
      </c>
      <c r="BU210" s="16">
        <f ca="1">IFERROR(_xlfn.XLOOKUP($F210,'FCDB 2017 (full)'!$C:$C,'FCDB 2017 (full)'!$BL:$BL)*$H210/100,0)</f>
        <v>0</v>
      </c>
      <c r="BV210" s="16">
        <f ca="1">IFERROR(_xlfn.XLOOKUP($F210,'FCDB 2017 (full)'!$C:$C,'FCDB 2017 (full)'!$BM:$BM)*$H210/100,0)</f>
        <v>0</v>
      </c>
      <c r="BW210" s="16">
        <f ca="1">IFERROR(_xlfn.XLOOKUP($F210,'FCDB 2017 (full)'!$C:$C,'FCDB 2017 (full)'!$BN:$BN)*$H210/100,0)</f>
        <v>0</v>
      </c>
      <c r="BX210" s="16">
        <f ca="1">IFERROR(_xlfn.XLOOKUP($F210,'FCDB 2017 (full)'!$C:$C,'FCDB 2017 (full)'!$BO:$BO)*$H210/100,0)</f>
        <v>0</v>
      </c>
      <c r="BY210" s="16">
        <f ca="1">IFERROR(_xlfn.XLOOKUP($F210,'FCDB 2017 (full)'!$C:$C,'FCDB 2017 (full)'!$BP:$BP)*$H210/100,0)</f>
        <v>0</v>
      </c>
      <c r="BZ210" s="16">
        <f ca="1">IFERROR(_xlfn.XLOOKUP($F210,'FCDB 2017 (full)'!$C:$C,'FCDB 2017 (full)'!$BQ:$BQ)*$H210/100,0)</f>
        <v>0</v>
      </c>
      <c r="CA210" s="16">
        <f ca="1">IFERROR(_xlfn.XLOOKUP($F210,'FCDB 2017 (full)'!$C:$C,'FCDB 2017 (full)'!$BR:$BR)*$H210/100,0)</f>
        <v>0</v>
      </c>
      <c r="CB210" s="16">
        <f ca="1">IFERROR(_xlfn.XLOOKUP($F210,'FCDB 2017 (full)'!$C:$C,'FCDB 2017 (full)'!$BS:$BS)*$H210/100,0)</f>
        <v>0</v>
      </c>
      <c r="CC210" s="16">
        <f ca="1">IFERROR(_xlfn.XLOOKUP($F210,'FCDB 2017 (full)'!$C:$C,'FCDB 2017 (full)'!$BT:$BT)*$H210/100,0)</f>
        <v>0</v>
      </c>
      <c r="CD210" s="16">
        <f ca="1">IFERROR(_xlfn.XLOOKUP($F210,'FCDB 2017 (full)'!$C:$C,'FCDB 2017 (full)'!$BU:$BU)*$H210/100,0)</f>
        <v>0</v>
      </c>
      <c r="CE210" s="16">
        <f ca="1">IFERROR(_xlfn.XLOOKUP($F210,'FCDB 2017 (full)'!$C:$C,'FCDB 2017 (full)'!$BV:$BV)*$H210/100,0)</f>
        <v>0</v>
      </c>
      <c r="CF210" s="16">
        <f ca="1">IFERROR(_xlfn.XLOOKUP($F210,'FCDB 2017 (full)'!$C:$C,'FCDB 2017 (full)'!$BW:$BW)*$H210/100,0)</f>
        <v>0</v>
      </c>
      <c r="CG210" s="16">
        <f ca="1">IFERROR(_xlfn.XLOOKUP($F210,'FCDB 2017 (full)'!$C:$C,'FCDB 2017 (full)'!$BX:$BX)*$H210/100,0)</f>
        <v>0</v>
      </c>
      <c r="CH210" s="16">
        <f ca="1">IFERROR(_xlfn.XLOOKUP($F210,'FCDB 2017 (full)'!$C:$C,'FCDB 2017 (full)'!$BY:$BY)*$H210/100,0)</f>
        <v>0</v>
      </c>
      <c r="CI210" s="16">
        <f ca="1">IFERROR(_xlfn.XLOOKUP($F210,'FCDB 2017 (full)'!$C:$C,'FCDB 2017 (full)'!$BZ:$BZ)*$H210/100,0)</f>
        <v>0</v>
      </c>
      <c r="CJ210" s="16">
        <f ca="1">IFERROR(_xlfn.XLOOKUP($F210,'FCDB 2017 (full)'!$C:$C,'FCDB 2017 (full)'!$CA:$CA)*$H210/100,0)</f>
        <v>0</v>
      </c>
      <c r="CK210" s="16">
        <f ca="1">IFERROR(_xlfn.XLOOKUP($F210,'FCDB 2017 (full)'!$C:$C,'FCDB 2017 (full)'!$CB:$CB)*$H210/100,0)</f>
        <v>0</v>
      </c>
      <c r="CL210" s="16">
        <f ca="1">IFERROR(_xlfn.XLOOKUP($F210,'FCDB 2017 (full)'!$C:$C,'FCDB 2017 (full)'!$CC:$CC)*$H210/100,0)</f>
        <v>0</v>
      </c>
      <c r="CM210" s="16">
        <f ca="1">IFERROR(_xlfn.XLOOKUP($F210,'FCDB 2017 (full)'!$C:$C,'FCDB 2017 (full)'!$CD:$CD)*$H210/100,0)</f>
        <v>0</v>
      </c>
      <c r="CN210" s="16">
        <f ca="1">IFERROR(_xlfn.XLOOKUP($F210,'FCDB 2017 (full)'!$C:$C,'FCDB 2017 (full)'!$CE:$CE)*$H210/100,0)</f>
        <v>0</v>
      </c>
      <c r="CO210" s="16">
        <f ca="1">IFERROR(_xlfn.XLOOKUP($F210,'FCDB 2017 (full)'!$C:$C,'FCDB 2017 (full)'!$CF:$CF)*$H210/100,0)</f>
        <v>0</v>
      </c>
      <c r="CP210" s="16">
        <f ca="1">IFERROR(_xlfn.XLOOKUP($F210,'FCDB 2017 (full)'!$C:$C,'FCDB 2017 (full)'!$CG:$CG)*$H210/100,0)</f>
        <v>0</v>
      </c>
      <c r="CQ210" s="16">
        <f ca="1">IFERROR(_xlfn.XLOOKUP($F210,'FCDB 2017 (full)'!$C:$C,'FCDB 2017 (full)'!$CH:$CH)*$H210/100,0)</f>
        <v>0</v>
      </c>
      <c r="DA210" s="72" t="s">
        <v>987</v>
      </c>
    </row>
    <row r="211" spans="4:105" s="29" customFormat="1">
      <c r="F211" s="11">
        <f>IFERROR(VLOOKUP($D$182,$D:$AE,28,0),0)</f>
        <v>0</v>
      </c>
      <c r="G211" s="7" cm="1">
        <f t="array" ref="G211">IF(F211=0,0,IF(_xlfn.XLOOKUP(F211,$E$182:$AE$182,$E$183:$AE$183)=0,"Nhập ĐV/TV",_xlfn.XLOOKUP(F211,$E$182:$AE$182,$E$183:$AE$183)))</f>
        <v>0</v>
      </c>
      <c r="H211" s="8" cm="1">
        <f t="array" ref="H211">IFERROR(INDEX($E$184:$AE$184,MATCH(F211,$E$182:$AE$182,0)),0)</f>
        <v>0</v>
      </c>
      <c r="I211" s="9">
        <f ca="1">IFERROR(_xlfn.XLOOKUP($F211,'FCDB 2017 (full)'!$C:$C,'FCDB 2017 (full)'!$E:$E),0)</f>
        <v>0</v>
      </c>
      <c r="J211" s="10">
        <f t="shared" ca="1" si="39"/>
        <v>0</v>
      </c>
      <c r="K211" s="9">
        <f ca="1">IFERROR(_xlfn.XLOOKUP($F211,'FCDB 2017 (full)'!$C:$C,'FCDB 2017 (full)'!$G:$G),0)</f>
        <v>0</v>
      </c>
      <c r="L211" s="13">
        <f t="shared" si="40"/>
        <v>0</v>
      </c>
      <c r="M211" s="13">
        <f t="shared" si="41"/>
        <v>0</v>
      </c>
      <c r="N211" s="9">
        <f ca="1">IFERROR(_xlfn.XLOOKUP($F211,'FCDB 2017 (full)'!$C:$C,'FCDB 2017 (full)'!$H:$H),0)</f>
        <v>0</v>
      </c>
      <c r="O211" s="14">
        <f t="shared" si="42"/>
        <v>0</v>
      </c>
      <c r="P211" s="14">
        <f t="shared" si="43"/>
        <v>0</v>
      </c>
      <c r="Q211" s="9">
        <f ca="1">IFERROR(_xlfn.XLOOKUP($F211,'FCDB 2017 (full)'!$C:$C,'FCDB 2017 (full)'!$I:$I),0)</f>
        <v>0</v>
      </c>
      <c r="R211" s="15">
        <f t="shared" ca="1" si="44"/>
        <v>0</v>
      </c>
      <c r="S211" s="16">
        <f ca="1">IFERROR(_xlfn.XLOOKUP($F211,'FCDB 2017 (full)'!$C:$C,'FCDB 2017 (full)'!$J:$J)*$H211/100,0)</f>
        <v>0</v>
      </c>
      <c r="T211" s="16">
        <f ca="1">IFERROR(_xlfn.XLOOKUP($F211,'FCDB 2017 (full)'!$C:$C,'FCDB 2017 (full)'!$K:$K)*$H211/100,0)</f>
        <v>0</v>
      </c>
      <c r="U211" s="16">
        <f ca="1">IFERROR(_xlfn.XLOOKUP($F211,'FCDB 2017 (full)'!$C:$C,'FCDB 2017 (full)'!$L:$L)*$H211/100,0)</f>
        <v>0</v>
      </c>
      <c r="V211" s="16">
        <f ca="1">IFERROR(_xlfn.XLOOKUP($F211,'FCDB 2017 (full)'!$C:$C,'FCDB 2017 (full)'!$M:$M)*$H211/100,0)</f>
        <v>0</v>
      </c>
      <c r="W211" s="16">
        <f ca="1">IFERROR(_xlfn.XLOOKUP($F211,'FCDB 2017 (full)'!$C:$C,'FCDB 2017 (full)'!$N:$N)*$H211/100,0)</f>
        <v>0</v>
      </c>
      <c r="X211" s="16">
        <f ca="1">IFERROR(_xlfn.XLOOKUP($F211,'FCDB 2017 (full)'!$C:$C,'FCDB 2017 (full)'!$O:$O)*$H211/100,0)</f>
        <v>0</v>
      </c>
      <c r="Y211" s="16">
        <f ca="1">IFERROR(_xlfn.XLOOKUP($F211,'FCDB 2017 (full)'!$C:$C,'FCDB 2017 (full)'!$P:$P)*$H211/100,0)</f>
        <v>0</v>
      </c>
      <c r="Z211" s="16">
        <f ca="1">IFERROR(_xlfn.XLOOKUP($F211,'FCDB 2017 (full)'!$C:$C,'FCDB 2017 (full)'!$Q:$Q)*$H211/100,0)</f>
        <v>0</v>
      </c>
      <c r="AA211" s="16">
        <f ca="1">IFERROR(_xlfn.XLOOKUP($F211,'FCDB 2017 (full)'!$C:$C,'FCDB 2017 (full)'!$R:$R)*$H211/100,0)</f>
        <v>0</v>
      </c>
      <c r="AB211" s="16">
        <f ca="1">IFERROR(_xlfn.XLOOKUP($F211,'FCDB 2017 (full)'!$C:$C,'FCDB 2017 (full)'!$S:$S)*$H211/100,0)</f>
        <v>0</v>
      </c>
      <c r="AC211" s="16">
        <f ca="1">IFERROR(_xlfn.XLOOKUP($F211,'FCDB 2017 (full)'!$C:$C,'FCDB 2017 (full)'!$T:$T)*$H211/100,0)</f>
        <v>0</v>
      </c>
      <c r="AD211" s="16">
        <f ca="1">IFERROR(_xlfn.XLOOKUP($F211,'FCDB 2017 (full)'!$C:$C,'FCDB 2017 (full)'!$U:$U)*$H211/100,0)</f>
        <v>0</v>
      </c>
      <c r="AE211" s="16">
        <f ca="1">IFERROR(_xlfn.XLOOKUP($F211,'FCDB 2017 (full)'!$C:$C,'FCDB 2017 (full)'!$V:$V)*$H211/100,0)</f>
        <v>0</v>
      </c>
      <c r="AF211" s="16">
        <f ca="1">IFERROR(_xlfn.XLOOKUP($F211,'FCDB 2017 (full)'!$C:$C,'FCDB 2017 (full)'!$W:$W)*$H211/100,0)</f>
        <v>0</v>
      </c>
      <c r="AG211" s="16">
        <f ca="1">IFERROR(_xlfn.XLOOKUP($F211,'FCDB 2017 (full)'!$C:$C,'FCDB 2017 (full)'!$X:$X)*$H211/100,0)</f>
        <v>0</v>
      </c>
      <c r="AH211" s="16">
        <f ca="1">IFERROR(_xlfn.XLOOKUP($F211,'FCDB 2017 (full)'!$C:$C,'FCDB 2017 (full)'!$Y:$Y)*$H211/100,0)</f>
        <v>0</v>
      </c>
      <c r="AI211" s="16">
        <f ca="1">IFERROR(_xlfn.XLOOKUP($F211,'FCDB 2017 (full)'!$C:$C,'FCDB 2017 (full)'!$Z:$Z)*$H211/100,0)</f>
        <v>0</v>
      </c>
      <c r="AJ211" s="16">
        <f ca="1">IFERROR(_xlfn.XLOOKUP($F211,'FCDB 2017 (full)'!$C:$C,'FCDB 2017 (full)'!$AA:$AA)*$H211/100,0)</f>
        <v>0</v>
      </c>
      <c r="AK211" s="16">
        <f ca="1">IFERROR(_xlfn.XLOOKUP($F211,'FCDB 2017 (full)'!$C:$C,'FCDB 2017 (full)'!$AB:$AB)*$H211/100,0)</f>
        <v>0</v>
      </c>
      <c r="AL211" s="16">
        <f ca="1">IFERROR(_xlfn.XLOOKUP($F211,'FCDB 2017 (full)'!$C:$C,'FCDB 2017 (full)'!$AC:$AC)*$H211/100,0)</f>
        <v>0</v>
      </c>
      <c r="AM211" s="16">
        <f ca="1">IFERROR(_xlfn.XLOOKUP($F211,'FCDB 2017 (full)'!$C:$C,'FCDB 2017 (full)'!$AD:$AD)*$H211/100,0)</f>
        <v>0</v>
      </c>
      <c r="AN211" s="16">
        <f ca="1">IFERROR(_xlfn.XLOOKUP($F211,'FCDB 2017 (full)'!$C:$C,'FCDB 2017 (full)'!$AE:$AE)*$H211/100,0)</f>
        <v>0</v>
      </c>
      <c r="AO211" s="16">
        <f ca="1">IFERROR(_xlfn.XLOOKUP($F211,'FCDB 2017 (full)'!$C:$C,'FCDB 2017 (full)'!$AF:$AF)*$H211/100,0)</f>
        <v>0</v>
      </c>
      <c r="AP211" s="16">
        <f ca="1">IFERROR(_xlfn.XLOOKUP($F211,'FCDB 2017 (full)'!$C:$C,'FCDB 2017 (full)'!$AG:$AG)*$H211/100,0)</f>
        <v>0</v>
      </c>
      <c r="AQ211" s="16">
        <f ca="1">IFERROR(_xlfn.XLOOKUP($F211,'FCDB 2017 (full)'!$C:$C,'FCDB 2017 (full)'!$AH:$AH)*$H211/100,0)</f>
        <v>0</v>
      </c>
      <c r="AR211" s="16">
        <f ca="1">IFERROR(_xlfn.XLOOKUP($F211,'FCDB 2017 (full)'!$C:$C,'FCDB 2017 (full)'!$AI:$AI)*$H211/100,0)</f>
        <v>0</v>
      </c>
      <c r="AS211" s="16">
        <f ca="1">IFERROR(_xlfn.XLOOKUP($F211,'FCDB 2017 (full)'!$C:$C,'FCDB 2017 (full)'!$AJ:$AJ)*$H211/100,0)</f>
        <v>0</v>
      </c>
      <c r="AT211" s="16">
        <f ca="1">IFERROR(_xlfn.XLOOKUP($F211,'FCDB 2017 (full)'!$C:$C,'FCDB 2017 (full)'!$AK:$AK)*$H211/100,0)</f>
        <v>0</v>
      </c>
      <c r="AU211" s="16">
        <f ca="1">IFERROR(_xlfn.XLOOKUP($F211,'FCDB 2017 (full)'!$C:$C,'FCDB 2017 (full)'!$AK:$AK)*$H211/100,0)</f>
        <v>0</v>
      </c>
      <c r="AV211" s="16">
        <f ca="1">IFERROR(_xlfn.XLOOKUP($F211,'FCDB 2017 (full)'!$C:$C,'FCDB 2017 (full)'!$AM:$AM)*$H211/100,0)</f>
        <v>0</v>
      </c>
      <c r="AW211" s="16">
        <f ca="1">IFERROR(_xlfn.XLOOKUP($F211,'FCDB 2017 (full)'!$C:$C,'FCDB 2017 (full)'!$AN:$AN)*$H211/100,0)</f>
        <v>0</v>
      </c>
      <c r="AX211" s="16">
        <f ca="1">IFERROR(_xlfn.XLOOKUP($F211,'FCDB 2017 (full)'!$C:$C,'FCDB 2017 (full)'!$AO:$AO)*$H211/100,0)</f>
        <v>0</v>
      </c>
      <c r="AY211" s="16">
        <f ca="1">IFERROR(_xlfn.XLOOKUP($F211,'FCDB 2017 (full)'!$C:$C,'FCDB 2017 (full)'!$AP:$AP)*$H211/100,0)</f>
        <v>0</v>
      </c>
      <c r="AZ211" s="16">
        <f ca="1">IFERROR(_xlfn.XLOOKUP($F211,'FCDB 2017 (full)'!$C:$C,'FCDB 2017 (full)'!$AQ:$AQ)*$H211/100,0)</f>
        <v>0</v>
      </c>
      <c r="BA211" s="16">
        <f ca="1">IFERROR(_xlfn.XLOOKUP($F211,'FCDB 2017 (full)'!$C:$C,'FCDB 2017 (full)'!$AR:$AR)*$H211/100,0)</f>
        <v>0</v>
      </c>
      <c r="BB211" s="16">
        <f ca="1">IFERROR(_xlfn.XLOOKUP($F211,'FCDB 2017 (full)'!$C:$C,'FCDB 2017 (full)'!$AS:$AS)*$H211/100,0)</f>
        <v>0</v>
      </c>
      <c r="BC211" s="16">
        <f ca="1">IFERROR(_xlfn.XLOOKUP($F211,'FCDB 2017 (full)'!$C:$C,'FCDB 2017 (full)'!$AT:$AT)*$H211/100,0)</f>
        <v>0</v>
      </c>
      <c r="BD211" s="16">
        <f ca="1">IFERROR(_xlfn.XLOOKUP($F211,'FCDB 2017 (full)'!$C:$C,'FCDB 2017 (full)'!$AU:$AU)*$H211/100,0)</f>
        <v>0</v>
      </c>
      <c r="BE211" s="16">
        <f ca="1">IFERROR(_xlfn.XLOOKUP($F211,'FCDB 2017 (full)'!$C:$C,'FCDB 2017 (full)'!$AV:$AV)*$H211/100,0)</f>
        <v>0</v>
      </c>
      <c r="BF211" s="16">
        <f ca="1">IFERROR(_xlfn.XLOOKUP($F211,'FCDB 2017 (full)'!$C:$C,'FCDB 2017 (full)'!$AW:$AW)*$H211/100,0)</f>
        <v>0</v>
      </c>
      <c r="BG211" s="16">
        <f ca="1">IFERROR(_xlfn.XLOOKUP($F211,'FCDB 2017 (full)'!$C:$C,'FCDB 2017 (full)'!$AX:$AX)*$H211/100,0)</f>
        <v>0</v>
      </c>
      <c r="BH211" s="16">
        <f ca="1">IFERROR(_xlfn.XLOOKUP($F211,'FCDB 2017 (full)'!$C:$C,'FCDB 2017 (full)'!$AY:$AY)*$H211/100,0)</f>
        <v>0</v>
      </c>
      <c r="BI211" s="16">
        <f ca="1">IFERROR(_xlfn.XLOOKUP($F211,'FCDB 2017 (full)'!$C:$C,'FCDB 2017 (full)'!$AZ:$AZ)*$H211/100,0)</f>
        <v>0</v>
      </c>
      <c r="BJ211" s="16">
        <f ca="1">IFERROR(_xlfn.XLOOKUP($F211,'FCDB 2017 (full)'!$C:$C,'FCDB 2017 (full)'!$BA:$BA)*$H211/100,0)</f>
        <v>0</v>
      </c>
      <c r="BK211" s="16">
        <f ca="1">IFERROR(_xlfn.XLOOKUP($F211,'FCDB 2017 (full)'!$C:$C,'FCDB 2017 (full)'!$BB:$BB)*$H211/100,0)</f>
        <v>0</v>
      </c>
      <c r="BL211" s="16">
        <f ca="1">IFERROR(_xlfn.XLOOKUP($F211,'FCDB 2017 (full)'!$C:$C,'FCDB 2017 (full)'!$BC:$BC)*$H211/100,0)</f>
        <v>0</v>
      </c>
      <c r="BM211" s="16">
        <f ca="1">IFERROR(_xlfn.XLOOKUP($F211,'FCDB 2017 (full)'!$C:$C,'FCDB 2017 (full)'!$BD:$BD)*$H211/100,0)</f>
        <v>0</v>
      </c>
      <c r="BN211" s="16">
        <f ca="1">IFERROR(_xlfn.XLOOKUP($F211,'FCDB 2017 (full)'!$C:$C,'FCDB 2017 (full)'!$BE:$BE)*$H211/100,0)</f>
        <v>0</v>
      </c>
      <c r="BO211" s="16">
        <f ca="1">IFERROR(_xlfn.XLOOKUP($F211,'FCDB 2017 (full)'!$C:$C,'FCDB 2017 (full)'!$BF:$BF)*$H211/100,0)</f>
        <v>0</v>
      </c>
      <c r="BP211" s="16">
        <f ca="1">IFERROR(_xlfn.XLOOKUP($F211,'FCDB 2017 (full)'!$C:$C,'FCDB 2017 (full)'!$BG:$BG)*$H211/100,0)</f>
        <v>0</v>
      </c>
      <c r="BQ211" s="16">
        <f ca="1">IFERROR(_xlfn.XLOOKUP($F211,'FCDB 2017 (full)'!$C:$C,'FCDB 2017 (full)'!$BH:$BH)*$H211/100,0)</f>
        <v>0</v>
      </c>
      <c r="BR211" s="16">
        <f ca="1">IFERROR(_xlfn.XLOOKUP($F211,'FCDB 2017 (full)'!$C:$C,'FCDB 2017 (full)'!$BI:$BI)*$H211/100,0)</f>
        <v>0</v>
      </c>
      <c r="BS211" s="16">
        <f ca="1">IFERROR(_xlfn.XLOOKUP($F211,'FCDB 2017 (full)'!$C:$C,'FCDB 2017 (full)'!$BJ:$BJ)*$H211/100,0)</f>
        <v>0</v>
      </c>
      <c r="BT211" s="16">
        <f ca="1">IFERROR(_xlfn.XLOOKUP($F211,'FCDB 2017 (full)'!$C:$C,'FCDB 2017 (full)'!$BK:$BK)*$H211/100,0)</f>
        <v>0</v>
      </c>
      <c r="BU211" s="16">
        <f ca="1">IFERROR(_xlfn.XLOOKUP($F211,'FCDB 2017 (full)'!$C:$C,'FCDB 2017 (full)'!$BL:$BL)*$H211/100,0)</f>
        <v>0</v>
      </c>
      <c r="BV211" s="16">
        <f ca="1">IFERROR(_xlfn.XLOOKUP($F211,'FCDB 2017 (full)'!$C:$C,'FCDB 2017 (full)'!$BM:$BM)*$H211/100,0)</f>
        <v>0</v>
      </c>
      <c r="BW211" s="16">
        <f ca="1">IFERROR(_xlfn.XLOOKUP($F211,'FCDB 2017 (full)'!$C:$C,'FCDB 2017 (full)'!$BN:$BN)*$H211/100,0)</f>
        <v>0</v>
      </c>
      <c r="BX211" s="16">
        <f ca="1">IFERROR(_xlfn.XLOOKUP($F211,'FCDB 2017 (full)'!$C:$C,'FCDB 2017 (full)'!$BO:$BO)*$H211/100,0)</f>
        <v>0</v>
      </c>
      <c r="BY211" s="16">
        <f ca="1">IFERROR(_xlfn.XLOOKUP($F211,'FCDB 2017 (full)'!$C:$C,'FCDB 2017 (full)'!$BP:$BP)*$H211/100,0)</f>
        <v>0</v>
      </c>
      <c r="BZ211" s="16">
        <f ca="1">IFERROR(_xlfn.XLOOKUP($F211,'FCDB 2017 (full)'!$C:$C,'FCDB 2017 (full)'!$BQ:$BQ)*$H211/100,0)</f>
        <v>0</v>
      </c>
      <c r="CA211" s="16">
        <f ca="1">IFERROR(_xlfn.XLOOKUP($F211,'FCDB 2017 (full)'!$C:$C,'FCDB 2017 (full)'!$BR:$BR)*$H211/100,0)</f>
        <v>0</v>
      </c>
      <c r="CB211" s="16">
        <f ca="1">IFERROR(_xlfn.XLOOKUP($F211,'FCDB 2017 (full)'!$C:$C,'FCDB 2017 (full)'!$BS:$BS)*$H211/100,0)</f>
        <v>0</v>
      </c>
      <c r="CC211" s="16">
        <f ca="1">IFERROR(_xlfn.XLOOKUP($F211,'FCDB 2017 (full)'!$C:$C,'FCDB 2017 (full)'!$BT:$BT)*$H211/100,0)</f>
        <v>0</v>
      </c>
      <c r="CD211" s="16">
        <f ca="1">IFERROR(_xlfn.XLOOKUP($F211,'FCDB 2017 (full)'!$C:$C,'FCDB 2017 (full)'!$BU:$BU)*$H211/100,0)</f>
        <v>0</v>
      </c>
      <c r="CE211" s="16">
        <f ca="1">IFERROR(_xlfn.XLOOKUP($F211,'FCDB 2017 (full)'!$C:$C,'FCDB 2017 (full)'!$BV:$BV)*$H211/100,0)</f>
        <v>0</v>
      </c>
      <c r="CF211" s="16">
        <f ca="1">IFERROR(_xlfn.XLOOKUP($F211,'FCDB 2017 (full)'!$C:$C,'FCDB 2017 (full)'!$BW:$BW)*$H211/100,0)</f>
        <v>0</v>
      </c>
      <c r="CG211" s="16">
        <f ca="1">IFERROR(_xlfn.XLOOKUP($F211,'FCDB 2017 (full)'!$C:$C,'FCDB 2017 (full)'!$BX:$BX)*$H211/100,0)</f>
        <v>0</v>
      </c>
      <c r="CH211" s="16">
        <f ca="1">IFERROR(_xlfn.XLOOKUP($F211,'FCDB 2017 (full)'!$C:$C,'FCDB 2017 (full)'!$BY:$BY)*$H211/100,0)</f>
        <v>0</v>
      </c>
      <c r="CI211" s="16">
        <f ca="1">IFERROR(_xlfn.XLOOKUP($F211,'FCDB 2017 (full)'!$C:$C,'FCDB 2017 (full)'!$BZ:$BZ)*$H211/100,0)</f>
        <v>0</v>
      </c>
      <c r="CJ211" s="16">
        <f ca="1">IFERROR(_xlfn.XLOOKUP($F211,'FCDB 2017 (full)'!$C:$C,'FCDB 2017 (full)'!$CA:$CA)*$H211/100,0)</f>
        <v>0</v>
      </c>
      <c r="CK211" s="16">
        <f ca="1">IFERROR(_xlfn.XLOOKUP($F211,'FCDB 2017 (full)'!$C:$C,'FCDB 2017 (full)'!$CB:$CB)*$H211/100,0)</f>
        <v>0</v>
      </c>
      <c r="CL211" s="16">
        <f ca="1">IFERROR(_xlfn.XLOOKUP($F211,'FCDB 2017 (full)'!$C:$C,'FCDB 2017 (full)'!$CC:$CC)*$H211/100,0)</f>
        <v>0</v>
      </c>
      <c r="CM211" s="16">
        <f ca="1">IFERROR(_xlfn.XLOOKUP($F211,'FCDB 2017 (full)'!$C:$C,'FCDB 2017 (full)'!$CD:$CD)*$H211/100,0)</f>
        <v>0</v>
      </c>
      <c r="CN211" s="16">
        <f ca="1">IFERROR(_xlfn.XLOOKUP($F211,'FCDB 2017 (full)'!$C:$C,'FCDB 2017 (full)'!$CE:$CE)*$H211/100,0)</f>
        <v>0</v>
      </c>
      <c r="CO211" s="16">
        <f ca="1">IFERROR(_xlfn.XLOOKUP($F211,'FCDB 2017 (full)'!$C:$C,'FCDB 2017 (full)'!$CF:$CF)*$H211/100,0)</f>
        <v>0</v>
      </c>
      <c r="CP211" s="16">
        <f ca="1">IFERROR(_xlfn.XLOOKUP($F211,'FCDB 2017 (full)'!$C:$C,'FCDB 2017 (full)'!$CG:$CG)*$H211/100,0)</f>
        <v>0</v>
      </c>
      <c r="CQ211" s="16">
        <f ca="1">IFERROR(_xlfn.XLOOKUP($F211,'FCDB 2017 (full)'!$C:$C,'FCDB 2017 (full)'!$CH:$CH)*$H211/100,0)</f>
        <v>0</v>
      </c>
      <c r="DA211" s="72" t="s">
        <v>987</v>
      </c>
    </row>
    <row r="212" spans="4:105" ht="27.6">
      <c r="D212" s="29"/>
      <c r="E212" s="29"/>
      <c r="F212" s="351" t="s">
        <v>972</v>
      </c>
      <c r="G212" s="351"/>
      <c r="H212" s="351"/>
      <c r="I212" s="18" t="s">
        <v>973</v>
      </c>
      <c r="J212" s="346">
        <f ca="1">SUM(J189:J211)</f>
        <v>0</v>
      </c>
      <c r="K212" s="30"/>
      <c r="L212" s="31" t="e">
        <f ca="1">SUM(L189:L211)</f>
        <v>#NAME?</v>
      </c>
      <c r="M212" s="31" t="e">
        <f ca="1">SUM(M189:M211)</f>
        <v>#NAME?</v>
      </c>
      <c r="N212" s="30"/>
      <c r="O212" s="32" t="e">
        <f ca="1">SUM(O189:O211)</f>
        <v>#NAME?</v>
      </c>
      <c r="P212" s="32" t="e">
        <f ca="1">SUM(P189:P211)</f>
        <v>#NAME?</v>
      </c>
      <c r="Q212" s="30"/>
      <c r="R212" s="349">
        <f ca="1">SUM(R189:R211)</f>
        <v>0</v>
      </c>
      <c r="S212" s="38">
        <f t="shared" ref="S212:CC212" ca="1" si="45">SUM(S189:S211)</f>
        <v>0</v>
      </c>
      <c r="T212" s="38">
        <f t="shared" ca="1" si="45"/>
        <v>0</v>
      </c>
      <c r="U212" s="38">
        <f t="shared" ca="1" si="45"/>
        <v>0</v>
      </c>
      <c r="V212" s="38">
        <f t="shared" ca="1" si="45"/>
        <v>0</v>
      </c>
      <c r="W212" s="38">
        <f t="shared" ca="1" si="45"/>
        <v>0</v>
      </c>
      <c r="X212" s="38">
        <f t="shared" ca="1" si="45"/>
        <v>0</v>
      </c>
      <c r="Y212" s="38">
        <f t="shared" ca="1" si="45"/>
        <v>0</v>
      </c>
      <c r="Z212" s="38">
        <f t="shared" ca="1" si="45"/>
        <v>0</v>
      </c>
      <c r="AA212" s="38">
        <f t="shared" ca="1" si="45"/>
        <v>0</v>
      </c>
      <c r="AB212" s="38">
        <f t="shared" ca="1" si="45"/>
        <v>0</v>
      </c>
      <c r="AC212" s="38">
        <f t="shared" ca="1" si="45"/>
        <v>0</v>
      </c>
      <c r="AD212" s="38">
        <f t="shared" ca="1" si="45"/>
        <v>0</v>
      </c>
      <c r="AE212" s="38">
        <f t="shared" ca="1" si="45"/>
        <v>0</v>
      </c>
      <c r="AF212" s="70">
        <f t="shared" ca="1" si="45"/>
        <v>0</v>
      </c>
      <c r="AG212" s="70">
        <f t="shared" ca="1" si="45"/>
        <v>0</v>
      </c>
      <c r="AH212" s="70">
        <f t="shared" ca="1" si="45"/>
        <v>0</v>
      </c>
      <c r="AI212" s="70">
        <f t="shared" ca="1" si="45"/>
        <v>0</v>
      </c>
      <c r="AJ212" s="70">
        <f t="shared" ca="1" si="45"/>
        <v>0</v>
      </c>
      <c r="AK212" s="70">
        <f t="shared" ca="1" si="45"/>
        <v>0</v>
      </c>
      <c r="AL212" s="70">
        <f t="shared" ca="1" si="45"/>
        <v>0</v>
      </c>
      <c r="AM212" s="70">
        <f t="shared" ca="1" si="45"/>
        <v>0</v>
      </c>
      <c r="AN212" s="70">
        <f t="shared" ca="1" si="45"/>
        <v>0</v>
      </c>
      <c r="AO212" s="70">
        <f t="shared" ca="1" si="45"/>
        <v>0</v>
      </c>
      <c r="AP212" s="70">
        <f t="shared" ca="1" si="45"/>
        <v>0</v>
      </c>
      <c r="AQ212" s="70">
        <f t="shared" ca="1" si="45"/>
        <v>0</v>
      </c>
      <c r="AR212" s="70">
        <f t="shared" ca="1" si="45"/>
        <v>0</v>
      </c>
      <c r="AS212" s="70">
        <f t="shared" ca="1" si="45"/>
        <v>0</v>
      </c>
      <c r="AT212" s="70">
        <f t="shared" ca="1" si="45"/>
        <v>0</v>
      </c>
      <c r="AU212" s="70">
        <f t="shared" ca="1" si="45"/>
        <v>0</v>
      </c>
      <c r="AV212" s="70">
        <f t="shared" ca="1" si="45"/>
        <v>0</v>
      </c>
      <c r="AW212" s="70">
        <f t="shared" ca="1" si="45"/>
        <v>0</v>
      </c>
      <c r="AX212" s="70">
        <f t="shared" ca="1" si="45"/>
        <v>0</v>
      </c>
      <c r="AY212" s="70">
        <f t="shared" ca="1" si="45"/>
        <v>0</v>
      </c>
      <c r="AZ212" s="70">
        <f t="shared" ca="1" si="45"/>
        <v>0</v>
      </c>
      <c r="BA212" s="70">
        <f t="shared" ca="1" si="45"/>
        <v>0</v>
      </c>
      <c r="BB212" s="70">
        <f t="shared" ca="1" si="45"/>
        <v>0</v>
      </c>
      <c r="BC212" s="70">
        <f t="shared" ca="1" si="45"/>
        <v>0</v>
      </c>
      <c r="BD212" s="70">
        <f t="shared" ca="1" si="45"/>
        <v>0</v>
      </c>
      <c r="BE212" s="70">
        <f t="shared" ca="1" si="45"/>
        <v>0</v>
      </c>
      <c r="BF212" s="70">
        <f t="shared" ca="1" si="45"/>
        <v>0</v>
      </c>
      <c r="BG212" s="70">
        <f t="shared" ca="1" si="45"/>
        <v>0</v>
      </c>
      <c r="BH212" s="70">
        <f t="shared" ca="1" si="45"/>
        <v>0</v>
      </c>
      <c r="BI212" s="70">
        <f t="shared" ca="1" si="45"/>
        <v>0</v>
      </c>
      <c r="BJ212" s="70">
        <f t="shared" ca="1" si="45"/>
        <v>0</v>
      </c>
      <c r="BK212" s="70">
        <f t="shared" ca="1" si="45"/>
        <v>0</v>
      </c>
      <c r="BL212" s="70">
        <f t="shared" ca="1" si="45"/>
        <v>0</v>
      </c>
      <c r="BM212" s="70">
        <f t="shared" ca="1" si="45"/>
        <v>0</v>
      </c>
      <c r="BN212" s="70">
        <f t="shared" ca="1" si="45"/>
        <v>0</v>
      </c>
      <c r="BO212" s="70">
        <f t="shared" ca="1" si="45"/>
        <v>0</v>
      </c>
      <c r="BP212" s="70">
        <f t="shared" ca="1" si="45"/>
        <v>0</v>
      </c>
      <c r="BQ212" s="70">
        <f t="shared" ca="1" si="45"/>
        <v>0</v>
      </c>
      <c r="BR212" s="70">
        <f t="shared" ca="1" si="45"/>
        <v>0</v>
      </c>
      <c r="BS212" s="70">
        <f t="shared" ca="1" si="45"/>
        <v>0</v>
      </c>
      <c r="BT212" s="70">
        <f t="shared" ca="1" si="45"/>
        <v>0</v>
      </c>
      <c r="BU212" s="70">
        <f t="shared" ca="1" si="45"/>
        <v>0</v>
      </c>
      <c r="BV212" s="70">
        <f t="shared" ca="1" si="45"/>
        <v>0</v>
      </c>
      <c r="BW212" s="70">
        <f t="shared" ca="1" si="45"/>
        <v>0</v>
      </c>
      <c r="BX212" s="70">
        <f t="shared" ca="1" si="45"/>
        <v>0</v>
      </c>
      <c r="BY212" s="70">
        <f t="shared" ca="1" si="45"/>
        <v>0</v>
      </c>
      <c r="BZ212" s="70">
        <f t="shared" ca="1" si="45"/>
        <v>0</v>
      </c>
      <c r="CA212" s="70">
        <f t="shared" ca="1" si="45"/>
        <v>0</v>
      </c>
      <c r="CB212" s="70">
        <f t="shared" ca="1" si="45"/>
        <v>0</v>
      </c>
      <c r="CC212" s="70">
        <f t="shared" ca="1" si="45"/>
        <v>0</v>
      </c>
      <c r="CD212" s="70">
        <f t="shared" ref="CD212:CQ212" ca="1" si="46">SUM(CD189:CD211)</f>
        <v>0</v>
      </c>
      <c r="CE212" s="70">
        <f t="shared" ca="1" si="46"/>
        <v>0</v>
      </c>
      <c r="CF212" s="70">
        <f t="shared" ca="1" si="46"/>
        <v>0</v>
      </c>
      <c r="CG212" s="70">
        <f t="shared" ca="1" si="46"/>
        <v>0</v>
      </c>
      <c r="CH212" s="70">
        <f t="shared" ca="1" si="46"/>
        <v>0</v>
      </c>
      <c r="CI212" s="70">
        <f t="shared" ca="1" si="46"/>
        <v>0</v>
      </c>
      <c r="CJ212" s="70">
        <f t="shared" ca="1" si="46"/>
        <v>0</v>
      </c>
      <c r="CK212" s="70">
        <f t="shared" ca="1" si="46"/>
        <v>0</v>
      </c>
      <c r="CL212" s="70">
        <f t="shared" ca="1" si="46"/>
        <v>0</v>
      </c>
      <c r="CM212" s="70">
        <f t="shared" ca="1" si="46"/>
        <v>0</v>
      </c>
      <c r="CN212" s="70">
        <f t="shared" ca="1" si="46"/>
        <v>0</v>
      </c>
      <c r="CO212" s="70">
        <f t="shared" ca="1" si="46"/>
        <v>0</v>
      </c>
      <c r="CP212" s="70">
        <f t="shared" ca="1" si="46"/>
        <v>0</v>
      </c>
      <c r="CQ212" s="70">
        <f t="shared" ca="1" si="46"/>
        <v>0</v>
      </c>
      <c r="CR212" s="29"/>
      <c r="DA212" s="72" t="s">
        <v>987</v>
      </c>
    </row>
    <row r="213" spans="4:105" ht="16.8">
      <c r="D213" s="29"/>
      <c r="E213" s="29"/>
      <c r="F213" s="351"/>
      <c r="G213" s="351"/>
      <c r="H213" s="351"/>
      <c r="I213" s="19"/>
      <c r="J213" s="347"/>
      <c r="K213" s="30"/>
      <c r="L213" s="329" t="e">
        <f ca="1">L212+M212</f>
        <v>#NAME?</v>
      </c>
      <c r="M213" s="330"/>
      <c r="N213" s="30"/>
      <c r="O213" s="331" t="e">
        <f ca="1">O212+P212</f>
        <v>#NAME?</v>
      </c>
      <c r="P213" s="332"/>
      <c r="Q213" s="30"/>
      <c r="R213" s="350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  <c r="CH213" s="42"/>
      <c r="CI213" s="42"/>
      <c r="CJ213" s="42"/>
      <c r="CK213" s="42"/>
      <c r="CL213" s="42"/>
      <c r="CM213" s="42"/>
      <c r="CN213" s="42"/>
      <c r="CO213" s="42"/>
      <c r="CP213" s="42"/>
      <c r="CQ213" s="42"/>
      <c r="CR213" s="29"/>
      <c r="DA213" s="72" t="s">
        <v>987</v>
      </c>
    </row>
    <row r="214" spans="4:105" ht="15.6">
      <c r="D214" s="29"/>
      <c r="E214" s="29"/>
      <c r="F214" s="342" t="s">
        <v>988</v>
      </c>
      <c r="G214" s="23">
        <v>0.95</v>
      </c>
      <c r="H214" s="24" t="s">
        <v>975</v>
      </c>
      <c r="I214" s="19"/>
      <c r="J214" s="22">
        <f t="shared" ref="J214:O214" si="47">J215*0.95</f>
        <v>330.6</v>
      </c>
      <c r="K214" s="12"/>
      <c r="L214" s="333">
        <f t="shared" si="47"/>
        <v>16.53</v>
      </c>
      <c r="M214" s="334"/>
      <c r="N214" s="12"/>
      <c r="O214" s="333">
        <f t="shared" si="47"/>
        <v>9.18333333333333</v>
      </c>
      <c r="P214" s="334"/>
      <c r="Q214" s="12"/>
      <c r="R214" s="22">
        <f>R215*0.95</f>
        <v>45.457500000000003</v>
      </c>
      <c r="S214" s="40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29"/>
      <c r="DA214" s="72" t="s">
        <v>987</v>
      </c>
    </row>
    <row r="215" spans="4:105" ht="15.6">
      <c r="D215" s="29"/>
      <c r="E215" s="29"/>
      <c r="F215" s="341"/>
      <c r="G215" s="23">
        <v>1</v>
      </c>
      <c r="H215" s="24" t="s">
        <v>976</v>
      </c>
      <c r="I215" s="25"/>
      <c r="J215" s="26">
        <f>'Năng lượng_2024'!G79</f>
        <v>348</v>
      </c>
      <c r="K215" s="33"/>
      <c r="L215" s="335">
        <f>'Năng lượng_2024'!G72</f>
        <v>17.399999999999999</v>
      </c>
      <c r="M215" s="336"/>
      <c r="N215" s="26"/>
      <c r="O215" s="335">
        <f>'Năng lượng_2024'!G75</f>
        <v>9.6666666666666696</v>
      </c>
      <c r="P215" s="336"/>
      <c r="Q215" s="26"/>
      <c r="R215" s="26">
        <f>'Năng lượng_2024'!G78</f>
        <v>47.85</v>
      </c>
      <c r="S215" s="40"/>
      <c r="T215" s="29"/>
      <c r="U215" s="29"/>
      <c r="V215" s="29"/>
      <c r="X215" s="29"/>
      <c r="Y215" s="29"/>
      <c r="Z215" s="29"/>
      <c r="AA215" s="29"/>
      <c r="AB215" s="29"/>
      <c r="AC215" s="29"/>
      <c r="AD215" s="29"/>
      <c r="AE215" s="29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29"/>
      <c r="DA215" s="72" t="s">
        <v>987</v>
      </c>
    </row>
    <row r="216" spans="4:105">
      <c r="D216" s="29"/>
      <c r="F216" s="337" t="s">
        <v>977</v>
      </c>
      <c r="G216" s="337"/>
      <c r="H216" s="337"/>
      <c r="J216" s="27" t="str">
        <f ca="1">IF(AND(J212&gt;=J214,J212&lt;=J215),"Đạt","Không Đạt")</f>
        <v>Không Đạt</v>
      </c>
      <c r="K216" s="27"/>
      <c r="L216" s="337" t="e">
        <f ca="1">IF(AND(L213&gt;=L214,L213&lt;=L215),"Đạt","Không Đạt")</f>
        <v>#NAME?</v>
      </c>
      <c r="M216" s="337"/>
      <c r="N216" s="27"/>
      <c r="O216" s="337" t="e">
        <f ca="1">IF(AND(O213&gt;=O214,O213&lt;=O215),"Đạt","Không Đạt")</f>
        <v>#NAME?</v>
      </c>
      <c r="P216" s="337"/>
      <c r="Q216" s="27"/>
      <c r="R216" s="27" t="str">
        <f ca="1">IF(AND(R212&gt;=R214,R212&lt;=R215),"Đạt","Không Đạt")</f>
        <v>Không Đạt</v>
      </c>
      <c r="X216" s="29"/>
      <c r="Y216" s="29"/>
      <c r="Z216" s="29"/>
      <c r="AA216" s="29"/>
      <c r="AB216" s="29"/>
      <c r="AC216" s="29"/>
      <c r="AD216" s="29"/>
      <c r="AE216" s="29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29"/>
      <c r="DA216" s="72" t="s">
        <v>987</v>
      </c>
    </row>
    <row r="217" spans="4:105">
      <c r="D217" s="29"/>
      <c r="J217" s="29"/>
      <c r="K217" s="29"/>
      <c r="L217" s="64" t="e">
        <f ca="1">L215-L213</f>
        <v>#NAME?</v>
      </c>
      <c r="M217" s="65"/>
      <c r="N217" s="65"/>
      <c r="O217" s="64" t="e">
        <f ca="1">O215-O213</f>
        <v>#NAME?</v>
      </c>
      <c r="P217" s="65"/>
      <c r="Q217" s="65"/>
      <c r="R217" s="64">
        <f ca="1">R215-R212</f>
        <v>47.85</v>
      </c>
      <c r="X217" s="29"/>
      <c r="Y217" s="29"/>
      <c r="Z217" s="29"/>
      <c r="AA217" s="29"/>
      <c r="AB217" s="29"/>
      <c r="AC217" s="29"/>
      <c r="AD217" s="29"/>
      <c r="AE217" s="29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29"/>
      <c r="DA217" s="72" t="s">
        <v>987</v>
      </c>
    </row>
    <row r="218" spans="4:105">
      <c r="L218" s="66" t="s">
        <v>978</v>
      </c>
      <c r="M218" s="35">
        <f ca="1">IFERROR(L212/L213,0)</f>
        <v>0</v>
      </c>
      <c r="N218" s="36"/>
      <c r="O218" s="27" t="str">
        <f ca="1">IF(M218&gt;35%,"Thừa",IF(M218&gt;=30%,"Đạt","Thiếu"))</f>
        <v>Thiếu</v>
      </c>
      <c r="DA218" s="72" t="s">
        <v>987</v>
      </c>
    </row>
    <row r="219" spans="4:105">
      <c r="L219" s="66" t="s">
        <v>979</v>
      </c>
      <c r="M219" s="35">
        <f ca="1">IFERROR(O212/O213,0)</f>
        <v>0</v>
      </c>
      <c r="N219" s="36"/>
      <c r="O219" s="27" t="str">
        <f ca="1">IF(M219&gt;60%,"Thừa",IF(M219&gt;=50%,"Đạt","Thiếu"))</f>
        <v>Thiếu</v>
      </c>
      <c r="DA219" s="72" t="s">
        <v>987</v>
      </c>
    </row>
    <row r="220" spans="4:105">
      <c r="DA220" s="72" t="s">
        <v>987</v>
      </c>
    </row>
    <row r="221" spans="4:105">
      <c r="L221" s="338" t="e">
        <f ca="1">L213*4/J212</f>
        <v>#NAME?</v>
      </c>
      <c r="M221" s="339"/>
      <c r="N221" s="23"/>
      <c r="O221" s="338" t="e">
        <f ca="1">O213*9/J212</f>
        <v>#NAME?</v>
      </c>
      <c r="P221" s="339"/>
      <c r="Q221" s="23"/>
      <c r="R221" s="23" t="e">
        <f ca="1">R212*4/J212</f>
        <v>#DIV/0!</v>
      </c>
      <c r="S221" s="68" t="e">
        <f ca="1">L221+O221+R221</f>
        <v>#NAME?</v>
      </c>
      <c r="DA221" s="72" t="s">
        <v>987</v>
      </c>
    </row>
    <row r="241" spans="8:19">
      <c r="H241" s="76"/>
      <c r="J241" s="77"/>
      <c r="K241" s="77"/>
      <c r="L241" s="77"/>
      <c r="M241" s="77"/>
      <c r="N241" s="77"/>
      <c r="O241" s="77"/>
      <c r="P241" s="77"/>
      <c r="Q241" s="77"/>
      <c r="R241" s="77"/>
      <c r="S241" s="77"/>
    </row>
    <row r="310" spans="5:105">
      <c r="E310" s="63">
        <v>2</v>
      </c>
      <c r="F310" s="63">
        <v>3</v>
      </c>
      <c r="G310" s="63">
        <v>4</v>
      </c>
      <c r="H310" s="63">
        <v>5</v>
      </c>
      <c r="I310" s="63">
        <v>6</v>
      </c>
      <c r="J310" s="63">
        <v>7</v>
      </c>
      <c r="K310" s="63">
        <v>8</v>
      </c>
      <c r="L310" s="63">
        <v>9</v>
      </c>
      <c r="M310" s="63">
        <v>10</v>
      </c>
      <c r="N310" s="63">
        <v>11</v>
      </c>
      <c r="O310" s="63">
        <v>12</v>
      </c>
      <c r="P310" s="63">
        <v>13</v>
      </c>
      <c r="Q310" s="63">
        <v>14</v>
      </c>
      <c r="R310" s="63">
        <v>15</v>
      </c>
      <c r="S310" s="63">
        <v>16</v>
      </c>
      <c r="T310" s="63">
        <v>17</v>
      </c>
      <c r="U310" s="63">
        <v>18</v>
      </c>
      <c r="V310" s="63">
        <v>19</v>
      </c>
      <c r="W310" s="63">
        <v>20</v>
      </c>
      <c r="X310" s="63">
        <v>21</v>
      </c>
      <c r="Y310" s="63">
        <v>22</v>
      </c>
      <c r="Z310" s="63">
        <v>23</v>
      </c>
      <c r="AA310" s="63">
        <v>24</v>
      </c>
      <c r="AB310" s="63">
        <v>25</v>
      </c>
      <c r="AC310" s="63">
        <v>26</v>
      </c>
      <c r="AD310" s="63">
        <v>27</v>
      </c>
      <c r="AE310" s="63">
        <v>28</v>
      </c>
      <c r="DA310" s="72" t="s">
        <v>948</v>
      </c>
    </row>
    <row r="311" spans="5:105">
      <c r="S311" s="28" t="s">
        <v>989</v>
      </c>
      <c r="T311" s="28" t="s">
        <v>990</v>
      </c>
      <c r="U311" s="28" t="s">
        <v>878</v>
      </c>
      <c r="V311" s="28" t="s">
        <v>991</v>
      </c>
      <c r="W311" s="28" t="s">
        <v>992</v>
      </c>
      <c r="X311" s="41">
        <v>0</v>
      </c>
      <c r="Y311" s="41" t="s">
        <v>993</v>
      </c>
      <c r="Z311" s="41" t="s">
        <v>994</v>
      </c>
      <c r="AA311" s="41" t="s">
        <v>995</v>
      </c>
      <c r="AB311" s="41" t="s">
        <v>996</v>
      </c>
      <c r="AC311" s="41" t="s">
        <v>997</v>
      </c>
      <c r="AD311" s="41" t="s">
        <v>998</v>
      </c>
      <c r="AE311" s="41" t="s">
        <v>999</v>
      </c>
      <c r="AF311" s="44" t="s">
        <v>1000</v>
      </c>
      <c r="AG311" s="44" t="s">
        <v>1001</v>
      </c>
      <c r="AH311" s="44" t="s">
        <v>1002</v>
      </c>
      <c r="AI311" s="44" t="s">
        <v>1003</v>
      </c>
      <c r="AJ311" s="44" t="s">
        <v>1004</v>
      </c>
      <c r="AK311" s="44" t="s">
        <v>1005</v>
      </c>
      <c r="AL311" s="44" t="s">
        <v>1006</v>
      </c>
      <c r="AM311" s="44" t="s">
        <v>1007</v>
      </c>
      <c r="AN311" s="44" t="s">
        <v>1008</v>
      </c>
      <c r="AO311" s="44" t="s">
        <v>1009</v>
      </c>
      <c r="AP311" s="44" t="s">
        <v>1010</v>
      </c>
      <c r="AQ311" s="44" t="s">
        <v>1011</v>
      </c>
      <c r="AR311" s="44" t="s">
        <v>1012</v>
      </c>
      <c r="AS311" s="44" t="s">
        <v>1013</v>
      </c>
      <c r="AT311" s="44" t="s">
        <v>1014</v>
      </c>
      <c r="AU311" s="44" t="s">
        <v>1015</v>
      </c>
      <c r="AV311" s="44" t="s">
        <v>1016</v>
      </c>
      <c r="AW311" s="44" t="s">
        <v>1017</v>
      </c>
      <c r="AX311" s="44" t="s">
        <v>1018</v>
      </c>
      <c r="AY311" s="44" t="s">
        <v>1019</v>
      </c>
      <c r="AZ311" s="44" t="s">
        <v>1020</v>
      </c>
      <c r="BA311" s="44" t="s">
        <v>1021</v>
      </c>
      <c r="BB311" s="44" t="s">
        <v>1022</v>
      </c>
      <c r="BC311" s="44" t="s">
        <v>1023</v>
      </c>
      <c r="BD311" s="44" t="s">
        <v>1024</v>
      </c>
      <c r="BE311" s="44" t="s">
        <v>1025</v>
      </c>
      <c r="BF311" s="44" t="s">
        <v>1026</v>
      </c>
      <c r="BG311" s="44" t="s">
        <v>1027</v>
      </c>
      <c r="BH311" s="44" t="s">
        <v>1028</v>
      </c>
      <c r="BI311" s="44" t="s">
        <v>1029</v>
      </c>
      <c r="BJ311" s="44" t="s">
        <v>1030</v>
      </c>
      <c r="BK311" s="44" t="s">
        <v>1031</v>
      </c>
      <c r="BL311" s="44" t="s">
        <v>1032</v>
      </c>
      <c r="BM311" s="44" t="s">
        <v>1033</v>
      </c>
      <c r="BN311" s="44" t="s">
        <v>1034</v>
      </c>
      <c r="BO311" s="44" t="s">
        <v>1035</v>
      </c>
      <c r="BP311" s="44" t="s">
        <v>1036</v>
      </c>
      <c r="BQ311" s="44" t="s">
        <v>1037</v>
      </c>
      <c r="BR311" s="44" t="s">
        <v>1038</v>
      </c>
      <c r="BS311" s="44" t="s">
        <v>1039</v>
      </c>
      <c r="BT311" s="44" t="s">
        <v>1040</v>
      </c>
      <c r="BU311" s="44" t="s">
        <v>1041</v>
      </c>
      <c r="BV311" s="44" t="s">
        <v>1042</v>
      </c>
      <c r="BW311" s="44" t="s">
        <v>1043</v>
      </c>
      <c r="BX311" s="44" t="s">
        <v>1044</v>
      </c>
      <c r="BY311" s="44" t="s">
        <v>1045</v>
      </c>
      <c r="BZ311" s="44" t="s">
        <v>1046</v>
      </c>
      <c r="CA311" s="44" t="s">
        <v>1047</v>
      </c>
      <c r="CB311" s="44" t="s">
        <v>1048</v>
      </c>
      <c r="CC311" s="44" t="s">
        <v>1049</v>
      </c>
      <c r="CD311" s="44" t="s">
        <v>1050</v>
      </c>
      <c r="CE311" s="44" t="s">
        <v>1051</v>
      </c>
      <c r="CF311" s="44" t="s">
        <v>1052</v>
      </c>
      <c r="CG311" s="44" t="s">
        <v>1053</v>
      </c>
      <c r="CH311" s="44" t="s">
        <v>1054</v>
      </c>
      <c r="CI311" s="44" t="s">
        <v>1055</v>
      </c>
      <c r="CJ311" s="44" t="s">
        <v>1056</v>
      </c>
      <c r="CK311" s="44" t="s">
        <v>1057</v>
      </c>
      <c r="CL311" s="44" t="s">
        <v>1058</v>
      </c>
      <c r="CM311" s="44" t="s">
        <v>1059</v>
      </c>
      <c r="CN311" s="44" t="s">
        <v>1060</v>
      </c>
      <c r="CO311" s="44" t="s">
        <v>1061</v>
      </c>
      <c r="CP311" s="44" t="s">
        <v>1062</v>
      </c>
      <c r="CQ311" s="44" t="s">
        <v>1063</v>
      </c>
      <c r="DA311" s="72" t="s">
        <v>948</v>
      </c>
    </row>
  </sheetData>
  <mergeCells count="526">
    <mergeCell ref="CQ14:CQ15"/>
    <mergeCell ref="CQ58:CQ59"/>
    <mergeCell ref="CQ101:CQ102"/>
    <mergeCell ref="CQ144:CQ145"/>
    <mergeCell ref="CQ187:CQ188"/>
    <mergeCell ref="F39:H40"/>
    <mergeCell ref="F83:H84"/>
    <mergeCell ref="F126:H127"/>
    <mergeCell ref="F169:H170"/>
    <mergeCell ref="CO14:CO15"/>
    <mergeCell ref="CO58:CO59"/>
    <mergeCell ref="CO101:CO102"/>
    <mergeCell ref="CO144:CO145"/>
    <mergeCell ref="CO187:CO188"/>
    <mergeCell ref="CP14:CP15"/>
    <mergeCell ref="CP58:CP59"/>
    <mergeCell ref="CP101:CP102"/>
    <mergeCell ref="CP144:CP145"/>
    <mergeCell ref="CP187:CP188"/>
    <mergeCell ref="CM14:CM15"/>
    <mergeCell ref="CM58:CM59"/>
    <mergeCell ref="CM101:CM102"/>
    <mergeCell ref="CM144:CM145"/>
    <mergeCell ref="CM187:CM188"/>
    <mergeCell ref="CN14:CN15"/>
    <mergeCell ref="CN58:CN59"/>
    <mergeCell ref="CN101:CN102"/>
    <mergeCell ref="CN144:CN145"/>
    <mergeCell ref="CN187:CN188"/>
    <mergeCell ref="CK14:CK15"/>
    <mergeCell ref="CK58:CK59"/>
    <mergeCell ref="CK101:CK102"/>
    <mergeCell ref="CK144:CK145"/>
    <mergeCell ref="CK187:CK188"/>
    <mergeCell ref="CL14:CL15"/>
    <mergeCell ref="CL58:CL59"/>
    <mergeCell ref="CL101:CL102"/>
    <mergeCell ref="CL144:CL145"/>
    <mergeCell ref="CL187:CL188"/>
    <mergeCell ref="CI14:CI15"/>
    <mergeCell ref="CI58:CI59"/>
    <mergeCell ref="CI101:CI102"/>
    <mergeCell ref="CI144:CI145"/>
    <mergeCell ref="CI187:CI188"/>
    <mergeCell ref="CJ14:CJ15"/>
    <mergeCell ref="CJ58:CJ59"/>
    <mergeCell ref="CJ101:CJ102"/>
    <mergeCell ref="CJ144:CJ145"/>
    <mergeCell ref="CJ187:CJ188"/>
    <mergeCell ref="CG14:CG15"/>
    <mergeCell ref="CG58:CG59"/>
    <mergeCell ref="CG101:CG102"/>
    <mergeCell ref="CG144:CG145"/>
    <mergeCell ref="CG187:CG188"/>
    <mergeCell ref="CH14:CH15"/>
    <mergeCell ref="CH58:CH59"/>
    <mergeCell ref="CH101:CH102"/>
    <mergeCell ref="CH144:CH145"/>
    <mergeCell ref="CH187:CH188"/>
    <mergeCell ref="CE14:CE15"/>
    <mergeCell ref="CE58:CE59"/>
    <mergeCell ref="CE101:CE102"/>
    <mergeCell ref="CE144:CE145"/>
    <mergeCell ref="CE187:CE188"/>
    <mergeCell ref="CF14:CF15"/>
    <mergeCell ref="CF58:CF59"/>
    <mergeCell ref="CF101:CF102"/>
    <mergeCell ref="CF144:CF145"/>
    <mergeCell ref="CF187:CF188"/>
    <mergeCell ref="CC14:CC15"/>
    <mergeCell ref="CC58:CC59"/>
    <mergeCell ref="CC101:CC102"/>
    <mergeCell ref="CC144:CC145"/>
    <mergeCell ref="CC187:CC188"/>
    <mergeCell ref="CD14:CD15"/>
    <mergeCell ref="CD58:CD59"/>
    <mergeCell ref="CD101:CD102"/>
    <mergeCell ref="CD144:CD145"/>
    <mergeCell ref="CD187:CD188"/>
    <mergeCell ref="CA14:CA15"/>
    <mergeCell ref="CA58:CA59"/>
    <mergeCell ref="CA101:CA102"/>
    <mergeCell ref="CA144:CA145"/>
    <mergeCell ref="CA187:CA188"/>
    <mergeCell ref="CB14:CB15"/>
    <mergeCell ref="CB58:CB59"/>
    <mergeCell ref="CB101:CB102"/>
    <mergeCell ref="CB144:CB145"/>
    <mergeCell ref="CB187:CB188"/>
    <mergeCell ref="BY14:BY15"/>
    <mergeCell ref="BY58:BY59"/>
    <mergeCell ref="BY101:BY102"/>
    <mergeCell ref="BY144:BY145"/>
    <mergeCell ref="BY187:BY188"/>
    <mergeCell ref="BZ14:BZ15"/>
    <mergeCell ref="BZ58:BZ59"/>
    <mergeCell ref="BZ101:BZ102"/>
    <mergeCell ref="BZ144:BZ145"/>
    <mergeCell ref="BZ187:BZ188"/>
    <mergeCell ref="BW14:BW15"/>
    <mergeCell ref="BW58:BW59"/>
    <mergeCell ref="BW101:BW102"/>
    <mergeCell ref="BW144:BW145"/>
    <mergeCell ref="BW187:BW188"/>
    <mergeCell ref="BX14:BX15"/>
    <mergeCell ref="BX58:BX59"/>
    <mergeCell ref="BX101:BX102"/>
    <mergeCell ref="BX144:BX145"/>
    <mergeCell ref="BX187:BX188"/>
    <mergeCell ref="BU14:BU15"/>
    <mergeCell ref="BU58:BU59"/>
    <mergeCell ref="BU101:BU102"/>
    <mergeCell ref="BU144:BU145"/>
    <mergeCell ref="BU187:BU188"/>
    <mergeCell ref="BV14:BV15"/>
    <mergeCell ref="BV58:BV59"/>
    <mergeCell ref="BV101:BV102"/>
    <mergeCell ref="BV144:BV145"/>
    <mergeCell ref="BV187:BV188"/>
    <mergeCell ref="BS14:BS15"/>
    <mergeCell ref="BS58:BS59"/>
    <mergeCell ref="BS101:BS102"/>
    <mergeCell ref="BS144:BS145"/>
    <mergeCell ref="BS187:BS188"/>
    <mergeCell ref="BT14:BT15"/>
    <mergeCell ref="BT58:BT59"/>
    <mergeCell ref="BT101:BT102"/>
    <mergeCell ref="BT144:BT145"/>
    <mergeCell ref="BT187:BT188"/>
    <mergeCell ref="BQ14:BQ15"/>
    <mergeCell ref="BQ58:BQ59"/>
    <mergeCell ref="BQ101:BQ102"/>
    <mergeCell ref="BQ144:BQ145"/>
    <mergeCell ref="BQ187:BQ188"/>
    <mergeCell ref="BR14:BR15"/>
    <mergeCell ref="BR58:BR59"/>
    <mergeCell ref="BR101:BR102"/>
    <mergeCell ref="BR144:BR145"/>
    <mergeCell ref="BR187:BR188"/>
    <mergeCell ref="BO14:BO15"/>
    <mergeCell ref="BO58:BO59"/>
    <mergeCell ref="BO101:BO102"/>
    <mergeCell ref="BO144:BO145"/>
    <mergeCell ref="BO187:BO188"/>
    <mergeCell ref="BP14:BP15"/>
    <mergeCell ref="BP58:BP59"/>
    <mergeCell ref="BP101:BP102"/>
    <mergeCell ref="BP144:BP145"/>
    <mergeCell ref="BP187:BP188"/>
    <mergeCell ref="BM14:BM15"/>
    <mergeCell ref="BM58:BM59"/>
    <mergeCell ref="BM101:BM102"/>
    <mergeCell ref="BM144:BM145"/>
    <mergeCell ref="BM187:BM188"/>
    <mergeCell ref="BN14:BN15"/>
    <mergeCell ref="BN58:BN59"/>
    <mergeCell ref="BN101:BN102"/>
    <mergeCell ref="BN144:BN145"/>
    <mergeCell ref="BN187:BN188"/>
    <mergeCell ref="BK14:BK15"/>
    <mergeCell ref="BK58:BK59"/>
    <mergeCell ref="BK101:BK102"/>
    <mergeCell ref="BK144:BK145"/>
    <mergeCell ref="BK187:BK188"/>
    <mergeCell ref="BL14:BL15"/>
    <mergeCell ref="BL58:BL59"/>
    <mergeCell ref="BL101:BL102"/>
    <mergeCell ref="BL144:BL145"/>
    <mergeCell ref="BL187:BL188"/>
    <mergeCell ref="BI14:BI15"/>
    <mergeCell ref="BI58:BI59"/>
    <mergeCell ref="BI101:BI102"/>
    <mergeCell ref="BI144:BI145"/>
    <mergeCell ref="BI187:BI188"/>
    <mergeCell ref="BJ14:BJ15"/>
    <mergeCell ref="BJ58:BJ59"/>
    <mergeCell ref="BJ101:BJ102"/>
    <mergeCell ref="BJ144:BJ145"/>
    <mergeCell ref="BJ187:BJ188"/>
    <mergeCell ref="BG14:BG15"/>
    <mergeCell ref="BG58:BG59"/>
    <mergeCell ref="BG101:BG102"/>
    <mergeCell ref="BG144:BG145"/>
    <mergeCell ref="BG187:BG188"/>
    <mergeCell ref="BH14:BH15"/>
    <mergeCell ref="BH58:BH59"/>
    <mergeCell ref="BH101:BH102"/>
    <mergeCell ref="BH144:BH145"/>
    <mergeCell ref="BH187:BH188"/>
    <mergeCell ref="BE14:BE15"/>
    <mergeCell ref="BE58:BE59"/>
    <mergeCell ref="BE101:BE102"/>
    <mergeCell ref="BE144:BE145"/>
    <mergeCell ref="BE187:BE188"/>
    <mergeCell ref="BF14:BF15"/>
    <mergeCell ref="BF58:BF59"/>
    <mergeCell ref="BF101:BF102"/>
    <mergeCell ref="BF144:BF145"/>
    <mergeCell ref="BF187:BF188"/>
    <mergeCell ref="BC14:BC15"/>
    <mergeCell ref="BC58:BC59"/>
    <mergeCell ref="BC101:BC102"/>
    <mergeCell ref="BC144:BC145"/>
    <mergeCell ref="BC187:BC188"/>
    <mergeCell ref="BD14:BD15"/>
    <mergeCell ref="BD58:BD59"/>
    <mergeCell ref="BD101:BD102"/>
    <mergeCell ref="BD144:BD145"/>
    <mergeCell ref="BD187:BD188"/>
    <mergeCell ref="BA14:BA15"/>
    <mergeCell ref="BA58:BA59"/>
    <mergeCell ref="BA101:BA102"/>
    <mergeCell ref="BA144:BA145"/>
    <mergeCell ref="BA187:BA188"/>
    <mergeCell ref="BB14:BB15"/>
    <mergeCell ref="BB58:BB59"/>
    <mergeCell ref="BB101:BB102"/>
    <mergeCell ref="BB144:BB145"/>
    <mergeCell ref="BB187:BB188"/>
    <mergeCell ref="AY14:AY15"/>
    <mergeCell ref="AY58:AY59"/>
    <mergeCell ref="AY101:AY102"/>
    <mergeCell ref="AY144:AY145"/>
    <mergeCell ref="AY187:AY188"/>
    <mergeCell ref="AZ14:AZ15"/>
    <mergeCell ref="AZ58:AZ59"/>
    <mergeCell ref="AZ101:AZ102"/>
    <mergeCell ref="AZ144:AZ145"/>
    <mergeCell ref="AZ187:AZ188"/>
    <mergeCell ref="AW14:AW15"/>
    <mergeCell ref="AW58:AW59"/>
    <mergeCell ref="AW101:AW102"/>
    <mergeCell ref="AW144:AW145"/>
    <mergeCell ref="AW187:AW188"/>
    <mergeCell ref="AX14:AX15"/>
    <mergeCell ref="AX58:AX59"/>
    <mergeCell ref="AX101:AX102"/>
    <mergeCell ref="AX144:AX145"/>
    <mergeCell ref="AX187:AX188"/>
    <mergeCell ref="AU14:AU15"/>
    <mergeCell ref="AU58:AU59"/>
    <mergeCell ref="AU101:AU102"/>
    <mergeCell ref="AU144:AU145"/>
    <mergeCell ref="AU187:AU188"/>
    <mergeCell ref="AV14:AV15"/>
    <mergeCell ref="AV58:AV59"/>
    <mergeCell ref="AV101:AV102"/>
    <mergeCell ref="AV144:AV145"/>
    <mergeCell ref="AV187:AV188"/>
    <mergeCell ref="AS14:AS15"/>
    <mergeCell ref="AS58:AS59"/>
    <mergeCell ref="AS101:AS102"/>
    <mergeCell ref="AS144:AS145"/>
    <mergeCell ref="AS187:AS188"/>
    <mergeCell ref="AT14:AT15"/>
    <mergeCell ref="AT58:AT59"/>
    <mergeCell ref="AT101:AT102"/>
    <mergeCell ref="AT144:AT145"/>
    <mergeCell ref="AT187:AT188"/>
    <mergeCell ref="AQ14:AQ15"/>
    <mergeCell ref="AQ58:AQ59"/>
    <mergeCell ref="AQ101:AQ102"/>
    <mergeCell ref="AQ144:AQ145"/>
    <mergeCell ref="AQ187:AQ188"/>
    <mergeCell ref="AR14:AR15"/>
    <mergeCell ref="AR58:AR59"/>
    <mergeCell ref="AR101:AR102"/>
    <mergeCell ref="AR144:AR145"/>
    <mergeCell ref="AR187:AR188"/>
    <mergeCell ref="AO14:AO15"/>
    <mergeCell ref="AO58:AO59"/>
    <mergeCell ref="AO101:AO102"/>
    <mergeCell ref="AO144:AO145"/>
    <mergeCell ref="AO187:AO188"/>
    <mergeCell ref="AP14:AP15"/>
    <mergeCell ref="AP58:AP59"/>
    <mergeCell ref="AP101:AP102"/>
    <mergeCell ref="AP144:AP145"/>
    <mergeCell ref="AP187:AP188"/>
    <mergeCell ref="AM14:AM15"/>
    <mergeCell ref="AM58:AM59"/>
    <mergeCell ref="AM101:AM102"/>
    <mergeCell ref="AM144:AM145"/>
    <mergeCell ref="AM187:AM188"/>
    <mergeCell ref="AN14:AN15"/>
    <mergeCell ref="AN58:AN59"/>
    <mergeCell ref="AN101:AN102"/>
    <mergeCell ref="AN144:AN145"/>
    <mergeCell ref="AN187:AN188"/>
    <mergeCell ref="AK14:AK15"/>
    <mergeCell ref="AK58:AK59"/>
    <mergeCell ref="AK101:AK102"/>
    <mergeCell ref="AK144:AK145"/>
    <mergeCell ref="AK187:AK188"/>
    <mergeCell ref="AL14:AL15"/>
    <mergeCell ref="AL58:AL59"/>
    <mergeCell ref="AL101:AL102"/>
    <mergeCell ref="AL144:AL145"/>
    <mergeCell ref="AL187:AL188"/>
    <mergeCell ref="AI14:AI15"/>
    <mergeCell ref="AI58:AI59"/>
    <mergeCell ref="AI101:AI102"/>
    <mergeCell ref="AI144:AI145"/>
    <mergeCell ref="AI187:AI188"/>
    <mergeCell ref="AJ14:AJ15"/>
    <mergeCell ref="AJ58:AJ59"/>
    <mergeCell ref="AJ101:AJ102"/>
    <mergeCell ref="AJ144:AJ145"/>
    <mergeCell ref="AJ187:AJ188"/>
    <mergeCell ref="AG14:AG15"/>
    <mergeCell ref="AG58:AG59"/>
    <mergeCell ref="AG101:AG102"/>
    <mergeCell ref="AG144:AG145"/>
    <mergeCell ref="AG187:AG188"/>
    <mergeCell ref="AH14:AH15"/>
    <mergeCell ref="AH58:AH59"/>
    <mergeCell ref="AH101:AH102"/>
    <mergeCell ref="AH144:AH145"/>
    <mergeCell ref="AH187:AH188"/>
    <mergeCell ref="AE58:AE59"/>
    <mergeCell ref="AE101:AE102"/>
    <mergeCell ref="AE144:AE145"/>
    <mergeCell ref="AE187:AE188"/>
    <mergeCell ref="AF14:AF15"/>
    <mergeCell ref="AF58:AF59"/>
    <mergeCell ref="AF101:AF102"/>
    <mergeCell ref="AF144:AF145"/>
    <mergeCell ref="AF187:AF188"/>
    <mergeCell ref="AC58:AC59"/>
    <mergeCell ref="AC101:AC102"/>
    <mergeCell ref="AC144:AC145"/>
    <mergeCell ref="AC187:AC188"/>
    <mergeCell ref="AD14:AD15"/>
    <mergeCell ref="AD58:AD59"/>
    <mergeCell ref="AD101:AD102"/>
    <mergeCell ref="AD144:AD145"/>
    <mergeCell ref="AD187:AD188"/>
    <mergeCell ref="AA58:AA59"/>
    <mergeCell ref="AA101:AA102"/>
    <mergeCell ref="AA144:AA145"/>
    <mergeCell ref="AA187:AA188"/>
    <mergeCell ref="AB14:AB15"/>
    <mergeCell ref="AB58:AB59"/>
    <mergeCell ref="AB101:AB102"/>
    <mergeCell ref="AB144:AB145"/>
    <mergeCell ref="AB187:AB188"/>
    <mergeCell ref="Y58:Y59"/>
    <mergeCell ref="Y101:Y102"/>
    <mergeCell ref="Y144:Y145"/>
    <mergeCell ref="Y187:Y188"/>
    <mergeCell ref="Z14:Z15"/>
    <mergeCell ref="Z58:Z59"/>
    <mergeCell ref="Z101:Z102"/>
    <mergeCell ref="Z144:Z145"/>
    <mergeCell ref="Z187:Z188"/>
    <mergeCell ref="W58:W59"/>
    <mergeCell ref="W101:W102"/>
    <mergeCell ref="W144:W145"/>
    <mergeCell ref="W187:W188"/>
    <mergeCell ref="X14:X15"/>
    <mergeCell ref="X58:X59"/>
    <mergeCell ref="X101:X102"/>
    <mergeCell ref="X144:X145"/>
    <mergeCell ref="X187:X188"/>
    <mergeCell ref="U58:U59"/>
    <mergeCell ref="U101:U102"/>
    <mergeCell ref="U144:U145"/>
    <mergeCell ref="U187:U188"/>
    <mergeCell ref="V14:V15"/>
    <mergeCell ref="V58:V59"/>
    <mergeCell ref="V101:V102"/>
    <mergeCell ref="V144:V145"/>
    <mergeCell ref="V187:V188"/>
    <mergeCell ref="S58:S59"/>
    <mergeCell ref="S101:S102"/>
    <mergeCell ref="S144:S145"/>
    <mergeCell ref="S187:S188"/>
    <mergeCell ref="T14:T15"/>
    <mergeCell ref="T58:T59"/>
    <mergeCell ref="T101:T102"/>
    <mergeCell ref="T144:T145"/>
    <mergeCell ref="T187:T188"/>
    <mergeCell ref="R39:R40"/>
    <mergeCell ref="R58:R59"/>
    <mergeCell ref="R83:R84"/>
    <mergeCell ref="R101:R102"/>
    <mergeCell ref="R126:R127"/>
    <mergeCell ref="R144:R145"/>
    <mergeCell ref="R169:R170"/>
    <mergeCell ref="R187:R188"/>
    <mergeCell ref="R212:R213"/>
    <mergeCell ref="L221:M221"/>
    <mergeCell ref="O221:P221"/>
    <mergeCell ref="F41:F42"/>
    <mergeCell ref="F85:F86"/>
    <mergeCell ref="F128:F129"/>
    <mergeCell ref="F171:F172"/>
    <mergeCell ref="F214:F215"/>
    <mergeCell ref="H14:H15"/>
    <mergeCell ref="H58:H59"/>
    <mergeCell ref="H101:H102"/>
    <mergeCell ref="H144:H145"/>
    <mergeCell ref="H187:H188"/>
    <mergeCell ref="J14:J15"/>
    <mergeCell ref="J39:J40"/>
    <mergeCell ref="J58:J59"/>
    <mergeCell ref="J83:J84"/>
    <mergeCell ref="J101:J102"/>
    <mergeCell ref="J126:J127"/>
    <mergeCell ref="J144:J145"/>
    <mergeCell ref="J169:J170"/>
    <mergeCell ref="J187:J188"/>
    <mergeCell ref="J212:J213"/>
    <mergeCell ref="F212:H213"/>
    <mergeCell ref="L213:M213"/>
    <mergeCell ref="O213:P213"/>
    <mergeCell ref="L214:M214"/>
    <mergeCell ref="O214:P214"/>
    <mergeCell ref="L215:M215"/>
    <mergeCell ref="O215:P215"/>
    <mergeCell ref="F216:H216"/>
    <mergeCell ref="L216:M216"/>
    <mergeCell ref="O216:P216"/>
    <mergeCell ref="E180:H180"/>
    <mergeCell ref="J180:P180"/>
    <mergeCell ref="R180:T180"/>
    <mergeCell ref="U180:X180"/>
    <mergeCell ref="Y180:Z180"/>
    <mergeCell ref="AA180:AB180"/>
    <mergeCell ref="AC180:AE180"/>
    <mergeCell ref="F187:G187"/>
    <mergeCell ref="L187:M187"/>
    <mergeCell ref="O187:P187"/>
    <mergeCell ref="L171:M171"/>
    <mergeCell ref="O171:P171"/>
    <mergeCell ref="L172:M172"/>
    <mergeCell ref="O172:P172"/>
    <mergeCell ref="F173:H173"/>
    <mergeCell ref="L173:M173"/>
    <mergeCell ref="O173:P173"/>
    <mergeCell ref="L178:M178"/>
    <mergeCell ref="O178:P178"/>
    <mergeCell ref="R137:T137"/>
    <mergeCell ref="U137:X137"/>
    <mergeCell ref="Y137:Z137"/>
    <mergeCell ref="AA137:AB137"/>
    <mergeCell ref="AC137:AE137"/>
    <mergeCell ref="F144:G144"/>
    <mergeCell ref="L144:M144"/>
    <mergeCell ref="O144:P144"/>
    <mergeCell ref="L170:M170"/>
    <mergeCell ref="O170:P170"/>
    <mergeCell ref="L129:M129"/>
    <mergeCell ref="O129:P129"/>
    <mergeCell ref="F130:H130"/>
    <mergeCell ref="L130:M130"/>
    <mergeCell ref="O130:P130"/>
    <mergeCell ref="L135:M135"/>
    <mergeCell ref="O135:P135"/>
    <mergeCell ref="E137:H137"/>
    <mergeCell ref="J137:P137"/>
    <mergeCell ref="Y94:Z94"/>
    <mergeCell ref="AA94:AB94"/>
    <mergeCell ref="AC94:AE94"/>
    <mergeCell ref="F101:G101"/>
    <mergeCell ref="L101:M101"/>
    <mergeCell ref="O101:P101"/>
    <mergeCell ref="L127:M127"/>
    <mergeCell ref="O127:P127"/>
    <mergeCell ref="L128:M128"/>
    <mergeCell ref="O128:P128"/>
    <mergeCell ref="F87:H87"/>
    <mergeCell ref="L87:M87"/>
    <mergeCell ref="O87:P87"/>
    <mergeCell ref="L92:M92"/>
    <mergeCell ref="O92:P92"/>
    <mergeCell ref="E94:H94"/>
    <mergeCell ref="J94:P94"/>
    <mergeCell ref="R94:T94"/>
    <mergeCell ref="U94:X94"/>
    <mergeCell ref="F58:G58"/>
    <mergeCell ref="L58:M58"/>
    <mergeCell ref="O58:P58"/>
    <mergeCell ref="L84:M84"/>
    <mergeCell ref="O84:P84"/>
    <mergeCell ref="L85:M85"/>
    <mergeCell ref="O85:P85"/>
    <mergeCell ref="L86:M86"/>
    <mergeCell ref="O86:P86"/>
    <mergeCell ref="L48:M48"/>
    <mergeCell ref="O48:P48"/>
    <mergeCell ref="E51:H51"/>
    <mergeCell ref="J51:P51"/>
    <mergeCell ref="R51:T51"/>
    <mergeCell ref="U51:X51"/>
    <mergeCell ref="Y51:Z51"/>
    <mergeCell ref="AA51:AB51"/>
    <mergeCell ref="AC51:AE51"/>
    <mergeCell ref="L40:M40"/>
    <mergeCell ref="O40:P40"/>
    <mergeCell ref="L41:M41"/>
    <mergeCell ref="O41:P41"/>
    <mergeCell ref="L42:M42"/>
    <mergeCell ref="O42:P42"/>
    <mergeCell ref="F43:H43"/>
    <mergeCell ref="L43:M43"/>
    <mergeCell ref="O43:P43"/>
    <mergeCell ref="A5:C5"/>
    <mergeCell ref="E7:H7"/>
    <mergeCell ref="J7:P7"/>
    <mergeCell ref="R7:T7"/>
    <mergeCell ref="U7:X7"/>
    <mergeCell ref="Y7:Z7"/>
    <mergeCell ref="AA7:AB7"/>
    <mergeCell ref="AC7:AE7"/>
    <mergeCell ref="F14:G14"/>
    <mergeCell ref="L14:M14"/>
    <mergeCell ref="O14:P14"/>
    <mergeCell ref="R14:R15"/>
    <mergeCell ref="S14:S15"/>
    <mergeCell ref="U14:U15"/>
    <mergeCell ref="W14:W15"/>
    <mergeCell ref="Y14:Y15"/>
    <mergeCell ref="AA14:AA15"/>
    <mergeCell ref="AC14:AC15"/>
    <mergeCell ref="AE14:AE15"/>
  </mergeCells>
  <conditionalFormatting sqref="E10:AE10">
    <cfRule type="cellIs" dxfId="79" priority="203" operator="equal">
      <formula>"ĐV"</formula>
    </cfRule>
    <cfRule type="cellIs" dxfId="78" priority="202" operator="equal">
      <formula>"ĐV"</formula>
    </cfRule>
  </conditionalFormatting>
  <conditionalFormatting sqref="E54:AE54">
    <cfRule type="cellIs" dxfId="77" priority="6" operator="equal">
      <formula>"ĐV"</formula>
    </cfRule>
    <cfRule type="cellIs" dxfId="76" priority="5" operator="equal">
      <formula>"ĐV"</formula>
    </cfRule>
  </conditionalFormatting>
  <conditionalFormatting sqref="E97:AE97">
    <cfRule type="cellIs" dxfId="75" priority="18" operator="equal">
      <formula>"ĐV"</formula>
    </cfRule>
    <cfRule type="cellIs" dxfId="74" priority="19" operator="equal">
      <formula>"ĐV"</formula>
    </cfRule>
  </conditionalFormatting>
  <conditionalFormatting sqref="E140:AE140">
    <cfRule type="cellIs" dxfId="73" priority="16" operator="equal">
      <formula>"ĐV"</formula>
    </cfRule>
    <cfRule type="cellIs" dxfId="72" priority="17" operator="equal">
      <formula>"ĐV"</formula>
    </cfRule>
  </conditionalFormatting>
  <conditionalFormatting sqref="E183:AE183">
    <cfRule type="cellIs" dxfId="71" priority="2" operator="equal">
      <formula>"ĐV"</formula>
    </cfRule>
    <cfRule type="cellIs" dxfId="70" priority="1" operator="equal">
      <formula>"ĐV"</formula>
    </cfRule>
  </conditionalFormatting>
  <conditionalFormatting sqref="G16:G38">
    <cfRule type="cellIs" dxfId="69" priority="45" operator="equal">
      <formula>"Nhập ĐV/TV"</formula>
    </cfRule>
    <cfRule type="cellIs" dxfId="68" priority="43" operator="equal">
      <formula>"ĐV"</formula>
    </cfRule>
  </conditionalFormatting>
  <conditionalFormatting sqref="G60:G82">
    <cfRule type="cellIs" dxfId="67" priority="41" operator="equal">
      <formula>"Nhập ĐV/TV"</formula>
    </cfRule>
    <cfRule type="cellIs" dxfId="66" priority="39" operator="equal">
      <formula>"ĐV"</formula>
    </cfRule>
  </conditionalFormatting>
  <conditionalFormatting sqref="G103:G125">
    <cfRule type="cellIs" dxfId="65" priority="37" operator="equal">
      <formula>"Nhập ĐV/TV"</formula>
    </cfRule>
    <cfRule type="cellIs" dxfId="64" priority="35" operator="equal">
      <formula>"ĐV"</formula>
    </cfRule>
  </conditionalFormatting>
  <conditionalFormatting sqref="G146:G168">
    <cfRule type="cellIs" dxfId="63" priority="31" operator="equal">
      <formula>"ĐV"</formula>
    </cfRule>
    <cfRule type="cellIs" dxfId="62" priority="33" operator="equal">
      <formula>"Nhập ĐV/TV"</formula>
    </cfRule>
  </conditionalFormatting>
  <conditionalFormatting sqref="G189:G211">
    <cfRule type="cellIs" dxfId="61" priority="29" operator="equal">
      <formula>"Nhập ĐV/TV"</formula>
    </cfRule>
    <cfRule type="cellIs" dxfId="60" priority="27" operator="equal">
      <formula>"ĐV"</formula>
    </cfRule>
  </conditionalFormatting>
  <conditionalFormatting sqref="J43:L43 N43:O43 Q43:R43">
    <cfRule type="cellIs" dxfId="59" priority="211" operator="equal">
      <formula>"Không Đạt"</formula>
    </cfRule>
  </conditionalFormatting>
  <conditionalFormatting sqref="J87:L87 N87:O87 Q87:R87">
    <cfRule type="cellIs" dxfId="58" priority="63" operator="equal">
      <formula>"Không Đạt"</formula>
    </cfRule>
  </conditionalFormatting>
  <conditionalFormatting sqref="J130:L130 N130:O130 Q130:R130">
    <cfRule type="cellIs" dxfId="57" priority="60" operator="equal">
      <formula>"Không Đạt"</formula>
    </cfRule>
  </conditionalFormatting>
  <conditionalFormatting sqref="J173:L173 N173:O173 Q173:R173">
    <cfRule type="cellIs" dxfId="56" priority="57" operator="equal">
      <formula>"Không Đạt"</formula>
    </cfRule>
  </conditionalFormatting>
  <conditionalFormatting sqref="J216:L216 N216:O216 Q216:R216">
    <cfRule type="cellIs" dxfId="55" priority="54" operator="equal">
      <formula>"Không Đạt"</formula>
    </cfRule>
  </conditionalFormatting>
  <conditionalFormatting sqref="J43:R43">
    <cfRule type="cellIs" dxfId="54" priority="112" operator="equal">
      <formula>"Đạt"</formula>
    </cfRule>
  </conditionalFormatting>
  <conditionalFormatting sqref="J87:R87">
    <cfRule type="cellIs" dxfId="53" priority="62" operator="equal">
      <formula>"Đạt"</formula>
    </cfRule>
  </conditionalFormatting>
  <conditionalFormatting sqref="J130:R130">
    <cfRule type="cellIs" dxfId="52" priority="59" operator="equal">
      <formula>"Đạt"</formula>
    </cfRule>
  </conditionalFormatting>
  <conditionalFormatting sqref="J173:R173">
    <cfRule type="cellIs" dxfId="51" priority="56" operator="equal">
      <formula>"Đạt"</formula>
    </cfRule>
  </conditionalFormatting>
  <conditionalFormatting sqref="J216:R216">
    <cfRule type="cellIs" dxfId="50" priority="53" operator="equal">
      <formula>"Đạt"</formula>
    </cfRule>
  </conditionalFormatting>
  <conditionalFormatting sqref="L16:L38 O16:O38">
    <cfRule type="cellIs" dxfId="49" priority="42" operator="greaterThan">
      <formula>0</formula>
    </cfRule>
  </conditionalFormatting>
  <conditionalFormatting sqref="L60:L82 O60:O82">
    <cfRule type="cellIs" dxfId="48" priority="38" operator="greaterThan">
      <formula>0</formula>
    </cfRule>
  </conditionalFormatting>
  <conditionalFormatting sqref="L103:L125 O103:O125">
    <cfRule type="cellIs" dxfId="47" priority="34" operator="greaterThan">
      <formula>0</formula>
    </cfRule>
  </conditionalFormatting>
  <conditionalFormatting sqref="L146:L168 O146:O168">
    <cfRule type="cellIs" dxfId="46" priority="30" operator="greaterThan">
      <formula>0</formula>
    </cfRule>
  </conditionalFormatting>
  <conditionalFormatting sqref="L189:L211 O189:O211">
    <cfRule type="cellIs" dxfId="45" priority="26" operator="greaterThan">
      <formula>0</formula>
    </cfRule>
  </conditionalFormatting>
  <conditionalFormatting sqref="L16:P38">
    <cfRule type="cellIs" dxfId="44" priority="44" operator="equal">
      <formula>"ĐV"</formula>
    </cfRule>
  </conditionalFormatting>
  <conditionalFormatting sqref="L60:P82">
    <cfRule type="cellIs" dxfId="43" priority="40" operator="equal">
      <formula>"ĐV"</formula>
    </cfRule>
  </conditionalFormatting>
  <conditionalFormatting sqref="L103:P125">
    <cfRule type="cellIs" dxfId="42" priority="36" operator="equal">
      <formula>"ĐV"</formula>
    </cfRule>
  </conditionalFormatting>
  <conditionalFormatting sqref="L146:P168">
    <cfRule type="cellIs" dxfId="41" priority="32" operator="equal">
      <formula>"ĐV"</formula>
    </cfRule>
  </conditionalFormatting>
  <conditionalFormatting sqref="L189:P211">
    <cfRule type="cellIs" dxfId="40" priority="28" operator="equal">
      <formula>"ĐV"</formula>
    </cfRule>
  </conditionalFormatting>
  <conditionalFormatting sqref="L44:R44">
    <cfRule type="cellIs" dxfId="39" priority="64" operator="lessThan">
      <formula>0</formula>
    </cfRule>
  </conditionalFormatting>
  <conditionalFormatting sqref="L88:R88">
    <cfRule type="cellIs" dxfId="38" priority="61" operator="lessThan">
      <formula>0</formula>
    </cfRule>
  </conditionalFormatting>
  <conditionalFormatting sqref="L131:R131">
    <cfRule type="cellIs" dxfId="37" priority="58" operator="lessThan">
      <formula>0</formula>
    </cfRule>
  </conditionalFormatting>
  <conditionalFormatting sqref="L174:R174">
    <cfRule type="cellIs" dxfId="36" priority="55" operator="lessThan">
      <formula>0</formula>
    </cfRule>
  </conditionalFormatting>
  <conditionalFormatting sqref="L217:R217">
    <cfRule type="cellIs" dxfId="35" priority="52" operator="lessThan">
      <formula>0</formula>
    </cfRule>
  </conditionalFormatting>
  <conditionalFormatting sqref="O45:O46">
    <cfRule type="cellIs" dxfId="34" priority="114" operator="equal">
      <formula>"Thiếu"</formula>
    </cfRule>
    <cfRule type="cellIs" dxfId="33" priority="115" operator="equal">
      <formula>"Thiếu, Thừa"</formula>
    </cfRule>
    <cfRule type="cellIs" dxfId="32" priority="111" operator="equal">
      <formula>"Thiếu"</formula>
    </cfRule>
    <cfRule type="cellIs" dxfId="31" priority="109" operator="equal">
      <formula>"Thừa"</formula>
    </cfRule>
    <cfRule type="cellIs" dxfId="30" priority="110" operator="equal">
      <formula>"Đạt"</formula>
    </cfRule>
  </conditionalFormatting>
  <conditionalFormatting sqref="O89:O90">
    <cfRule type="cellIs" dxfId="29" priority="101" operator="equal">
      <formula>"Thừa"</formula>
    </cfRule>
    <cfRule type="cellIs" dxfId="28" priority="102" operator="equal">
      <formula>"Đạt"</formula>
    </cfRule>
    <cfRule type="cellIs" dxfId="27" priority="103" operator="equal">
      <formula>"Thiếu"</formula>
    </cfRule>
    <cfRule type="cellIs" dxfId="26" priority="106" operator="equal">
      <formula>"Thiếu"</formula>
    </cfRule>
    <cfRule type="cellIs" dxfId="25" priority="107" operator="equal">
      <formula>"Thiếu, Thừa"</formula>
    </cfRule>
  </conditionalFormatting>
  <conditionalFormatting sqref="O132:O133">
    <cfRule type="cellIs" dxfId="24" priority="98" operator="equal">
      <formula>"Thiếu"</formula>
    </cfRule>
    <cfRule type="cellIs" dxfId="23" priority="99" operator="equal">
      <formula>"Thiếu, Thừa"</formula>
    </cfRule>
    <cfRule type="cellIs" dxfId="22" priority="93" operator="equal">
      <formula>"Thừa"</formula>
    </cfRule>
    <cfRule type="cellIs" dxfId="21" priority="94" operator="equal">
      <formula>"Đạt"</formula>
    </cfRule>
    <cfRule type="cellIs" dxfId="20" priority="95" operator="equal">
      <formula>"Thiếu"</formula>
    </cfRule>
  </conditionalFormatting>
  <conditionalFormatting sqref="O175:O176">
    <cfRule type="cellIs" dxfId="19" priority="86" operator="equal">
      <formula>"Đạt"</formula>
    </cfRule>
    <cfRule type="cellIs" dxfId="18" priority="85" operator="equal">
      <formula>"Thừa"</formula>
    </cfRule>
    <cfRule type="cellIs" dxfId="17" priority="87" operator="equal">
      <formula>"Thiếu"</formula>
    </cfRule>
    <cfRule type="cellIs" dxfId="16" priority="90" operator="equal">
      <formula>"Thiếu"</formula>
    </cfRule>
    <cfRule type="cellIs" dxfId="15" priority="91" operator="equal">
      <formula>"Thiếu, Thừa"</formula>
    </cfRule>
  </conditionalFormatting>
  <conditionalFormatting sqref="O218:O219">
    <cfRule type="cellIs" dxfId="14" priority="78" operator="equal">
      <formula>"Đạt"</formula>
    </cfRule>
    <cfRule type="cellIs" dxfId="13" priority="79" operator="equal">
      <formula>"Thiếu"</formula>
    </cfRule>
    <cfRule type="cellIs" dxfId="12" priority="82" operator="equal">
      <formula>"Thiếu"</formula>
    </cfRule>
    <cfRule type="cellIs" dxfId="11" priority="83" operator="equal">
      <formula>"Thiếu, Thừa"</formula>
    </cfRule>
    <cfRule type="cellIs" dxfId="10" priority="77" operator="equal">
      <formula>"Thừa"</formula>
    </cfRule>
  </conditionalFormatting>
  <conditionalFormatting sqref="P16:P38 P60:P82 P103:P125 P146:P168 P189:P211">
    <cfRule type="cellIs" dxfId="9" priority="7" operator="greaterThan">
      <formula>0</formula>
    </cfRule>
  </conditionalFormatting>
  <dataValidations count="1">
    <dataValidation type="list" allowBlank="1" showInputMessage="1" showErrorMessage="1" sqref="E10:AE10 E54:AE54 E97:AE97 E140:AE140 E183:AE183" xr:uid="{00000000-0002-0000-0200-000007000000}">
      <formula1>"TV, ĐV"</formula1>
    </dataValidation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'FCDB 2017 (full)'!$C$6:$C$57</xm:f>
          </x14:formula1>
          <xm:sqref>E9:H9 E53:H53 E96:H96 E139:H139 E182:H182</xm:sqref>
        </x14:dataValidation>
        <x14:dataValidation type="list" allowBlank="1" showInputMessage="1" showErrorMessage="1" xr:uid="{00000000-0002-0000-0200-000001000000}">
          <x14:formula1>
            <xm:f>'FCDB 2017 (full)'!$C$96:$C$229</xm:f>
          </x14:formula1>
          <xm:sqref>J9:P9 J53:P53 J96:P96 J139:P139 J182:P182</xm:sqref>
        </x14:dataValidation>
        <x14:dataValidation type="list" allowBlank="1" showInputMessage="1" showErrorMessage="1" xr:uid="{00000000-0002-0000-0200-000002000000}">
          <x14:formula1>
            <xm:f>'FCDB 2017 (full)'!$C$232:$C$287</xm:f>
          </x14:formula1>
          <xm:sqref>R9:T9 R53:T53 R96:T96 R139:T139 R182:T182</xm:sqref>
        </x14:dataValidation>
        <x14:dataValidation type="list" allowBlank="1" showInputMessage="1" showErrorMessage="1" xr:uid="{00000000-0002-0000-0200-000003000000}">
          <x14:formula1>
            <xm:f>'FCDB 2017 (full)'!$C$305:$C$478</xm:f>
          </x14:formula1>
          <xm:sqref>U9:X9 U53:X53 U96:X96 U139:X139 U182:X182</xm:sqref>
        </x14:dataValidation>
        <x14:dataValidation type="list" allowBlank="1" showInputMessage="1" showErrorMessage="1" xr:uid="{00000000-0002-0000-0200-000004000000}">
          <x14:formula1>
            <xm:f>'FCDB 2017 (full)'!$C$290:$C$303</xm:f>
          </x14:formula1>
          <xm:sqref>Y9:Z9 Y53:Z53 Y96:Z96 Y139:Z139 Y182:Z182</xm:sqref>
        </x14:dataValidation>
        <x14:dataValidation type="list" allowBlank="1" showInputMessage="1" showErrorMessage="1" xr:uid="{00000000-0002-0000-0200-000005000000}">
          <x14:formula1>
            <xm:f>'FCDB 2017 (full)'!$C$60:$C$92</xm:f>
          </x14:formula1>
          <xm:sqref>AA9:AB9 AA53:AB53 AA96:AB96 AA139:AB139 AA182:AB182</xm:sqref>
        </x14:dataValidation>
        <x14:dataValidation type="list" allowBlank="1" showInputMessage="1" showErrorMessage="1" xr:uid="{00000000-0002-0000-0200-000006000000}">
          <x14:formula1>
            <xm:f>'FCDB 2017 (full)'!$C$481:$C$659</xm:f>
          </x14:formula1>
          <xm:sqref>AC9:AE9 AC53:AE53 AC96:AE96 AC139:AE139 AC182:AE182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B7AD8"/>
  </sheetPr>
  <dimension ref="A1:CO133"/>
  <sheetViews>
    <sheetView zoomScale="65" zoomScaleNormal="65" workbookViewId="0">
      <selection activeCell="D15" sqref="D15"/>
    </sheetView>
  </sheetViews>
  <sheetFormatPr defaultColWidth="9" defaultRowHeight="16.8"/>
  <cols>
    <col min="4" max="4" width="21.54296875" customWidth="1"/>
    <col min="5" max="5" width="9" hidden="1" customWidth="1"/>
    <col min="6" max="6" width="8.1796875" customWidth="1"/>
    <col min="7" max="7" width="11.1796875" hidden="1" customWidth="1"/>
    <col min="8" max="8" width="9.7265625" customWidth="1"/>
    <col min="9" max="9" width="9.7265625" hidden="1" customWidth="1"/>
    <col min="10" max="11" width="9.7265625" customWidth="1"/>
    <col min="12" max="12" width="9.7265625" hidden="1" customWidth="1"/>
    <col min="13" max="14" width="9.7265625" customWidth="1"/>
    <col min="15" max="15" width="9.7265625" hidden="1" customWidth="1"/>
    <col min="16" max="16" width="12.453125" customWidth="1"/>
    <col min="17" max="17" width="12.6328125"/>
    <col min="18" max="20" width="9.6328125"/>
    <col min="21" max="21" width="9.90625"/>
    <col min="22" max="23" width="9.6328125"/>
    <col min="24" max="24" width="9.54296875"/>
    <col min="25" max="27" width="10.1796875"/>
    <col min="28" max="28" width="10.26953125"/>
    <col min="29" max="29" width="10.1796875"/>
    <col min="30" max="30" width="10.08984375"/>
    <col min="31" max="32" width="10.26953125"/>
    <col min="33" max="33" width="9.90625"/>
    <col min="34" max="34" width="10"/>
    <col min="35" max="35" width="10.26953125"/>
    <col min="36" max="36" width="10.1796875"/>
    <col min="37" max="37" width="10.453125"/>
    <col min="38" max="39" width="10.26953125"/>
    <col min="40" max="40" width="10.1796875"/>
    <col min="41" max="41" width="10.26953125"/>
    <col min="42" max="42" width="10.36328125"/>
    <col min="43" max="43" width="10.08984375"/>
    <col min="44" max="44" width="10.1796875"/>
    <col min="45" max="45" width="10.26953125"/>
    <col min="46" max="46" width="10.1796875"/>
    <col min="47" max="47" width="10.453125"/>
    <col min="48" max="49" width="10.26953125"/>
    <col min="50" max="53" width="10.1796875"/>
    <col min="54" max="54" width="10.26953125"/>
    <col min="55" max="55" width="10.1796875"/>
    <col min="56" max="56" width="10.08984375"/>
    <col min="57" max="58" width="10.26953125"/>
    <col min="59" max="59" width="9.90625"/>
    <col min="60" max="60" width="10"/>
    <col min="61" max="61" width="10.26953125"/>
    <col min="62" max="62" width="10.1796875"/>
    <col min="63" max="63" width="10.453125"/>
    <col min="64" max="65" width="10.26953125"/>
    <col min="66" max="66" width="10.1796875"/>
    <col min="67" max="67" width="10.26953125"/>
    <col min="68" max="68" width="10.1796875"/>
    <col min="69" max="69" width="10.08984375"/>
    <col min="70" max="70" width="10.1796875"/>
    <col min="71" max="71" width="10.26953125"/>
    <col min="72" max="72" width="10.1796875"/>
    <col min="73" max="73" width="10.453125"/>
    <col min="74" max="75" width="10.26953125"/>
    <col min="76" max="79" width="10.1796875"/>
    <col min="80" max="80" width="10.26953125"/>
    <col min="81" max="81" width="10.1796875"/>
    <col min="82" max="82" width="10.08984375"/>
    <col min="83" max="84" width="10.26953125"/>
    <col min="85" max="85" width="9.90625"/>
    <col min="86" max="86" width="10"/>
    <col min="87" max="87" width="10.26953125"/>
    <col min="88" max="88" width="10.1796875"/>
    <col min="89" max="89" width="10.453125"/>
    <col min="90" max="91" width="10.26953125"/>
    <col min="92" max="92" width="10.1796875"/>
    <col min="93" max="93" width="10.26953125"/>
  </cols>
  <sheetData>
    <row r="1" spans="1:93">
      <c r="A1" s="352" t="s">
        <v>1064</v>
      </c>
      <c r="B1" s="352"/>
      <c r="C1" s="352"/>
    </row>
    <row r="2" spans="1:93" ht="52.05" customHeight="1"/>
    <row r="3" spans="1:93" ht="25.05" customHeight="1">
      <c r="A3" s="1" t="s">
        <v>1065</v>
      </c>
      <c r="B3" s="1"/>
      <c r="C3" s="1"/>
      <c r="D3" s="2" t="s">
        <v>1066</v>
      </c>
      <c r="E3" s="343"/>
      <c r="F3" s="343" t="s">
        <v>951</v>
      </c>
      <c r="G3" s="3" t="s">
        <v>952</v>
      </c>
      <c r="H3" s="345" t="s">
        <v>953</v>
      </c>
      <c r="I3" s="3" t="s">
        <v>954</v>
      </c>
      <c r="J3" s="328" t="s">
        <v>955</v>
      </c>
      <c r="K3" s="328"/>
      <c r="L3" s="3" t="s">
        <v>956</v>
      </c>
      <c r="M3" s="328" t="s">
        <v>91</v>
      </c>
      <c r="N3" s="328"/>
      <c r="O3" s="3" t="s">
        <v>957</v>
      </c>
      <c r="P3" s="348" t="s">
        <v>958</v>
      </c>
      <c r="Q3" s="348" t="s">
        <v>959</v>
      </c>
      <c r="R3" s="348" t="s">
        <v>960</v>
      </c>
      <c r="S3" s="348" t="s">
        <v>95</v>
      </c>
      <c r="T3" s="348" t="s">
        <v>961</v>
      </c>
      <c r="U3" s="348" t="s">
        <v>97</v>
      </c>
      <c r="V3" s="348" t="s">
        <v>962</v>
      </c>
      <c r="W3" s="348" t="s">
        <v>99</v>
      </c>
      <c r="X3" s="348" t="s">
        <v>100</v>
      </c>
      <c r="Y3" s="348" t="s">
        <v>101</v>
      </c>
      <c r="Z3" s="348" t="s">
        <v>102</v>
      </c>
      <c r="AA3" s="348" t="s">
        <v>103</v>
      </c>
      <c r="AB3" s="348" t="s">
        <v>104</v>
      </c>
      <c r="AC3" s="348" t="s">
        <v>105</v>
      </c>
      <c r="AD3" s="348" t="s">
        <v>963</v>
      </c>
      <c r="AE3" s="348" t="s">
        <v>964</v>
      </c>
      <c r="AF3" s="348" t="s">
        <v>965</v>
      </c>
      <c r="AG3" s="348" t="s">
        <v>966</v>
      </c>
      <c r="AH3" s="348" t="s">
        <v>110</v>
      </c>
      <c r="AI3" s="348" t="s">
        <v>111</v>
      </c>
      <c r="AJ3" s="348" t="s">
        <v>112</v>
      </c>
      <c r="AK3" s="348" t="s">
        <v>967</v>
      </c>
      <c r="AL3" s="348" t="s">
        <v>968</v>
      </c>
      <c r="AM3" s="348" t="s">
        <v>115</v>
      </c>
      <c r="AN3" s="348" t="s">
        <v>116</v>
      </c>
      <c r="AO3" s="348" t="s">
        <v>117</v>
      </c>
      <c r="AP3" s="348" t="s">
        <v>118</v>
      </c>
      <c r="AQ3" s="348" t="s">
        <v>119</v>
      </c>
      <c r="AR3" s="348" t="s">
        <v>120</v>
      </c>
      <c r="AS3" s="348" t="s">
        <v>121</v>
      </c>
      <c r="AT3" s="348" t="s">
        <v>122</v>
      </c>
      <c r="AU3" s="348" t="s">
        <v>123</v>
      </c>
      <c r="AV3" s="348" t="s">
        <v>124</v>
      </c>
      <c r="AW3" s="348" t="s">
        <v>125</v>
      </c>
      <c r="AX3" s="348" t="s">
        <v>126</v>
      </c>
      <c r="AY3" s="348" t="s">
        <v>969</v>
      </c>
      <c r="AZ3" s="348" t="s">
        <v>128</v>
      </c>
      <c r="BA3" s="348" t="s">
        <v>129</v>
      </c>
      <c r="BB3" s="348" t="s">
        <v>130</v>
      </c>
      <c r="BC3" s="348" t="s">
        <v>131</v>
      </c>
      <c r="BD3" s="348" t="s">
        <v>132</v>
      </c>
      <c r="BE3" s="348" t="s">
        <v>133</v>
      </c>
      <c r="BF3" s="348" t="s">
        <v>134</v>
      </c>
      <c r="BG3" s="348" t="s">
        <v>135</v>
      </c>
      <c r="BH3" s="348" t="s">
        <v>136</v>
      </c>
      <c r="BI3" s="348" t="s">
        <v>137</v>
      </c>
      <c r="BJ3" s="348" t="s">
        <v>138</v>
      </c>
      <c r="BK3" s="348" t="s">
        <v>139</v>
      </c>
      <c r="BL3" s="348" t="s">
        <v>140</v>
      </c>
      <c r="BM3" s="348" t="s">
        <v>141</v>
      </c>
      <c r="BN3" s="348" t="s">
        <v>142</v>
      </c>
      <c r="BO3" s="348" t="s">
        <v>143</v>
      </c>
      <c r="BP3" s="348" t="s">
        <v>144</v>
      </c>
      <c r="BQ3" s="348" t="s">
        <v>145</v>
      </c>
      <c r="BR3" s="348" t="s">
        <v>146</v>
      </c>
      <c r="BS3" s="348" t="s">
        <v>147</v>
      </c>
      <c r="BT3" s="348" t="s">
        <v>148</v>
      </c>
      <c r="BU3" s="348" t="s">
        <v>149</v>
      </c>
      <c r="BV3" s="348" t="s">
        <v>150</v>
      </c>
      <c r="BW3" s="348" t="s">
        <v>151</v>
      </c>
      <c r="BX3" s="348" t="s">
        <v>152</v>
      </c>
      <c r="BY3" s="348" t="s">
        <v>153</v>
      </c>
      <c r="BZ3" s="348" t="s">
        <v>154</v>
      </c>
      <c r="CA3" s="348" t="s">
        <v>155</v>
      </c>
      <c r="CB3" s="348" t="s">
        <v>156</v>
      </c>
      <c r="CC3" s="348" t="s">
        <v>157</v>
      </c>
      <c r="CD3" s="348" t="s">
        <v>158</v>
      </c>
      <c r="CE3" s="348" t="s">
        <v>159</v>
      </c>
      <c r="CF3" s="348" t="s">
        <v>160</v>
      </c>
      <c r="CG3" s="348" t="s">
        <v>161</v>
      </c>
      <c r="CH3" s="348" t="s">
        <v>162</v>
      </c>
      <c r="CI3" s="348" t="s">
        <v>163</v>
      </c>
      <c r="CJ3" s="348" t="s">
        <v>164</v>
      </c>
      <c r="CK3" s="348" t="s">
        <v>165</v>
      </c>
      <c r="CL3" s="348" t="s">
        <v>166</v>
      </c>
      <c r="CM3" s="348" t="s">
        <v>167</v>
      </c>
      <c r="CN3" s="348" t="s">
        <v>168</v>
      </c>
      <c r="CO3" s="348" t="s">
        <v>169</v>
      </c>
    </row>
    <row r="4" spans="1:93" ht="25.05" customHeight="1">
      <c r="D4" s="2"/>
      <c r="E4" s="353"/>
      <c r="F4" s="344"/>
      <c r="G4" s="3"/>
      <c r="H4" s="344"/>
      <c r="I4" s="3"/>
      <c r="J4" s="2" t="s">
        <v>468</v>
      </c>
      <c r="K4" s="2" t="s">
        <v>181</v>
      </c>
      <c r="L4" s="3"/>
      <c r="M4" s="2" t="s">
        <v>468</v>
      </c>
      <c r="N4" s="2" t="s">
        <v>181</v>
      </c>
      <c r="O4" s="3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348"/>
      <c r="AE4" s="348"/>
      <c r="AF4" s="348"/>
      <c r="AG4" s="348"/>
      <c r="AH4" s="348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8"/>
      <c r="BL4" s="348"/>
      <c r="BM4" s="348"/>
      <c r="BN4" s="348"/>
      <c r="BO4" s="348"/>
      <c r="BP4" s="348"/>
      <c r="BQ4" s="348"/>
      <c r="BR4" s="348"/>
      <c r="BS4" s="348"/>
      <c r="BT4" s="348"/>
      <c r="BU4" s="348"/>
      <c r="BV4" s="348"/>
      <c r="BW4" s="348"/>
      <c r="BX4" s="348"/>
      <c r="BY4" s="348"/>
      <c r="BZ4" s="348"/>
      <c r="CA4" s="348"/>
      <c r="CB4" s="348"/>
      <c r="CC4" s="348"/>
      <c r="CD4" s="348"/>
      <c r="CE4" s="348"/>
      <c r="CF4" s="348"/>
      <c r="CG4" s="348"/>
      <c r="CH4" s="348"/>
      <c r="CI4" s="348"/>
      <c r="CJ4" s="348"/>
      <c r="CK4" s="348"/>
      <c r="CL4" s="348"/>
      <c r="CM4" s="348"/>
      <c r="CN4" s="348"/>
      <c r="CO4" s="348"/>
    </row>
    <row r="5" spans="1:93" ht="19.95" customHeight="1">
      <c r="C5" s="5"/>
      <c r="D5" s="6" t="str">
        <f>'2.XDTD_S.Tr.T'!F16</f>
        <v>Gạo lứt</v>
      </c>
      <c r="E5" s="7" t="e">
        <f ca="1">'2.XDTD_S.Tr.T'!G16</f>
        <v>#NAME?</v>
      </c>
      <c r="F5" s="8">
        <f>'2.XDTD_S.Tr.T'!H16</f>
        <v>180</v>
      </c>
      <c r="G5" s="9">
        <f ca="1">'2.XDTD_S.Tr.T'!I16</f>
        <v>0</v>
      </c>
      <c r="H5" s="10">
        <f ca="1">'2.XDTD_S.Tr.T'!J16</f>
        <v>0</v>
      </c>
      <c r="I5" s="9">
        <f ca="1">'2.XDTD_S.Tr.T'!K16</f>
        <v>0</v>
      </c>
      <c r="J5" s="13" t="e">
        <f ca="1">'2.XDTD_S.Tr.T'!L16</f>
        <v>#NAME?</v>
      </c>
      <c r="K5" s="13" t="e">
        <f ca="1">'2.XDTD_S.Tr.T'!M16</f>
        <v>#NAME?</v>
      </c>
      <c r="L5" s="9">
        <f ca="1">'2.XDTD_S.Tr.T'!N16</f>
        <v>0</v>
      </c>
      <c r="M5" s="14" t="e">
        <f ca="1">'2.XDTD_S.Tr.T'!O16</f>
        <v>#NAME?</v>
      </c>
      <c r="N5" s="14" t="e">
        <f ca="1">'2.XDTD_S.Tr.T'!P16</f>
        <v>#NAME?</v>
      </c>
      <c r="O5" s="9" t="e">
        <f ca="1">'2.XDTD_S.Tr.T'!P16</f>
        <v>#NAME?</v>
      </c>
      <c r="P5" s="15">
        <f ca="1">'2.XDTD_S.Tr.T'!R16</f>
        <v>0</v>
      </c>
      <c r="Q5" s="16">
        <f ca="1">'2.XDTD_S.Tr.T'!S16</f>
        <v>0</v>
      </c>
      <c r="R5" s="16">
        <f ca="1">'2.XDTD_S.Tr.T'!T16</f>
        <v>0</v>
      </c>
      <c r="S5" s="16">
        <f ca="1">'2.XDTD_S.Tr.T'!U16</f>
        <v>0</v>
      </c>
      <c r="T5" s="16">
        <f ca="1">'2.XDTD_S.Tr.T'!V16</f>
        <v>0</v>
      </c>
      <c r="U5" s="16">
        <f ca="1">'2.XDTD_S.Tr.T'!W16</f>
        <v>0</v>
      </c>
      <c r="V5" s="16">
        <f ca="1">'2.XDTD_S.Tr.T'!X16</f>
        <v>0</v>
      </c>
      <c r="W5" s="16">
        <f ca="1">'2.XDTD_S.Tr.T'!Y16</f>
        <v>0</v>
      </c>
      <c r="X5" s="16">
        <f ca="1">'2.XDTD_S.Tr.T'!Z16</f>
        <v>0</v>
      </c>
      <c r="Y5" s="16">
        <f ca="1">'2.XDTD_S.Tr.T'!AA16</f>
        <v>0</v>
      </c>
      <c r="Z5" s="16">
        <f ca="1">'2.XDTD_S.Tr.T'!AB16</f>
        <v>0</v>
      </c>
      <c r="AA5" s="16">
        <f ca="1">'2.XDTD_S.Tr.T'!AC16</f>
        <v>0</v>
      </c>
      <c r="AB5" s="16">
        <f ca="1">'2.XDTD_S.Tr.T'!AD16</f>
        <v>0</v>
      </c>
      <c r="AC5" s="16">
        <f ca="1">'2.XDTD_S.Tr.T'!AE16</f>
        <v>0</v>
      </c>
      <c r="AD5" s="16">
        <f ca="1">'2.XDTD_S.Tr.T'!AF16</f>
        <v>0</v>
      </c>
      <c r="AE5" s="16">
        <f ca="1">'2.XDTD_S.Tr.T'!AG16</f>
        <v>0</v>
      </c>
      <c r="AF5" s="16">
        <f ca="1">'2.XDTD_S.Tr.T'!AH16</f>
        <v>0</v>
      </c>
      <c r="AG5" s="16">
        <f ca="1">'2.XDTD_S.Tr.T'!AI16</f>
        <v>0</v>
      </c>
      <c r="AH5" s="16">
        <f ca="1">'2.XDTD_S.Tr.T'!AJ16</f>
        <v>0</v>
      </c>
      <c r="AI5" s="16">
        <f ca="1">'2.XDTD_S.Tr.T'!AK16</f>
        <v>0</v>
      </c>
      <c r="AJ5" s="16">
        <f ca="1">'2.XDTD_S.Tr.T'!AL16</f>
        <v>0</v>
      </c>
      <c r="AK5" s="16">
        <f ca="1">'2.XDTD_S.Tr.T'!AM16</f>
        <v>0</v>
      </c>
      <c r="AL5" s="16">
        <f ca="1">'2.XDTD_S.Tr.T'!AN16</f>
        <v>0</v>
      </c>
      <c r="AM5" s="16">
        <f ca="1">'2.XDTD_S.Tr.T'!AO16</f>
        <v>0</v>
      </c>
      <c r="AN5" s="16">
        <f ca="1">'2.XDTD_S.Tr.T'!AP16</f>
        <v>0</v>
      </c>
      <c r="AO5" s="16">
        <f ca="1">'2.XDTD_S.Tr.T'!AP16</f>
        <v>0</v>
      </c>
      <c r="AP5" s="16">
        <f ca="1">'2.XDTD_S.Tr.T'!AR16</f>
        <v>0</v>
      </c>
      <c r="AQ5" s="16">
        <f ca="1">'2.XDTD_S.Tr.T'!AS16</f>
        <v>0</v>
      </c>
      <c r="AR5" s="16">
        <f ca="1">'2.XDTD_S.Tr.T'!AT16</f>
        <v>0</v>
      </c>
      <c r="AS5" s="16">
        <f ca="1">'2.XDTD_S.Tr.T'!AU16</f>
        <v>0</v>
      </c>
      <c r="AT5" s="16">
        <f ca="1">'2.XDTD_S.Tr.T'!AV16</f>
        <v>0</v>
      </c>
      <c r="AU5" s="16">
        <f ca="1">'2.XDTD_S.Tr.T'!AW16</f>
        <v>0</v>
      </c>
      <c r="AV5" s="16">
        <f ca="1">'2.XDTD_S.Tr.T'!AX16</f>
        <v>0</v>
      </c>
      <c r="AW5" s="16">
        <f ca="1">'2.XDTD_S.Tr.T'!AY16</f>
        <v>0</v>
      </c>
      <c r="AX5" s="16">
        <f ca="1">'2.XDTD_S.Tr.T'!AZ16</f>
        <v>0</v>
      </c>
      <c r="AY5" s="16">
        <f ca="1">'2.XDTD_S.Tr.T'!BA16</f>
        <v>0</v>
      </c>
      <c r="AZ5" s="16">
        <f ca="1">'2.XDTD_S.Tr.T'!BB16</f>
        <v>0</v>
      </c>
      <c r="BA5" s="16">
        <f ca="1">'2.XDTD_S.Tr.T'!BC16</f>
        <v>0</v>
      </c>
      <c r="BB5" s="16">
        <f ca="1">'2.XDTD_S.Tr.T'!BD16</f>
        <v>0</v>
      </c>
      <c r="BC5" s="16">
        <f ca="1">'2.XDTD_S.Tr.T'!BE16</f>
        <v>0</v>
      </c>
      <c r="BD5" s="16">
        <f ca="1">'2.XDTD_S.Tr.T'!BF16</f>
        <v>0</v>
      </c>
      <c r="BE5" s="16">
        <f ca="1">'2.XDTD_S.Tr.T'!BG16</f>
        <v>0</v>
      </c>
      <c r="BF5" s="16">
        <f ca="1">'2.XDTD_S.Tr.T'!BH16</f>
        <v>0</v>
      </c>
      <c r="BG5" s="16">
        <f ca="1">'2.XDTD_S.Tr.T'!BI16</f>
        <v>0</v>
      </c>
      <c r="BH5" s="16">
        <f ca="1">'2.XDTD_S.Tr.T'!BJ16</f>
        <v>0</v>
      </c>
      <c r="BI5" s="16">
        <f ca="1">'2.XDTD_S.Tr.T'!BK16</f>
        <v>0</v>
      </c>
      <c r="BJ5" s="16">
        <f ca="1">'2.XDTD_S.Tr.T'!BL16</f>
        <v>0</v>
      </c>
      <c r="BK5" s="16">
        <f ca="1">'2.XDTD_S.Tr.T'!BM16</f>
        <v>0</v>
      </c>
      <c r="BL5" s="16">
        <f ca="1">'2.XDTD_S.Tr.T'!BN16</f>
        <v>0</v>
      </c>
      <c r="BM5" s="16">
        <f ca="1">'2.XDTD_S.Tr.T'!BO16</f>
        <v>0</v>
      </c>
      <c r="BN5" s="16">
        <f ca="1">'2.XDTD_S.Tr.T'!BP16</f>
        <v>0</v>
      </c>
      <c r="BO5" s="16">
        <f ca="1">'2.XDTD_S.Tr.T'!BP16</f>
        <v>0</v>
      </c>
      <c r="BP5" s="16">
        <f ca="1">'2.XDTD_S.Tr.T'!BR16</f>
        <v>0</v>
      </c>
      <c r="BQ5" s="16">
        <f ca="1">'2.XDTD_S.Tr.T'!BS16</f>
        <v>0</v>
      </c>
      <c r="BR5" s="16">
        <f ca="1">'2.XDTD_S.Tr.T'!BT16</f>
        <v>0</v>
      </c>
      <c r="BS5" s="16">
        <f ca="1">'2.XDTD_S.Tr.T'!BU16</f>
        <v>0</v>
      </c>
      <c r="BT5" s="16">
        <f ca="1">'2.XDTD_S.Tr.T'!BV16</f>
        <v>0</v>
      </c>
      <c r="BU5" s="16">
        <f ca="1">'2.XDTD_S.Tr.T'!BW16</f>
        <v>0</v>
      </c>
      <c r="BV5" s="16">
        <f ca="1">'2.XDTD_S.Tr.T'!BX16</f>
        <v>0</v>
      </c>
      <c r="BW5" s="16">
        <f ca="1">'2.XDTD_S.Tr.T'!BY16</f>
        <v>0</v>
      </c>
      <c r="BX5" s="16">
        <f ca="1">'2.XDTD_S.Tr.T'!BZ16</f>
        <v>0</v>
      </c>
      <c r="BY5" s="16">
        <f ca="1">'2.XDTD_S.Tr.T'!CA16</f>
        <v>0</v>
      </c>
      <c r="BZ5" s="16">
        <f ca="1">'2.XDTD_S.Tr.T'!CB16</f>
        <v>0</v>
      </c>
      <c r="CA5" s="16">
        <f ca="1">'2.XDTD_S.Tr.T'!CC16</f>
        <v>0</v>
      </c>
      <c r="CB5" s="16">
        <f ca="1">'2.XDTD_S.Tr.T'!CD16</f>
        <v>0</v>
      </c>
      <c r="CC5" s="16">
        <f ca="1">'2.XDTD_S.Tr.T'!CE16</f>
        <v>0</v>
      </c>
      <c r="CD5" s="16">
        <f ca="1">'2.XDTD_S.Tr.T'!CF16</f>
        <v>0</v>
      </c>
      <c r="CE5" s="16">
        <f ca="1">'2.XDTD_S.Tr.T'!CG16</f>
        <v>0</v>
      </c>
      <c r="CF5" s="16">
        <f ca="1">'2.XDTD_S.Tr.T'!CH16</f>
        <v>0</v>
      </c>
      <c r="CG5" s="16">
        <f ca="1">'2.XDTD_S.Tr.T'!CI16</f>
        <v>0</v>
      </c>
      <c r="CH5" s="16">
        <f ca="1">'2.XDTD_S.Tr.T'!CJ16</f>
        <v>0</v>
      </c>
      <c r="CI5" s="16">
        <f ca="1">'2.XDTD_S.Tr.T'!CK16</f>
        <v>0</v>
      </c>
      <c r="CJ5" s="16">
        <f ca="1">'2.XDTD_S.Tr.T'!CL16</f>
        <v>0</v>
      </c>
      <c r="CK5" s="16">
        <f ca="1">'2.XDTD_S.Tr.T'!CM16</f>
        <v>0</v>
      </c>
      <c r="CL5" s="16">
        <f ca="1">'2.XDTD_S.Tr.T'!CN16</f>
        <v>0</v>
      </c>
      <c r="CM5" s="16">
        <f ca="1">'2.XDTD_S.Tr.T'!CO16</f>
        <v>0</v>
      </c>
      <c r="CN5" s="16">
        <f ca="1">'2.XDTD_S.Tr.T'!CP16</f>
        <v>0</v>
      </c>
      <c r="CO5" s="16">
        <f ca="1">'2.XDTD_S.Tr.T'!CP16</f>
        <v>0</v>
      </c>
    </row>
    <row r="6" spans="1:93" ht="19.95" customHeight="1">
      <c r="C6" s="5"/>
      <c r="D6" s="11" t="str">
        <f>'2.XDTD_S.Tr.T'!F17</f>
        <v>Bánh quẩy nóng</v>
      </c>
      <c r="E6" s="7" t="e">
        <f ca="1">'2.XDTD_S.Tr.T'!G17</f>
        <v>#NAME?</v>
      </c>
      <c r="F6" s="8">
        <f>'2.XDTD_S.Tr.T'!H17</f>
        <v>15</v>
      </c>
      <c r="G6" s="9">
        <f ca="1">'2.XDTD_S.Tr.T'!I17</f>
        <v>0</v>
      </c>
      <c r="H6" s="10">
        <f ca="1">'2.XDTD_S.Tr.T'!J17</f>
        <v>0</v>
      </c>
      <c r="I6" s="9">
        <f ca="1">'2.XDTD_S.Tr.T'!K17</f>
        <v>0</v>
      </c>
      <c r="J6" s="13" t="e">
        <f ca="1">'2.XDTD_S.Tr.T'!L17</f>
        <v>#NAME?</v>
      </c>
      <c r="K6" s="13" t="e">
        <f ca="1">'2.XDTD_S.Tr.T'!M17</f>
        <v>#NAME?</v>
      </c>
      <c r="L6" s="9">
        <f ca="1">'2.XDTD_S.Tr.T'!N17</f>
        <v>0</v>
      </c>
      <c r="M6" s="14" t="e">
        <f ca="1">'2.XDTD_S.Tr.T'!O17</f>
        <v>#NAME?</v>
      </c>
      <c r="N6" s="14" t="e">
        <f ca="1">'2.XDTD_S.Tr.T'!P17</f>
        <v>#NAME?</v>
      </c>
      <c r="O6" s="9" t="e">
        <f ca="1">'2.XDTD_S.Tr.T'!P17</f>
        <v>#NAME?</v>
      </c>
      <c r="P6" s="15">
        <f ca="1">'2.XDTD_S.Tr.T'!R17</f>
        <v>0</v>
      </c>
      <c r="Q6" s="16">
        <f ca="1">'2.XDTD_S.Tr.T'!S17</f>
        <v>0</v>
      </c>
      <c r="R6" s="16">
        <f ca="1">'2.XDTD_S.Tr.T'!T17</f>
        <v>0</v>
      </c>
      <c r="S6" s="16">
        <f ca="1">'2.XDTD_S.Tr.T'!U17</f>
        <v>0</v>
      </c>
      <c r="T6" s="16">
        <f ca="1">'2.XDTD_S.Tr.T'!V17</f>
        <v>0</v>
      </c>
      <c r="U6" s="16">
        <f ca="1">'2.XDTD_S.Tr.T'!W17</f>
        <v>0</v>
      </c>
      <c r="V6" s="16">
        <f ca="1">'2.XDTD_S.Tr.T'!X17</f>
        <v>0</v>
      </c>
      <c r="W6" s="16">
        <f ca="1">'2.XDTD_S.Tr.T'!Y17</f>
        <v>0</v>
      </c>
      <c r="X6" s="16">
        <f ca="1">'2.XDTD_S.Tr.T'!Z17</f>
        <v>0</v>
      </c>
      <c r="Y6" s="16">
        <f ca="1">'2.XDTD_S.Tr.T'!AA17</f>
        <v>0</v>
      </c>
      <c r="Z6" s="16">
        <f ca="1">'2.XDTD_S.Tr.T'!AB17</f>
        <v>0</v>
      </c>
      <c r="AA6" s="16">
        <f ca="1">'2.XDTD_S.Tr.T'!AC17</f>
        <v>0</v>
      </c>
      <c r="AB6" s="16">
        <f ca="1">'2.XDTD_S.Tr.T'!AD17</f>
        <v>0</v>
      </c>
      <c r="AC6" s="16">
        <f ca="1">'2.XDTD_S.Tr.T'!AE17</f>
        <v>0</v>
      </c>
      <c r="AD6" s="16">
        <f ca="1">'2.XDTD_S.Tr.T'!AF17</f>
        <v>0</v>
      </c>
      <c r="AE6" s="16">
        <f ca="1">'2.XDTD_S.Tr.T'!AG17</f>
        <v>0</v>
      </c>
      <c r="AF6" s="16">
        <f ca="1">'2.XDTD_S.Tr.T'!AH17</f>
        <v>0</v>
      </c>
      <c r="AG6" s="16">
        <f ca="1">'2.XDTD_S.Tr.T'!AI17</f>
        <v>0</v>
      </c>
      <c r="AH6" s="16">
        <f ca="1">'2.XDTD_S.Tr.T'!AJ17</f>
        <v>0</v>
      </c>
      <c r="AI6" s="16">
        <f ca="1">'2.XDTD_S.Tr.T'!AK17</f>
        <v>0</v>
      </c>
      <c r="AJ6" s="16">
        <f ca="1">'2.XDTD_S.Tr.T'!AL17</f>
        <v>0</v>
      </c>
      <c r="AK6" s="16">
        <f ca="1">'2.XDTD_S.Tr.T'!AM17</f>
        <v>0</v>
      </c>
      <c r="AL6" s="16">
        <f ca="1">'2.XDTD_S.Tr.T'!AN17</f>
        <v>0</v>
      </c>
      <c r="AM6" s="16">
        <f ca="1">'2.XDTD_S.Tr.T'!AO17</f>
        <v>0</v>
      </c>
      <c r="AN6" s="16">
        <f ca="1">'2.XDTD_S.Tr.T'!AP17</f>
        <v>0</v>
      </c>
      <c r="AO6" s="16">
        <f ca="1">'2.XDTD_S.Tr.T'!AP17</f>
        <v>0</v>
      </c>
      <c r="AP6" s="16">
        <f ca="1">'2.XDTD_S.Tr.T'!AR17</f>
        <v>0</v>
      </c>
      <c r="AQ6" s="16">
        <f ca="1">'2.XDTD_S.Tr.T'!AS17</f>
        <v>0</v>
      </c>
      <c r="AR6" s="16">
        <f ca="1">'2.XDTD_S.Tr.T'!AT17</f>
        <v>0</v>
      </c>
      <c r="AS6" s="16">
        <f ca="1">'2.XDTD_S.Tr.T'!AU17</f>
        <v>0</v>
      </c>
      <c r="AT6" s="16">
        <f ca="1">'2.XDTD_S.Tr.T'!AV17</f>
        <v>0</v>
      </c>
      <c r="AU6" s="16">
        <f ca="1">'2.XDTD_S.Tr.T'!AW17</f>
        <v>0</v>
      </c>
      <c r="AV6" s="16">
        <f ca="1">'2.XDTD_S.Tr.T'!AX17</f>
        <v>0</v>
      </c>
      <c r="AW6" s="16">
        <f ca="1">'2.XDTD_S.Tr.T'!AY17</f>
        <v>0</v>
      </c>
      <c r="AX6" s="16">
        <f ca="1">'2.XDTD_S.Tr.T'!AZ17</f>
        <v>0</v>
      </c>
      <c r="AY6" s="16">
        <f ca="1">'2.XDTD_S.Tr.T'!BA17</f>
        <v>0</v>
      </c>
      <c r="AZ6" s="16">
        <f ca="1">'2.XDTD_S.Tr.T'!BB17</f>
        <v>0</v>
      </c>
      <c r="BA6" s="16">
        <f ca="1">'2.XDTD_S.Tr.T'!BC17</f>
        <v>0</v>
      </c>
      <c r="BB6" s="16">
        <f ca="1">'2.XDTD_S.Tr.T'!BD17</f>
        <v>0</v>
      </c>
      <c r="BC6" s="16">
        <f ca="1">'2.XDTD_S.Tr.T'!BE17</f>
        <v>0</v>
      </c>
      <c r="BD6" s="16">
        <f ca="1">'2.XDTD_S.Tr.T'!BF17</f>
        <v>0</v>
      </c>
      <c r="BE6" s="16">
        <f ca="1">'2.XDTD_S.Tr.T'!BG17</f>
        <v>0</v>
      </c>
      <c r="BF6" s="16">
        <f ca="1">'2.XDTD_S.Tr.T'!BH17</f>
        <v>0</v>
      </c>
      <c r="BG6" s="16">
        <f ca="1">'2.XDTD_S.Tr.T'!BI17</f>
        <v>0</v>
      </c>
      <c r="BH6" s="16">
        <f ca="1">'2.XDTD_S.Tr.T'!BJ17</f>
        <v>0</v>
      </c>
      <c r="BI6" s="16">
        <f ca="1">'2.XDTD_S.Tr.T'!BK17</f>
        <v>0</v>
      </c>
      <c r="BJ6" s="16">
        <f ca="1">'2.XDTD_S.Tr.T'!BL17</f>
        <v>0</v>
      </c>
      <c r="BK6" s="16">
        <f ca="1">'2.XDTD_S.Tr.T'!BM17</f>
        <v>0</v>
      </c>
      <c r="BL6" s="16">
        <f ca="1">'2.XDTD_S.Tr.T'!BN17</f>
        <v>0</v>
      </c>
      <c r="BM6" s="16">
        <f ca="1">'2.XDTD_S.Tr.T'!BO17</f>
        <v>0</v>
      </c>
      <c r="BN6" s="16">
        <f ca="1">'2.XDTD_S.Tr.T'!BP17</f>
        <v>0</v>
      </c>
      <c r="BO6" s="16">
        <f ca="1">'2.XDTD_S.Tr.T'!BP17</f>
        <v>0</v>
      </c>
      <c r="BP6" s="16">
        <f ca="1">'2.XDTD_S.Tr.T'!BR17</f>
        <v>0</v>
      </c>
      <c r="BQ6" s="16">
        <f ca="1">'2.XDTD_S.Tr.T'!BS17</f>
        <v>0</v>
      </c>
      <c r="BR6" s="16">
        <f ca="1">'2.XDTD_S.Tr.T'!BT17</f>
        <v>0</v>
      </c>
      <c r="BS6" s="16">
        <f ca="1">'2.XDTD_S.Tr.T'!BU17</f>
        <v>0</v>
      </c>
      <c r="BT6" s="16">
        <f ca="1">'2.XDTD_S.Tr.T'!BV17</f>
        <v>0</v>
      </c>
      <c r="BU6" s="16">
        <f ca="1">'2.XDTD_S.Tr.T'!BW17</f>
        <v>0</v>
      </c>
      <c r="BV6" s="16">
        <f ca="1">'2.XDTD_S.Tr.T'!BX17</f>
        <v>0</v>
      </c>
      <c r="BW6" s="16">
        <f ca="1">'2.XDTD_S.Tr.T'!BY17</f>
        <v>0</v>
      </c>
      <c r="BX6" s="16">
        <f ca="1">'2.XDTD_S.Tr.T'!BZ17</f>
        <v>0</v>
      </c>
      <c r="BY6" s="16">
        <f ca="1">'2.XDTD_S.Tr.T'!CA17</f>
        <v>0</v>
      </c>
      <c r="BZ6" s="16">
        <f ca="1">'2.XDTD_S.Tr.T'!CB17</f>
        <v>0</v>
      </c>
      <c r="CA6" s="16">
        <f ca="1">'2.XDTD_S.Tr.T'!CC17</f>
        <v>0</v>
      </c>
      <c r="CB6" s="16">
        <f ca="1">'2.XDTD_S.Tr.T'!CD17</f>
        <v>0</v>
      </c>
      <c r="CC6" s="16">
        <f ca="1">'2.XDTD_S.Tr.T'!CE17</f>
        <v>0</v>
      </c>
      <c r="CD6" s="16">
        <f ca="1">'2.XDTD_S.Tr.T'!CF17</f>
        <v>0</v>
      </c>
      <c r="CE6" s="16">
        <f ca="1">'2.XDTD_S.Tr.T'!CG17</f>
        <v>0</v>
      </c>
      <c r="CF6" s="16">
        <f ca="1">'2.XDTD_S.Tr.T'!CH17</f>
        <v>0</v>
      </c>
      <c r="CG6" s="16">
        <f ca="1">'2.XDTD_S.Tr.T'!CI17</f>
        <v>0</v>
      </c>
      <c r="CH6" s="16">
        <f ca="1">'2.XDTD_S.Tr.T'!CJ17</f>
        <v>0</v>
      </c>
      <c r="CI6" s="16">
        <f ca="1">'2.XDTD_S.Tr.T'!CK17</f>
        <v>0</v>
      </c>
      <c r="CJ6" s="16">
        <f ca="1">'2.XDTD_S.Tr.T'!CL17</f>
        <v>0</v>
      </c>
      <c r="CK6" s="16">
        <f ca="1">'2.XDTD_S.Tr.T'!CM17</f>
        <v>0</v>
      </c>
      <c r="CL6" s="16">
        <f ca="1">'2.XDTD_S.Tr.T'!CN17</f>
        <v>0</v>
      </c>
      <c r="CM6" s="16">
        <f ca="1">'2.XDTD_S.Tr.T'!CO17</f>
        <v>0</v>
      </c>
      <c r="CN6" s="16">
        <f ca="1">'2.XDTD_S.Tr.T'!CP17</f>
        <v>0</v>
      </c>
      <c r="CO6" s="16">
        <f ca="1">'2.XDTD_S.Tr.T'!CP17</f>
        <v>0</v>
      </c>
    </row>
    <row r="7" spans="1:93" ht="19.95" hidden="1" customHeight="1">
      <c r="C7" s="5"/>
      <c r="D7" s="11">
        <f>'2.XDTD_S.Tr.T'!F18</f>
        <v>0</v>
      </c>
      <c r="E7" s="7">
        <f>'2.XDTD_S.Tr.T'!G18</f>
        <v>0</v>
      </c>
      <c r="F7" s="8">
        <f>'2.XDTD_S.Tr.T'!H18</f>
        <v>0</v>
      </c>
      <c r="G7" s="9">
        <f ca="1">'2.XDTD_S.Tr.T'!I18</f>
        <v>0</v>
      </c>
      <c r="H7" s="10">
        <f ca="1">'2.XDTD_S.Tr.T'!J18</f>
        <v>0</v>
      </c>
      <c r="I7" s="9">
        <f ca="1">'2.XDTD_S.Tr.T'!K18</f>
        <v>0</v>
      </c>
      <c r="J7" s="13">
        <f>'2.XDTD_S.Tr.T'!L18</f>
        <v>0</v>
      </c>
      <c r="K7" s="13">
        <f>'2.XDTD_S.Tr.T'!M18</f>
        <v>0</v>
      </c>
      <c r="L7" s="9">
        <f ca="1">'2.XDTD_S.Tr.T'!N18</f>
        <v>0</v>
      </c>
      <c r="M7" s="14">
        <f>'2.XDTD_S.Tr.T'!O18</f>
        <v>0</v>
      </c>
      <c r="N7" s="14">
        <f>'2.XDTD_S.Tr.T'!P18</f>
        <v>0</v>
      </c>
      <c r="O7" s="9">
        <f>'2.XDTD_S.Tr.T'!P18</f>
        <v>0</v>
      </c>
      <c r="P7" s="15">
        <f ca="1">'2.XDTD_S.Tr.T'!R18</f>
        <v>0</v>
      </c>
      <c r="Q7" s="16">
        <f ca="1">'2.XDTD_S.Tr.T'!S18</f>
        <v>0</v>
      </c>
      <c r="R7" s="16">
        <f ca="1">'2.XDTD_S.Tr.T'!T18</f>
        <v>0</v>
      </c>
      <c r="S7" s="16">
        <f ca="1">'2.XDTD_S.Tr.T'!U18</f>
        <v>0</v>
      </c>
      <c r="T7" s="16">
        <f ca="1">'2.XDTD_S.Tr.T'!V18</f>
        <v>0</v>
      </c>
      <c r="U7" s="16">
        <f ca="1">'2.XDTD_S.Tr.T'!W18</f>
        <v>0</v>
      </c>
      <c r="V7" s="16">
        <f ca="1">'2.XDTD_S.Tr.T'!X18</f>
        <v>0</v>
      </c>
      <c r="W7" s="16">
        <f ca="1">'2.XDTD_S.Tr.T'!Y18</f>
        <v>0</v>
      </c>
      <c r="X7" s="16">
        <f ca="1">'2.XDTD_S.Tr.T'!Z18</f>
        <v>0</v>
      </c>
      <c r="Y7" s="16">
        <f ca="1">'2.XDTD_S.Tr.T'!AA18</f>
        <v>0</v>
      </c>
      <c r="Z7" s="16">
        <f ca="1">'2.XDTD_S.Tr.T'!AB18</f>
        <v>0</v>
      </c>
      <c r="AA7" s="16">
        <f ca="1">'2.XDTD_S.Tr.T'!AC18</f>
        <v>0</v>
      </c>
      <c r="AB7" s="16">
        <f ca="1">'2.XDTD_S.Tr.T'!AD18</f>
        <v>0</v>
      </c>
      <c r="AC7" s="16">
        <f ca="1">'2.XDTD_S.Tr.T'!AE18</f>
        <v>0</v>
      </c>
      <c r="AD7" s="16">
        <f ca="1">'2.XDTD_S.Tr.T'!AF18</f>
        <v>0</v>
      </c>
      <c r="AE7" s="16">
        <f ca="1">'2.XDTD_S.Tr.T'!AG18</f>
        <v>0</v>
      </c>
      <c r="AF7" s="16">
        <f ca="1">'2.XDTD_S.Tr.T'!AH18</f>
        <v>0</v>
      </c>
      <c r="AG7" s="16">
        <f ca="1">'2.XDTD_S.Tr.T'!AI18</f>
        <v>0</v>
      </c>
      <c r="AH7" s="16">
        <f ca="1">'2.XDTD_S.Tr.T'!AJ18</f>
        <v>0</v>
      </c>
      <c r="AI7" s="16">
        <f ca="1">'2.XDTD_S.Tr.T'!AK18</f>
        <v>0</v>
      </c>
      <c r="AJ7" s="16">
        <f ca="1">'2.XDTD_S.Tr.T'!AL18</f>
        <v>0</v>
      </c>
      <c r="AK7" s="16">
        <f ca="1">'2.XDTD_S.Tr.T'!AM18</f>
        <v>0</v>
      </c>
      <c r="AL7" s="16">
        <f ca="1">'2.XDTD_S.Tr.T'!AN18</f>
        <v>0</v>
      </c>
      <c r="AM7" s="16">
        <f ca="1">'2.XDTD_S.Tr.T'!AO18</f>
        <v>0</v>
      </c>
      <c r="AN7" s="16">
        <f ca="1">'2.XDTD_S.Tr.T'!AP18</f>
        <v>0</v>
      </c>
      <c r="AO7" s="16">
        <f ca="1">'2.XDTD_S.Tr.T'!AP18</f>
        <v>0</v>
      </c>
      <c r="AP7" s="16">
        <f ca="1">'2.XDTD_S.Tr.T'!AR18</f>
        <v>0</v>
      </c>
      <c r="AQ7" s="16">
        <f ca="1">'2.XDTD_S.Tr.T'!AS18</f>
        <v>0</v>
      </c>
      <c r="AR7" s="16">
        <f ca="1">'2.XDTD_S.Tr.T'!AT18</f>
        <v>0</v>
      </c>
      <c r="AS7" s="16">
        <f ca="1">'2.XDTD_S.Tr.T'!AU18</f>
        <v>0</v>
      </c>
      <c r="AT7" s="16">
        <f ca="1">'2.XDTD_S.Tr.T'!AV18</f>
        <v>0</v>
      </c>
      <c r="AU7" s="16">
        <f ca="1">'2.XDTD_S.Tr.T'!AW18</f>
        <v>0</v>
      </c>
      <c r="AV7" s="16">
        <f ca="1">'2.XDTD_S.Tr.T'!AX18</f>
        <v>0</v>
      </c>
      <c r="AW7" s="16">
        <f ca="1">'2.XDTD_S.Tr.T'!AY18</f>
        <v>0</v>
      </c>
      <c r="AX7" s="16">
        <f ca="1">'2.XDTD_S.Tr.T'!AZ18</f>
        <v>0</v>
      </c>
      <c r="AY7" s="16">
        <f ca="1">'2.XDTD_S.Tr.T'!BA18</f>
        <v>0</v>
      </c>
      <c r="AZ7" s="16">
        <f ca="1">'2.XDTD_S.Tr.T'!BB18</f>
        <v>0</v>
      </c>
      <c r="BA7" s="16">
        <f ca="1">'2.XDTD_S.Tr.T'!BC18</f>
        <v>0</v>
      </c>
      <c r="BB7" s="16">
        <f ca="1">'2.XDTD_S.Tr.T'!BD18</f>
        <v>0</v>
      </c>
      <c r="BC7" s="16">
        <f ca="1">'2.XDTD_S.Tr.T'!BE18</f>
        <v>0</v>
      </c>
      <c r="BD7" s="16">
        <f ca="1">'2.XDTD_S.Tr.T'!BF18</f>
        <v>0</v>
      </c>
      <c r="BE7" s="16">
        <f ca="1">'2.XDTD_S.Tr.T'!BG18</f>
        <v>0</v>
      </c>
      <c r="BF7" s="16">
        <f ca="1">'2.XDTD_S.Tr.T'!BH18</f>
        <v>0</v>
      </c>
      <c r="BG7" s="16">
        <f ca="1">'2.XDTD_S.Tr.T'!BI18</f>
        <v>0</v>
      </c>
      <c r="BH7" s="16">
        <f ca="1">'2.XDTD_S.Tr.T'!BJ18</f>
        <v>0</v>
      </c>
      <c r="BI7" s="16">
        <f ca="1">'2.XDTD_S.Tr.T'!BK18</f>
        <v>0</v>
      </c>
      <c r="BJ7" s="16">
        <f ca="1">'2.XDTD_S.Tr.T'!BL18</f>
        <v>0</v>
      </c>
      <c r="BK7" s="16">
        <f ca="1">'2.XDTD_S.Tr.T'!BM18</f>
        <v>0</v>
      </c>
      <c r="BL7" s="16">
        <f ca="1">'2.XDTD_S.Tr.T'!BN18</f>
        <v>0</v>
      </c>
      <c r="BM7" s="16">
        <f ca="1">'2.XDTD_S.Tr.T'!BO18</f>
        <v>0</v>
      </c>
      <c r="BN7" s="16">
        <f ca="1">'2.XDTD_S.Tr.T'!BP18</f>
        <v>0</v>
      </c>
      <c r="BO7" s="16">
        <f ca="1">'2.XDTD_S.Tr.T'!BP18</f>
        <v>0</v>
      </c>
      <c r="BP7" s="16">
        <f ca="1">'2.XDTD_S.Tr.T'!BR18</f>
        <v>0</v>
      </c>
      <c r="BQ7" s="16">
        <f ca="1">'2.XDTD_S.Tr.T'!BS18</f>
        <v>0</v>
      </c>
      <c r="BR7" s="16">
        <f ca="1">'2.XDTD_S.Tr.T'!BT18</f>
        <v>0</v>
      </c>
      <c r="BS7" s="16">
        <f ca="1">'2.XDTD_S.Tr.T'!BU18</f>
        <v>0</v>
      </c>
      <c r="BT7" s="16">
        <f ca="1">'2.XDTD_S.Tr.T'!BV18</f>
        <v>0</v>
      </c>
      <c r="BU7" s="16">
        <f ca="1">'2.XDTD_S.Tr.T'!BW18</f>
        <v>0</v>
      </c>
      <c r="BV7" s="16">
        <f ca="1">'2.XDTD_S.Tr.T'!BX18</f>
        <v>0</v>
      </c>
      <c r="BW7" s="16">
        <f ca="1">'2.XDTD_S.Tr.T'!BY18</f>
        <v>0</v>
      </c>
      <c r="BX7" s="16">
        <f ca="1">'2.XDTD_S.Tr.T'!BZ18</f>
        <v>0</v>
      </c>
      <c r="BY7" s="16">
        <f ca="1">'2.XDTD_S.Tr.T'!CA18</f>
        <v>0</v>
      </c>
      <c r="BZ7" s="16">
        <f ca="1">'2.XDTD_S.Tr.T'!CB18</f>
        <v>0</v>
      </c>
      <c r="CA7" s="16">
        <f ca="1">'2.XDTD_S.Tr.T'!CC18</f>
        <v>0</v>
      </c>
      <c r="CB7" s="16">
        <f ca="1">'2.XDTD_S.Tr.T'!CD18</f>
        <v>0</v>
      </c>
      <c r="CC7" s="16">
        <f ca="1">'2.XDTD_S.Tr.T'!CE18</f>
        <v>0</v>
      </c>
      <c r="CD7" s="16">
        <f ca="1">'2.XDTD_S.Tr.T'!CF18</f>
        <v>0</v>
      </c>
      <c r="CE7" s="16">
        <f ca="1">'2.XDTD_S.Tr.T'!CG18</f>
        <v>0</v>
      </c>
      <c r="CF7" s="16">
        <f ca="1">'2.XDTD_S.Tr.T'!CH18</f>
        <v>0</v>
      </c>
      <c r="CG7" s="16">
        <f ca="1">'2.XDTD_S.Tr.T'!CI18</f>
        <v>0</v>
      </c>
      <c r="CH7" s="16">
        <f ca="1">'2.XDTD_S.Tr.T'!CJ18</f>
        <v>0</v>
      </c>
      <c r="CI7" s="16">
        <f ca="1">'2.XDTD_S.Tr.T'!CK18</f>
        <v>0</v>
      </c>
      <c r="CJ7" s="16">
        <f ca="1">'2.XDTD_S.Tr.T'!CL18</f>
        <v>0</v>
      </c>
      <c r="CK7" s="16">
        <f ca="1">'2.XDTD_S.Tr.T'!CM18</f>
        <v>0</v>
      </c>
      <c r="CL7" s="16">
        <f ca="1">'2.XDTD_S.Tr.T'!CN18</f>
        <v>0</v>
      </c>
      <c r="CM7" s="16">
        <f ca="1">'2.XDTD_S.Tr.T'!CO18</f>
        <v>0</v>
      </c>
      <c r="CN7" s="16">
        <f ca="1">'2.XDTD_S.Tr.T'!CP18</f>
        <v>0</v>
      </c>
      <c r="CO7" s="16">
        <f ca="1">'2.XDTD_S.Tr.T'!CP18</f>
        <v>0</v>
      </c>
    </row>
    <row r="8" spans="1:93" ht="19.95" hidden="1" customHeight="1">
      <c r="C8" s="5"/>
      <c r="D8" s="11">
        <f>'2.XDTD_S.Tr.T'!F19</f>
        <v>0</v>
      </c>
      <c r="E8" s="7">
        <f>'2.XDTD_S.Tr.T'!G19</f>
        <v>0</v>
      </c>
      <c r="F8" s="8">
        <f>'2.XDTD_S.Tr.T'!H19</f>
        <v>0</v>
      </c>
      <c r="G8" s="9">
        <f ca="1">'2.XDTD_S.Tr.T'!I19</f>
        <v>0</v>
      </c>
      <c r="H8" s="10">
        <f ca="1">'2.XDTD_S.Tr.T'!J19</f>
        <v>0</v>
      </c>
      <c r="I8" s="9">
        <f ca="1">'2.XDTD_S.Tr.T'!K19</f>
        <v>0</v>
      </c>
      <c r="J8" s="13">
        <f>'2.XDTD_S.Tr.T'!L19</f>
        <v>0</v>
      </c>
      <c r="K8" s="13">
        <f>'2.XDTD_S.Tr.T'!M19</f>
        <v>0</v>
      </c>
      <c r="L8" s="9">
        <f ca="1">'2.XDTD_S.Tr.T'!N19</f>
        <v>0</v>
      </c>
      <c r="M8" s="14">
        <f>'2.XDTD_S.Tr.T'!O19</f>
        <v>0</v>
      </c>
      <c r="N8" s="14">
        <f>'2.XDTD_S.Tr.T'!P19</f>
        <v>0</v>
      </c>
      <c r="O8" s="9">
        <f>'2.XDTD_S.Tr.T'!P19</f>
        <v>0</v>
      </c>
      <c r="P8" s="15">
        <f ca="1">'2.XDTD_S.Tr.T'!R19</f>
        <v>0</v>
      </c>
      <c r="Q8" s="16">
        <f ca="1">'2.XDTD_S.Tr.T'!S19</f>
        <v>0</v>
      </c>
      <c r="R8" s="16">
        <f ca="1">'2.XDTD_S.Tr.T'!T19</f>
        <v>0</v>
      </c>
      <c r="S8" s="16">
        <f ca="1">'2.XDTD_S.Tr.T'!U19</f>
        <v>0</v>
      </c>
      <c r="T8" s="16">
        <f ca="1">'2.XDTD_S.Tr.T'!V19</f>
        <v>0</v>
      </c>
      <c r="U8" s="16">
        <f ca="1">'2.XDTD_S.Tr.T'!W19</f>
        <v>0</v>
      </c>
      <c r="V8" s="16">
        <f ca="1">'2.XDTD_S.Tr.T'!X19</f>
        <v>0</v>
      </c>
      <c r="W8" s="16">
        <f ca="1">'2.XDTD_S.Tr.T'!Y19</f>
        <v>0</v>
      </c>
      <c r="X8" s="16">
        <f ca="1">'2.XDTD_S.Tr.T'!Z19</f>
        <v>0</v>
      </c>
      <c r="Y8" s="16">
        <f ca="1">'2.XDTD_S.Tr.T'!AA19</f>
        <v>0</v>
      </c>
      <c r="Z8" s="16">
        <f ca="1">'2.XDTD_S.Tr.T'!AB19</f>
        <v>0</v>
      </c>
      <c r="AA8" s="16">
        <f ca="1">'2.XDTD_S.Tr.T'!AC19</f>
        <v>0</v>
      </c>
      <c r="AB8" s="16">
        <f ca="1">'2.XDTD_S.Tr.T'!AD19</f>
        <v>0</v>
      </c>
      <c r="AC8" s="16">
        <f ca="1">'2.XDTD_S.Tr.T'!AE19</f>
        <v>0</v>
      </c>
      <c r="AD8" s="16">
        <f ca="1">'2.XDTD_S.Tr.T'!AF19</f>
        <v>0</v>
      </c>
      <c r="AE8" s="16">
        <f ca="1">'2.XDTD_S.Tr.T'!AG19</f>
        <v>0</v>
      </c>
      <c r="AF8" s="16">
        <f ca="1">'2.XDTD_S.Tr.T'!AH19</f>
        <v>0</v>
      </c>
      <c r="AG8" s="16">
        <f ca="1">'2.XDTD_S.Tr.T'!AI19</f>
        <v>0</v>
      </c>
      <c r="AH8" s="16">
        <f ca="1">'2.XDTD_S.Tr.T'!AJ19</f>
        <v>0</v>
      </c>
      <c r="AI8" s="16">
        <f ca="1">'2.XDTD_S.Tr.T'!AK19</f>
        <v>0</v>
      </c>
      <c r="AJ8" s="16">
        <f ca="1">'2.XDTD_S.Tr.T'!AL19</f>
        <v>0</v>
      </c>
      <c r="AK8" s="16">
        <f ca="1">'2.XDTD_S.Tr.T'!AM19</f>
        <v>0</v>
      </c>
      <c r="AL8" s="16">
        <f ca="1">'2.XDTD_S.Tr.T'!AN19</f>
        <v>0</v>
      </c>
      <c r="AM8" s="16">
        <f ca="1">'2.XDTD_S.Tr.T'!AO19</f>
        <v>0</v>
      </c>
      <c r="AN8" s="16">
        <f ca="1">'2.XDTD_S.Tr.T'!AP19</f>
        <v>0</v>
      </c>
      <c r="AO8" s="16">
        <f ca="1">'2.XDTD_S.Tr.T'!AP19</f>
        <v>0</v>
      </c>
      <c r="AP8" s="16">
        <f ca="1">'2.XDTD_S.Tr.T'!AR19</f>
        <v>0</v>
      </c>
      <c r="AQ8" s="16">
        <f ca="1">'2.XDTD_S.Tr.T'!AS19</f>
        <v>0</v>
      </c>
      <c r="AR8" s="16">
        <f ca="1">'2.XDTD_S.Tr.T'!AT19</f>
        <v>0</v>
      </c>
      <c r="AS8" s="16">
        <f ca="1">'2.XDTD_S.Tr.T'!AU19</f>
        <v>0</v>
      </c>
      <c r="AT8" s="16">
        <f ca="1">'2.XDTD_S.Tr.T'!AV19</f>
        <v>0</v>
      </c>
      <c r="AU8" s="16">
        <f ca="1">'2.XDTD_S.Tr.T'!AW19</f>
        <v>0</v>
      </c>
      <c r="AV8" s="16">
        <f ca="1">'2.XDTD_S.Tr.T'!AX19</f>
        <v>0</v>
      </c>
      <c r="AW8" s="16">
        <f ca="1">'2.XDTD_S.Tr.T'!AY19</f>
        <v>0</v>
      </c>
      <c r="AX8" s="16">
        <f ca="1">'2.XDTD_S.Tr.T'!AZ19</f>
        <v>0</v>
      </c>
      <c r="AY8" s="16">
        <f ca="1">'2.XDTD_S.Tr.T'!BA19</f>
        <v>0</v>
      </c>
      <c r="AZ8" s="16">
        <f ca="1">'2.XDTD_S.Tr.T'!BB19</f>
        <v>0</v>
      </c>
      <c r="BA8" s="16">
        <f ca="1">'2.XDTD_S.Tr.T'!BC19</f>
        <v>0</v>
      </c>
      <c r="BB8" s="16">
        <f ca="1">'2.XDTD_S.Tr.T'!BD19</f>
        <v>0</v>
      </c>
      <c r="BC8" s="16">
        <f ca="1">'2.XDTD_S.Tr.T'!BE19</f>
        <v>0</v>
      </c>
      <c r="BD8" s="16">
        <f ca="1">'2.XDTD_S.Tr.T'!BF19</f>
        <v>0</v>
      </c>
      <c r="BE8" s="16">
        <f ca="1">'2.XDTD_S.Tr.T'!BG19</f>
        <v>0</v>
      </c>
      <c r="BF8" s="16">
        <f ca="1">'2.XDTD_S.Tr.T'!BH19</f>
        <v>0</v>
      </c>
      <c r="BG8" s="16">
        <f ca="1">'2.XDTD_S.Tr.T'!BI19</f>
        <v>0</v>
      </c>
      <c r="BH8" s="16">
        <f ca="1">'2.XDTD_S.Tr.T'!BJ19</f>
        <v>0</v>
      </c>
      <c r="BI8" s="16">
        <f ca="1">'2.XDTD_S.Tr.T'!BK19</f>
        <v>0</v>
      </c>
      <c r="BJ8" s="16">
        <f ca="1">'2.XDTD_S.Tr.T'!BL19</f>
        <v>0</v>
      </c>
      <c r="BK8" s="16">
        <f ca="1">'2.XDTD_S.Tr.T'!BM19</f>
        <v>0</v>
      </c>
      <c r="BL8" s="16">
        <f ca="1">'2.XDTD_S.Tr.T'!BN19</f>
        <v>0</v>
      </c>
      <c r="BM8" s="16">
        <f ca="1">'2.XDTD_S.Tr.T'!BO19</f>
        <v>0</v>
      </c>
      <c r="BN8" s="16">
        <f ca="1">'2.XDTD_S.Tr.T'!BP19</f>
        <v>0</v>
      </c>
      <c r="BO8" s="16">
        <f ca="1">'2.XDTD_S.Tr.T'!BP19</f>
        <v>0</v>
      </c>
      <c r="BP8" s="16">
        <f ca="1">'2.XDTD_S.Tr.T'!BR19</f>
        <v>0</v>
      </c>
      <c r="BQ8" s="16">
        <f ca="1">'2.XDTD_S.Tr.T'!BS19</f>
        <v>0</v>
      </c>
      <c r="BR8" s="16">
        <f ca="1">'2.XDTD_S.Tr.T'!BT19</f>
        <v>0</v>
      </c>
      <c r="BS8" s="16">
        <f ca="1">'2.XDTD_S.Tr.T'!BU19</f>
        <v>0</v>
      </c>
      <c r="BT8" s="16">
        <f ca="1">'2.XDTD_S.Tr.T'!BV19</f>
        <v>0</v>
      </c>
      <c r="BU8" s="16">
        <f ca="1">'2.XDTD_S.Tr.T'!BW19</f>
        <v>0</v>
      </c>
      <c r="BV8" s="16">
        <f ca="1">'2.XDTD_S.Tr.T'!BX19</f>
        <v>0</v>
      </c>
      <c r="BW8" s="16">
        <f ca="1">'2.XDTD_S.Tr.T'!BY19</f>
        <v>0</v>
      </c>
      <c r="BX8" s="16">
        <f ca="1">'2.XDTD_S.Tr.T'!BZ19</f>
        <v>0</v>
      </c>
      <c r="BY8" s="16">
        <f ca="1">'2.XDTD_S.Tr.T'!CA19</f>
        <v>0</v>
      </c>
      <c r="BZ8" s="16">
        <f ca="1">'2.XDTD_S.Tr.T'!CB19</f>
        <v>0</v>
      </c>
      <c r="CA8" s="16">
        <f ca="1">'2.XDTD_S.Tr.T'!CC19</f>
        <v>0</v>
      </c>
      <c r="CB8" s="16">
        <f ca="1">'2.XDTD_S.Tr.T'!CD19</f>
        <v>0</v>
      </c>
      <c r="CC8" s="16">
        <f ca="1">'2.XDTD_S.Tr.T'!CE19</f>
        <v>0</v>
      </c>
      <c r="CD8" s="16">
        <f ca="1">'2.XDTD_S.Tr.T'!CF19</f>
        <v>0</v>
      </c>
      <c r="CE8" s="16">
        <f ca="1">'2.XDTD_S.Tr.T'!CG19</f>
        <v>0</v>
      </c>
      <c r="CF8" s="16">
        <f ca="1">'2.XDTD_S.Tr.T'!CH19</f>
        <v>0</v>
      </c>
      <c r="CG8" s="16">
        <f ca="1">'2.XDTD_S.Tr.T'!CI19</f>
        <v>0</v>
      </c>
      <c r="CH8" s="16">
        <f ca="1">'2.XDTD_S.Tr.T'!CJ19</f>
        <v>0</v>
      </c>
      <c r="CI8" s="16">
        <f ca="1">'2.XDTD_S.Tr.T'!CK19</f>
        <v>0</v>
      </c>
      <c r="CJ8" s="16">
        <f ca="1">'2.XDTD_S.Tr.T'!CL19</f>
        <v>0</v>
      </c>
      <c r="CK8" s="16">
        <f ca="1">'2.XDTD_S.Tr.T'!CM19</f>
        <v>0</v>
      </c>
      <c r="CL8" s="16">
        <f ca="1">'2.XDTD_S.Tr.T'!CN19</f>
        <v>0</v>
      </c>
      <c r="CM8" s="16">
        <f ca="1">'2.XDTD_S.Tr.T'!CO19</f>
        <v>0</v>
      </c>
      <c r="CN8" s="16">
        <f ca="1">'2.XDTD_S.Tr.T'!CP19</f>
        <v>0</v>
      </c>
      <c r="CO8" s="16">
        <f ca="1">'2.XDTD_S.Tr.T'!CP19</f>
        <v>0</v>
      </c>
    </row>
    <row r="9" spans="1:93" ht="19.95" customHeight="1">
      <c r="C9" s="5"/>
      <c r="D9" s="11" t="str">
        <f>'2.XDTD_S.Tr.T'!F20</f>
        <v>Cải xanh</v>
      </c>
      <c r="E9" s="7" t="e">
        <f ca="1">'2.XDTD_S.Tr.T'!G20</f>
        <v>#NAME?</v>
      </c>
      <c r="F9" s="8">
        <f>'2.XDTD_S.Tr.T'!H20</f>
        <v>40</v>
      </c>
      <c r="G9" s="9">
        <f ca="1">'2.XDTD_S.Tr.T'!I20</f>
        <v>0</v>
      </c>
      <c r="H9" s="10">
        <f ca="1">'2.XDTD_S.Tr.T'!J20</f>
        <v>0</v>
      </c>
      <c r="I9" s="9">
        <f ca="1">'2.XDTD_S.Tr.T'!K20</f>
        <v>0</v>
      </c>
      <c r="J9" s="13" t="e">
        <f ca="1">'2.XDTD_S.Tr.T'!L20</f>
        <v>#NAME?</v>
      </c>
      <c r="K9" s="13" t="e">
        <f ca="1">'2.XDTD_S.Tr.T'!M20</f>
        <v>#NAME?</v>
      </c>
      <c r="L9" s="9">
        <f ca="1">'2.XDTD_S.Tr.T'!N20</f>
        <v>0</v>
      </c>
      <c r="M9" s="14" t="e">
        <f ca="1">'2.XDTD_S.Tr.T'!O20</f>
        <v>#NAME?</v>
      </c>
      <c r="N9" s="14" t="e">
        <f ca="1">'2.XDTD_S.Tr.T'!P20</f>
        <v>#NAME?</v>
      </c>
      <c r="O9" s="9" t="e">
        <f ca="1">'2.XDTD_S.Tr.T'!P20</f>
        <v>#NAME?</v>
      </c>
      <c r="P9" s="15">
        <f ca="1">'2.XDTD_S.Tr.T'!R20</f>
        <v>0</v>
      </c>
      <c r="Q9" s="16">
        <f ca="1">'2.XDTD_S.Tr.T'!S20</f>
        <v>0</v>
      </c>
      <c r="R9" s="16">
        <f ca="1">'2.XDTD_S.Tr.T'!T20</f>
        <v>0</v>
      </c>
      <c r="S9" s="16">
        <f ca="1">'2.XDTD_S.Tr.T'!U20</f>
        <v>0</v>
      </c>
      <c r="T9" s="16">
        <f ca="1">'2.XDTD_S.Tr.T'!V20</f>
        <v>0</v>
      </c>
      <c r="U9" s="16">
        <f ca="1">'2.XDTD_S.Tr.T'!W20</f>
        <v>0</v>
      </c>
      <c r="V9" s="16">
        <f ca="1">'2.XDTD_S.Tr.T'!X20</f>
        <v>0</v>
      </c>
      <c r="W9" s="16">
        <f ca="1">'2.XDTD_S.Tr.T'!Y20</f>
        <v>0</v>
      </c>
      <c r="X9" s="16">
        <f ca="1">'2.XDTD_S.Tr.T'!Z20</f>
        <v>0</v>
      </c>
      <c r="Y9" s="16">
        <f ca="1">'2.XDTD_S.Tr.T'!AA20</f>
        <v>0</v>
      </c>
      <c r="Z9" s="16">
        <f ca="1">'2.XDTD_S.Tr.T'!AB20</f>
        <v>0</v>
      </c>
      <c r="AA9" s="16">
        <f ca="1">'2.XDTD_S.Tr.T'!AC20</f>
        <v>0</v>
      </c>
      <c r="AB9" s="16">
        <f ca="1">'2.XDTD_S.Tr.T'!AD20</f>
        <v>0</v>
      </c>
      <c r="AC9" s="16">
        <f ca="1">'2.XDTD_S.Tr.T'!AE20</f>
        <v>0</v>
      </c>
      <c r="AD9" s="16">
        <f ca="1">'2.XDTD_S.Tr.T'!AF20</f>
        <v>0</v>
      </c>
      <c r="AE9" s="16">
        <f ca="1">'2.XDTD_S.Tr.T'!AG20</f>
        <v>0</v>
      </c>
      <c r="AF9" s="16">
        <f ca="1">'2.XDTD_S.Tr.T'!AH20</f>
        <v>0</v>
      </c>
      <c r="AG9" s="16">
        <f ca="1">'2.XDTD_S.Tr.T'!AI20</f>
        <v>0</v>
      </c>
      <c r="AH9" s="16">
        <f ca="1">'2.XDTD_S.Tr.T'!AJ20</f>
        <v>0</v>
      </c>
      <c r="AI9" s="16">
        <f ca="1">'2.XDTD_S.Tr.T'!AK20</f>
        <v>0</v>
      </c>
      <c r="AJ9" s="16">
        <f ca="1">'2.XDTD_S.Tr.T'!AL20</f>
        <v>0</v>
      </c>
      <c r="AK9" s="16">
        <f ca="1">'2.XDTD_S.Tr.T'!AM20</f>
        <v>0</v>
      </c>
      <c r="AL9" s="16">
        <f ca="1">'2.XDTD_S.Tr.T'!AN20</f>
        <v>0</v>
      </c>
      <c r="AM9" s="16">
        <f ca="1">'2.XDTD_S.Tr.T'!AO20</f>
        <v>0</v>
      </c>
      <c r="AN9" s="16">
        <f ca="1">'2.XDTD_S.Tr.T'!AP20</f>
        <v>0</v>
      </c>
      <c r="AO9" s="16">
        <f ca="1">'2.XDTD_S.Tr.T'!AP20</f>
        <v>0</v>
      </c>
      <c r="AP9" s="16">
        <f ca="1">'2.XDTD_S.Tr.T'!AR20</f>
        <v>0</v>
      </c>
      <c r="AQ9" s="16">
        <f ca="1">'2.XDTD_S.Tr.T'!AS20</f>
        <v>0</v>
      </c>
      <c r="AR9" s="16">
        <f ca="1">'2.XDTD_S.Tr.T'!AT20</f>
        <v>0</v>
      </c>
      <c r="AS9" s="16">
        <f ca="1">'2.XDTD_S.Tr.T'!AU20</f>
        <v>0</v>
      </c>
      <c r="AT9" s="16">
        <f ca="1">'2.XDTD_S.Tr.T'!AV20</f>
        <v>0</v>
      </c>
      <c r="AU9" s="16">
        <f ca="1">'2.XDTD_S.Tr.T'!AW20</f>
        <v>0</v>
      </c>
      <c r="AV9" s="16">
        <f ca="1">'2.XDTD_S.Tr.T'!AX20</f>
        <v>0</v>
      </c>
      <c r="AW9" s="16">
        <f ca="1">'2.XDTD_S.Tr.T'!AY20</f>
        <v>0</v>
      </c>
      <c r="AX9" s="16">
        <f ca="1">'2.XDTD_S.Tr.T'!AZ20</f>
        <v>0</v>
      </c>
      <c r="AY9" s="16">
        <f ca="1">'2.XDTD_S.Tr.T'!BA20</f>
        <v>0</v>
      </c>
      <c r="AZ9" s="16">
        <f ca="1">'2.XDTD_S.Tr.T'!BB20</f>
        <v>0</v>
      </c>
      <c r="BA9" s="16">
        <f ca="1">'2.XDTD_S.Tr.T'!BC20</f>
        <v>0</v>
      </c>
      <c r="BB9" s="16">
        <f ca="1">'2.XDTD_S.Tr.T'!BD20</f>
        <v>0</v>
      </c>
      <c r="BC9" s="16">
        <f ca="1">'2.XDTD_S.Tr.T'!BE20</f>
        <v>0</v>
      </c>
      <c r="BD9" s="16">
        <f ca="1">'2.XDTD_S.Tr.T'!BF20</f>
        <v>0</v>
      </c>
      <c r="BE9" s="16">
        <f ca="1">'2.XDTD_S.Tr.T'!BG20</f>
        <v>0</v>
      </c>
      <c r="BF9" s="16">
        <f ca="1">'2.XDTD_S.Tr.T'!BH20</f>
        <v>0</v>
      </c>
      <c r="BG9" s="16">
        <f ca="1">'2.XDTD_S.Tr.T'!BI20</f>
        <v>0</v>
      </c>
      <c r="BH9" s="16">
        <f ca="1">'2.XDTD_S.Tr.T'!BJ20</f>
        <v>0</v>
      </c>
      <c r="BI9" s="16">
        <f ca="1">'2.XDTD_S.Tr.T'!BK20</f>
        <v>0</v>
      </c>
      <c r="BJ9" s="16">
        <f ca="1">'2.XDTD_S.Tr.T'!BL20</f>
        <v>0</v>
      </c>
      <c r="BK9" s="16">
        <f ca="1">'2.XDTD_S.Tr.T'!BM20</f>
        <v>0</v>
      </c>
      <c r="BL9" s="16">
        <f ca="1">'2.XDTD_S.Tr.T'!BN20</f>
        <v>0</v>
      </c>
      <c r="BM9" s="16">
        <f ca="1">'2.XDTD_S.Tr.T'!BO20</f>
        <v>0</v>
      </c>
      <c r="BN9" s="16">
        <f ca="1">'2.XDTD_S.Tr.T'!BP20</f>
        <v>0</v>
      </c>
      <c r="BO9" s="16">
        <f ca="1">'2.XDTD_S.Tr.T'!BP20</f>
        <v>0</v>
      </c>
      <c r="BP9" s="16">
        <f ca="1">'2.XDTD_S.Tr.T'!BR20</f>
        <v>0</v>
      </c>
      <c r="BQ9" s="16">
        <f ca="1">'2.XDTD_S.Tr.T'!BS20</f>
        <v>0</v>
      </c>
      <c r="BR9" s="16">
        <f ca="1">'2.XDTD_S.Tr.T'!BT20</f>
        <v>0</v>
      </c>
      <c r="BS9" s="16">
        <f ca="1">'2.XDTD_S.Tr.T'!BU20</f>
        <v>0</v>
      </c>
      <c r="BT9" s="16">
        <f ca="1">'2.XDTD_S.Tr.T'!BV20</f>
        <v>0</v>
      </c>
      <c r="BU9" s="16">
        <f ca="1">'2.XDTD_S.Tr.T'!BW20</f>
        <v>0</v>
      </c>
      <c r="BV9" s="16">
        <f ca="1">'2.XDTD_S.Tr.T'!BX20</f>
        <v>0</v>
      </c>
      <c r="BW9" s="16">
        <f ca="1">'2.XDTD_S.Tr.T'!BY20</f>
        <v>0</v>
      </c>
      <c r="BX9" s="16">
        <f ca="1">'2.XDTD_S.Tr.T'!BZ20</f>
        <v>0</v>
      </c>
      <c r="BY9" s="16">
        <f ca="1">'2.XDTD_S.Tr.T'!CA20</f>
        <v>0</v>
      </c>
      <c r="BZ9" s="16">
        <f ca="1">'2.XDTD_S.Tr.T'!CB20</f>
        <v>0</v>
      </c>
      <c r="CA9" s="16">
        <f ca="1">'2.XDTD_S.Tr.T'!CC20</f>
        <v>0</v>
      </c>
      <c r="CB9" s="16">
        <f ca="1">'2.XDTD_S.Tr.T'!CD20</f>
        <v>0</v>
      </c>
      <c r="CC9" s="16">
        <f ca="1">'2.XDTD_S.Tr.T'!CE20</f>
        <v>0</v>
      </c>
      <c r="CD9" s="16">
        <f ca="1">'2.XDTD_S.Tr.T'!CF20</f>
        <v>0</v>
      </c>
      <c r="CE9" s="16">
        <f ca="1">'2.XDTD_S.Tr.T'!CG20</f>
        <v>0</v>
      </c>
      <c r="CF9" s="16">
        <f ca="1">'2.XDTD_S.Tr.T'!CH20</f>
        <v>0</v>
      </c>
      <c r="CG9" s="16">
        <f ca="1">'2.XDTD_S.Tr.T'!CI20</f>
        <v>0</v>
      </c>
      <c r="CH9" s="16">
        <f ca="1">'2.XDTD_S.Tr.T'!CJ20</f>
        <v>0</v>
      </c>
      <c r="CI9" s="16">
        <f ca="1">'2.XDTD_S.Tr.T'!CK20</f>
        <v>0</v>
      </c>
      <c r="CJ9" s="16">
        <f ca="1">'2.XDTD_S.Tr.T'!CL20</f>
        <v>0</v>
      </c>
      <c r="CK9" s="16">
        <f ca="1">'2.XDTD_S.Tr.T'!CM20</f>
        <v>0</v>
      </c>
      <c r="CL9" s="16">
        <f ca="1">'2.XDTD_S.Tr.T'!CN20</f>
        <v>0</v>
      </c>
      <c r="CM9" s="16">
        <f ca="1">'2.XDTD_S.Tr.T'!CO20</f>
        <v>0</v>
      </c>
      <c r="CN9" s="16">
        <f ca="1">'2.XDTD_S.Tr.T'!CP20</f>
        <v>0</v>
      </c>
      <c r="CO9" s="16">
        <f ca="1">'2.XDTD_S.Tr.T'!CP20</f>
        <v>0</v>
      </c>
    </row>
    <row r="10" spans="1:93" ht="19.95" customHeight="1">
      <c r="C10" s="5"/>
      <c r="D10" s="11" t="str">
        <f>'2.XDTD_S.Tr.T'!F21</f>
        <v>Thìa là</v>
      </c>
      <c r="E10" s="7" t="e">
        <f ca="1">'2.XDTD_S.Tr.T'!G21</f>
        <v>#NAME?</v>
      </c>
      <c r="F10" s="8">
        <f>'2.XDTD_S.Tr.T'!H21</f>
        <v>10</v>
      </c>
      <c r="G10" s="9">
        <f ca="1">'2.XDTD_S.Tr.T'!I21</f>
        <v>0</v>
      </c>
      <c r="H10" s="10">
        <f ca="1">'2.XDTD_S.Tr.T'!J21</f>
        <v>0</v>
      </c>
      <c r="I10" s="9">
        <f ca="1">'2.XDTD_S.Tr.T'!K21</f>
        <v>0</v>
      </c>
      <c r="J10" s="13" t="e">
        <f ca="1">'2.XDTD_S.Tr.T'!L21</f>
        <v>#NAME?</v>
      </c>
      <c r="K10" s="13" t="e">
        <f ca="1">'2.XDTD_S.Tr.T'!M21</f>
        <v>#NAME?</v>
      </c>
      <c r="L10" s="9">
        <f ca="1">'2.XDTD_S.Tr.T'!N21</f>
        <v>0</v>
      </c>
      <c r="M10" s="14" t="e">
        <f ca="1">'2.XDTD_S.Tr.T'!O21</f>
        <v>#NAME?</v>
      </c>
      <c r="N10" s="14" t="e">
        <f ca="1">'2.XDTD_S.Tr.T'!P21</f>
        <v>#NAME?</v>
      </c>
      <c r="O10" s="9" t="e">
        <f ca="1">'2.XDTD_S.Tr.T'!P21</f>
        <v>#NAME?</v>
      </c>
      <c r="P10" s="15">
        <f ca="1">'2.XDTD_S.Tr.T'!R21</f>
        <v>0</v>
      </c>
      <c r="Q10" s="16">
        <f ca="1">'2.XDTD_S.Tr.T'!S21</f>
        <v>0</v>
      </c>
      <c r="R10" s="16">
        <f ca="1">'2.XDTD_S.Tr.T'!T21</f>
        <v>0</v>
      </c>
      <c r="S10" s="16">
        <f ca="1">'2.XDTD_S.Tr.T'!U21</f>
        <v>0</v>
      </c>
      <c r="T10" s="16">
        <f ca="1">'2.XDTD_S.Tr.T'!V21</f>
        <v>0</v>
      </c>
      <c r="U10" s="16">
        <f ca="1">'2.XDTD_S.Tr.T'!W21</f>
        <v>0</v>
      </c>
      <c r="V10" s="16">
        <f ca="1">'2.XDTD_S.Tr.T'!X21</f>
        <v>0</v>
      </c>
      <c r="W10" s="16">
        <f ca="1">'2.XDTD_S.Tr.T'!Y21</f>
        <v>0</v>
      </c>
      <c r="X10" s="16">
        <f ca="1">'2.XDTD_S.Tr.T'!Z21</f>
        <v>0</v>
      </c>
      <c r="Y10" s="16">
        <f ca="1">'2.XDTD_S.Tr.T'!AA21</f>
        <v>0</v>
      </c>
      <c r="Z10" s="16">
        <f ca="1">'2.XDTD_S.Tr.T'!AB21</f>
        <v>0</v>
      </c>
      <c r="AA10" s="16">
        <f ca="1">'2.XDTD_S.Tr.T'!AC21</f>
        <v>0</v>
      </c>
      <c r="AB10" s="16">
        <f ca="1">'2.XDTD_S.Tr.T'!AD21</f>
        <v>0</v>
      </c>
      <c r="AC10" s="16">
        <f ca="1">'2.XDTD_S.Tr.T'!AE21</f>
        <v>0</v>
      </c>
      <c r="AD10" s="16">
        <f ca="1">'2.XDTD_S.Tr.T'!AF21</f>
        <v>0</v>
      </c>
      <c r="AE10" s="16">
        <f ca="1">'2.XDTD_S.Tr.T'!AG21</f>
        <v>0</v>
      </c>
      <c r="AF10" s="16">
        <f ca="1">'2.XDTD_S.Tr.T'!AH21</f>
        <v>0</v>
      </c>
      <c r="AG10" s="16">
        <f ca="1">'2.XDTD_S.Tr.T'!AI21</f>
        <v>0</v>
      </c>
      <c r="AH10" s="16">
        <f ca="1">'2.XDTD_S.Tr.T'!AJ21</f>
        <v>0</v>
      </c>
      <c r="AI10" s="16">
        <f ca="1">'2.XDTD_S.Tr.T'!AK21</f>
        <v>0</v>
      </c>
      <c r="AJ10" s="16">
        <f ca="1">'2.XDTD_S.Tr.T'!AL21</f>
        <v>0</v>
      </c>
      <c r="AK10" s="16">
        <f ca="1">'2.XDTD_S.Tr.T'!AM21</f>
        <v>0</v>
      </c>
      <c r="AL10" s="16">
        <f ca="1">'2.XDTD_S.Tr.T'!AN21</f>
        <v>0</v>
      </c>
      <c r="AM10" s="16">
        <f ca="1">'2.XDTD_S.Tr.T'!AO21</f>
        <v>0</v>
      </c>
      <c r="AN10" s="16">
        <f ca="1">'2.XDTD_S.Tr.T'!AP21</f>
        <v>0</v>
      </c>
      <c r="AO10" s="16">
        <f ca="1">'2.XDTD_S.Tr.T'!AP21</f>
        <v>0</v>
      </c>
      <c r="AP10" s="16">
        <f ca="1">'2.XDTD_S.Tr.T'!AR21</f>
        <v>0</v>
      </c>
      <c r="AQ10" s="16">
        <f ca="1">'2.XDTD_S.Tr.T'!AS21</f>
        <v>0</v>
      </c>
      <c r="AR10" s="16">
        <f ca="1">'2.XDTD_S.Tr.T'!AT21</f>
        <v>0</v>
      </c>
      <c r="AS10" s="16">
        <f ca="1">'2.XDTD_S.Tr.T'!AU21</f>
        <v>0</v>
      </c>
      <c r="AT10" s="16">
        <f ca="1">'2.XDTD_S.Tr.T'!AV21</f>
        <v>0</v>
      </c>
      <c r="AU10" s="16">
        <f ca="1">'2.XDTD_S.Tr.T'!AW21</f>
        <v>0</v>
      </c>
      <c r="AV10" s="16">
        <f ca="1">'2.XDTD_S.Tr.T'!AX21</f>
        <v>0</v>
      </c>
      <c r="AW10" s="16">
        <f ca="1">'2.XDTD_S.Tr.T'!AY21</f>
        <v>0</v>
      </c>
      <c r="AX10" s="16">
        <f ca="1">'2.XDTD_S.Tr.T'!AZ21</f>
        <v>0</v>
      </c>
      <c r="AY10" s="16">
        <f ca="1">'2.XDTD_S.Tr.T'!BA21</f>
        <v>0</v>
      </c>
      <c r="AZ10" s="16">
        <f ca="1">'2.XDTD_S.Tr.T'!BB21</f>
        <v>0</v>
      </c>
      <c r="BA10" s="16">
        <f ca="1">'2.XDTD_S.Tr.T'!BC21</f>
        <v>0</v>
      </c>
      <c r="BB10" s="16">
        <f ca="1">'2.XDTD_S.Tr.T'!BD21</f>
        <v>0</v>
      </c>
      <c r="BC10" s="16">
        <f ca="1">'2.XDTD_S.Tr.T'!BE21</f>
        <v>0</v>
      </c>
      <c r="BD10" s="16">
        <f ca="1">'2.XDTD_S.Tr.T'!BF21</f>
        <v>0</v>
      </c>
      <c r="BE10" s="16">
        <f ca="1">'2.XDTD_S.Tr.T'!BG21</f>
        <v>0</v>
      </c>
      <c r="BF10" s="16">
        <f ca="1">'2.XDTD_S.Tr.T'!BH21</f>
        <v>0</v>
      </c>
      <c r="BG10" s="16">
        <f ca="1">'2.XDTD_S.Tr.T'!BI21</f>
        <v>0</v>
      </c>
      <c r="BH10" s="16">
        <f ca="1">'2.XDTD_S.Tr.T'!BJ21</f>
        <v>0</v>
      </c>
      <c r="BI10" s="16">
        <f ca="1">'2.XDTD_S.Tr.T'!BK21</f>
        <v>0</v>
      </c>
      <c r="BJ10" s="16">
        <f ca="1">'2.XDTD_S.Tr.T'!BL21</f>
        <v>0</v>
      </c>
      <c r="BK10" s="16">
        <f ca="1">'2.XDTD_S.Tr.T'!BM21</f>
        <v>0</v>
      </c>
      <c r="BL10" s="16">
        <f ca="1">'2.XDTD_S.Tr.T'!BN21</f>
        <v>0</v>
      </c>
      <c r="BM10" s="16">
        <f ca="1">'2.XDTD_S.Tr.T'!BO21</f>
        <v>0</v>
      </c>
      <c r="BN10" s="16">
        <f ca="1">'2.XDTD_S.Tr.T'!BP21</f>
        <v>0</v>
      </c>
      <c r="BO10" s="16">
        <f ca="1">'2.XDTD_S.Tr.T'!BP21</f>
        <v>0</v>
      </c>
      <c r="BP10" s="16">
        <f ca="1">'2.XDTD_S.Tr.T'!BR21</f>
        <v>0</v>
      </c>
      <c r="BQ10" s="16">
        <f ca="1">'2.XDTD_S.Tr.T'!BS21</f>
        <v>0</v>
      </c>
      <c r="BR10" s="16">
        <f ca="1">'2.XDTD_S.Tr.T'!BT21</f>
        <v>0</v>
      </c>
      <c r="BS10" s="16">
        <f ca="1">'2.XDTD_S.Tr.T'!BU21</f>
        <v>0</v>
      </c>
      <c r="BT10" s="16">
        <f ca="1">'2.XDTD_S.Tr.T'!BV21</f>
        <v>0</v>
      </c>
      <c r="BU10" s="16">
        <f ca="1">'2.XDTD_S.Tr.T'!BW21</f>
        <v>0</v>
      </c>
      <c r="BV10" s="16">
        <f ca="1">'2.XDTD_S.Tr.T'!BX21</f>
        <v>0</v>
      </c>
      <c r="BW10" s="16">
        <f ca="1">'2.XDTD_S.Tr.T'!BY21</f>
        <v>0</v>
      </c>
      <c r="BX10" s="16">
        <f ca="1">'2.XDTD_S.Tr.T'!BZ21</f>
        <v>0</v>
      </c>
      <c r="BY10" s="16">
        <f ca="1">'2.XDTD_S.Tr.T'!CA21</f>
        <v>0</v>
      </c>
      <c r="BZ10" s="16">
        <f ca="1">'2.XDTD_S.Tr.T'!CB21</f>
        <v>0</v>
      </c>
      <c r="CA10" s="16">
        <f ca="1">'2.XDTD_S.Tr.T'!CC21</f>
        <v>0</v>
      </c>
      <c r="CB10" s="16">
        <f ca="1">'2.XDTD_S.Tr.T'!CD21</f>
        <v>0</v>
      </c>
      <c r="CC10" s="16">
        <f ca="1">'2.XDTD_S.Tr.T'!CE21</f>
        <v>0</v>
      </c>
      <c r="CD10" s="16">
        <f ca="1">'2.XDTD_S.Tr.T'!CF21</f>
        <v>0</v>
      </c>
      <c r="CE10" s="16">
        <f ca="1">'2.XDTD_S.Tr.T'!CG21</f>
        <v>0</v>
      </c>
      <c r="CF10" s="16">
        <f ca="1">'2.XDTD_S.Tr.T'!CH21</f>
        <v>0</v>
      </c>
      <c r="CG10" s="16">
        <f ca="1">'2.XDTD_S.Tr.T'!CI21</f>
        <v>0</v>
      </c>
      <c r="CH10" s="16">
        <f ca="1">'2.XDTD_S.Tr.T'!CJ21</f>
        <v>0</v>
      </c>
      <c r="CI10" s="16">
        <f ca="1">'2.XDTD_S.Tr.T'!CK21</f>
        <v>0</v>
      </c>
      <c r="CJ10" s="16">
        <f ca="1">'2.XDTD_S.Tr.T'!CL21</f>
        <v>0</v>
      </c>
      <c r="CK10" s="16">
        <f ca="1">'2.XDTD_S.Tr.T'!CM21</f>
        <v>0</v>
      </c>
      <c r="CL10" s="16">
        <f ca="1">'2.XDTD_S.Tr.T'!CN21</f>
        <v>0</v>
      </c>
      <c r="CM10" s="16">
        <f ca="1">'2.XDTD_S.Tr.T'!CO21</f>
        <v>0</v>
      </c>
      <c r="CN10" s="16">
        <f ca="1">'2.XDTD_S.Tr.T'!CP21</f>
        <v>0</v>
      </c>
      <c r="CO10" s="16">
        <f ca="1">'2.XDTD_S.Tr.T'!CP21</f>
        <v>0</v>
      </c>
    </row>
    <row r="11" spans="1:93" ht="19.95" customHeight="1">
      <c r="C11" s="5"/>
      <c r="D11" s="11" t="str">
        <f>'2.XDTD_S.Tr.T'!F22</f>
        <v>Giá đậu xanh</v>
      </c>
      <c r="E11" s="7" t="e">
        <f ca="1">'2.XDTD_S.Tr.T'!G22</f>
        <v>#NAME?</v>
      </c>
      <c r="F11" s="8">
        <f>'2.XDTD_S.Tr.T'!H22</f>
        <v>25</v>
      </c>
      <c r="G11" s="9">
        <f ca="1">'2.XDTD_S.Tr.T'!I22</f>
        <v>0</v>
      </c>
      <c r="H11" s="10">
        <f ca="1">'2.XDTD_S.Tr.T'!J22</f>
        <v>0</v>
      </c>
      <c r="I11" s="9">
        <f ca="1">'2.XDTD_S.Tr.T'!K22</f>
        <v>0</v>
      </c>
      <c r="J11" s="13" t="e">
        <f ca="1">'2.XDTD_S.Tr.T'!L22</f>
        <v>#NAME?</v>
      </c>
      <c r="K11" s="13" t="e">
        <f ca="1">'2.XDTD_S.Tr.T'!M22</f>
        <v>#NAME?</v>
      </c>
      <c r="L11" s="9">
        <f ca="1">'2.XDTD_S.Tr.T'!N22</f>
        <v>0</v>
      </c>
      <c r="M11" s="14" t="e">
        <f ca="1">'2.XDTD_S.Tr.T'!O22</f>
        <v>#NAME?</v>
      </c>
      <c r="N11" s="14" t="e">
        <f ca="1">'2.XDTD_S.Tr.T'!P22</f>
        <v>#NAME?</v>
      </c>
      <c r="O11" s="9" t="e">
        <f ca="1">'2.XDTD_S.Tr.T'!P22</f>
        <v>#NAME?</v>
      </c>
      <c r="P11" s="15">
        <f ca="1">'2.XDTD_S.Tr.T'!R22</f>
        <v>0</v>
      </c>
      <c r="Q11" s="16">
        <f ca="1">'2.XDTD_S.Tr.T'!S22</f>
        <v>0</v>
      </c>
      <c r="R11" s="16">
        <f ca="1">'2.XDTD_S.Tr.T'!T22</f>
        <v>0</v>
      </c>
      <c r="S11" s="16">
        <f ca="1">'2.XDTD_S.Tr.T'!U22</f>
        <v>0</v>
      </c>
      <c r="T11" s="16">
        <f ca="1">'2.XDTD_S.Tr.T'!V22</f>
        <v>0</v>
      </c>
      <c r="U11" s="16">
        <f ca="1">'2.XDTD_S.Tr.T'!W22</f>
        <v>0</v>
      </c>
      <c r="V11" s="16">
        <f ca="1">'2.XDTD_S.Tr.T'!X22</f>
        <v>0</v>
      </c>
      <c r="W11" s="16">
        <f ca="1">'2.XDTD_S.Tr.T'!Y22</f>
        <v>0</v>
      </c>
      <c r="X11" s="16">
        <f ca="1">'2.XDTD_S.Tr.T'!Z22</f>
        <v>0</v>
      </c>
      <c r="Y11" s="16">
        <f ca="1">'2.XDTD_S.Tr.T'!AA22</f>
        <v>0</v>
      </c>
      <c r="Z11" s="16">
        <f ca="1">'2.XDTD_S.Tr.T'!AB22</f>
        <v>0</v>
      </c>
      <c r="AA11" s="16">
        <f ca="1">'2.XDTD_S.Tr.T'!AC22</f>
        <v>0</v>
      </c>
      <c r="AB11" s="16">
        <f ca="1">'2.XDTD_S.Tr.T'!AD22</f>
        <v>0</v>
      </c>
      <c r="AC11" s="16">
        <f ca="1">'2.XDTD_S.Tr.T'!AE22</f>
        <v>0</v>
      </c>
      <c r="AD11" s="16">
        <f ca="1">'2.XDTD_S.Tr.T'!AF22</f>
        <v>0</v>
      </c>
      <c r="AE11" s="16">
        <f ca="1">'2.XDTD_S.Tr.T'!AG22</f>
        <v>0</v>
      </c>
      <c r="AF11" s="16">
        <f ca="1">'2.XDTD_S.Tr.T'!AH22</f>
        <v>0</v>
      </c>
      <c r="AG11" s="16">
        <f ca="1">'2.XDTD_S.Tr.T'!AI22</f>
        <v>0</v>
      </c>
      <c r="AH11" s="16">
        <f ca="1">'2.XDTD_S.Tr.T'!AJ22</f>
        <v>0</v>
      </c>
      <c r="AI11" s="16">
        <f ca="1">'2.XDTD_S.Tr.T'!AK22</f>
        <v>0</v>
      </c>
      <c r="AJ11" s="16">
        <f ca="1">'2.XDTD_S.Tr.T'!AL22</f>
        <v>0</v>
      </c>
      <c r="AK11" s="16">
        <f ca="1">'2.XDTD_S.Tr.T'!AM22</f>
        <v>0</v>
      </c>
      <c r="AL11" s="16">
        <f ca="1">'2.XDTD_S.Tr.T'!AN22</f>
        <v>0</v>
      </c>
      <c r="AM11" s="16">
        <f ca="1">'2.XDTD_S.Tr.T'!AO22</f>
        <v>0</v>
      </c>
      <c r="AN11" s="16">
        <f ca="1">'2.XDTD_S.Tr.T'!AP22</f>
        <v>0</v>
      </c>
      <c r="AO11" s="16">
        <f ca="1">'2.XDTD_S.Tr.T'!AP22</f>
        <v>0</v>
      </c>
      <c r="AP11" s="16">
        <f ca="1">'2.XDTD_S.Tr.T'!AR22</f>
        <v>0</v>
      </c>
      <c r="AQ11" s="16">
        <f ca="1">'2.XDTD_S.Tr.T'!AS22</f>
        <v>0</v>
      </c>
      <c r="AR11" s="16">
        <f ca="1">'2.XDTD_S.Tr.T'!AT22</f>
        <v>0</v>
      </c>
      <c r="AS11" s="16">
        <f ca="1">'2.XDTD_S.Tr.T'!AU22</f>
        <v>0</v>
      </c>
      <c r="AT11" s="16">
        <f ca="1">'2.XDTD_S.Tr.T'!AV22</f>
        <v>0</v>
      </c>
      <c r="AU11" s="16">
        <f ca="1">'2.XDTD_S.Tr.T'!AW22</f>
        <v>0</v>
      </c>
      <c r="AV11" s="16">
        <f ca="1">'2.XDTD_S.Tr.T'!AX22</f>
        <v>0</v>
      </c>
      <c r="AW11" s="16">
        <f ca="1">'2.XDTD_S.Tr.T'!AY22</f>
        <v>0</v>
      </c>
      <c r="AX11" s="16">
        <f ca="1">'2.XDTD_S.Tr.T'!AZ22</f>
        <v>0</v>
      </c>
      <c r="AY11" s="16">
        <f ca="1">'2.XDTD_S.Tr.T'!BA22</f>
        <v>0</v>
      </c>
      <c r="AZ11" s="16">
        <f ca="1">'2.XDTD_S.Tr.T'!BB22</f>
        <v>0</v>
      </c>
      <c r="BA11" s="16">
        <f ca="1">'2.XDTD_S.Tr.T'!BC22</f>
        <v>0</v>
      </c>
      <c r="BB11" s="16">
        <f ca="1">'2.XDTD_S.Tr.T'!BD22</f>
        <v>0</v>
      </c>
      <c r="BC11" s="16">
        <f ca="1">'2.XDTD_S.Tr.T'!BE22</f>
        <v>0</v>
      </c>
      <c r="BD11" s="16">
        <f ca="1">'2.XDTD_S.Tr.T'!BF22</f>
        <v>0</v>
      </c>
      <c r="BE11" s="16">
        <f ca="1">'2.XDTD_S.Tr.T'!BG22</f>
        <v>0</v>
      </c>
      <c r="BF11" s="16">
        <f ca="1">'2.XDTD_S.Tr.T'!BH22</f>
        <v>0</v>
      </c>
      <c r="BG11" s="16">
        <f ca="1">'2.XDTD_S.Tr.T'!BI22</f>
        <v>0</v>
      </c>
      <c r="BH11" s="16">
        <f ca="1">'2.XDTD_S.Tr.T'!BJ22</f>
        <v>0</v>
      </c>
      <c r="BI11" s="16">
        <f ca="1">'2.XDTD_S.Tr.T'!BK22</f>
        <v>0</v>
      </c>
      <c r="BJ11" s="16">
        <f ca="1">'2.XDTD_S.Tr.T'!BL22</f>
        <v>0</v>
      </c>
      <c r="BK11" s="16">
        <f ca="1">'2.XDTD_S.Tr.T'!BM22</f>
        <v>0</v>
      </c>
      <c r="BL11" s="16">
        <f ca="1">'2.XDTD_S.Tr.T'!BN22</f>
        <v>0</v>
      </c>
      <c r="BM11" s="16">
        <f ca="1">'2.XDTD_S.Tr.T'!BO22</f>
        <v>0</v>
      </c>
      <c r="BN11" s="16">
        <f ca="1">'2.XDTD_S.Tr.T'!BP22</f>
        <v>0</v>
      </c>
      <c r="BO11" s="16">
        <f ca="1">'2.XDTD_S.Tr.T'!BP22</f>
        <v>0</v>
      </c>
      <c r="BP11" s="16">
        <f ca="1">'2.XDTD_S.Tr.T'!BR22</f>
        <v>0</v>
      </c>
      <c r="BQ11" s="16">
        <f ca="1">'2.XDTD_S.Tr.T'!BS22</f>
        <v>0</v>
      </c>
      <c r="BR11" s="16">
        <f ca="1">'2.XDTD_S.Tr.T'!BT22</f>
        <v>0</v>
      </c>
      <c r="BS11" s="16">
        <f ca="1">'2.XDTD_S.Tr.T'!BU22</f>
        <v>0</v>
      </c>
      <c r="BT11" s="16">
        <f ca="1">'2.XDTD_S.Tr.T'!BV22</f>
        <v>0</v>
      </c>
      <c r="BU11" s="16">
        <f ca="1">'2.XDTD_S.Tr.T'!BW22</f>
        <v>0</v>
      </c>
      <c r="BV11" s="16">
        <f ca="1">'2.XDTD_S.Tr.T'!BX22</f>
        <v>0</v>
      </c>
      <c r="BW11" s="16">
        <f ca="1">'2.XDTD_S.Tr.T'!BY22</f>
        <v>0</v>
      </c>
      <c r="BX11" s="16">
        <f ca="1">'2.XDTD_S.Tr.T'!BZ22</f>
        <v>0</v>
      </c>
      <c r="BY11" s="16">
        <f ca="1">'2.XDTD_S.Tr.T'!CA22</f>
        <v>0</v>
      </c>
      <c r="BZ11" s="16">
        <f ca="1">'2.XDTD_S.Tr.T'!CB22</f>
        <v>0</v>
      </c>
      <c r="CA11" s="16">
        <f ca="1">'2.XDTD_S.Tr.T'!CC22</f>
        <v>0</v>
      </c>
      <c r="CB11" s="16">
        <f ca="1">'2.XDTD_S.Tr.T'!CD22</f>
        <v>0</v>
      </c>
      <c r="CC11" s="16">
        <f ca="1">'2.XDTD_S.Tr.T'!CE22</f>
        <v>0</v>
      </c>
      <c r="CD11" s="16">
        <f ca="1">'2.XDTD_S.Tr.T'!CF22</f>
        <v>0</v>
      </c>
      <c r="CE11" s="16">
        <f ca="1">'2.XDTD_S.Tr.T'!CG22</f>
        <v>0</v>
      </c>
      <c r="CF11" s="16">
        <f ca="1">'2.XDTD_S.Tr.T'!CH22</f>
        <v>0</v>
      </c>
      <c r="CG11" s="16">
        <f ca="1">'2.XDTD_S.Tr.T'!CI22</f>
        <v>0</v>
      </c>
      <c r="CH11" s="16">
        <f ca="1">'2.XDTD_S.Tr.T'!CJ22</f>
        <v>0</v>
      </c>
      <c r="CI11" s="16">
        <f ca="1">'2.XDTD_S.Tr.T'!CK22</f>
        <v>0</v>
      </c>
      <c r="CJ11" s="16">
        <f ca="1">'2.XDTD_S.Tr.T'!CL22</f>
        <v>0</v>
      </c>
      <c r="CK11" s="16">
        <f ca="1">'2.XDTD_S.Tr.T'!CM22</f>
        <v>0</v>
      </c>
      <c r="CL11" s="16">
        <f ca="1">'2.XDTD_S.Tr.T'!CN22</f>
        <v>0</v>
      </c>
      <c r="CM11" s="16">
        <f ca="1">'2.XDTD_S.Tr.T'!CO22</f>
        <v>0</v>
      </c>
      <c r="CN11" s="16">
        <f ca="1">'2.XDTD_S.Tr.T'!CP22</f>
        <v>0</v>
      </c>
      <c r="CO11" s="16">
        <f ca="1">'2.XDTD_S.Tr.T'!CP22</f>
        <v>0</v>
      </c>
    </row>
    <row r="12" spans="1:93" ht="19.95" hidden="1" customHeight="1">
      <c r="C12" s="5"/>
      <c r="D12" s="11">
        <f>'2.XDTD_S.Tr.T'!F23</f>
        <v>0</v>
      </c>
      <c r="E12" s="7">
        <f>'2.XDTD_S.Tr.T'!G23</f>
        <v>0</v>
      </c>
      <c r="F12" s="8">
        <f>'2.XDTD_S.Tr.T'!H23</f>
        <v>0</v>
      </c>
      <c r="G12" s="9">
        <f ca="1">'2.XDTD_S.Tr.T'!I23</f>
        <v>0</v>
      </c>
      <c r="H12" s="10">
        <f ca="1">'2.XDTD_S.Tr.T'!J23</f>
        <v>0</v>
      </c>
      <c r="I12" s="9">
        <f ca="1">'2.XDTD_S.Tr.T'!K23</f>
        <v>0</v>
      </c>
      <c r="J12" s="13">
        <f>'2.XDTD_S.Tr.T'!L23</f>
        <v>0</v>
      </c>
      <c r="K12" s="13">
        <f>'2.XDTD_S.Tr.T'!M23</f>
        <v>0</v>
      </c>
      <c r="L12" s="9">
        <f ca="1">'2.XDTD_S.Tr.T'!N23</f>
        <v>0</v>
      </c>
      <c r="M12" s="14">
        <f>'2.XDTD_S.Tr.T'!O23</f>
        <v>0</v>
      </c>
      <c r="N12" s="14">
        <f>'2.XDTD_S.Tr.T'!P23</f>
        <v>0</v>
      </c>
      <c r="O12" s="9">
        <f>'2.XDTD_S.Tr.T'!P23</f>
        <v>0</v>
      </c>
      <c r="P12" s="15">
        <f ca="1">'2.XDTD_S.Tr.T'!R23</f>
        <v>0</v>
      </c>
      <c r="Q12" s="16">
        <f ca="1">'2.XDTD_S.Tr.T'!S23</f>
        <v>0</v>
      </c>
      <c r="R12" s="16">
        <f ca="1">'2.XDTD_S.Tr.T'!T23</f>
        <v>0</v>
      </c>
      <c r="S12" s="16">
        <f ca="1">'2.XDTD_S.Tr.T'!U23</f>
        <v>0</v>
      </c>
      <c r="T12" s="16">
        <f ca="1">'2.XDTD_S.Tr.T'!V23</f>
        <v>0</v>
      </c>
      <c r="U12" s="16">
        <f ca="1">'2.XDTD_S.Tr.T'!W23</f>
        <v>0</v>
      </c>
      <c r="V12" s="16">
        <f ca="1">'2.XDTD_S.Tr.T'!X23</f>
        <v>0</v>
      </c>
      <c r="W12" s="16">
        <f ca="1">'2.XDTD_S.Tr.T'!Y23</f>
        <v>0</v>
      </c>
      <c r="X12" s="16">
        <f ca="1">'2.XDTD_S.Tr.T'!Z23</f>
        <v>0</v>
      </c>
      <c r="Y12" s="16">
        <f ca="1">'2.XDTD_S.Tr.T'!AA23</f>
        <v>0</v>
      </c>
      <c r="Z12" s="16">
        <f ca="1">'2.XDTD_S.Tr.T'!AB23</f>
        <v>0</v>
      </c>
      <c r="AA12" s="16">
        <f ca="1">'2.XDTD_S.Tr.T'!AC23</f>
        <v>0</v>
      </c>
      <c r="AB12" s="16">
        <f ca="1">'2.XDTD_S.Tr.T'!AD23</f>
        <v>0</v>
      </c>
      <c r="AC12" s="16">
        <f ca="1">'2.XDTD_S.Tr.T'!AE23</f>
        <v>0</v>
      </c>
      <c r="AD12" s="16">
        <f ca="1">'2.XDTD_S.Tr.T'!AF23</f>
        <v>0</v>
      </c>
      <c r="AE12" s="16">
        <f ca="1">'2.XDTD_S.Tr.T'!AG23</f>
        <v>0</v>
      </c>
      <c r="AF12" s="16">
        <f ca="1">'2.XDTD_S.Tr.T'!AH23</f>
        <v>0</v>
      </c>
      <c r="AG12" s="16">
        <f ca="1">'2.XDTD_S.Tr.T'!AI23</f>
        <v>0</v>
      </c>
      <c r="AH12" s="16">
        <f ca="1">'2.XDTD_S.Tr.T'!AJ23</f>
        <v>0</v>
      </c>
      <c r="AI12" s="16">
        <f ca="1">'2.XDTD_S.Tr.T'!AK23</f>
        <v>0</v>
      </c>
      <c r="AJ12" s="16">
        <f ca="1">'2.XDTD_S.Tr.T'!AL23</f>
        <v>0</v>
      </c>
      <c r="AK12" s="16">
        <f ca="1">'2.XDTD_S.Tr.T'!AM23</f>
        <v>0</v>
      </c>
      <c r="AL12" s="16">
        <f ca="1">'2.XDTD_S.Tr.T'!AN23</f>
        <v>0</v>
      </c>
      <c r="AM12" s="16">
        <f ca="1">'2.XDTD_S.Tr.T'!AO23</f>
        <v>0</v>
      </c>
      <c r="AN12" s="16">
        <f ca="1">'2.XDTD_S.Tr.T'!AP23</f>
        <v>0</v>
      </c>
      <c r="AO12" s="16">
        <f ca="1">'2.XDTD_S.Tr.T'!AP23</f>
        <v>0</v>
      </c>
      <c r="AP12" s="16">
        <f ca="1">'2.XDTD_S.Tr.T'!AR23</f>
        <v>0</v>
      </c>
      <c r="AQ12" s="16">
        <f ca="1">'2.XDTD_S.Tr.T'!AS23</f>
        <v>0</v>
      </c>
      <c r="AR12" s="16">
        <f ca="1">'2.XDTD_S.Tr.T'!AT23</f>
        <v>0</v>
      </c>
      <c r="AS12" s="16">
        <f ca="1">'2.XDTD_S.Tr.T'!AU23</f>
        <v>0</v>
      </c>
      <c r="AT12" s="16">
        <f ca="1">'2.XDTD_S.Tr.T'!AV23</f>
        <v>0</v>
      </c>
      <c r="AU12" s="16">
        <f ca="1">'2.XDTD_S.Tr.T'!AW23</f>
        <v>0</v>
      </c>
      <c r="AV12" s="16">
        <f ca="1">'2.XDTD_S.Tr.T'!AX23</f>
        <v>0</v>
      </c>
      <c r="AW12" s="16">
        <f ca="1">'2.XDTD_S.Tr.T'!AY23</f>
        <v>0</v>
      </c>
      <c r="AX12" s="16">
        <f ca="1">'2.XDTD_S.Tr.T'!AZ23</f>
        <v>0</v>
      </c>
      <c r="AY12" s="16">
        <f ca="1">'2.XDTD_S.Tr.T'!BA23</f>
        <v>0</v>
      </c>
      <c r="AZ12" s="16">
        <f ca="1">'2.XDTD_S.Tr.T'!BB23</f>
        <v>0</v>
      </c>
      <c r="BA12" s="16">
        <f ca="1">'2.XDTD_S.Tr.T'!BC23</f>
        <v>0</v>
      </c>
      <c r="BB12" s="16">
        <f ca="1">'2.XDTD_S.Tr.T'!BD23</f>
        <v>0</v>
      </c>
      <c r="BC12" s="16">
        <f ca="1">'2.XDTD_S.Tr.T'!BE23</f>
        <v>0</v>
      </c>
      <c r="BD12" s="16">
        <f ca="1">'2.XDTD_S.Tr.T'!BF23</f>
        <v>0</v>
      </c>
      <c r="BE12" s="16">
        <f ca="1">'2.XDTD_S.Tr.T'!BG23</f>
        <v>0</v>
      </c>
      <c r="BF12" s="16">
        <f ca="1">'2.XDTD_S.Tr.T'!BH23</f>
        <v>0</v>
      </c>
      <c r="BG12" s="16">
        <f ca="1">'2.XDTD_S.Tr.T'!BI23</f>
        <v>0</v>
      </c>
      <c r="BH12" s="16">
        <f ca="1">'2.XDTD_S.Tr.T'!BJ23</f>
        <v>0</v>
      </c>
      <c r="BI12" s="16">
        <f ca="1">'2.XDTD_S.Tr.T'!BK23</f>
        <v>0</v>
      </c>
      <c r="BJ12" s="16">
        <f ca="1">'2.XDTD_S.Tr.T'!BL23</f>
        <v>0</v>
      </c>
      <c r="BK12" s="16">
        <f ca="1">'2.XDTD_S.Tr.T'!BM23</f>
        <v>0</v>
      </c>
      <c r="BL12" s="16">
        <f ca="1">'2.XDTD_S.Tr.T'!BN23</f>
        <v>0</v>
      </c>
      <c r="BM12" s="16">
        <f ca="1">'2.XDTD_S.Tr.T'!BO23</f>
        <v>0</v>
      </c>
      <c r="BN12" s="16">
        <f ca="1">'2.XDTD_S.Tr.T'!BP23</f>
        <v>0</v>
      </c>
      <c r="BO12" s="16">
        <f ca="1">'2.XDTD_S.Tr.T'!BP23</f>
        <v>0</v>
      </c>
      <c r="BP12" s="16">
        <f ca="1">'2.XDTD_S.Tr.T'!BR23</f>
        <v>0</v>
      </c>
      <c r="BQ12" s="16">
        <f ca="1">'2.XDTD_S.Tr.T'!BS23</f>
        <v>0</v>
      </c>
      <c r="BR12" s="16">
        <f ca="1">'2.XDTD_S.Tr.T'!BT23</f>
        <v>0</v>
      </c>
      <c r="BS12" s="16">
        <f ca="1">'2.XDTD_S.Tr.T'!BU23</f>
        <v>0</v>
      </c>
      <c r="BT12" s="16">
        <f ca="1">'2.XDTD_S.Tr.T'!BV23</f>
        <v>0</v>
      </c>
      <c r="BU12" s="16">
        <f ca="1">'2.XDTD_S.Tr.T'!BW23</f>
        <v>0</v>
      </c>
      <c r="BV12" s="16">
        <f ca="1">'2.XDTD_S.Tr.T'!BX23</f>
        <v>0</v>
      </c>
      <c r="BW12" s="16">
        <f ca="1">'2.XDTD_S.Tr.T'!BY23</f>
        <v>0</v>
      </c>
      <c r="BX12" s="16">
        <f ca="1">'2.XDTD_S.Tr.T'!BZ23</f>
        <v>0</v>
      </c>
      <c r="BY12" s="16">
        <f ca="1">'2.XDTD_S.Tr.T'!CA23</f>
        <v>0</v>
      </c>
      <c r="BZ12" s="16">
        <f ca="1">'2.XDTD_S.Tr.T'!CB23</f>
        <v>0</v>
      </c>
      <c r="CA12" s="16">
        <f ca="1">'2.XDTD_S.Tr.T'!CC23</f>
        <v>0</v>
      </c>
      <c r="CB12" s="16">
        <f ca="1">'2.XDTD_S.Tr.T'!CD23</f>
        <v>0</v>
      </c>
      <c r="CC12" s="16">
        <f ca="1">'2.XDTD_S.Tr.T'!CE23</f>
        <v>0</v>
      </c>
      <c r="CD12" s="16">
        <f ca="1">'2.XDTD_S.Tr.T'!CF23</f>
        <v>0</v>
      </c>
      <c r="CE12" s="16">
        <f ca="1">'2.XDTD_S.Tr.T'!CG23</f>
        <v>0</v>
      </c>
      <c r="CF12" s="16">
        <f ca="1">'2.XDTD_S.Tr.T'!CH23</f>
        <v>0</v>
      </c>
      <c r="CG12" s="16">
        <f ca="1">'2.XDTD_S.Tr.T'!CI23</f>
        <v>0</v>
      </c>
      <c r="CH12" s="16">
        <f ca="1">'2.XDTD_S.Tr.T'!CJ23</f>
        <v>0</v>
      </c>
      <c r="CI12" s="16">
        <f ca="1">'2.XDTD_S.Tr.T'!CK23</f>
        <v>0</v>
      </c>
      <c r="CJ12" s="16">
        <f ca="1">'2.XDTD_S.Tr.T'!CL23</f>
        <v>0</v>
      </c>
      <c r="CK12" s="16">
        <f ca="1">'2.XDTD_S.Tr.T'!CM23</f>
        <v>0</v>
      </c>
      <c r="CL12" s="16">
        <f ca="1">'2.XDTD_S.Tr.T'!CN23</f>
        <v>0</v>
      </c>
      <c r="CM12" s="16">
        <f ca="1">'2.XDTD_S.Tr.T'!CO23</f>
        <v>0</v>
      </c>
      <c r="CN12" s="16">
        <f ca="1">'2.XDTD_S.Tr.T'!CP23</f>
        <v>0</v>
      </c>
      <c r="CO12" s="16">
        <f ca="1">'2.XDTD_S.Tr.T'!CP23</f>
        <v>0</v>
      </c>
    </row>
    <row r="13" spans="1:93" ht="19.95" hidden="1" customHeight="1">
      <c r="C13" s="5"/>
      <c r="D13" s="11">
        <f>'2.XDTD_S.Tr.T'!F24</f>
        <v>0</v>
      </c>
      <c r="E13" s="7">
        <f>'2.XDTD_S.Tr.T'!G24</f>
        <v>0</v>
      </c>
      <c r="F13" s="8">
        <f>'2.XDTD_S.Tr.T'!H24</f>
        <v>0</v>
      </c>
      <c r="G13" s="9">
        <f ca="1">'2.XDTD_S.Tr.T'!I24</f>
        <v>0</v>
      </c>
      <c r="H13" s="10">
        <f ca="1">'2.XDTD_S.Tr.T'!J24</f>
        <v>0</v>
      </c>
      <c r="I13" s="9">
        <f ca="1">'2.XDTD_S.Tr.T'!K24</f>
        <v>0</v>
      </c>
      <c r="J13" s="13">
        <f>'2.XDTD_S.Tr.T'!L24</f>
        <v>0</v>
      </c>
      <c r="K13" s="13">
        <f>'2.XDTD_S.Tr.T'!M24</f>
        <v>0</v>
      </c>
      <c r="L13" s="9">
        <f ca="1">'2.XDTD_S.Tr.T'!N24</f>
        <v>0</v>
      </c>
      <c r="M13" s="14">
        <f>'2.XDTD_S.Tr.T'!O24</f>
        <v>0</v>
      </c>
      <c r="N13" s="14">
        <f>'2.XDTD_S.Tr.T'!P24</f>
        <v>0</v>
      </c>
      <c r="O13" s="9">
        <f>'2.XDTD_S.Tr.T'!P24</f>
        <v>0</v>
      </c>
      <c r="P13" s="15">
        <f ca="1">'2.XDTD_S.Tr.T'!R24</f>
        <v>0</v>
      </c>
      <c r="Q13" s="16">
        <f ca="1">'2.XDTD_S.Tr.T'!S24</f>
        <v>0</v>
      </c>
      <c r="R13" s="16">
        <f ca="1">'2.XDTD_S.Tr.T'!T24</f>
        <v>0</v>
      </c>
      <c r="S13" s="16">
        <f ca="1">'2.XDTD_S.Tr.T'!U24</f>
        <v>0</v>
      </c>
      <c r="T13" s="16">
        <f ca="1">'2.XDTD_S.Tr.T'!V24</f>
        <v>0</v>
      </c>
      <c r="U13" s="16">
        <f ca="1">'2.XDTD_S.Tr.T'!W24</f>
        <v>0</v>
      </c>
      <c r="V13" s="16">
        <f ca="1">'2.XDTD_S.Tr.T'!X24</f>
        <v>0</v>
      </c>
      <c r="W13" s="16">
        <f ca="1">'2.XDTD_S.Tr.T'!Y24</f>
        <v>0</v>
      </c>
      <c r="X13" s="16">
        <f ca="1">'2.XDTD_S.Tr.T'!Z24</f>
        <v>0</v>
      </c>
      <c r="Y13" s="16">
        <f ca="1">'2.XDTD_S.Tr.T'!AA24</f>
        <v>0</v>
      </c>
      <c r="Z13" s="16">
        <f ca="1">'2.XDTD_S.Tr.T'!AB24</f>
        <v>0</v>
      </c>
      <c r="AA13" s="16">
        <f ca="1">'2.XDTD_S.Tr.T'!AC24</f>
        <v>0</v>
      </c>
      <c r="AB13" s="16">
        <f ca="1">'2.XDTD_S.Tr.T'!AD24</f>
        <v>0</v>
      </c>
      <c r="AC13" s="16">
        <f ca="1">'2.XDTD_S.Tr.T'!AE24</f>
        <v>0</v>
      </c>
      <c r="AD13" s="16">
        <f ca="1">'2.XDTD_S.Tr.T'!AF24</f>
        <v>0</v>
      </c>
      <c r="AE13" s="16">
        <f ca="1">'2.XDTD_S.Tr.T'!AG24</f>
        <v>0</v>
      </c>
      <c r="AF13" s="16">
        <f ca="1">'2.XDTD_S.Tr.T'!AH24</f>
        <v>0</v>
      </c>
      <c r="AG13" s="16">
        <f ca="1">'2.XDTD_S.Tr.T'!AI24</f>
        <v>0</v>
      </c>
      <c r="AH13" s="16">
        <f ca="1">'2.XDTD_S.Tr.T'!AJ24</f>
        <v>0</v>
      </c>
      <c r="AI13" s="16">
        <f ca="1">'2.XDTD_S.Tr.T'!AK24</f>
        <v>0</v>
      </c>
      <c r="AJ13" s="16">
        <f ca="1">'2.XDTD_S.Tr.T'!AL24</f>
        <v>0</v>
      </c>
      <c r="AK13" s="16">
        <f ca="1">'2.XDTD_S.Tr.T'!AM24</f>
        <v>0</v>
      </c>
      <c r="AL13" s="16">
        <f ca="1">'2.XDTD_S.Tr.T'!AN24</f>
        <v>0</v>
      </c>
      <c r="AM13" s="16">
        <f ca="1">'2.XDTD_S.Tr.T'!AO24</f>
        <v>0</v>
      </c>
      <c r="AN13" s="16">
        <f ca="1">'2.XDTD_S.Tr.T'!AP24</f>
        <v>0</v>
      </c>
      <c r="AO13" s="16">
        <f ca="1">'2.XDTD_S.Tr.T'!AP24</f>
        <v>0</v>
      </c>
      <c r="AP13" s="16">
        <f ca="1">'2.XDTD_S.Tr.T'!AR24</f>
        <v>0</v>
      </c>
      <c r="AQ13" s="16">
        <f ca="1">'2.XDTD_S.Tr.T'!AS24</f>
        <v>0</v>
      </c>
      <c r="AR13" s="16">
        <f ca="1">'2.XDTD_S.Tr.T'!AT24</f>
        <v>0</v>
      </c>
      <c r="AS13" s="16">
        <f ca="1">'2.XDTD_S.Tr.T'!AU24</f>
        <v>0</v>
      </c>
      <c r="AT13" s="16">
        <f ca="1">'2.XDTD_S.Tr.T'!AV24</f>
        <v>0</v>
      </c>
      <c r="AU13" s="16">
        <f ca="1">'2.XDTD_S.Tr.T'!AW24</f>
        <v>0</v>
      </c>
      <c r="AV13" s="16">
        <f ca="1">'2.XDTD_S.Tr.T'!AX24</f>
        <v>0</v>
      </c>
      <c r="AW13" s="16">
        <f ca="1">'2.XDTD_S.Tr.T'!AY24</f>
        <v>0</v>
      </c>
      <c r="AX13" s="16">
        <f ca="1">'2.XDTD_S.Tr.T'!AZ24</f>
        <v>0</v>
      </c>
      <c r="AY13" s="16">
        <f ca="1">'2.XDTD_S.Tr.T'!BA24</f>
        <v>0</v>
      </c>
      <c r="AZ13" s="16">
        <f ca="1">'2.XDTD_S.Tr.T'!BB24</f>
        <v>0</v>
      </c>
      <c r="BA13" s="16">
        <f ca="1">'2.XDTD_S.Tr.T'!BC24</f>
        <v>0</v>
      </c>
      <c r="BB13" s="16">
        <f ca="1">'2.XDTD_S.Tr.T'!BD24</f>
        <v>0</v>
      </c>
      <c r="BC13" s="16">
        <f ca="1">'2.XDTD_S.Tr.T'!BE24</f>
        <v>0</v>
      </c>
      <c r="BD13" s="16">
        <f ca="1">'2.XDTD_S.Tr.T'!BF24</f>
        <v>0</v>
      </c>
      <c r="BE13" s="16">
        <f ca="1">'2.XDTD_S.Tr.T'!BG24</f>
        <v>0</v>
      </c>
      <c r="BF13" s="16">
        <f ca="1">'2.XDTD_S.Tr.T'!BH24</f>
        <v>0</v>
      </c>
      <c r="BG13" s="16">
        <f ca="1">'2.XDTD_S.Tr.T'!BI24</f>
        <v>0</v>
      </c>
      <c r="BH13" s="16">
        <f ca="1">'2.XDTD_S.Tr.T'!BJ24</f>
        <v>0</v>
      </c>
      <c r="BI13" s="16">
        <f ca="1">'2.XDTD_S.Tr.T'!BK24</f>
        <v>0</v>
      </c>
      <c r="BJ13" s="16">
        <f ca="1">'2.XDTD_S.Tr.T'!BL24</f>
        <v>0</v>
      </c>
      <c r="BK13" s="16">
        <f ca="1">'2.XDTD_S.Tr.T'!BM24</f>
        <v>0</v>
      </c>
      <c r="BL13" s="16">
        <f ca="1">'2.XDTD_S.Tr.T'!BN24</f>
        <v>0</v>
      </c>
      <c r="BM13" s="16">
        <f ca="1">'2.XDTD_S.Tr.T'!BO24</f>
        <v>0</v>
      </c>
      <c r="BN13" s="16">
        <f ca="1">'2.XDTD_S.Tr.T'!BP24</f>
        <v>0</v>
      </c>
      <c r="BO13" s="16">
        <f ca="1">'2.XDTD_S.Tr.T'!BP24</f>
        <v>0</v>
      </c>
      <c r="BP13" s="16">
        <f ca="1">'2.XDTD_S.Tr.T'!BR24</f>
        <v>0</v>
      </c>
      <c r="BQ13" s="16">
        <f ca="1">'2.XDTD_S.Tr.T'!BS24</f>
        <v>0</v>
      </c>
      <c r="BR13" s="16">
        <f ca="1">'2.XDTD_S.Tr.T'!BT24</f>
        <v>0</v>
      </c>
      <c r="BS13" s="16">
        <f ca="1">'2.XDTD_S.Tr.T'!BU24</f>
        <v>0</v>
      </c>
      <c r="BT13" s="16">
        <f ca="1">'2.XDTD_S.Tr.T'!BV24</f>
        <v>0</v>
      </c>
      <c r="BU13" s="16">
        <f ca="1">'2.XDTD_S.Tr.T'!BW24</f>
        <v>0</v>
      </c>
      <c r="BV13" s="16">
        <f ca="1">'2.XDTD_S.Tr.T'!BX24</f>
        <v>0</v>
      </c>
      <c r="BW13" s="16">
        <f ca="1">'2.XDTD_S.Tr.T'!BY24</f>
        <v>0</v>
      </c>
      <c r="BX13" s="16">
        <f ca="1">'2.XDTD_S.Tr.T'!BZ24</f>
        <v>0</v>
      </c>
      <c r="BY13" s="16">
        <f ca="1">'2.XDTD_S.Tr.T'!CA24</f>
        <v>0</v>
      </c>
      <c r="BZ13" s="16">
        <f ca="1">'2.XDTD_S.Tr.T'!CB24</f>
        <v>0</v>
      </c>
      <c r="CA13" s="16">
        <f ca="1">'2.XDTD_S.Tr.T'!CC24</f>
        <v>0</v>
      </c>
      <c r="CB13" s="16">
        <f ca="1">'2.XDTD_S.Tr.T'!CD24</f>
        <v>0</v>
      </c>
      <c r="CC13" s="16">
        <f ca="1">'2.XDTD_S.Tr.T'!CE24</f>
        <v>0</v>
      </c>
      <c r="CD13" s="16">
        <f ca="1">'2.XDTD_S.Tr.T'!CF24</f>
        <v>0</v>
      </c>
      <c r="CE13" s="16">
        <f ca="1">'2.XDTD_S.Tr.T'!CG24</f>
        <v>0</v>
      </c>
      <c r="CF13" s="16">
        <f ca="1">'2.XDTD_S.Tr.T'!CH24</f>
        <v>0</v>
      </c>
      <c r="CG13" s="16">
        <f ca="1">'2.XDTD_S.Tr.T'!CI24</f>
        <v>0</v>
      </c>
      <c r="CH13" s="16">
        <f ca="1">'2.XDTD_S.Tr.T'!CJ24</f>
        <v>0</v>
      </c>
      <c r="CI13" s="16">
        <f ca="1">'2.XDTD_S.Tr.T'!CK24</f>
        <v>0</v>
      </c>
      <c r="CJ13" s="16">
        <f ca="1">'2.XDTD_S.Tr.T'!CL24</f>
        <v>0</v>
      </c>
      <c r="CK13" s="16">
        <f ca="1">'2.XDTD_S.Tr.T'!CM24</f>
        <v>0</v>
      </c>
      <c r="CL13" s="16">
        <f ca="1">'2.XDTD_S.Tr.T'!CN24</f>
        <v>0</v>
      </c>
      <c r="CM13" s="16">
        <f ca="1">'2.XDTD_S.Tr.T'!CO24</f>
        <v>0</v>
      </c>
      <c r="CN13" s="16">
        <f ca="1">'2.XDTD_S.Tr.T'!CP24</f>
        <v>0</v>
      </c>
      <c r="CO13" s="16">
        <f ca="1">'2.XDTD_S.Tr.T'!CP24</f>
        <v>0</v>
      </c>
    </row>
    <row r="14" spans="1:93" ht="19.95" hidden="1" customHeight="1">
      <c r="C14" s="5"/>
      <c r="D14" s="11">
        <f>'2.XDTD_S.Tr.T'!F25</f>
        <v>0</v>
      </c>
      <c r="E14" s="7">
        <f>'2.XDTD_S.Tr.T'!G25</f>
        <v>0</v>
      </c>
      <c r="F14" s="8">
        <f>'2.XDTD_S.Tr.T'!H25</f>
        <v>0</v>
      </c>
      <c r="G14" s="9">
        <f ca="1">'2.XDTD_S.Tr.T'!I25</f>
        <v>0</v>
      </c>
      <c r="H14" s="10">
        <f ca="1">'2.XDTD_S.Tr.T'!J25</f>
        <v>0</v>
      </c>
      <c r="I14" s="9">
        <f ca="1">'2.XDTD_S.Tr.T'!K25</f>
        <v>0</v>
      </c>
      <c r="J14" s="13">
        <f>'2.XDTD_S.Tr.T'!L25</f>
        <v>0</v>
      </c>
      <c r="K14" s="13">
        <f>'2.XDTD_S.Tr.T'!M25</f>
        <v>0</v>
      </c>
      <c r="L14" s="9">
        <f ca="1">'2.XDTD_S.Tr.T'!N25</f>
        <v>0</v>
      </c>
      <c r="M14" s="14">
        <f>'2.XDTD_S.Tr.T'!O25</f>
        <v>0</v>
      </c>
      <c r="N14" s="14">
        <f>'2.XDTD_S.Tr.T'!P25</f>
        <v>0</v>
      </c>
      <c r="O14" s="9">
        <f>'2.XDTD_S.Tr.T'!P25</f>
        <v>0</v>
      </c>
      <c r="P14" s="15">
        <f ca="1">'2.XDTD_S.Tr.T'!R25</f>
        <v>0</v>
      </c>
      <c r="Q14" s="16">
        <f ca="1">'2.XDTD_S.Tr.T'!S25</f>
        <v>0</v>
      </c>
      <c r="R14" s="16">
        <f ca="1">'2.XDTD_S.Tr.T'!T25</f>
        <v>0</v>
      </c>
      <c r="S14" s="16">
        <f ca="1">'2.XDTD_S.Tr.T'!U25</f>
        <v>0</v>
      </c>
      <c r="T14" s="16">
        <f ca="1">'2.XDTD_S.Tr.T'!V25</f>
        <v>0</v>
      </c>
      <c r="U14" s="16">
        <f ca="1">'2.XDTD_S.Tr.T'!W25</f>
        <v>0</v>
      </c>
      <c r="V14" s="16">
        <f ca="1">'2.XDTD_S.Tr.T'!X25</f>
        <v>0</v>
      </c>
      <c r="W14" s="16">
        <f ca="1">'2.XDTD_S.Tr.T'!Y25</f>
        <v>0</v>
      </c>
      <c r="X14" s="16">
        <f ca="1">'2.XDTD_S.Tr.T'!Z25</f>
        <v>0</v>
      </c>
      <c r="Y14" s="16">
        <f ca="1">'2.XDTD_S.Tr.T'!AA25</f>
        <v>0</v>
      </c>
      <c r="Z14" s="16">
        <f ca="1">'2.XDTD_S.Tr.T'!AB25</f>
        <v>0</v>
      </c>
      <c r="AA14" s="16">
        <f ca="1">'2.XDTD_S.Tr.T'!AC25</f>
        <v>0</v>
      </c>
      <c r="AB14" s="16">
        <f ca="1">'2.XDTD_S.Tr.T'!AD25</f>
        <v>0</v>
      </c>
      <c r="AC14" s="16">
        <f ca="1">'2.XDTD_S.Tr.T'!AE25</f>
        <v>0</v>
      </c>
      <c r="AD14" s="16">
        <f ca="1">'2.XDTD_S.Tr.T'!AF25</f>
        <v>0</v>
      </c>
      <c r="AE14" s="16">
        <f ca="1">'2.XDTD_S.Tr.T'!AG25</f>
        <v>0</v>
      </c>
      <c r="AF14" s="16">
        <f ca="1">'2.XDTD_S.Tr.T'!AH25</f>
        <v>0</v>
      </c>
      <c r="AG14" s="16">
        <f ca="1">'2.XDTD_S.Tr.T'!AI25</f>
        <v>0</v>
      </c>
      <c r="AH14" s="16">
        <f ca="1">'2.XDTD_S.Tr.T'!AJ25</f>
        <v>0</v>
      </c>
      <c r="AI14" s="16">
        <f ca="1">'2.XDTD_S.Tr.T'!AK25</f>
        <v>0</v>
      </c>
      <c r="AJ14" s="16">
        <f ca="1">'2.XDTD_S.Tr.T'!AL25</f>
        <v>0</v>
      </c>
      <c r="AK14" s="16">
        <f ca="1">'2.XDTD_S.Tr.T'!AM25</f>
        <v>0</v>
      </c>
      <c r="AL14" s="16">
        <f ca="1">'2.XDTD_S.Tr.T'!AN25</f>
        <v>0</v>
      </c>
      <c r="AM14" s="16">
        <f ca="1">'2.XDTD_S.Tr.T'!AO25</f>
        <v>0</v>
      </c>
      <c r="AN14" s="16">
        <f ca="1">'2.XDTD_S.Tr.T'!AP25</f>
        <v>0</v>
      </c>
      <c r="AO14" s="16">
        <f ca="1">'2.XDTD_S.Tr.T'!AP25</f>
        <v>0</v>
      </c>
      <c r="AP14" s="16">
        <f ca="1">'2.XDTD_S.Tr.T'!AR25</f>
        <v>0</v>
      </c>
      <c r="AQ14" s="16">
        <f ca="1">'2.XDTD_S.Tr.T'!AS25</f>
        <v>0</v>
      </c>
      <c r="AR14" s="16">
        <f ca="1">'2.XDTD_S.Tr.T'!AT25</f>
        <v>0</v>
      </c>
      <c r="AS14" s="16">
        <f ca="1">'2.XDTD_S.Tr.T'!AU25</f>
        <v>0</v>
      </c>
      <c r="AT14" s="16">
        <f ca="1">'2.XDTD_S.Tr.T'!AV25</f>
        <v>0</v>
      </c>
      <c r="AU14" s="16">
        <f ca="1">'2.XDTD_S.Tr.T'!AW25</f>
        <v>0</v>
      </c>
      <c r="AV14" s="16">
        <f ca="1">'2.XDTD_S.Tr.T'!AX25</f>
        <v>0</v>
      </c>
      <c r="AW14" s="16">
        <f ca="1">'2.XDTD_S.Tr.T'!AY25</f>
        <v>0</v>
      </c>
      <c r="AX14" s="16">
        <f ca="1">'2.XDTD_S.Tr.T'!AZ25</f>
        <v>0</v>
      </c>
      <c r="AY14" s="16">
        <f ca="1">'2.XDTD_S.Tr.T'!BA25</f>
        <v>0</v>
      </c>
      <c r="AZ14" s="16">
        <f ca="1">'2.XDTD_S.Tr.T'!BB25</f>
        <v>0</v>
      </c>
      <c r="BA14" s="16">
        <f ca="1">'2.XDTD_S.Tr.T'!BC25</f>
        <v>0</v>
      </c>
      <c r="BB14" s="16">
        <f ca="1">'2.XDTD_S.Tr.T'!BD25</f>
        <v>0</v>
      </c>
      <c r="BC14" s="16">
        <f ca="1">'2.XDTD_S.Tr.T'!BE25</f>
        <v>0</v>
      </c>
      <c r="BD14" s="16">
        <f ca="1">'2.XDTD_S.Tr.T'!BF25</f>
        <v>0</v>
      </c>
      <c r="BE14" s="16">
        <f ca="1">'2.XDTD_S.Tr.T'!BG25</f>
        <v>0</v>
      </c>
      <c r="BF14" s="16">
        <f ca="1">'2.XDTD_S.Tr.T'!BH25</f>
        <v>0</v>
      </c>
      <c r="BG14" s="16">
        <f ca="1">'2.XDTD_S.Tr.T'!BI25</f>
        <v>0</v>
      </c>
      <c r="BH14" s="16">
        <f ca="1">'2.XDTD_S.Tr.T'!BJ25</f>
        <v>0</v>
      </c>
      <c r="BI14" s="16">
        <f ca="1">'2.XDTD_S.Tr.T'!BK25</f>
        <v>0</v>
      </c>
      <c r="BJ14" s="16">
        <f ca="1">'2.XDTD_S.Tr.T'!BL25</f>
        <v>0</v>
      </c>
      <c r="BK14" s="16">
        <f ca="1">'2.XDTD_S.Tr.T'!BM25</f>
        <v>0</v>
      </c>
      <c r="BL14" s="16">
        <f ca="1">'2.XDTD_S.Tr.T'!BN25</f>
        <v>0</v>
      </c>
      <c r="BM14" s="16">
        <f ca="1">'2.XDTD_S.Tr.T'!BO25</f>
        <v>0</v>
      </c>
      <c r="BN14" s="16">
        <f ca="1">'2.XDTD_S.Tr.T'!BP25</f>
        <v>0</v>
      </c>
      <c r="BO14" s="16">
        <f ca="1">'2.XDTD_S.Tr.T'!BP25</f>
        <v>0</v>
      </c>
      <c r="BP14" s="16">
        <f ca="1">'2.XDTD_S.Tr.T'!BR25</f>
        <v>0</v>
      </c>
      <c r="BQ14" s="16">
        <f ca="1">'2.XDTD_S.Tr.T'!BS25</f>
        <v>0</v>
      </c>
      <c r="BR14" s="16">
        <f ca="1">'2.XDTD_S.Tr.T'!BT25</f>
        <v>0</v>
      </c>
      <c r="BS14" s="16">
        <f ca="1">'2.XDTD_S.Tr.T'!BU25</f>
        <v>0</v>
      </c>
      <c r="BT14" s="16">
        <f ca="1">'2.XDTD_S.Tr.T'!BV25</f>
        <v>0</v>
      </c>
      <c r="BU14" s="16">
        <f ca="1">'2.XDTD_S.Tr.T'!BW25</f>
        <v>0</v>
      </c>
      <c r="BV14" s="16">
        <f ca="1">'2.XDTD_S.Tr.T'!BX25</f>
        <v>0</v>
      </c>
      <c r="BW14" s="16">
        <f ca="1">'2.XDTD_S.Tr.T'!BY25</f>
        <v>0</v>
      </c>
      <c r="BX14" s="16">
        <f ca="1">'2.XDTD_S.Tr.T'!BZ25</f>
        <v>0</v>
      </c>
      <c r="BY14" s="16">
        <f ca="1">'2.XDTD_S.Tr.T'!CA25</f>
        <v>0</v>
      </c>
      <c r="BZ14" s="16">
        <f ca="1">'2.XDTD_S.Tr.T'!CB25</f>
        <v>0</v>
      </c>
      <c r="CA14" s="16">
        <f ca="1">'2.XDTD_S.Tr.T'!CC25</f>
        <v>0</v>
      </c>
      <c r="CB14" s="16">
        <f ca="1">'2.XDTD_S.Tr.T'!CD25</f>
        <v>0</v>
      </c>
      <c r="CC14" s="16">
        <f ca="1">'2.XDTD_S.Tr.T'!CE25</f>
        <v>0</v>
      </c>
      <c r="CD14" s="16">
        <f ca="1">'2.XDTD_S.Tr.T'!CF25</f>
        <v>0</v>
      </c>
      <c r="CE14" s="16">
        <f ca="1">'2.XDTD_S.Tr.T'!CG25</f>
        <v>0</v>
      </c>
      <c r="CF14" s="16">
        <f ca="1">'2.XDTD_S.Tr.T'!CH25</f>
        <v>0</v>
      </c>
      <c r="CG14" s="16">
        <f ca="1">'2.XDTD_S.Tr.T'!CI25</f>
        <v>0</v>
      </c>
      <c r="CH14" s="16">
        <f ca="1">'2.XDTD_S.Tr.T'!CJ25</f>
        <v>0</v>
      </c>
      <c r="CI14" s="16">
        <f ca="1">'2.XDTD_S.Tr.T'!CK25</f>
        <v>0</v>
      </c>
      <c r="CJ14" s="16">
        <f ca="1">'2.XDTD_S.Tr.T'!CL25</f>
        <v>0</v>
      </c>
      <c r="CK14" s="16">
        <f ca="1">'2.XDTD_S.Tr.T'!CM25</f>
        <v>0</v>
      </c>
      <c r="CL14" s="16">
        <f ca="1">'2.XDTD_S.Tr.T'!CN25</f>
        <v>0</v>
      </c>
      <c r="CM14" s="16">
        <f ca="1">'2.XDTD_S.Tr.T'!CO25</f>
        <v>0</v>
      </c>
      <c r="CN14" s="16">
        <f ca="1">'2.XDTD_S.Tr.T'!CP25</f>
        <v>0</v>
      </c>
      <c r="CO14" s="16">
        <f ca="1">'2.XDTD_S.Tr.T'!CP25</f>
        <v>0</v>
      </c>
    </row>
    <row r="15" spans="1:93" ht="19.95" hidden="1" customHeight="1">
      <c r="C15" s="5"/>
      <c r="D15" s="11">
        <f>'2.XDTD_S.Tr.T'!F26</f>
        <v>0</v>
      </c>
      <c r="E15" s="7">
        <f>'2.XDTD_S.Tr.T'!G26</f>
        <v>0</v>
      </c>
      <c r="F15" s="8">
        <f>'2.XDTD_S.Tr.T'!H26</f>
        <v>0</v>
      </c>
      <c r="G15" s="9">
        <f ca="1">'2.XDTD_S.Tr.T'!I26</f>
        <v>0</v>
      </c>
      <c r="H15" s="10">
        <f ca="1">'2.XDTD_S.Tr.T'!J26</f>
        <v>0</v>
      </c>
      <c r="I15" s="9">
        <f ca="1">'2.XDTD_S.Tr.T'!K26</f>
        <v>0</v>
      </c>
      <c r="J15" s="13">
        <f>'2.XDTD_S.Tr.T'!L26</f>
        <v>0</v>
      </c>
      <c r="K15" s="13">
        <f>'2.XDTD_S.Tr.T'!M26</f>
        <v>0</v>
      </c>
      <c r="L15" s="9">
        <f ca="1">'2.XDTD_S.Tr.T'!N26</f>
        <v>0</v>
      </c>
      <c r="M15" s="14">
        <f>'2.XDTD_S.Tr.T'!O26</f>
        <v>0</v>
      </c>
      <c r="N15" s="14">
        <f>'2.XDTD_S.Tr.T'!P26</f>
        <v>0</v>
      </c>
      <c r="O15" s="9">
        <f>'2.XDTD_S.Tr.T'!P26</f>
        <v>0</v>
      </c>
      <c r="P15" s="15">
        <f ca="1">'2.XDTD_S.Tr.T'!R26</f>
        <v>0</v>
      </c>
      <c r="Q15" s="16">
        <f ca="1">'2.XDTD_S.Tr.T'!S26</f>
        <v>0</v>
      </c>
      <c r="R15" s="16">
        <f ca="1">'2.XDTD_S.Tr.T'!T26</f>
        <v>0</v>
      </c>
      <c r="S15" s="16">
        <f ca="1">'2.XDTD_S.Tr.T'!U26</f>
        <v>0</v>
      </c>
      <c r="T15" s="16">
        <f ca="1">'2.XDTD_S.Tr.T'!V26</f>
        <v>0</v>
      </c>
      <c r="U15" s="16">
        <f ca="1">'2.XDTD_S.Tr.T'!W26</f>
        <v>0</v>
      </c>
      <c r="V15" s="16">
        <f ca="1">'2.XDTD_S.Tr.T'!X26</f>
        <v>0</v>
      </c>
      <c r="W15" s="16">
        <f ca="1">'2.XDTD_S.Tr.T'!Y26</f>
        <v>0</v>
      </c>
      <c r="X15" s="16">
        <f ca="1">'2.XDTD_S.Tr.T'!Z26</f>
        <v>0</v>
      </c>
      <c r="Y15" s="16">
        <f ca="1">'2.XDTD_S.Tr.T'!AA26</f>
        <v>0</v>
      </c>
      <c r="Z15" s="16">
        <f ca="1">'2.XDTD_S.Tr.T'!AB26</f>
        <v>0</v>
      </c>
      <c r="AA15" s="16">
        <f ca="1">'2.XDTD_S.Tr.T'!AC26</f>
        <v>0</v>
      </c>
      <c r="AB15" s="16">
        <f ca="1">'2.XDTD_S.Tr.T'!AD26</f>
        <v>0</v>
      </c>
      <c r="AC15" s="16">
        <f ca="1">'2.XDTD_S.Tr.T'!AE26</f>
        <v>0</v>
      </c>
      <c r="AD15" s="16">
        <f ca="1">'2.XDTD_S.Tr.T'!AF26</f>
        <v>0</v>
      </c>
      <c r="AE15" s="16">
        <f ca="1">'2.XDTD_S.Tr.T'!AG26</f>
        <v>0</v>
      </c>
      <c r="AF15" s="16">
        <f ca="1">'2.XDTD_S.Tr.T'!AH26</f>
        <v>0</v>
      </c>
      <c r="AG15" s="16">
        <f ca="1">'2.XDTD_S.Tr.T'!AI26</f>
        <v>0</v>
      </c>
      <c r="AH15" s="16">
        <f ca="1">'2.XDTD_S.Tr.T'!AJ26</f>
        <v>0</v>
      </c>
      <c r="AI15" s="16">
        <f ca="1">'2.XDTD_S.Tr.T'!AK26</f>
        <v>0</v>
      </c>
      <c r="AJ15" s="16">
        <f ca="1">'2.XDTD_S.Tr.T'!AL26</f>
        <v>0</v>
      </c>
      <c r="AK15" s="16">
        <f ca="1">'2.XDTD_S.Tr.T'!AM26</f>
        <v>0</v>
      </c>
      <c r="AL15" s="16">
        <f ca="1">'2.XDTD_S.Tr.T'!AN26</f>
        <v>0</v>
      </c>
      <c r="AM15" s="16">
        <f ca="1">'2.XDTD_S.Tr.T'!AO26</f>
        <v>0</v>
      </c>
      <c r="AN15" s="16">
        <f ca="1">'2.XDTD_S.Tr.T'!AP26</f>
        <v>0</v>
      </c>
      <c r="AO15" s="16">
        <f ca="1">'2.XDTD_S.Tr.T'!AP26</f>
        <v>0</v>
      </c>
      <c r="AP15" s="16">
        <f ca="1">'2.XDTD_S.Tr.T'!AR26</f>
        <v>0</v>
      </c>
      <c r="AQ15" s="16">
        <f ca="1">'2.XDTD_S.Tr.T'!AS26</f>
        <v>0</v>
      </c>
      <c r="AR15" s="16">
        <f ca="1">'2.XDTD_S.Tr.T'!AT26</f>
        <v>0</v>
      </c>
      <c r="AS15" s="16">
        <f ca="1">'2.XDTD_S.Tr.T'!AU26</f>
        <v>0</v>
      </c>
      <c r="AT15" s="16">
        <f ca="1">'2.XDTD_S.Tr.T'!AV26</f>
        <v>0</v>
      </c>
      <c r="AU15" s="16">
        <f ca="1">'2.XDTD_S.Tr.T'!AW26</f>
        <v>0</v>
      </c>
      <c r="AV15" s="16">
        <f ca="1">'2.XDTD_S.Tr.T'!AX26</f>
        <v>0</v>
      </c>
      <c r="AW15" s="16">
        <f ca="1">'2.XDTD_S.Tr.T'!AY26</f>
        <v>0</v>
      </c>
      <c r="AX15" s="16">
        <f ca="1">'2.XDTD_S.Tr.T'!AZ26</f>
        <v>0</v>
      </c>
      <c r="AY15" s="16">
        <f ca="1">'2.XDTD_S.Tr.T'!BA26</f>
        <v>0</v>
      </c>
      <c r="AZ15" s="16">
        <f ca="1">'2.XDTD_S.Tr.T'!BB26</f>
        <v>0</v>
      </c>
      <c r="BA15" s="16">
        <f ca="1">'2.XDTD_S.Tr.T'!BC26</f>
        <v>0</v>
      </c>
      <c r="BB15" s="16">
        <f ca="1">'2.XDTD_S.Tr.T'!BD26</f>
        <v>0</v>
      </c>
      <c r="BC15" s="16">
        <f ca="1">'2.XDTD_S.Tr.T'!BE26</f>
        <v>0</v>
      </c>
      <c r="BD15" s="16">
        <f ca="1">'2.XDTD_S.Tr.T'!BF26</f>
        <v>0</v>
      </c>
      <c r="BE15" s="16">
        <f ca="1">'2.XDTD_S.Tr.T'!BG26</f>
        <v>0</v>
      </c>
      <c r="BF15" s="16">
        <f ca="1">'2.XDTD_S.Tr.T'!BH26</f>
        <v>0</v>
      </c>
      <c r="BG15" s="16">
        <f ca="1">'2.XDTD_S.Tr.T'!BI26</f>
        <v>0</v>
      </c>
      <c r="BH15" s="16">
        <f ca="1">'2.XDTD_S.Tr.T'!BJ26</f>
        <v>0</v>
      </c>
      <c r="BI15" s="16">
        <f ca="1">'2.XDTD_S.Tr.T'!BK26</f>
        <v>0</v>
      </c>
      <c r="BJ15" s="16">
        <f ca="1">'2.XDTD_S.Tr.T'!BL26</f>
        <v>0</v>
      </c>
      <c r="BK15" s="16">
        <f ca="1">'2.XDTD_S.Tr.T'!BM26</f>
        <v>0</v>
      </c>
      <c r="BL15" s="16">
        <f ca="1">'2.XDTD_S.Tr.T'!BN26</f>
        <v>0</v>
      </c>
      <c r="BM15" s="16">
        <f ca="1">'2.XDTD_S.Tr.T'!BO26</f>
        <v>0</v>
      </c>
      <c r="BN15" s="16">
        <f ca="1">'2.XDTD_S.Tr.T'!BP26</f>
        <v>0</v>
      </c>
      <c r="BO15" s="16">
        <f ca="1">'2.XDTD_S.Tr.T'!BP26</f>
        <v>0</v>
      </c>
      <c r="BP15" s="16">
        <f ca="1">'2.XDTD_S.Tr.T'!BR26</f>
        <v>0</v>
      </c>
      <c r="BQ15" s="16">
        <f ca="1">'2.XDTD_S.Tr.T'!BS26</f>
        <v>0</v>
      </c>
      <c r="BR15" s="16">
        <f ca="1">'2.XDTD_S.Tr.T'!BT26</f>
        <v>0</v>
      </c>
      <c r="BS15" s="16">
        <f ca="1">'2.XDTD_S.Tr.T'!BU26</f>
        <v>0</v>
      </c>
      <c r="BT15" s="16">
        <f ca="1">'2.XDTD_S.Tr.T'!BV26</f>
        <v>0</v>
      </c>
      <c r="BU15" s="16">
        <f ca="1">'2.XDTD_S.Tr.T'!BW26</f>
        <v>0</v>
      </c>
      <c r="BV15" s="16">
        <f ca="1">'2.XDTD_S.Tr.T'!BX26</f>
        <v>0</v>
      </c>
      <c r="BW15" s="16">
        <f ca="1">'2.XDTD_S.Tr.T'!BY26</f>
        <v>0</v>
      </c>
      <c r="BX15" s="16">
        <f ca="1">'2.XDTD_S.Tr.T'!BZ26</f>
        <v>0</v>
      </c>
      <c r="BY15" s="16">
        <f ca="1">'2.XDTD_S.Tr.T'!CA26</f>
        <v>0</v>
      </c>
      <c r="BZ15" s="16">
        <f ca="1">'2.XDTD_S.Tr.T'!CB26</f>
        <v>0</v>
      </c>
      <c r="CA15" s="16">
        <f ca="1">'2.XDTD_S.Tr.T'!CC26</f>
        <v>0</v>
      </c>
      <c r="CB15" s="16">
        <f ca="1">'2.XDTD_S.Tr.T'!CD26</f>
        <v>0</v>
      </c>
      <c r="CC15" s="16">
        <f ca="1">'2.XDTD_S.Tr.T'!CE26</f>
        <v>0</v>
      </c>
      <c r="CD15" s="16">
        <f ca="1">'2.XDTD_S.Tr.T'!CF26</f>
        <v>0</v>
      </c>
      <c r="CE15" s="16">
        <f ca="1">'2.XDTD_S.Tr.T'!CG26</f>
        <v>0</v>
      </c>
      <c r="CF15" s="16">
        <f ca="1">'2.XDTD_S.Tr.T'!CH26</f>
        <v>0</v>
      </c>
      <c r="CG15" s="16">
        <f ca="1">'2.XDTD_S.Tr.T'!CI26</f>
        <v>0</v>
      </c>
      <c r="CH15" s="16">
        <f ca="1">'2.XDTD_S.Tr.T'!CJ26</f>
        <v>0</v>
      </c>
      <c r="CI15" s="16">
        <f ca="1">'2.XDTD_S.Tr.T'!CK26</f>
        <v>0</v>
      </c>
      <c r="CJ15" s="16">
        <f ca="1">'2.XDTD_S.Tr.T'!CL26</f>
        <v>0</v>
      </c>
      <c r="CK15" s="16">
        <f ca="1">'2.XDTD_S.Tr.T'!CM26</f>
        <v>0</v>
      </c>
      <c r="CL15" s="16">
        <f ca="1">'2.XDTD_S.Tr.T'!CN26</f>
        <v>0</v>
      </c>
      <c r="CM15" s="16">
        <f ca="1">'2.XDTD_S.Tr.T'!CO26</f>
        <v>0</v>
      </c>
      <c r="CN15" s="16">
        <f ca="1">'2.XDTD_S.Tr.T'!CP26</f>
        <v>0</v>
      </c>
      <c r="CO15" s="16">
        <f ca="1">'2.XDTD_S.Tr.T'!CP26</f>
        <v>0</v>
      </c>
    </row>
    <row r="16" spans="1:93" ht="19.95" hidden="1" customHeight="1">
      <c r="C16" s="5"/>
      <c r="D16" s="11">
        <f>'2.XDTD_S.Tr.T'!F27</f>
        <v>0</v>
      </c>
      <c r="E16" s="7">
        <f>'2.XDTD_S.Tr.T'!G27</f>
        <v>0</v>
      </c>
      <c r="F16" s="8">
        <f>'2.XDTD_S.Tr.T'!H27</f>
        <v>0</v>
      </c>
      <c r="G16" s="9">
        <f ca="1">'2.XDTD_S.Tr.T'!I27</f>
        <v>0</v>
      </c>
      <c r="H16" s="10">
        <f ca="1">'2.XDTD_S.Tr.T'!J27</f>
        <v>0</v>
      </c>
      <c r="I16" s="9">
        <f ca="1">'2.XDTD_S.Tr.T'!K27</f>
        <v>0</v>
      </c>
      <c r="J16" s="13">
        <f>'2.XDTD_S.Tr.T'!L27</f>
        <v>0</v>
      </c>
      <c r="K16" s="13">
        <f>'2.XDTD_S.Tr.T'!M27</f>
        <v>0</v>
      </c>
      <c r="L16" s="9">
        <f ca="1">'2.XDTD_S.Tr.T'!N27</f>
        <v>0</v>
      </c>
      <c r="M16" s="14">
        <f>'2.XDTD_S.Tr.T'!O27</f>
        <v>0</v>
      </c>
      <c r="N16" s="14">
        <f>'2.XDTD_S.Tr.T'!P27</f>
        <v>0</v>
      </c>
      <c r="O16" s="9">
        <f>'2.XDTD_S.Tr.T'!P27</f>
        <v>0</v>
      </c>
      <c r="P16" s="15">
        <f ca="1">'2.XDTD_S.Tr.T'!R27</f>
        <v>0</v>
      </c>
      <c r="Q16" s="16">
        <f ca="1">'2.XDTD_S.Tr.T'!S27</f>
        <v>0</v>
      </c>
      <c r="R16" s="16">
        <f ca="1">'2.XDTD_S.Tr.T'!T27</f>
        <v>0</v>
      </c>
      <c r="S16" s="16">
        <f ca="1">'2.XDTD_S.Tr.T'!U27</f>
        <v>0</v>
      </c>
      <c r="T16" s="16">
        <f ca="1">'2.XDTD_S.Tr.T'!V27</f>
        <v>0</v>
      </c>
      <c r="U16" s="16">
        <f ca="1">'2.XDTD_S.Tr.T'!W27</f>
        <v>0</v>
      </c>
      <c r="V16" s="16">
        <f ca="1">'2.XDTD_S.Tr.T'!X27</f>
        <v>0</v>
      </c>
      <c r="W16" s="16">
        <f ca="1">'2.XDTD_S.Tr.T'!Y27</f>
        <v>0</v>
      </c>
      <c r="X16" s="16">
        <f ca="1">'2.XDTD_S.Tr.T'!Z27</f>
        <v>0</v>
      </c>
      <c r="Y16" s="16">
        <f ca="1">'2.XDTD_S.Tr.T'!AA27</f>
        <v>0</v>
      </c>
      <c r="Z16" s="16">
        <f ca="1">'2.XDTD_S.Tr.T'!AB27</f>
        <v>0</v>
      </c>
      <c r="AA16" s="16">
        <f ca="1">'2.XDTD_S.Tr.T'!AC27</f>
        <v>0</v>
      </c>
      <c r="AB16" s="16">
        <f ca="1">'2.XDTD_S.Tr.T'!AD27</f>
        <v>0</v>
      </c>
      <c r="AC16" s="16">
        <f ca="1">'2.XDTD_S.Tr.T'!AE27</f>
        <v>0</v>
      </c>
      <c r="AD16" s="16">
        <f ca="1">'2.XDTD_S.Tr.T'!AF27</f>
        <v>0</v>
      </c>
      <c r="AE16" s="16">
        <f ca="1">'2.XDTD_S.Tr.T'!AG27</f>
        <v>0</v>
      </c>
      <c r="AF16" s="16">
        <f ca="1">'2.XDTD_S.Tr.T'!AH27</f>
        <v>0</v>
      </c>
      <c r="AG16" s="16">
        <f ca="1">'2.XDTD_S.Tr.T'!AI27</f>
        <v>0</v>
      </c>
      <c r="AH16" s="16">
        <f ca="1">'2.XDTD_S.Tr.T'!AJ27</f>
        <v>0</v>
      </c>
      <c r="AI16" s="16">
        <f ca="1">'2.XDTD_S.Tr.T'!AK27</f>
        <v>0</v>
      </c>
      <c r="AJ16" s="16">
        <f ca="1">'2.XDTD_S.Tr.T'!AL27</f>
        <v>0</v>
      </c>
      <c r="AK16" s="16">
        <f ca="1">'2.XDTD_S.Tr.T'!AM27</f>
        <v>0</v>
      </c>
      <c r="AL16" s="16">
        <f ca="1">'2.XDTD_S.Tr.T'!AN27</f>
        <v>0</v>
      </c>
      <c r="AM16" s="16">
        <f ca="1">'2.XDTD_S.Tr.T'!AO27</f>
        <v>0</v>
      </c>
      <c r="AN16" s="16">
        <f ca="1">'2.XDTD_S.Tr.T'!AP27</f>
        <v>0</v>
      </c>
      <c r="AO16" s="16">
        <f ca="1">'2.XDTD_S.Tr.T'!AP27</f>
        <v>0</v>
      </c>
      <c r="AP16" s="16">
        <f ca="1">'2.XDTD_S.Tr.T'!AR27</f>
        <v>0</v>
      </c>
      <c r="AQ16" s="16">
        <f ca="1">'2.XDTD_S.Tr.T'!AS27</f>
        <v>0</v>
      </c>
      <c r="AR16" s="16">
        <f ca="1">'2.XDTD_S.Tr.T'!AT27</f>
        <v>0</v>
      </c>
      <c r="AS16" s="16">
        <f ca="1">'2.XDTD_S.Tr.T'!AU27</f>
        <v>0</v>
      </c>
      <c r="AT16" s="16">
        <f ca="1">'2.XDTD_S.Tr.T'!AV27</f>
        <v>0</v>
      </c>
      <c r="AU16" s="16">
        <f ca="1">'2.XDTD_S.Tr.T'!AW27</f>
        <v>0</v>
      </c>
      <c r="AV16" s="16">
        <f ca="1">'2.XDTD_S.Tr.T'!AX27</f>
        <v>0</v>
      </c>
      <c r="AW16" s="16">
        <f ca="1">'2.XDTD_S.Tr.T'!AY27</f>
        <v>0</v>
      </c>
      <c r="AX16" s="16">
        <f ca="1">'2.XDTD_S.Tr.T'!AZ27</f>
        <v>0</v>
      </c>
      <c r="AY16" s="16">
        <f ca="1">'2.XDTD_S.Tr.T'!BA27</f>
        <v>0</v>
      </c>
      <c r="AZ16" s="16">
        <f ca="1">'2.XDTD_S.Tr.T'!BB27</f>
        <v>0</v>
      </c>
      <c r="BA16" s="16">
        <f ca="1">'2.XDTD_S.Tr.T'!BC27</f>
        <v>0</v>
      </c>
      <c r="BB16" s="16">
        <f ca="1">'2.XDTD_S.Tr.T'!BD27</f>
        <v>0</v>
      </c>
      <c r="BC16" s="16">
        <f ca="1">'2.XDTD_S.Tr.T'!BE27</f>
        <v>0</v>
      </c>
      <c r="BD16" s="16">
        <f ca="1">'2.XDTD_S.Tr.T'!BF27</f>
        <v>0</v>
      </c>
      <c r="BE16" s="16">
        <f ca="1">'2.XDTD_S.Tr.T'!BG27</f>
        <v>0</v>
      </c>
      <c r="BF16" s="16">
        <f ca="1">'2.XDTD_S.Tr.T'!BH27</f>
        <v>0</v>
      </c>
      <c r="BG16" s="16">
        <f ca="1">'2.XDTD_S.Tr.T'!BI27</f>
        <v>0</v>
      </c>
      <c r="BH16" s="16">
        <f ca="1">'2.XDTD_S.Tr.T'!BJ27</f>
        <v>0</v>
      </c>
      <c r="BI16" s="16">
        <f ca="1">'2.XDTD_S.Tr.T'!BK27</f>
        <v>0</v>
      </c>
      <c r="BJ16" s="16">
        <f ca="1">'2.XDTD_S.Tr.T'!BL27</f>
        <v>0</v>
      </c>
      <c r="BK16" s="16">
        <f ca="1">'2.XDTD_S.Tr.T'!BM27</f>
        <v>0</v>
      </c>
      <c r="BL16" s="16">
        <f ca="1">'2.XDTD_S.Tr.T'!BN27</f>
        <v>0</v>
      </c>
      <c r="BM16" s="16">
        <f ca="1">'2.XDTD_S.Tr.T'!BO27</f>
        <v>0</v>
      </c>
      <c r="BN16" s="16">
        <f ca="1">'2.XDTD_S.Tr.T'!BP27</f>
        <v>0</v>
      </c>
      <c r="BO16" s="16">
        <f ca="1">'2.XDTD_S.Tr.T'!BP27</f>
        <v>0</v>
      </c>
      <c r="BP16" s="16">
        <f ca="1">'2.XDTD_S.Tr.T'!BR27</f>
        <v>0</v>
      </c>
      <c r="BQ16" s="16">
        <f ca="1">'2.XDTD_S.Tr.T'!BS27</f>
        <v>0</v>
      </c>
      <c r="BR16" s="16">
        <f ca="1">'2.XDTD_S.Tr.T'!BT27</f>
        <v>0</v>
      </c>
      <c r="BS16" s="16">
        <f ca="1">'2.XDTD_S.Tr.T'!BU27</f>
        <v>0</v>
      </c>
      <c r="BT16" s="16">
        <f ca="1">'2.XDTD_S.Tr.T'!BV27</f>
        <v>0</v>
      </c>
      <c r="BU16" s="16">
        <f ca="1">'2.XDTD_S.Tr.T'!BW27</f>
        <v>0</v>
      </c>
      <c r="BV16" s="16">
        <f ca="1">'2.XDTD_S.Tr.T'!BX27</f>
        <v>0</v>
      </c>
      <c r="BW16" s="16">
        <f ca="1">'2.XDTD_S.Tr.T'!BY27</f>
        <v>0</v>
      </c>
      <c r="BX16" s="16">
        <f ca="1">'2.XDTD_S.Tr.T'!BZ27</f>
        <v>0</v>
      </c>
      <c r="BY16" s="16">
        <f ca="1">'2.XDTD_S.Tr.T'!CA27</f>
        <v>0</v>
      </c>
      <c r="BZ16" s="16">
        <f ca="1">'2.XDTD_S.Tr.T'!CB27</f>
        <v>0</v>
      </c>
      <c r="CA16" s="16">
        <f ca="1">'2.XDTD_S.Tr.T'!CC27</f>
        <v>0</v>
      </c>
      <c r="CB16" s="16">
        <f ca="1">'2.XDTD_S.Tr.T'!CD27</f>
        <v>0</v>
      </c>
      <c r="CC16" s="16">
        <f ca="1">'2.XDTD_S.Tr.T'!CE27</f>
        <v>0</v>
      </c>
      <c r="CD16" s="16">
        <f ca="1">'2.XDTD_S.Tr.T'!CF27</f>
        <v>0</v>
      </c>
      <c r="CE16" s="16">
        <f ca="1">'2.XDTD_S.Tr.T'!CG27</f>
        <v>0</v>
      </c>
      <c r="CF16" s="16">
        <f ca="1">'2.XDTD_S.Tr.T'!CH27</f>
        <v>0</v>
      </c>
      <c r="CG16" s="16">
        <f ca="1">'2.XDTD_S.Tr.T'!CI27</f>
        <v>0</v>
      </c>
      <c r="CH16" s="16">
        <f ca="1">'2.XDTD_S.Tr.T'!CJ27</f>
        <v>0</v>
      </c>
      <c r="CI16" s="16">
        <f ca="1">'2.XDTD_S.Tr.T'!CK27</f>
        <v>0</v>
      </c>
      <c r="CJ16" s="16">
        <f ca="1">'2.XDTD_S.Tr.T'!CL27</f>
        <v>0</v>
      </c>
      <c r="CK16" s="16">
        <f ca="1">'2.XDTD_S.Tr.T'!CM27</f>
        <v>0</v>
      </c>
      <c r="CL16" s="16">
        <f ca="1">'2.XDTD_S.Tr.T'!CN27</f>
        <v>0</v>
      </c>
      <c r="CM16" s="16">
        <f ca="1">'2.XDTD_S.Tr.T'!CO27</f>
        <v>0</v>
      </c>
      <c r="CN16" s="16">
        <f ca="1">'2.XDTD_S.Tr.T'!CP27</f>
        <v>0</v>
      </c>
      <c r="CO16" s="16">
        <f ca="1">'2.XDTD_S.Tr.T'!CP27</f>
        <v>0</v>
      </c>
    </row>
    <row r="17" spans="3:93" ht="19.95" customHeight="1">
      <c r="C17" s="5"/>
      <c r="D17" s="11" t="str">
        <f>'2.XDTD_S.Tr.T'!F28</f>
        <v>Cá chép</v>
      </c>
      <c r="E17" s="7" t="e">
        <f ca="1">'2.XDTD_S.Tr.T'!G28</f>
        <v>#NAME?</v>
      </c>
      <c r="F17" s="8">
        <f>'2.XDTD_S.Tr.T'!H28</f>
        <v>55</v>
      </c>
      <c r="G17" s="9">
        <f ca="1">'2.XDTD_S.Tr.T'!I28</f>
        <v>0</v>
      </c>
      <c r="H17" s="10">
        <f ca="1">'2.XDTD_S.Tr.T'!J28</f>
        <v>0</v>
      </c>
      <c r="I17" s="9">
        <f ca="1">'2.XDTD_S.Tr.T'!K28</f>
        <v>0</v>
      </c>
      <c r="J17" s="13" t="e">
        <f ca="1">'2.XDTD_S.Tr.T'!L28</f>
        <v>#NAME?</v>
      </c>
      <c r="K17" s="13" t="e">
        <f ca="1">'2.XDTD_S.Tr.T'!M28</f>
        <v>#NAME?</v>
      </c>
      <c r="L17" s="9">
        <f ca="1">'2.XDTD_S.Tr.T'!N28</f>
        <v>0</v>
      </c>
      <c r="M17" s="14" t="e">
        <f ca="1">'2.XDTD_S.Tr.T'!O28</f>
        <v>#NAME?</v>
      </c>
      <c r="N17" s="14" t="e">
        <f ca="1">'2.XDTD_S.Tr.T'!P28</f>
        <v>#NAME?</v>
      </c>
      <c r="O17" s="9" t="e">
        <f ca="1">'2.XDTD_S.Tr.T'!P28</f>
        <v>#NAME?</v>
      </c>
      <c r="P17" s="15">
        <f ca="1">'2.XDTD_S.Tr.T'!R28</f>
        <v>0</v>
      </c>
      <c r="Q17" s="16">
        <f ca="1">'2.XDTD_S.Tr.T'!S28</f>
        <v>0</v>
      </c>
      <c r="R17" s="16">
        <f ca="1">'2.XDTD_S.Tr.T'!T28</f>
        <v>0</v>
      </c>
      <c r="S17" s="16">
        <f ca="1">'2.XDTD_S.Tr.T'!U28</f>
        <v>0</v>
      </c>
      <c r="T17" s="16">
        <f ca="1">'2.XDTD_S.Tr.T'!V28</f>
        <v>0</v>
      </c>
      <c r="U17" s="16">
        <f ca="1">'2.XDTD_S.Tr.T'!W28</f>
        <v>0</v>
      </c>
      <c r="V17" s="16">
        <f ca="1">'2.XDTD_S.Tr.T'!X28</f>
        <v>0</v>
      </c>
      <c r="W17" s="16">
        <f ca="1">'2.XDTD_S.Tr.T'!Y28</f>
        <v>0</v>
      </c>
      <c r="X17" s="16">
        <f ca="1">'2.XDTD_S.Tr.T'!Z28</f>
        <v>0</v>
      </c>
      <c r="Y17" s="16">
        <f ca="1">'2.XDTD_S.Tr.T'!AA28</f>
        <v>0</v>
      </c>
      <c r="Z17" s="16">
        <f ca="1">'2.XDTD_S.Tr.T'!AB28</f>
        <v>0</v>
      </c>
      <c r="AA17" s="16">
        <f ca="1">'2.XDTD_S.Tr.T'!AC28</f>
        <v>0</v>
      </c>
      <c r="AB17" s="16">
        <f ca="1">'2.XDTD_S.Tr.T'!AD28</f>
        <v>0</v>
      </c>
      <c r="AC17" s="16">
        <f ca="1">'2.XDTD_S.Tr.T'!AE28</f>
        <v>0</v>
      </c>
      <c r="AD17" s="16">
        <f ca="1">'2.XDTD_S.Tr.T'!AF28</f>
        <v>0</v>
      </c>
      <c r="AE17" s="16">
        <f ca="1">'2.XDTD_S.Tr.T'!AG28</f>
        <v>0</v>
      </c>
      <c r="AF17" s="16">
        <f ca="1">'2.XDTD_S.Tr.T'!AH28</f>
        <v>0</v>
      </c>
      <c r="AG17" s="16">
        <f ca="1">'2.XDTD_S.Tr.T'!AI28</f>
        <v>0</v>
      </c>
      <c r="AH17" s="16">
        <f ca="1">'2.XDTD_S.Tr.T'!AJ28</f>
        <v>0</v>
      </c>
      <c r="AI17" s="16">
        <f ca="1">'2.XDTD_S.Tr.T'!AK28</f>
        <v>0</v>
      </c>
      <c r="AJ17" s="16">
        <f ca="1">'2.XDTD_S.Tr.T'!AL28</f>
        <v>0</v>
      </c>
      <c r="AK17" s="16">
        <f ca="1">'2.XDTD_S.Tr.T'!AM28</f>
        <v>0</v>
      </c>
      <c r="AL17" s="16">
        <f ca="1">'2.XDTD_S.Tr.T'!AN28</f>
        <v>0</v>
      </c>
      <c r="AM17" s="16">
        <f ca="1">'2.XDTD_S.Tr.T'!AO28</f>
        <v>0</v>
      </c>
      <c r="AN17" s="16">
        <f ca="1">'2.XDTD_S.Tr.T'!AP28</f>
        <v>0</v>
      </c>
      <c r="AO17" s="16">
        <f ca="1">'2.XDTD_S.Tr.T'!AP28</f>
        <v>0</v>
      </c>
      <c r="AP17" s="16">
        <f ca="1">'2.XDTD_S.Tr.T'!AR28</f>
        <v>0</v>
      </c>
      <c r="AQ17" s="16">
        <f ca="1">'2.XDTD_S.Tr.T'!AS28</f>
        <v>0</v>
      </c>
      <c r="AR17" s="16">
        <f ca="1">'2.XDTD_S.Tr.T'!AT28</f>
        <v>0</v>
      </c>
      <c r="AS17" s="16">
        <f ca="1">'2.XDTD_S.Tr.T'!AU28</f>
        <v>0</v>
      </c>
      <c r="AT17" s="16">
        <f ca="1">'2.XDTD_S.Tr.T'!AV28</f>
        <v>0</v>
      </c>
      <c r="AU17" s="16">
        <f ca="1">'2.XDTD_S.Tr.T'!AW28</f>
        <v>0</v>
      </c>
      <c r="AV17" s="16">
        <f ca="1">'2.XDTD_S.Tr.T'!AX28</f>
        <v>0</v>
      </c>
      <c r="AW17" s="16">
        <f ca="1">'2.XDTD_S.Tr.T'!AY28</f>
        <v>0</v>
      </c>
      <c r="AX17" s="16">
        <f ca="1">'2.XDTD_S.Tr.T'!AZ28</f>
        <v>0</v>
      </c>
      <c r="AY17" s="16">
        <f ca="1">'2.XDTD_S.Tr.T'!BA28</f>
        <v>0</v>
      </c>
      <c r="AZ17" s="16">
        <f ca="1">'2.XDTD_S.Tr.T'!BB28</f>
        <v>0</v>
      </c>
      <c r="BA17" s="16">
        <f ca="1">'2.XDTD_S.Tr.T'!BC28</f>
        <v>0</v>
      </c>
      <c r="BB17" s="16">
        <f ca="1">'2.XDTD_S.Tr.T'!BD28</f>
        <v>0</v>
      </c>
      <c r="BC17" s="16">
        <f ca="1">'2.XDTD_S.Tr.T'!BE28</f>
        <v>0</v>
      </c>
      <c r="BD17" s="16">
        <f ca="1">'2.XDTD_S.Tr.T'!BF28</f>
        <v>0</v>
      </c>
      <c r="BE17" s="16">
        <f ca="1">'2.XDTD_S.Tr.T'!BG28</f>
        <v>0</v>
      </c>
      <c r="BF17" s="16">
        <f ca="1">'2.XDTD_S.Tr.T'!BH28</f>
        <v>0</v>
      </c>
      <c r="BG17" s="16">
        <f ca="1">'2.XDTD_S.Tr.T'!BI28</f>
        <v>0</v>
      </c>
      <c r="BH17" s="16">
        <f ca="1">'2.XDTD_S.Tr.T'!BJ28</f>
        <v>0</v>
      </c>
      <c r="BI17" s="16">
        <f ca="1">'2.XDTD_S.Tr.T'!BK28</f>
        <v>0</v>
      </c>
      <c r="BJ17" s="16">
        <f ca="1">'2.XDTD_S.Tr.T'!BL28</f>
        <v>0</v>
      </c>
      <c r="BK17" s="16">
        <f ca="1">'2.XDTD_S.Tr.T'!BM28</f>
        <v>0</v>
      </c>
      <c r="BL17" s="16">
        <f ca="1">'2.XDTD_S.Tr.T'!BN28</f>
        <v>0</v>
      </c>
      <c r="BM17" s="16">
        <f ca="1">'2.XDTD_S.Tr.T'!BO28</f>
        <v>0</v>
      </c>
      <c r="BN17" s="16">
        <f ca="1">'2.XDTD_S.Tr.T'!BP28</f>
        <v>0</v>
      </c>
      <c r="BO17" s="16">
        <f ca="1">'2.XDTD_S.Tr.T'!BP28</f>
        <v>0</v>
      </c>
      <c r="BP17" s="16">
        <f ca="1">'2.XDTD_S.Tr.T'!BR28</f>
        <v>0</v>
      </c>
      <c r="BQ17" s="16">
        <f ca="1">'2.XDTD_S.Tr.T'!BS28</f>
        <v>0</v>
      </c>
      <c r="BR17" s="16">
        <f ca="1">'2.XDTD_S.Tr.T'!BT28</f>
        <v>0</v>
      </c>
      <c r="BS17" s="16">
        <f ca="1">'2.XDTD_S.Tr.T'!BU28</f>
        <v>0</v>
      </c>
      <c r="BT17" s="16">
        <f ca="1">'2.XDTD_S.Tr.T'!BV28</f>
        <v>0</v>
      </c>
      <c r="BU17" s="16">
        <f ca="1">'2.XDTD_S.Tr.T'!BW28</f>
        <v>0</v>
      </c>
      <c r="BV17" s="16">
        <f ca="1">'2.XDTD_S.Tr.T'!BX28</f>
        <v>0</v>
      </c>
      <c r="BW17" s="16">
        <f ca="1">'2.XDTD_S.Tr.T'!BY28</f>
        <v>0</v>
      </c>
      <c r="BX17" s="16">
        <f ca="1">'2.XDTD_S.Tr.T'!BZ28</f>
        <v>0</v>
      </c>
      <c r="BY17" s="16">
        <f ca="1">'2.XDTD_S.Tr.T'!CA28</f>
        <v>0</v>
      </c>
      <c r="BZ17" s="16">
        <f ca="1">'2.XDTD_S.Tr.T'!CB28</f>
        <v>0</v>
      </c>
      <c r="CA17" s="16">
        <f ca="1">'2.XDTD_S.Tr.T'!CC28</f>
        <v>0</v>
      </c>
      <c r="CB17" s="16">
        <f ca="1">'2.XDTD_S.Tr.T'!CD28</f>
        <v>0</v>
      </c>
      <c r="CC17" s="16">
        <f ca="1">'2.XDTD_S.Tr.T'!CE28</f>
        <v>0</v>
      </c>
      <c r="CD17" s="16">
        <f ca="1">'2.XDTD_S.Tr.T'!CF28</f>
        <v>0</v>
      </c>
      <c r="CE17" s="16">
        <f ca="1">'2.XDTD_S.Tr.T'!CG28</f>
        <v>0</v>
      </c>
      <c r="CF17" s="16">
        <f ca="1">'2.XDTD_S.Tr.T'!CH28</f>
        <v>0</v>
      </c>
      <c r="CG17" s="16">
        <f ca="1">'2.XDTD_S.Tr.T'!CI28</f>
        <v>0</v>
      </c>
      <c r="CH17" s="16">
        <f ca="1">'2.XDTD_S.Tr.T'!CJ28</f>
        <v>0</v>
      </c>
      <c r="CI17" s="16">
        <f ca="1">'2.XDTD_S.Tr.T'!CK28</f>
        <v>0</v>
      </c>
      <c r="CJ17" s="16">
        <f ca="1">'2.XDTD_S.Tr.T'!CL28</f>
        <v>0</v>
      </c>
      <c r="CK17" s="16">
        <f ca="1">'2.XDTD_S.Tr.T'!CM28</f>
        <v>0</v>
      </c>
      <c r="CL17" s="16">
        <f ca="1">'2.XDTD_S.Tr.T'!CN28</f>
        <v>0</v>
      </c>
      <c r="CM17" s="16">
        <f ca="1">'2.XDTD_S.Tr.T'!CO28</f>
        <v>0</v>
      </c>
      <c r="CN17" s="16">
        <f ca="1">'2.XDTD_S.Tr.T'!CP28</f>
        <v>0</v>
      </c>
      <c r="CO17" s="16">
        <f ca="1">'2.XDTD_S.Tr.T'!CP28</f>
        <v>0</v>
      </c>
    </row>
    <row r="18" spans="3:93" ht="19.95" hidden="1" customHeight="1">
      <c r="C18" s="5"/>
      <c r="D18" s="11">
        <f>'2.XDTD_S.Tr.T'!F29</f>
        <v>0</v>
      </c>
      <c r="E18" s="7">
        <f>'2.XDTD_S.Tr.T'!G29</f>
        <v>0</v>
      </c>
      <c r="F18" s="8">
        <f>'2.XDTD_S.Tr.T'!H29</f>
        <v>0</v>
      </c>
      <c r="G18" s="9">
        <f ca="1">'2.XDTD_S.Tr.T'!I29</f>
        <v>0</v>
      </c>
      <c r="H18" s="10">
        <f ca="1">'2.XDTD_S.Tr.T'!J29</f>
        <v>0</v>
      </c>
      <c r="I18" s="9">
        <f ca="1">'2.XDTD_S.Tr.T'!K29</f>
        <v>0</v>
      </c>
      <c r="J18" s="13">
        <f>'2.XDTD_S.Tr.T'!L29</f>
        <v>0</v>
      </c>
      <c r="K18" s="13">
        <f>'2.XDTD_S.Tr.T'!M29</f>
        <v>0</v>
      </c>
      <c r="L18" s="9">
        <f ca="1">'2.XDTD_S.Tr.T'!N29</f>
        <v>0</v>
      </c>
      <c r="M18" s="14">
        <f>'2.XDTD_S.Tr.T'!O29</f>
        <v>0</v>
      </c>
      <c r="N18" s="14">
        <f>'2.XDTD_S.Tr.T'!P29</f>
        <v>0</v>
      </c>
      <c r="O18" s="9">
        <f>'2.XDTD_S.Tr.T'!P29</f>
        <v>0</v>
      </c>
      <c r="P18" s="15">
        <f ca="1">'2.XDTD_S.Tr.T'!R29</f>
        <v>0</v>
      </c>
      <c r="Q18" s="16">
        <f ca="1">'2.XDTD_S.Tr.T'!S29</f>
        <v>0</v>
      </c>
      <c r="R18" s="16">
        <f ca="1">'2.XDTD_S.Tr.T'!T29</f>
        <v>0</v>
      </c>
      <c r="S18" s="16">
        <f ca="1">'2.XDTD_S.Tr.T'!U29</f>
        <v>0</v>
      </c>
      <c r="T18" s="16">
        <f ca="1">'2.XDTD_S.Tr.T'!V29</f>
        <v>0</v>
      </c>
      <c r="U18" s="16">
        <f ca="1">'2.XDTD_S.Tr.T'!W29</f>
        <v>0</v>
      </c>
      <c r="V18" s="16">
        <f ca="1">'2.XDTD_S.Tr.T'!X29</f>
        <v>0</v>
      </c>
      <c r="W18" s="16">
        <f ca="1">'2.XDTD_S.Tr.T'!Y29</f>
        <v>0</v>
      </c>
      <c r="X18" s="16">
        <f ca="1">'2.XDTD_S.Tr.T'!Z29</f>
        <v>0</v>
      </c>
      <c r="Y18" s="16">
        <f ca="1">'2.XDTD_S.Tr.T'!AA29</f>
        <v>0</v>
      </c>
      <c r="Z18" s="16">
        <f ca="1">'2.XDTD_S.Tr.T'!AB29</f>
        <v>0</v>
      </c>
      <c r="AA18" s="16">
        <f ca="1">'2.XDTD_S.Tr.T'!AC29</f>
        <v>0</v>
      </c>
      <c r="AB18" s="16">
        <f ca="1">'2.XDTD_S.Tr.T'!AD29</f>
        <v>0</v>
      </c>
      <c r="AC18" s="16">
        <f ca="1">'2.XDTD_S.Tr.T'!AE29</f>
        <v>0</v>
      </c>
      <c r="AD18" s="16">
        <f ca="1">'2.XDTD_S.Tr.T'!AF29</f>
        <v>0</v>
      </c>
      <c r="AE18" s="16">
        <f ca="1">'2.XDTD_S.Tr.T'!AG29</f>
        <v>0</v>
      </c>
      <c r="AF18" s="16">
        <f ca="1">'2.XDTD_S.Tr.T'!AH29</f>
        <v>0</v>
      </c>
      <c r="AG18" s="16">
        <f ca="1">'2.XDTD_S.Tr.T'!AI29</f>
        <v>0</v>
      </c>
      <c r="AH18" s="16">
        <f ca="1">'2.XDTD_S.Tr.T'!AJ29</f>
        <v>0</v>
      </c>
      <c r="AI18" s="16">
        <f ca="1">'2.XDTD_S.Tr.T'!AK29</f>
        <v>0</v>
      </c>
      <c r="AJ18" s="16">
        <f ca="1">'2.XDTD_S.Tr.T'!AL29</f>
        <v>0</v>
      </c>
      <c r="AK18" s="16">
        <f ca="1">'2.XDTD_S.Tr.T'!AM29</f>
        <v>0</v>
      </c>
      <c r="AL18" s="16">
        <f ca="1">'2.XDTD_S.Tr.T'!AN29</f>
        <v>0</v>
      </c>
      <c r="AM18" s="16">
        <f ca="1">'2.XDTD_S.Tr.T'!AO29</f>
        <v>0</v>
      </c>
      <c r="AN18" s="16">
        <f ca="1">'2.XDTD_S.Tr.T'!AP29</f>
        <v>0</v>
      </c>
      <c r="AO18" s="16">
        <f ca="1">'2.XDTD_S.Tr.T'!AP29</f>
        <v>0</v>
      </c>
      <c r="AP18" s="16">
        <f ca="1">'2.XDTD_S.Tr.T'!AR29</f>
        <v>0</v>
      </c>
      <c r="AQ18" s="16">
        <f ca="1">'2.XDTD_S.Tr.T'!AS29</f>
        <v>0</v>
      </c>
      <c r="AR18" s="16">
        <f ca="1">'2.XDTD_S.Tr.T'!AT29</f>
        <v>0</v>
      </c>
      <c r="AS18" s="16">
        <f ca="1">'2.XDTD_S.Tr.T'!AU29</f>
        <v>0</v>
      </c>
      <c r="AT18" s="16">
        <f ca="1">'2.XDTD_S.Tr.T'!AV29</f>
        <v>0</v>
      </c>
      <c r="AU18" s="16">
        <f ca="1">'2.XDTD_S.Tr.T'!AW29</f>
        <v>0</v>
      </c>
      <c r="AV18" s="16">
        <f ca="1">'2.XDTD_S.Tr.T'!AX29</f>
        <v>0</v>
      </c>
      <c r="AW18" s="16">
        <f ca="1">'2.XDTD_S.Tr.T'!AY29</f>
        <v>0</v>
      </c>
      <c r="AX18" s="16">
        <f ca="1">'2.XDTD_S.Tr.T'!AZ29</f>
        <v>0</v>
      </c>
      <c r="AY18" s="16">
        <f ca="1">'2.XDTD_S.Tr.T'!BA29</f>
        <v>0</v>
      </c>
      <c r="AZ18" s="16">
        <f ca="1">'2.XDTD_S.Tr.T'!BB29</f>
        <v>0</v>
      </c>
      <c r="BA18" s="16">
        <f ca="1">'2.XDTD_S.Tr.T'!BC29</f>
        <v>0</v>
      </c>
      <c r="BB18" s="16">
        <f ca="1">'2.XDTD_S.Tr.T'!BD29</f>
        <v>0</v>
      </c>
      <c r="BC18" s="16">
        <f ca="1">'2.XDTD_S.Tr.T'!BE29</f>
        <v>0</v>
      </c>
      <c r="BD18" s="16">
        <f ca="1">'2.XDTD_S.Tr.T'!BF29</f>
        <v>0</v>
      </c>
      <c r="BE18" s="16">
        <f ca="1">'2.XDTD_S.Tr.T'!BG29</f>
        <v>0</v>
      </c>
      <c r="BF18" s="16">
        <f ca="1">'2.XDTD_S.Tr.T'!BH29</f>
        <v>0</v>
      </c>
      <c r="BG18" s="16">
        <f ca="1">'2.XDTD_S.Tr.T'!BI29</f>
        <v>0</v>
      </c>
      <c r="BH18" s="16">
        <f ca="1">'2.XDTD_S.Tr.T'!BJ29</f>
        <v>0</v>
      </c>
      <c r="BI18" s="16">
        <f ca="1">'2.XDTD_S.Tr.T'!BK29</f>
        <v>0</v>
      </c>
      <c r="BJ18" s="16">
        <f ca="1">'2.XDTD_S.Tr.T'!BL29</f>
        <v>0</v>
      </c>
      <c r="BK18" s="16">
        <f ca="1">'2.XDTD_S.Tr.T'!BM29</f>
        <v>0</v>
      </c>
      <c r="BL18" s="16">
        <f ca="1">'2.XDTD_S.Tr.T'!BN29</f>
        <v>0</v>
      </c>
      <c r="BM18" s="16">
        <f ca="1">'2.XDTD_S.Tr.T'!BO29</f>
        <v>0</v>
      </c>
      <c r="BN18" s="16">
        <f ca="1">'2.XDTD_S.Tr.T'!BP29</f>
        <v>0</v>
      </c>
      <c r="BO18" s="16">
        <f ca="1">'2.XDTD_S.Tr.T'!BP29</f>
        <v>0</v>
      </c>
      <c r="BP18" s="16">
        <f ca="1">'2.XDTD_S.Tr.T'!BR29</f>
        <v>0</v>
      </c>
      <c r="BQ18" s="16">
        <f ca="1">'2.XDTD_S.Tr.T'!BS29</f>
        <v>0</v>
      </c>
      <c r="BR18" s="16">
        <f ca="1">'2.XDTD_S.Tr.T'!BT29</f>
        <v>0</v>
      </c>
      <c r="BS18" s="16">
        <f ca="1">'2.XDTD_S.Tr.T'!BU29</f>
        <v>0</v>
      </c>
      <c r="BT18" s="16">
        <f ca="1">'2.XDTD_S.Tr.T'!BV29</f>
        <v>0</v>
      </c>
      <c r="BU18" s="16">
        <f ca="1">'2.XDTD_S.Tr.T'!BW29</f>
        <v>0</v>
      </c>
      <c r="BV18" s="16">
        <f ca="1">'2.XDTD_S.Tr.T'!BX29</f>
        <v>0</v>
      </c>
      <c r="BW18" s="16">
        <f ca="1">'2.XDTD_S.Tr.T'!BY29</f>
        <v>0</v>
      </c>
      <c r="BX18" s="16">
        <f ca="1">'2.XDTD_S.Tr.T'!BZ29</f>
        <v>0</v>
      </c>
      <c r="BY18" s="16">
        <f ca="1">'2.XDTD_S.Tr.T'!CA29</f>
        <v>0</v>
      </c>
      <c r="BZ18" s="16">
        <f ca="1">'2.XDTD_S.Tr.T'!CB29</f>
        <v>0</v>
      </c>
      <c r="CA18" s="16">
        <f ca="1">'2.XDTD_S.Tr.T'!CC29</f>
        <v>0</v>
      </c>
      <c r="CB18" s="16">
        <f ca="1">'2.XDTD_S.Tr.T'!CD29</f>
        <v>0</v>
      </c>
      <c r="CC18" s="16">
        <f ca="1">'2.XDTD_S.Tr.T'!CE29</f>
        <v>0</v>
      </c>
      <c r="CD18" s="16">
        <f ca="1">'2.XDTD_S.Tr.T'!CF29</f>
        <v>0</v>
      </c>
      <c r="CE18" s="16">
        <f ca="1">'2.XDTD_S.Tr.T'!CG29</f>
        <v>0</v>
      </c>
      <c r="CF18" s="16">
        <f ca="1">'2.XDTD_S.Tr.T'!CH29</f>
        <v>0</v>
      </c>
      <c r="CG18" s="16">
        <f ca="1">'2.XDTD_S.Tr.T'!CI29</f>
        <v>0</v>
      </c>
      <c r="CH18" s="16">
        <f ca="1">'2.XDTD_S.Tr.T'!CJ29</f>
        <v>0</v>
      </c>
      <c r="CI18" s="16">
        <f ca="1">'2.XDTD_S.Tr.T'!CK29</f>
        <v>0</v>
      </c>
      <c r="CJ18" s="16">
        <f ca="1">'2.XDTD_S.Tr.T'!CL29</f>
        <v>0</v>
      </c>
      <c r="CK18" s="16">
        <f ca="1">'2.XDTD_S.Tr.T'!CM29</f>
        <v>0</v>
      </c>
      <c r="CL18" s="16">
        <f ca="1">'2.XDTD_S.Tr.T'!CN29</f>
        <v>0</v>
      </c>
      <c r="CM18" s="16">
        <f ca="1">'2.XDTD_S.Tr.T'!CO29</f>
        <v>0</v>
      </c>
      <c r="CN18" s="16">
        <f ca="1">'2.XDTD_S.Tr.T'!CP29</f>
        <v>0</v>
      </c>
      <c r="CO18" s="16">
        <f ca="1">'2.XDTD_S.Tr.T'!CP29</f>
        <v>0</v>
      </c>
    </row>
    <row r="19" spans="3:93" ht="19.95" hidden="1" customHeight="1">
      <c r="C19" s="5"/>
      <c r="D19" s="11">
        <f>'2.XDTD_S.Tr.T'!F30</f>
        <v>0</v>
      </c>
      <c r="E19" s="7">
        <f>'2.XDTD_S.Tr.T'!G30</f>
        <v>0</v>
      </c>
      <c r="F19" s="8">
        <f>'2.XDTD_S.Tr.T'!H30</f>
        <v>0</v>
      </c>
      <c r="G19" s="9">
        <f ca="1">'2.XDTD_S.Tr.T'!I30</f>
        <v>0</v>
      </c>
      <c r="H19" s="10">
        <f ca="1">'2.XDTD_S.Tr.T'!J30</f>
        <v>0</v>
      </c>
      <c r="I19" s="9">
        <f ca="1">'2.XDTD_S.Tr.T'!K30</f>
        <v>0</v>
      </c>
      <c r="J19" s="13">
        <f>'2.XDTD_S.Tr.T'!L30</f>
        <v>0</v>
      </c>
      <c r="K19" s="13">
        <f>'2.XDTD_S.Tr.T'!M30</f>
        <v>0</v>
      </c>
      <c r="L19" s="9">
        <f ca="1">'2.XDTD_S.Tr.T'!N30</f>
        <v>0</v>
      </c>
      <c r="M19" s="14">
        <f>'2.XDTD_S.Tr.T'!O30</f>
        <v>0</v>
      </c>
      <c r="N19" s="14">
        <f>'2.XDTD_S.Tr.T'!P30</f>
        <v>0</v>
      </c>
      <c r="O19" s="9">
        <f>'2.XDTD_S.Tr.T'!P30</f>
        <v>0</v>
      </c>
      <c r="P19" s="15">
        <f ca="1">'2.XDTD_S.Tr.T'!R30</f>
        <v>0</v>
      </c>
      <c r="Q19" s="16">
        <f ca="1">'2.XDTD_S.Tr.T'!S30</f>
        <v>0</v>
      </c>
      <c r="R19" s="16">
        <f ca="1">'2.XDTD_S.Tr.T'!T30</f>
        <v>0</v>
      </c>
      <c r="S19" s="16">
        <f ca="1">'2.XDTD_S.Tr.T'!U30</f>
        <v>0</v>
      </c>
      <c r="T19" s="16">
        <f ca="1">'2.XDTD_S.Tr.T'!V30</f>
        <v>0</v>
      </c>
      <c r="U19" s="16">
        <f ca="1">'2.XDTD_S.Tr.T'!W30</f>
        <v>0</v>
      </c>
      <c r="V19" s="16">
        <f ca="1">'2.XDTD_S.Tr.T'!X30</f>
        <v>0</v>
      </c>
      <c r="W19" s="16">
        <f ca="1">'2.XDTD_S.Tr.T'!Y30</f>
        <v>0</v>
      </c>
      <c r="X19" s="16">
        <f ca="1">'2.XDTD_S.Tr.T'!Z30</f>
        <v>0</v>
      </c>
      <c r="Y19" s="16">
        <f ca="1">'2.XDTD_S.Tr.T'!AA30</f>
        <v>0</v>
      </c>
      <c r="Z19" s="16">
        <f ca="1">'2.XDTD_S.Tr.T'!AB30</f>
        <v>0</v>
      </c>
      <c r="AA19" s="16">
        <f ca="1">'2.XDTD_S.Tr.T'!AC30</f>
        <v>0</v>
      </c>
      <c r="AB19" s="16">
        <f ca="1">'2.XDTD_S.Tr.T'!AD30</f>
        <v>0</v>
      </c>
      <c r="AC19" s="16">
        <f ca="1">'2.XDTD_S.Tr.T'!AE30</f>
        <v>0</v>
      </c>
      <c r="AD19" s="16">
        <f ca="1">'2.XDTD_S.Tr.T'!AF30</f>
        <v>0</v>
      </c>
      <c r="AE19" s="16">
        <f ca="1">'2.XDTD_S.Tr.T'!AG30</f>
        <v>0</v>
      </c>
      <c r="AF19" s="16">
        <f ca="1">'2.XDTD_S.Tr.T'!AH30</f>
        <v>0</v>
      </c>
      <c r="AG19" s="16">
        <f ca="1">'2.XDTD_S.Tr.T'!AI30</f>
        <v>0</v>
      </c>
      <c r="AH19" s="16">
        <f ca="1">'2.XDTD_S.Tr.T'!AJ30</f>
        <v>0</v>
      </c>
      <c r="AI19" s="16">
        <f ca="1">'2.XDTD_S.Tr.T'!AK30</f>
        <v>0</v>
      </c>
      <c r="AJ19" s="16">
        <f ca="1">'2.XDTD_S.Tr.T'!AL30</f>
        <v>0</v>
      </c>
      <c r="AK19" s="16">
        <f ca="1">'2.XDTD_S.Tr.T'!AM30</f>
        <v>0</v>
      </c>
      <c r="AL19" s="16">
        <f ca="1">'2.XDTD_S.Tr.T'!AN30</f>
        <v>0</v>
      </c>
      <c r="AM19" s="16">
        <f ca="1">'2.XDTD_S.Tr.T'!AO30</f>
        <v>0</v>
      </c>
      <c r="AN19" s="16">
        <f ca="1">'2.XDTD_S.Tr.T'!AP30</f>
        <v>0</v>
      </c>
      <c r="AO19" s="16">
        <f ca="1">'2.XDTD_S.Tr.T'!AP30</f>
        <v>0</v>
      </c>
      <c r="AP19" s="16">
        <f ca="1">'2.XDTD_S.Tr.T'!AR30</f>
        <v>0</v>
      </c>
      <c r="AQ19" s="16">
        <f ca="1">'2.XDTD_S.Tr.T'!AS30</f>
        <v>0</v>
      </c>
      <c r="AR19" s="16">
        <f ca="1">'2.XDTD_S.Tr.T'!AT30</f>
        <v>0</v>
      </c>
      <c r="AS19" s="16">
        <f ca="1">'2.XDTD_S.Tr.T'!AU30</f>
        <v>0</v>
      </c>
      <c r="AT19" s="16">
        <f ca="1">'2.XDTD_S.Tr.T'!AV30</f>
        <v>0</v>
      </c>
      <c r="AU19" s="16">
        <f ca="1">'2.XDTD_S.Tr.T'!AW30</f>
        <v>0</v>
      </c>
      <c r="AV19" s="16">
        <f ca="1">'2.XDTD_S.Tr.T'!AX30</f>
        <v>0</v>
      </c>
      <c r="AW19" s="16">
        <f ca="1">'2.XDTD_S.Tr.T'!AY30</f>
        <v>0</v>
      </c>
      <c r="AX19" s="16">
        <f ca="1">'2.XDTD_S.Tr.T'!AZ30</f>
        <v>0</v>
      </c>
      <c r="AY19" s="16">
        <f ca="1">'2.XDTD_S.Tr.T'!BA30</f>
        <v>0</v>
      </c>
      <c r="AZ19" s="16">
        <f ca="1">'2.XDTD_S.Tr.T'!BB30</f>
        <v>0</v>
      </c>
      <c r="BA19" s="16">
        <f ca="1">'2.XDTD_S.Tr.T'!BC30</f>
        <v>0</v>
      </c>
      <c r="BB19" s="16">
        <f ca="1">'2.XDTD_S.Tr.T'!BD30</f>
        <v>0</v>
      </c>
      <c r="BC19" s="16">
        <f ca="1">'2.XDTD_S.Tr.T'!BE30</f>
        <v>0</v>
      </c>
      <c r="BD19" s="16">
        <f ca="1">'2.XDTD_S.Tr.T'!BF30</f>
        <v>0</v>
      </c>
      <c r="BE19" s="16">
        <f ca="1">'2.XDTD_S.Tr.T'!BG30</f>
        <v>0</v>
      </c>
      <c r="BF19" s="16">
        <f ca="1">'2.XDTD_S.Tr.T'!BH30</f>
        <v>0</v>
      </c>
      <c r="BG19" s="16">
        <f ca="1">'2.XDTD_S.Tr.T'!BI30</f>
        <v>0</v>
      </c>
      <c r="BH19" s="16">
        <f ca="1">'2.XDTD_S.Tr.T'!BJ30</f>
        <v>0</v>
      </c>
      <c r="BI19" s="16">
        <f ca="1">'2.XDTD_S.Tr.T'!BK30</f>
        <v>0</v>
      </c>
      <c r="BJ19" s="16">
        <f ca="1">'2.XDTD_S.Tr.T'!BL30</f>
        <v>0</v>
      </c>
      <c r="BK19" s="16">
        <f ca="1">'2.XDTD_S.Tr.T'!BM30</f>
        <v>0</v>
      </c>
      <c r="BL19" s="16">
        <f ca="1">'2.XDTD_S.Tr.T'!BN30</f>
        <v>0</v>
      </c>
      <c r="BM19" s="16">
        <f ca="1">'2.XDTD_S.Tr.T'!BO30</f>
        <v>0</v>
      </c>
      <c r="BN19" s="16">
        <f ca="1">'2.XDTD_S.Tr.T'!BP30</f>
        <v>0</v>
      </c>
      <c r="BO19" s="16">
        <f ca="1">'2.XDTD_S.Tr.T'!BP30</f>
        <v>0</v>
      </c>
      <c r="BP19" s="16">
        <f ca="1">'2.XDTD_S.Tr.T'!BR30</f>
        <v>0</v>
      </c>
      <c r="BQ19" s="16">
        <f ca="1">'2.XDTD_S.Tr.T'!BS30</f>
        <v>0</v>
      </c>
      <c r="BR19" s="16">
        <f ca="1">'2.XDTD_S.Tr.T'!BT30</f>
        <v>0</v>
      </c>
      <c r="BS19" s="16">
        <f ca="1">'2.XDTD_S.Tr.T'!BU30</f>
        <v>0</v>
      </c>
      <c r="BT19" s="16">
        <f ca="1">'2.XDTD_S.Tr.T'!BV30</f>
        <v>0</v>
      </c>
      <c r="BU19" s="16">
        <f ca="1">'2.XDTD_S.Tr.T'!BW30</f>
        <v>0</v>
      </c>
      <c r="BV19" s="16">
        <f ca="1">'2.XDTD_S.Tr.T'!BX30</f>
        <v>0</v>
      </c>
      <c r="BW19" s="16">
        <f ca="1">'2.XDTD_S.Tr.T'!BY30</f>
        <v>0</v>
      </c>
      <c r="BX19" s="16">
        <f ca="1">'2.XDTD_S.Tr.T'!BZ30</f>
        <v>0</v>
      </c>
      <c r="BY19" s="16">
        <f ca="1">'2.XDTD_S.Tr.T'!CA30</f>
        <v>0</v>
      </c>
      <c r="BZ19" s="16">
        <f ca="1">'2.XDTD_S.Tr.T'!CB30</f>
        <v>0</v>
      </c>
      <c r="CA19" s="16">
        <f ca="1">'2.XDTD_S.Tr.T'!CC30</f>
        <v>0</v>
      </c>
      <c r="CB19" s="16">
        <f ca="1">'2.XDTD_S.Tr.T'!CD30</f>
        <v>0</v>
      </c>
      <c r="CC19" s="16">
        <f ca="1">'2.XDTD_S.Tr.T'!CE30</f>
        <v>0</v>
      </c>
      <c r="CD19" s="16">
        <f ca="1">'2.XDTD_S.Tr.T'!CF30</f>
        <v>0</v>
      </c>
      <c r="CE19" s="16">
        <f ca="1">'2.XDTD_S.Tr.T'!CG30</f>
        <v>0</v>
      </c>
      <c r="CF19" s="16">
        <f ca="1">'2.XDTD_S.Tr.T'!CH30</f>
        <v>0</v>
      </c>
      <c r="CG19" s="16">
        <f ca="1">'2.XDTD_S.Tr.T'!CI30</f>
        <v>0</v>
      </c>
      <c r="CH19" s="16">
        <f ca="1">'2.XDTD_S.Tr.T'!CJ30</f>
        <v>0</v>
      </c>
      <c r="CI19" s="16">
        <f ca="1">'2.XDTD_S.Tr.T'!CK30</f>
        <v>0</v>
      </c>
      <c r="CJ19" s="16">
        <f ca="1">'2.XDTD_S.Tr.T'!CL30</f>
        <v>0</v>
      </c>
      <c r="CK19" s="16">
        <f ca="1">'2.XDTD_S.Tr.T'!CM30</f>
        <v>0</v>
      </c>
      <c r="CL19" s="16">
        <f ca="1">'2.XDTD_S.Tr.T'!CN30</f>
        <v>0</v>
      </c>
      <c r="CM19" s="16">
        <f ca="1">'2.XDTD_S.Tr.T'!CO30</f>
        <v>0</v>
      </c>
      <c r="CN19" s="16">
        <f ca="1">'2.XDTD_S.Tr.T'!CP30</f>
        <v>0</v>
      </c>
      <c r="CO19" s="16">
        <f ca="1">'2.XDTD_S.Tr.T'!CP30</f>
        <v>0</v>
      </c>
    </row>
    <row r="20" spans="3:93" ht="19.95" hidden="1" customHeight="1">
      <c r="C20" s="5"/>
      <c r="D20" s="11">
        <f>'2.XDTD_S.Tr.T'!F31</f>
        <v>0</v>
      </c>
      <c r="E20" s="7">
        <f>'2.XDTD_S.Tr.T'!G31</f>
        <v>0</v>
      </c>
      <c r="F20" s="8">
        <f>'2.XDTD_S.Tr.T'!H31</f>
        <v>0</v>
      </c>
      <c r="G20" s="9">
        <f ca="1">'2.XDTD_S.Tr.T'!I31</f>
        <v>0</v>
      </c>
      <c r="H20" s="10">
        <f ca="1">'2.XDTD_S.Tr.T'!J31</f>
        <v>0</v>
      </c>
      <c r="I20" s="9">
        <f ca="1">'2.XDTD_S.Tr.T'!K31</f>
        <v>0</v>
      </c>
      <c r="J20" s="13">
        <f>'2.XDTD_S.Tr.T'!L31</f>
        <v>0</v>
      </c>
      <c r="K20" s="13">
        <f>'2.XDTD_S.Tr.T'!M31</f>
        <v>0</v>
      </c>
      <c r="L20" s="9">
        <f ca="1">'2.XDTD_S.Tr.T'!N31</f>
        <v>0</v>
      </c>
      <c r="M20" s="14">
        <f>'2.XDTD_S.Tr.T'!O31</f>
        <v>0</v>
      </c>
      <c r="N20" s="14">
        <f>'2.XDTD_S.Tr.T'!P31</f>
        <v>0</v>
      </c>
      <c r="O20" s="9">
        <f>'2.XDTD_S.Tr.T'!P31</f>
        <v>0</v>
      </c>
      <c r="P20" s="15">
        <f ca="1">'2.XDTD_S.Tr.T'!R31</f>
        <v>0</v>
      </c>
      <c r="Q20" s="16">
        <f ca="1">'2.XDTD_S.Tr.T'!S31</f>
        <v>0</v>
      </c>
      <c r="R20" s="16">
        <f ca="1">'2.XDTD_S.Tr.T'!T31</f>
        <v>0</v>
      </c>
      <c r="S20" s="16">
        <f ca="1">'2.XDTD_S.Tr.T'!U31</f>
        <v>0</v>
      </c>
      <c r="T20" s="16">
        <f ca="1">'2.XDTD_S.Tr.T'!V31</f>
        <v>0</v>
      </c>
      <c r="U20" s="16">
        <f ca="1">'2.XDTD_S.Tr.T'!W31</f>
        <v>0</v>
      </c>
      <c r="V20" s="16">
        <f ca="1">'2.XDTD_S.Tr.T'!X31</f>
        <v>0</v>
      </c>
      <c r="W20" s="16">
        <f ca="1">'2.XDTD_S.Tr.T'!Y31</f>
        <v>0</v>
      </c>
      <c r="X20" s="16">
        <f ca="1">'2.XDTD_S.Tr.T'!Z31</f>
        <v>0</v>
      </c>
      <c r="Y20" s="16">
        <f ca="1">'2.XDTD_S.Tr.T'!AA31</f>
        <v>0</v>
      </c>
      <c r="Z20" s="16">
        <f ca="1">'2.XDTD_S.Tr.T'!AB31</f>
        <v>0</v>
      </c>
      <c r="AA20" s="16">
        <f ca="1">'2.XDTD_S.Tr.T'!AC31</f>
        <v>0</v>
      </c>
      <c r="AB20" s="16">
        <f ca="1">'2.XDTD_S.Tr.T'!AD31</f>
        <v>0</v>
      </c>
      <c r="AC20" s="16">
        <f ca="1">'2.XDTD_S.Tr.T'!AE31</f>
        <v>0</v>
      </c>
      <c r="AD20" s="16">
        <f ca="1">'2.XDTD_S.Tr.T'!AF31</f>
        <v>0</v>
      </c>
      <c r="AE20" s="16">
        <f ca="1">'2.XDTD_S.Tr.T'!AG31</f>
        <v>0</v>
      </c>
      <c r="AF20" s="16">
        <f ca="1">'2.XDTD_S.Tr.T'!AH31</f>
        <v>0</v>
      </c>
      <c r="AG20" s="16">
        <f ca="1">'2.XDTD_S.Tr.T'!AI31</f>
        <v>0</v>
      </c>
      <c r="AH20" s="16">
        <f ca="1">'2.XDTD_S.Tr.T'!AJ31</f>
        <v>0</v>
      </c>
      <c r="AI20" s="16">
        <f ca="1">'2.XDTD_S.Tr.T'!AK31</f>
        <v>0</v>
      </c>
      <c r="AJ20" s="16">
        <f ca="1">'2.XDTD_S.Tr.T'!AL31</f>
        <v>0</v>
      </c>
      <c r="AK20" s="16">
        <f ca="1">'2.XDTD_S.Tr.T'!AM31</f>
        <v>0</v>
      </c>
      <c r="AL20" s="16">
        <f ca="1">'2.XDTD_S.Tr.T'!AN31</f>
        <v>0</v>
      </c>
      <c r="AM20" s="16">
        <f ca="1">'2.XDTD_S.Tr.T'!AO31</f>
        <v>0</v>
      </c>
      <c r="AN20" s="16">
        <f ca="1">'2.XDTD_S.Tr.T'!AP31</f>
        <v>0</v>
      </c>
      <c r="AO20" s="16">
        <f ca="1">'2.XDTD_S.Tr.T'!AP31</f>
        <v>0</v>
      </c>
      <c r="AP20" s="16">
        <f ca="1">'2.XDTD_S.Tr.T'!AR31</f>
        <v>0</v>
      </c>
      <c r="AQ20" s="16">
        <f ca="1">'2.XDTD_S.Tr.T'!AS31</f>
        <v>0</v>
      </c>
      <c r="AR20" s="16">
        <f ca="1">'2.XDTD_S.Tr.T'!AT31</f>
        <v>0</v>
      </c>
      <c r="AS20" s="16">
        <f ca="1">'2.XDTD_S.Tr.T'!AU31</f>
        <v>0</v>
      </c>
      <c r="AT20" s="16">
        <f ca="1">'2.XDTD_S.Tr.T'!AV31</f>
        <v>0</v>
      </c>
      <c r="AU20" s="16">
        <f ca="1">'2.XDTD_S.Tr.T'!AW31</f>
        <v>0</v>
      </c>
      <c r="AV20" s="16">
        <f ca="1">'2.XDTD_S.Tr.T'!AX31</f>
        <v>0</v>
      </c>
      <c r="AW20" s="16">
        <f ca="1">'2.XDTD_S.Tr.T'!AY31</f>
        <v>0</v>
      </c>
      <c r="AX20" s="16">
        <f ca="1">'2.XDTD_S.Tr.T'!AZ31</f>
        <v>0</v>
      </c>
      <c r="AY20" s="16">
        <f ca="1">'2.XDTD_S.Tr.T'!BA31</f>
        <v>0</v>
      </c>
      <c r="AZ20" s="16">
        <f ca="1">'2.XDTD_S.Tr.T'!BB31</f>
        <v>0</v>
      </c>
      <c r="BA20" s="16">
        <f ca="1">'2.XDTD_S.Tr.T'!BC31</f>
        <v>0</v>
      </c>
      <c r="BB20" s="16">
        <f ca="1">'2.XDTD_S.Tr.T'!BD31</f>
        <v>0</v>
      </c>
      <c r="BC20" s="16">
        <f ca="1">'2.XDTD_S.Tr.T'!BE31</f>
        <v>0</v>
      </c>
      <c r="BD20" s="16">
        <f ca="1">'2.XDTD_S.Tr.T'!BF31</f>
        <v>0</v>
      </c>
      <c r="BE20" s="16">
        <f ca="1">'2.XDTD_S.Tr.T'!BG31</f>
        <v>0</v>
      </c>
      <c r="BF20" s="16">
        <f ca="1">'2.XDTD_S.Tr.T'!BH31</f>
        <v>0</v>
      </c>
      <c r="BG20" s="16">
        <f ca="1">'2.XDTD_S.Tr.T'!BI31</f>
        <v>0</v>
      </c>
      <c r="BH20" s="16">
        <f ca="1">'2.XDTD_S.Tr.T'!BJ31</f>
        <v>0</v>
      </c>
      <c r="BI20" s="16">
        <f ca="1">'2.XDTD_S.Tr.T'!BK31</f>
        <v>0</v>
      </c>
      <c r="BJ20" s="16">
        <f ca="1">'2.XDTD_S.Tr.T'!BL31</f>
        <v>0</v>
      </c>
      <c r="BK20" s="16">
        <f ca="1">'2.XDTD_S.Tr.T'!BM31</f>
        <v>0</v>
      </c>
      <c r="BL20" s="16">
        <f ca="1">'2.XDTD_S.Tr.T'!BN31</f>
        <v>0</v>
      </c>
      <c r="BM20" s="16">
        <f ca="1">'2.XDTD_S.Tr.T'!BO31</f>
        <v>0</v>
      </c>
      <c r="BN20" s="16">
        <f ca="1">'2.XDTD_S.Tr.T'!BP31</f>
        <v>0</v>
      </c>
      <c r="BO20" s="16">
        <f ca="1">'2.XDTD_S.Tr.T'!BP31</f>
        <v>0</v>
      </c>
      <c r="BP20" s="16">
        <f ca="1">'2.XDTD_S.Tr.T'!BR31</f>
        <v>0</v>
      </c>
      <c r="BQ20" s="16">
        <f ca="1">'2.XDTD_S.Tr.T'!BS31</f>
        <v>0</v>
      </c>
      <c r="BR20" s="16">
        <f ca="1">'2.XDTD_S.Tr.T'!BT31</f>
        <v>0</v>
      </c>
      <c r="BS20" s="16">
        <f ca="1">'2.XDTD_S.Tr.T'!BU31</f>
        <v>0</v>
      </c>
      <c r="BT20" s="16">
        <f ca="1">'2.XDTD_S.Tr.T'!BV31</f>
        <v>0</v>
      </c>
      <c r="BU20" s="16">
        <f ca="1">'2.XDTD_S.Tr.T'!BW31</f>
        <v>0</v>
      </c>
      <c r="BV20" s="16">
        <f ca="1">'2.XDTD_S.Tr.T'!BX31</f>
        <v>0</v>
      </c>
      <c r="BW20" s="16">
        <f ca="1">'2.XDTD_S.Tr.T'!BY31</f>
        <v>0</v>
      </c>
      <c r="BX20" s="16">
        <f ca="1">'2.XDTD_S.Tr.T'!BZ31</f>
        <v>0</v>
      </c>
      <c r="BY20" s="16">
        <f ca="1">'2.XDTD_S.Tr.T'!CA31</f>
        <v>0</v>
      </c>
      <c r="BZ20" s="16">
        <f ca="1">'2.XDTD_S.Tr.T'!CB31</f>
        <v>0</v>
      </c>
      <c r="CA20" s="16">
        <f ca="1">'2.XDTD_S.Tr.T'!CC31</f>
        <v>0</v>
      </c>
      <c r="CB20" s="16">
        <f ca="1">'2.XDTD_S.Tr.T'!CD31</f>
        <v>0</v>
      </c>
      <c r="CC20" s="16">
        <f ca="1">'2.XDTD_S.Tr.T'!CE31</f>
        <v>0</v>
      </c>
      <c r="CD20" s="16">
        <f ca="1">'2.XDTD_S.Tr.T'!CF31</f>
        <v>0</v>
      </c>
      <c r="CE20" s="16">
        <f ca="1">'2.XDTD_S.Tr.T'!CG31</f>
        <v>0</v>
      </c>
      <c r="CF20" s="16">
        <f ca="1">'2.XDTD_S.Tr.T'!CH31</f>
        <v>0</v>
      </c>
      <c r="CG20" s="16">
        <f ca="1">'2.XDTD_S.Tr.T'!CI31</f>
        <v>0</v>
      </c>
      <c r="CH20" s="16">
        <f ca="1">'2.XDTD_S.Tr.T'!CJ31</f>
        <v>0</v>
      </c>
      <c r="CI20" s="16">
        <f ca="1">'2.XDTD_S.Tr.T'!CK31</f>
        <v>0</v>
      </c>
      <c r="CJ20" s="16">
        <f ca="1">'2.XDTD_S.Tr.T'!CL31</f>
        <v>0</v>
      </c>
      <c r="CK20" s="16">
        <f ca="1">'2.XDTD_S.Tr.T'!CM31</f>
        <v>0</v>
      </c>
      <c r="CL20" s="16">
        <f ca="1">'2.XDTD_S.Tr.T'!CN31</f>
        <v>0</v>
      </c>
      <c r="CM20" s="16">
        <f ca="1">'2.XDTD_S.Tr.T'!CO31</f>
        <v>0</v>
      </c>
      <c r="CN20" s="16">
        <f ca="1">'2.XDTD_S.Tr.T'!CP31</f>
        <v>0</v>
      </c>
      <c r="CO20" s="16">
        <f ca="1">'2.XDTD_S.Tr.T'!CP31</f>
        <v>0</v>
      </c>
    </row>
    <row r="21" spans="3:93" ht="19.95" customHeight="1">
      <c r="C21" s="5"/>
      <c r="D21" s="11" t="str">
        <f>'2.XDTD_S.Tr.T'!F32</f>
        <v>Mỡ lợn nước</v>
      </c>
      <c r="E21" s="7" t="e">
        <f ca="1">'2.XDTD_S.Tr.T'!G32</f>
        <v>#NAME?</v>
      </c>
      <c r="F21" s="8">
        <f>'2.XDTD_S.Tr.T'!H32</f>
        <v>5.5</v>
      </c>
      <c r="G21" s="9">
        <f ca="1">'2.XDTD_S.Tr.T'!I32</f>
        <v>0</v>
      </c>
      <c r="H21" s="10">
        <f ca="1">'2.XDTD_S.Tr.T'!J32</f>
        <v>0</v>
      </c>
      <c r="I21" s="9">
        <f ca="1">'2.XDTD_S.Tr.T'!K32</f>
        <v>0</v>
      </c>
      <c r="J21" s="13" t="e">
        <f ca="1">'2.XDTD_S.Tr.T'!L32</f>
        <v>#NAME?</v>
      </c>
      <c r="K21" s="13" t="e">
        <f ca="1">'2.XDTD_S.Tr.T'!M32</f>
        <v>#NAME?</v>
      </c>
      <c r="L21" s="9">
        <f ca="1">'2.XDTD_S.Tr.T'!N32</f>
        <v>0</v>
      </c>
      <c r="M21" s="14" t="e">
        <f ca="1">'2.XDTD_S.Tr.T'!O32</f>
        <v>#NAME?</v>
      </c>
      <c r="N21" s="14" t="e">
        <f ca="1">'2.XDTD_S.Tr.T'!P32</f>
        <v>#NAME?</v>
      </c>
      <c r="O21" s="9" t="e">
        <f ca="1">'2.XDTD_S.Tr.T'!P32</f>
        <v>#NAME?</v>
      </c>
      <c r="P21" s="15">
        <f ca="1">'2.XDTD_S.Tr.T'!R32</f>
        <v>0</v>
      </c>
      <c r="Q21" s="16">
        <f ca="1">'2.XDTD_S.Tr.T'!S32</f>
        <v>0</v>
      </c>
      <c r="R21" s="16">
        <f ca="1">'2.XDTD_S.Tr.T'!T32</f>
        <v>0</v>
      </c>
      <c r="S21" s="16">
        <f ca="1">'2.XDTD_S.Tr.T'!U32</f>
        <v>0</v>
      </c>
      <c r="T21" s="16">
        <f ca="1">'2.XDTD_S.Tr.T'!V32</f>
        <v>0</v>
      </c>
      <c r="U21" s="16">
        <f ca="1">'2.XDTD_S.Tr.T'!W32</f>
        <v>0</v>
      </c>
      <c r="V21" s="16">
        <f ca="1">'2.XDTD_S.Tr.T'!X32</f>
        <v>0</v>
      </c>
      <c r="W21" s="16">
        <f ca="1">'2.XDTD_S.Tr.T'!Y32</f>
        <v>0</v>
      </c>
      <c r="X21" s="16">
        <f ca="1">'2.XDTD_S.Tr.T'!Z32</f>
        <v>0</v>
      </c>
      <c r="Y21" s="16">
        <f ca="1">'2.XDTD_S.Tr.T'!AA32</f>
        <v>0</v>
      </c>
      <c r="Z21" s="16">
        <f ca="1">'2.XDTD_S.Tr.T'!AB32</f>
        <v>0</v>
      </c>
      <c r="AA21" s="16">
        <f ca="1">'2.XDTD_S.Tr.T'!AC32</f>
        <v>0</v>
      </c>
      <c r="AB21" s="16">
        <f ca="1">'2.XDTD_S.Tr.T'!AD32</f>
        <v>0</v>
      </c>
      <c r="AC21" s="16">
        <f ca="1">'2.XDTD_S.Tr.T'!AE32</f>
        <v>0</v>
      </c>
      <c r="AD21" s="16">
        <f ca="1">'2.XDTD_S.Tr.T'!AF32</f>
        <v>0</v>
      </c>
      <c r="AE21" s="16">
        <f ca="1">'2.XDTD_S.Tr.T'!AG32</f>
        <v>0</v>
      </c>
      <c r="AF21" s="16">
        <f ca="1">'2.XDTD_S.Tr.T'!AH32</f>
        <v>0</v>
      </c>
      <c r="AG21" s="16">
        <f ca="1">'2.XDTD_S.Tr.T'!AI32</f>
        <v>0</v>
      </c>
      <c r="AH21" s="16">
        <f ca="1">'2.XDTD_S.Tr.T'!AJ32</f>
        <v>0</v>
      </c>
      <c r="AI21" s="16">
        <f ca="1">'2.XDTD_S.Tr.T'!AK32</f>
        <v>0</v>
      </c>
      <c r="AJ21" s="16">
        <f ca="1">'2.XDTD_S.Tr.T'!AL32</f>
        <v>0</v>
      </c>
      <c r="AK21" s="16">
        <f ca="1">'2.XDTD_S.Tr.T'!AM32</f>
        <v>0</v>
      </c>
      <c r="AL21" s="16">
        <f ca="1">'2.XDTD_S.Tr.T'!AN32</f>
        <v>0</v>
      </c>
      <c r="AM21" s="16">
        <f ca="1">'2.XDTD_S.Tr.T'!AO32</f>
        <v>0</v>
      </c>
      <c r="AN21" s="16">
        <f ca="1">'2.XDTD_S.Tr.T'!AP32</f>
        <v>0</v>
      </c>
      <c r="AO21" s="16">
        <f ca="1">'2.XDTD_S.Tr.T'!AP32</f>
        <v>0</v>
      </c>
      <c r="AP21" s="16">
        <f ca="1">'2.XDTD_S.Tr.T'!AR32</f>
        <v>0</v>
      </c>
      <c r="AQ21" s="16">
        <f ca="1">'2.XDTD_S.Tr.T'!AS32</f>
        <v>0</v>
      </c>
      <c r="AR21" s="16">
        <f ca="1">'2.XDTD_S.Tr.T'!AT32</f>
        <v>0</v>
      </c>
      <c r="AS21" s="16">
        <f ca="1">'2.XDTD_S.Tr.T'!AU32</f>
        <v>0</v>
      </c>
      <c r="AT21" s="16">
        <f ca="1">'2.XDTD_S.Tr.T'!AV32</f>
        <v>0</v>
      </c>
      <c r="AU21" s="16">
        <f ca="1">'2.XDTD_S.Tr.T'!AW32</f>
        <v>0</v>
      </c>
      <c r="AV21" s="16">
        <f ca="1">'2.XDTD_S.Tr.T'!AX32</f>
        <v>0</v>
      </c>
      <c r="AW21" s="16">
        <f ca="1">'2.XDTD_S.Tr.T'!AY32</f>
        <v>0</v>
      </c>
      <c r="AX21" s="16">
        <f ca="1">'2.XDTD_S.Tr.T'!AZ32</f>
        <v>0</v>
      </c>
      <c r="AY21" s="16">
        <f ca="1">'2.XDTD_S.Tr.T'!BA32</f>
        <v>0</v>
      </c>
      <c r="AZ21" s="16">
        <f ca="1">'2.XDTD_S.Tr.T'!BB32</f>
        <v>0</v>
      </c>
      <c r="BA21" s="16">
        <f ca="1">'2.XDTD_S.Tr.T'!BC32</f>
        <v>0</v>
      </c>
      <c r="BB21" s="16">
        <f ca="1">'2.XDTD_S.Tr.T'!BD32</f>
        <v>0</v>
      </c>
      <c r="BC21" s="16">
        <f ca="1">'2.XDTD_S.Tr.T'!BE32</f>
        <v>0</v>
      </c>
      <c r="BD21" s="16">
        <f ca="1">'2.XDTD_S.Tr.T'!BF32</f>
        <v>0</v>
      </c>
      <c r="BE21" s="16">
        <f ca="1">'2.XDTD_S.Tr.T'!BG32</f>
        <v>0</v>
      </c>
      <c r="BF21" s="16">
        <f ca="1">'2.XDTD_S.Tr.T'!BH32</f>
        <v>0</v>
      </c>
      <c r="BG21" s="16">
        <f ca="1">'2.XDTD_S.Tr.T'!BI32</f>
        <v>0</v>
      </c>
      <c r="BH21" s="16">
        <f ca="1">'2.XDTD_S.Tr.T'!BJ32</f>
        <v>0</v>
      </c>
      <c r="BI21" s="16">
        <f ca="1">'2.XDTD_S.Tr.T'!BK32</f>
        <v>0</v>
      </c>
      <c r="BJ21" s="16">
        <f ca="1">'2.XDTD_S.Tr.T'!BL32</f>
        <v>0</v>
      </c>
      <c r="BK21" s="16">
        <f ca="1">'2.XDTD_S.Tr.T'!BM32</f>
        <v>0</v>
      </c>
      <c r="BL21" s="16">
        <f ca="1">'2.XDTD_S.Tr.T'!BN32</f>
        <v>0</v>
      </c>
      <c r="BM21" s="16">
        <f ca="1">'2.XDTD_S.Tr.T'!BO32</f>
        <v>0</v>
      </c>
      <c r="BN21" s="16">
        <f ca="1">'2.XDTD_S.Tr.T'!BP32</f>
        <v>0</v>
      </c>
      <c r="BO21" s="16">
        <f ca="1">'2.XDTD_S.Tr.T'!BP32</f>
        <v>0</v>
      </c>
      <c r="BP21" s="16">
        <f ca="1">'2.XDTD_S.Tr.T'!BR32</f>
        <v>0</v>
      </c>
      <c r="BQ21" s="16">
        <f ca="1">'2.XDTD_S.Tr.T'!BS32</f>
        <v>0</v>
      </c>
      <c r="BR21" s="16">
        <f ca="1">'2.XDTD_S.Tr.T'!BT32</f>
        <v>0</v>
      </c>
      <c r="BS21" s="16">
        <f ca="1">'2.XDTD_S.Tr.T'!BU32</f>
        <v>0</v>
      </c>
      <c r="BT21" s="16">
        <f ca="1">'2.XDTD_S.Tr.T'!BV32</f>
        <v>0</v>
      </c>
      <c r="BU21" s="16">
        <f ca="1">'2.XDTD_S.Tr.T'!BW32</f>
        <v>0</v>
      </c>
      <c r="BV21" s="16">
        <f ca="1">'2.XDTD_S.Tr.T'!BX32</f>
        <v>0</v>
      </c>
      <c r="BW21" s="16">
        <f ca="1">'2.XDTD_S.Tr.T'!BY32</f>
        <v>0</v>
      </c>
      <c r="BX21" s="16">
        <f ca="1">'2.XDTD_S.Tr.T'!BZ32</f>
        <v>0</v>
      </c>
      <c r="BY21" s="16">
        <f ca="1">'2.XDTD_S.Tr.T'!CA32</f>
        <v>0</v>
      </c>
      <c r="BZ21" s="16">
        <f ca="1">'2.XDTD_S.Tr.T'!CB32</f>
        <v>0</v>
      </c>
      <c r="CA21" s="16">
        <f ca="1">'2.XDTD_S.Tr.T'!CC32</f>
        <v>0</v>
      </c>
      <c r="CB21" s="16">
        <f ca="1">'2.XDTD_S.Tr.T'!CD32</f>
        <v>0</v>
      </c>
      <c r="CC21" s="16">
        <f ca="1">'2.XDTD_S.Tr.T'!CE32</f>
        <v>0</v>
      </c>
      <c r="CD21" s="16">
        <f ca="1">'2.XDTD_S.Tr.T'!CF32</f>
        <v>0</v>
      </c>
      <c r="CE21" s="16">
        <f ca="1">'2.XDTD_S.Tr.T'!CG32</f>
        <v>0</v>
      </c>
      <c r="CF21" s="16">
        <f ca="1">'2.XDTD_S.Tr.T'!CH32</f>
        <v>0</v>
      </c>
      <c r="CG21" s="16">
        <f ca="1">'2.XDTD_S.Tr.T'!CI32</f>
        <v>0</v>
      </c>
      <c r="CH21" s="16">
        <f ca="1">'2.XDTD_S.Tr.T'!CJ32</f>
        <v>0</v>
      </c>
      <c r="CI21" s="16">
        <f ca="1">'2.XDTD_S.Tr.T'!CK32</f>
        <v>0</v>
      </c>
      <c r="CJ21" s="16">
        <f ca="1">'2.XDTD_S.Tr.T'!CL32</f>
        <v>0</v>
      </c>
      <c r="CK21" s="16">
        <f ca="1">'2.XDTD_S.Tr.T'!CM32</f>
        <v>0</v>
      </c>
      <c r="CL21" s="16">
        <f ca="1">'2.XDTD_S.Tr.T'!CN32</f>
        <v>0</v>
      </c>
      <c r="CM21" s="16">
        <f ca="1">'2.XDTD_S.Tr.T'!CO32</f>
        <v>0</v>
      </c>
      <c r="CN21" s="16">
        <f ca="1">'2.XDTD_S.Tr.T'!CP32</f>
        <v>0</v>
      </c>
      <c r="CO21" s="16">
        <f ca="1">'2.XDTD_S.Tr.T'!CP32</f>
        <v>0</v>
      </c>
    </row>
    <row r="22" spans="3:93" ht="19.95" hidden="1" customHeight="1">
      <c r="C22" s="5"/>
      <c r="D22" s="11">
        <f>'2.XDTD_S.Tr.T'!F33</f>
        <v>0</v>
      </c>
      <c r="E22" s="7">
        <f>'2.XDTD_S.Tr.T'!G33</f>
        <v>0</v>
      </c>
      <c r="F22" s="8">
        <f>'2.XDTD_S.Tr.T'!H33</f>
        <v>0</v>
      </c>
      <c r="G22" s="9">
        <f ca="1">'2.XDTD_S.Tr.T'!I33</f>
        <v>0</v>
      </c>
      <c r="H22" s="10">
        <f ca="1">'2.XDTD_S.Tr.T'!J33</f>
        <v>0</v>
      </c>
      <c r="I22" s="9">
        <f ca="1">'2.XDTD_S.Tr.T'!K33</f>
        <v>0</v>
      </c>
      <c r="J22" s="13">
        <f>'2.XDTD_S.Tr.T'!L33</f>
        <v>0</v>
      </c>
      <c r="K22" s="13">
        <f>'2.XDTD_S.Tr.T'!M33</f>
        <v>0</v>
      </c>
      <c r="L22" s="9">
        <f ca="1">'2.XDTD_S.Tr.T'!N33</f>
        <v>0</v>
      </c>
      <c r="M22" s="14">
        <f>'2.XDTD_S.Tr.T'!O33</f>
        <v>0</v>
      </c>
      <c r="N22" s="14">
        <f>'2.XDTD_S.Tr.T'!P33</f>
        <v>0</v>
      </c>
      <c r="O22" s="9">
        <f>'2.XDTD_S.Tr.T'!P33</f>
        <v>0</v>
      </c>
      <c r="P22" s="15">
        <f ca="1">'2.XDTD_S.Tr.T'!R33</f>
        <v>0</v>
      </c>
      <c r="Q22" s="16">
        <f ca="1">'2.XDTD_S.Tr.T'!S33</f>
        <v>0</v>
      </c>
      <c r="R22" s="16">
        <f ca="1">'2.XDTD_S.Tr.T'!T33</f>
        <v>0</v>
      </c>
      <c r="S22" s="16">
        <f ca="1">'2.XDTD_S.Tr.T'!U33</f>
        <v>0</v>
      </c>
      <c r="T22" s="16">
        <f ca="1">'2.XDTD_S.Tr.T'!V33</f>
        <v>0</v>
      </c>
      <c r="U22" s="16">
        <f ca="1">'2.XDTD_S.Tr.T'!W33</f>
        <v>0</v>
      </c>
      <c r="V22" s="16">
        <f ca="1">'2.XDTD_S.Tr.T'!X33</f>
        <v>0</v>
      </c>
      <c r="W22" s="16">
        <f ca="1">'2.XDTD_S.Tr.T'!Y33</f>
        <v>0</v>
      </c>
      <c r="X22" s="16">
        <f ca="1">'2.XDTD_S.Tr.T'!Z33</f>
        <v>0</v>
      </c>
      <c r="Y22" s="16">
        <f ca="1">'2.XDTD_S.Tr.T'!AA33</f>
        <v>0</v>
      </c>
      <c r="Z22" s="16">
        <f ca="1">'2.XDTD_S.Tr.T'!AB33</f>
        <v>0</v>
      </c>
      <c r="AA22" s="16">
        <f ca="1">'2.XDTD_S.Tr.T'!AC33</f>
        <v>0</v>
      </c>
      <c r="AB22" s="16">
        <f ca="1">'2.XDTD_S.Tr.T'!AD33</f>
        <v>0</v>
      </c>
      <c r="AC22" s="16">
        <f ca="1">'2.XDTD_S.Tr.T'!AE33</f>
        <v>0</v>
      </c>
      <c r="AD22" s="16">
        <f ca="1">'2.XDTD_S.Tr.T'!AF33</f>
        <v>0</v>
      </c>
      <c r="AE22" s="16">
        <f ca="1">'2.XDTD_S.Tr.T'!AG33</f>
        <v>0</v>
      </c>
      <c r="AF22" s="16">
        <f ca="1">'2.XDTD_S.Tr.T'!AH33</f>
        <v>0</v>
      </c>
      <c r="AG22" s="16">
        <f ca="1">'2.XDTD_S.Tr.T'!AI33</f>
        <v>0</v>
      </c>
      <c r="AH22" s="16">
        <f ca="1">'2.XDTD_S.Tr.T'!AJ33</f>
        <v>0</v>
      </c>
      <c r="AI22" s="16">
        <f ca="1">'2.XDTD_S.Tr.T'!AK33</f>
        <v>0</v>
      </c>
      <c r="AJ22" s="16">
        <f ca="1">'2.XDTD_S.Tr.T'!AL33</f>
        <v>0</v>
      </c>
      <c r="AK22" s="16">
        <f ca="1">'2.XDTD_S.Tr.T'!AM33</f>
        <v>0</v>
      </c>
      <c r="AL22" s="16">
        <f ca="1">'2.XDTD_S.Tr.T'!AN33</f>
        <v>0</v>
      </c>
      <c r="AM22" s="16">
        <f ca="1">'2.XDTD_S.Tr.T'!AO33</f>
        <v>0</v>
      </c>
      <c r="AN22" s="16">
        <f ca="1">'2.XDTD_S.Tr.T'!AP33</f>
        <v>0</v>
      </c>
      <c r="AO22" s="16">
        <f ca="1">'2.XDTD_S.Tr.T'!AP33</f>
        <v>0</v>
      </c>
      <c r="AP22" s="16">
        <f ca="1">'2.XDTD_S.Tr.T'!AR33</f>
        <v>0</v>
      </c>
      <c r="AQ22" s="16">
        <f ca="1">'2.XDTD_S.Tr.T'!AS33</f>
        <v>0</v>
      </c>
      <c r="AR22" s="16">
        <f ca="1">'2.XDTD_S.Tr.T'!AT33</f>
        <v>0</v>
      </c>
      <c r="AS22" s="16">
        <f ca="1">'2.XDTD_S.Tr.T'!AU33</f>
        <v>0</v>
      </c>
      <c r="AT22" s="16">
        <f ca="1">'2.XDTD_S.Tr.T'!AV33</f>
        <v>0</v>
      </c>
      <c r="AU22" s="16">
        <f ca="1">'2.XDTD_S.Tr.T'!AW33</f>
        <v>0</v>
      </c>
      <c r="AV22" s="16">
        <f ca="1">'2.XDTD_S.Tr.T'!AX33</f>
        <v>0</v>
      </c>
      <c r="AW22" s="16">
        <f ca="1">'2.XDTD_S.Tr.T'!AY33</f>
        <v>0</v>
      </c>
      <c r="AX22" s="16">
        <f ca="1">'2.XDTD_S.Tr.T'!AZ33</f>
        <v>0</v>
      </c>
      <c r="AY22" s="16">
        <f ca="1">'2.XDTD_S.Tr.T'!BA33</f>
        <v>0</v>
      </c>
      <c r="AZ22" s="16">
        <f ca="1">'2.XDTD_S.Tr.T'!BB33</f>
        <v>0</v>
      </c>
      <c r="BA22" s="16">
        <f ca="1">'2.XDTD_S.Tr.T'!BC33</f>
        <v>0</v>
      </c>
      <c r="BB22" s="16">
        <f ca="1">'2.XDTD_S.Tr.T'!BD33</f>
        <v>0</v>
      </c>
      <c r="BC22" s="16">
        <f ca="1">'2.XDTD_S.Tr.T'!BE33</f>
        <v>0</v>
      </c>
      <c r="BD22" s="16">
        <f ca="1">'2.XDTD_S.Tr.T'!BF33</f>
        <v>0</v>
      </c>
      <c r="BE22" s="16">
        <f ca="1">'2.XDTD_S.Tr.T'!BG33</f>
        <v>0</v>
      </c>
      <c r="BF22" s="16">
        <f ca="1">'2.XDTD_S.Tr.T'!BH33</f>
        <v>0</v>
      </c>
      <c r="BG22" s="16">
        <f ca="1">'2.XDTD_S.Tr.T'!BI33</f>
        <v>0</v>
      </c>
      <c r="BH22" s="16">
        <f ca="1">'2.XDTD_S.Tr.T'!BJ33</f>
        <v>0</v>
      </c>
      <c r="BI22" s="16">
        <f ca="1">'2.XDTD_S.Tr.T'!BK33</f>
        <v>0</v>
      </c>
      <c r="BJ22" s="16">
        <f ca="1">'2.XDTD_S.Tr.T'!BL33</f>
        <v>0</v>
      </c>
      <c r="BK22" s="16">
        <f ca="1">'2.XDTD_S.Tr.T'!BM33</f>
        <v>0</v>
      </c>
      <c r="BL22" s="16">
        <f ca="1">'2.XDTD_S.Tr.T'!BN33</f>
        <v>0</v>
      </c>
      <c r="BM22" s="16">
        <f ca="1">'2.XDTD_S.Tr.T'!BO33</f>
        <v>0</v>
      </c>
      <c r="BN22" s="16">
        <f ca="1">'2.XDTD_S.Tr.T'!BP33</f>
        <v>0</v>
      </c>
      <c r="BO22" s="16">
        <f ca="1">'2.XDTD_S.Tr.T'!BP33</f>
        <v>0</v>
      </c>
      <c r="BP22" s="16">
        <f ca="1">'2.XDTD_S.Tr.T'!BR33</f>
        <v>0</v>
      </c>
      <c r="BQ22" s="16">
        <f ca="1">'2.XDTD_S.Tr.T'!BS33</f>
        <v>0</v>
      </c>
      <c r="BR22" s="16">
        <f ca="1">'2.XDTD_S.Tr.T'!BT33</f>
        <v>0</v>
      </c>
      <c r="BS22" s="16">
        <f ca="1">'2.XDTD_S.Tr.T'!BU33</f>
        <v>0</v>
      </c>
      <c r="BT22" s="16">
        <f ca="1">'2.XDTD_S.Tr.T'!BV33</f>
        <v>0</v>
      </c>
      <c r="BU22" s="16">
        <f ca="1">'2.XDTD_S.Tr.T'!BW33</f>
        <v>0</v>
      </c>
      <c r="BV22" s="16">
        <f ca="1">'2.XDTD_S.Tr.T'!BX33</f>
        <v>0</v>
      </c>
      <c r="BW22" s="16">
        <f ca="1">'2.XDTD_S.Tr.T'!BY33</f>
        <v>0</v>
      </c>
      <c r="BX22" s="16">
        <f ca="1">'2.XDTD_S.Tr.T'!BZ33</f>
        <v>0</v>
      </c>
      <c r="BY22" s="16">
        <f ca="1">'2.XDTD_S.Tr.T'!CA33</f>
        <v>0</v>
      </c>
      <c r="BZ22" s="16">
        <f ca="1">'2.XDTD_S.Tr.T'!CB33</f>
        <v>0</v>
      </c>
      <c r="CA22" s="16">
        <f ca="1">'2.XDTD_S.Tr.T'!CC33</f>
        <v>0</v>
      </c>
      <c r="CB22" s="16">
        <f ca="1">'2.XDTD_S.Tr.T'!CD33</f>
        <v>0</v>
      </c>
      <c r="CC22" s="16">
        <f ca="1">'2.XDTD_S.Tr.T'!CE33</f>
        <v>0</v>
      </c>
      <c r="CD22" s="16">
        <f ca="1">'2.XDTD_S.Tr.T'!CF33</f>
        <v>0</v>
      </c>
      <c r="CE22" s="16">
        <f ca="1">'2.XDTD_S.Tr.T'!CG33</f>
        <v>0</v>
      </c>
      <c r="CF22" s="16">
        <f ca="1">'2.XDTD_S.Tr.T'!CH33</f>
        <v>0</v>
      </c>
      <c r="CG22" s="16">
        <f ca="1">'2.XDTD_S.Tr.T'!CI33</f>
        <v>0</v>
      </c>
      <c r="CH22" s="16">
        <f ca="1">'2.XDTD_S.Tr.T'!CJ33</f>
        <v>0</v>
      </c>
      <c r="CI22" s="16">
        <f ca="1">'2.XDTD_S.Tr.T'!CK33</f>
        <v>0</v>
      </c>
      <c r="CJ22" s="16">
        <f ca="1">'2.XDTD_S.Tr.T'!CL33</f>
        <v>0</v>
      </c>
      <c r="CK22" s="16">
        <f ca="1">'2.XDTD_S.Tr.T'!CM33</f>
        <v>0</v>
      </c>
      <c r="CL22" s="16">
        <f ca="1">'2.XDTD_S.Tr.T'!CN33</f>
        <v>0</v>
      </c>
      <c r="CM22" s="16">
        <f ca="1">'2.XDTD_S.Tr.T'!CO33</f>
        <v>0</v>
      </c>
      <c r="CN22" s="16">
        <f ca="1">'2.XDTD_S.Tr.T'!CP33</f>
        <v>0</v>
      </c>
      <c r="CO22" s="16">
        <f ca="1">'2.XDTD_S.Tr.T'!CP33</f>
        <v>0</v>
      </c>
    </row>
    <row r="23" spans="3:93" ht="19.95" customHeight="1">
      <c r="C23" s="5"/>
      <c r="D23" s="11" t="str">
        <f>'2.XDTD_S.Tr.T'!F34</f>
        <v>Sữa đậu nành (100g đậu/lít)</v>
      </c>
      <c r="E23" s="7" t="e">
        <f ca="1">'2.XDTD_S.Tr.T'!G34</f>
        <v>#NAME?</v>
      </c>
      <c r="F23" s="8">
        <f>'2.XDTD_S.Tr.T'!H34</f>
        <v>200</v>
      </c>
      <c r="G23" s="9">
        <f ca="1">'2.XDTD_S.Tr.T'!I34</f>
        <v>0</v>
      </c>
      <c r="H23" s="10">
        <f ca="1">'2.XDTD_S.Tr.T'!J34</f>
        <v>0</v>
      </c>
      <c r="I23" s="9">
        <f ca="1">'2.XDTD_S.Tr.T'!K34</f>
        <v>0</v>
      </c>
      <c r="J23" s="13" t="e">
        <f ca="1">'2.XDTD_S.Tr.T'!L34</f>
        <v>#NAME?</v>
      </c>
      <c r="K23" s="13" t="e">
        <f ca="1">'2.XDTD_S.Tr.T'!M34</f>
        <v>#NAME?</v>
      </c>
      <c r="L23" s="9">
        <f ca="1">'2.XDTD_S.Tr.T'!N34</f>
        <v>0</v>
      </c>
      <c r="M23" s="14" t="e">
        <f ca="1">'2.XDTD_S.Tr.T'!O34</f>
        <v>#NAME?</v>
      </c>
      <c r="N23" s="14" t="e">
        <f ca="1">'2.XDTD_S.Tr.T'!P34</f>
        <v>#NAME?</v>
      </c>
      <c r="O23" s="9" t="e">
        <f ca="1">'2.XDTD_S.Tr.T'!P34</f>
        <v>#NAME?</v>
      </c>
      <c r="P23" s="15">
        <f ca="1">'2.XDTD_S.Tr.T'!R34</f>
        <v>0</v>
      </c>
      <c r="Q23" s="16">
        <f ca="1">'2.XDTD_S.Tr.T'!S34</f>
        <v>0</v>
      </c>
      <c r="R23" s="16">
        <f ca="1">'2.XDTD_S.Tr.T'!T34</f>
        <v>0</v>
      </c>
      <c r="S23" s="16">
        <f ca="1">'2.XDTD_S.Tr.T'!U34</f>
        <v>0</v>
      </c>
      <c r="T23" s="16">
        <f ca="1">'2.XDTD_S.Tr.T'!V34</f>
        <v>0</v>
      </c>
      <c r="U23" s="16">
        <f ca="1">'2.XDTD_S.Tr.T'!W34</f>
        <v>0</v>
      </c>
      <c r="V23" s="16">
        <f ca="1">'2.XDTD_S.Tr.T'!X34</f>
        <v>0</v>
      </c>
      <c r="W23" s="16">
        <f ca="1">'2.XDTD_S.Tr.T'!Y34</f>
        <v>0</v>
      </c>
      <c r="X23" s="16">
        <f ca="1">'2.XDTD_S.Tr.T'!Z34</f>
        <v>0</v>
      </c>
      <c r="Y23" s="16">
        <f ca="1">'2.XDTD_S.Tr.T'!AA34</f>
        <v>0</v>
      </c>
      <c r="Z23" s="16">
        <f ca="1">'2.XDTD_S.Tr.T'!AB34</f>
        <v>0</v>
      </c>
      <c r="AA23" s="16">
        <f ca="1">'2.XDTD_S.Tr.T'!AC34</f>
        <v>0</v>
      </c>
      <c r="AB23" s="16">
        <f ca="1">'2.XDTD_S.Tr.T'!AD34</f>
        <v>0</v>
      </c>
      <c r="AC23" s="16">
        <f ca="1">'2.XDTD_S.Tr.T'!AE34</f>
        <v>0</v>
      </c>
      <c r="AD23" s="16">
        <f ca="1">'2.XDTD_S.Tr.T'!AF34</f>
        <v>0</v>
      </c>
      <c r="AE23" s="16">
        <f ca="1">'2.XDTD_S.Tr.T'!AG34</f>
        <v>0</v>
      </c>
      <c r="AF23" s="16">
        <f ca="1">'2.XDTD_S.Tr.T'!AH34</f>
        <v>0</v>
      </c>
      <c r="AG23" s="16">
        <f ca="1">'2.XDTD_S.Tr.T'!AI34</f>
        <v>0</v>
      </c>
      <c r="AH23" s="16">
        <f ca="1">'2.XDTD_S.Tr.T'!AJ34</f>
        <v>0</v>
      </c>
      <c r="AI23" s="16">
        <f ca="1">'2.XDTD_S.Tr.T'!AK34</f>
        <v>0</v>
      </c>
      <c r="AJ23" s="16">
        <f ca="1">'2.XDTD_S.Tr.T'!AL34</f>
        <v>0</v>
      </c>
      <c r="AK23" s="16">
        <f ca="1">'2.XDTD_S.Tr.T'!AM34</f>
        <v>0</v>
      </c>
      <c r="AL23" s="16">
        <f ca="1">'2.XDTD_S.Tr.T'!AN34</f>
        <v>0</v>
      </c>
      <c r="AM23" s="16">
        <f ca="1">'2.XDTD_S.Tr.T'!AO34</f>
        <v>0</v>
      </c>
      <c r="AN23" s="16">
        <f ca="1">'2.XDTD_S.Tr.T'!AP34</f>
        <v>0</v>
      </c>
      <c r="AO23" s="16">
        <f ca="1">'2.XDTD_S.Tr.T'!AP34</f>
        <v>0</v>
      </c>
      <c r="AP23" s="16">
        <f ca="1">'2.XDTD_S.Tr.T'!AR34</f>
        <v>0</v>
      </c>
      <c r="AQ23" s="16">
        <f ca="1">'2.XDTD_S.Tr.T'!AS34</f>
        <v>0</v>
      </c>
      <c r="AR23" s="16">
        <f ca="1">'2.XDTD_S.Tr.T'!AT34</f>
        <v>0</v>
      </c>
      <c r="AS23" s="16">
        <f ca="1">'2.XDTD_S.Tr.T'!AU34</f>
        <v>0</v>
      </c>
      <c r="AT23" s="16">
        <f ca="1">'2.XDTD_S.Tr.T'!AV34</f>
        <v>0</v>
      </c>
      <c r="AU23" s="16">
        <f ca="1">'2.XDTD_S.Tr.T'!AW34</f>
        <v>0</v>
      </c>
      <c r="AV23" s="16">
        <f ca="1">'2.XDTD_S.Tr.T'!AX34</f>
        <v>0</v>
      </c>
      <c r="AW23" s="16">
        <f ca="1">'2.XDTD_S.Tr.T'!AY34</f>
        <v>0</v>
      </c>
      <c r="AX23" s="16">
        <f ca="1">'2.XDTD_S.Tr.T'!AZ34</f>
        <v>0</v>
      </c>
      <c r="AY23" s="16">
        <f ca="1">'2.XDTD_S.Tr.T'!BA34</f>
        <v>0</v>
      </c>
      <c r="AZ23" s="16">
        <f ca="1">'2.XDTD_S.Tr.T'!BB34</f>
        <v>0</v>
      </c>
      <c r="BA23" s="16">
        <f ca="1">'2.XDTD_S.Tr.T'!BC34</f>
        <v>0</v>
      </c>
      <c r="BB23" s="16">
        <f ca="1">'2.XDTD_S.Tr.T'!BD34</f>
        <v>0</v>
      </c>
      <c r="BC23" s="16">
        <f ca="1">'2.XDTD_S.Tr.T'!BE34</f>
        <v>0</v>
      </c>
      <c r="BD23" s="16">
        <f ca="1">'2.XDTD_S.Tr.T'!BF34</f>
        <v>0</v>
      </c>
      <c r="BE23" s="16">
        <f ca="1">'2.XDTD_S.Tr.T'!BG34</f>
        <v>0</v>
      </c>
      <c r="BF23" s="16">
        <f ca="1">'2.XDTD_S.Tr.T'!BH34</f>
        <v>0</v>
      </c>
      <c r="BG23" s="16">
        <f ca="1">'2.XDTD_S.Tr.T'!BI34</f>
        <v>0</v>
      </c>
      <c r="BH23" s="16">
        <f ca="1">'2.XDTD_S.Tr.T'!BJ34</f>
        <v>0</v>
      </c>
      <c r="BI23" s="16">
        <f ca="1">'2.XDTD_S.Tr.T'!BK34</f>
        <v>0</v>
      </c>
      <c r="BJ23" s="16">
        <f ca="1">'2.XDTD_S.Tr.T'!BL34</f>
        <v>0</v>
      </c>
      <c r="BK23" s="16">
        <f ca="1">'2.XDTD_S.Tr.T'!BM34</f>
        <v>0</v>
      </c>
      <c r="BL23" s="16">
        <f ca="1">'2.XDTD_S.Tr.T'!BN34</f>
        <v>0</v>
      </c>
      <c r="BM23" s="16">
        <f ca="1">'2.XDTD_S.Tr.T'!BO34</f>
        <v>0</v>
      </c>
      <c r="BN23" s="16">
        <f ca="1">'2.XDTD_S.Tr.T'!BP34</f>
        <v>0</v>
      </c>
      <c r="BO23" s="16">
        <f ca="1">'2.XDTD_S.Tr.T'!BP34</f>
        <v>0</v>
      </c>
      <c r="BP23" s="16">
        <f ca="1">'2.XDTD_S.Tr.T'!BR34</f>
        <v>0</v>
      </c>
      <c r="BQ23" s="16">
        <f ca="1">'2.XDTD_S.Tr.T'!BS34</f>
        <v>0</v>
      </c>
      <c r="BR23" s="16">
        <f ca="1">'2.XDTD_S.Tr.T'!BT34</f>
        <v>0</v>
      </c>
      <c r="BS23" s="16">
        <f ca="1">'2.XDTD_S.Tr.T'!BU34</f>
        <v>0</v>
      </c>
      <c r="BT23" s="16">
        <f ca="1">'2.XDTD_S.Tr.T'!BV34</f>
        <v>0</v>
      </c>
      <c r="BU23" s="16">
        <f ca="1">'2.XDTD_S.Tr.T'!BW34</f>
        <v>0</v>
      </c>
      <c r="BV23" s="16">
        <f ca="1">'2.XDTD_S.Tr.T'!BX34</f>
        <v>0</v>
      </c>
      <c r="BW23" s="16">
        <f ca="1">'2.XDTD_S.Tr.T'!BY34</f>
        <v>0</v>
      </c>
      <c r="BX23" s="16">
        <f ca="1">'2.XDTD_S.Tr.T'!BZ34</f>
        <v>0</v>
      </c>
      <c r="BY23" s="16">
        <f ca="1">'2.XDTD_S.Tr.T'!CA34</f>
        <v>0</v>
      </c>
      <c r="BZ23" s="16">
        <f ca="1">'2.XDTD_S.Tr.T'!CB34</f>
        <v>0</v>
      </c>
      <c r="CA23" s="16">
        <f ca="1">'2.XDTD_S.Tr.T'!CC34</f>
        <v>0</v>
      </c>
      <c r="CB23" s="16">
        <f ca="1">'2.XDTD_S.Tr.T'!CD34</f>
        <v>0</v>
      </c>
      <c r="CC23" s="16">
        <f ca="1">'2.XDTD_S.Tr.T'!CE34</f>
        <v>0</v>
      </c>
      <c r="CD23" s="16">
        <f ca="1">'2.XDTD_S.Tr.T'!CF34</f>
        <v>0</v>
      </c>
      <c r="CE23" s="16">
        <f ca="1">'2.XDTD_S.Tr.T'!CG34</f>
        <v>0</v>
      </c>
      <c r="CF23" s="16">
        <f ca="1">'2.XDTD_S.Tr.T'!CH34</f>
        <v>0</v>
      </c>
      <c r="CG23" s="16">
        <f ca="1">'2.XDTD_S.Tr.T'!CI34</f>
        <v>0</v>
      </c>
      <c r="CH23" s="16">
        <f ca="1">'2.XDTD_S.Tr.T'!CJ34</f>
        <v>0</v>
      </c>
      <c r="CI23" s="16">
        <f ca="1">'2.XDTD_S.Tr.T'!CK34</f>
        <v>0</v>
      </c>
      <c r="CJ23" s="16">
        <f ca="1">'2.XDTD_S.Tr.T'!CL34</f>
        <v>0</v>
      </c>
      <c r="CK23" s="16">
        <f ca="1">'2.XDTD_S.Tr.T'!CM34</f>
        <v>0</v>
      </c>
      <c r="CL23" s="16">
        <f ca="1">'2.XDTD_S.Tr.T'!CN34</f>
        <v>0</v>
      </c>
      <c r="CM23" s="16">
        <f ca="1">'2.XDTD_S.Tr.T'!CO34</f>
        <v>0</v>
      </c>
      <c r="CN23" s="16">
        <f ca="1">'2.XDTD_S.Tr.T'!CP34</f>
        <v>0</v>
      </c>
      <c r="CO23" s="16">
        <f ca="1">'2.XDTD_S.Tr.T'!CP34</f>
        <v>0</v>
      </c>
    </row>
    <row r="24" spans="3:93" ht="19.95" hidden="1" customHeight="1">
      <c r="C24" s="5"/>
      <c r="D24" s="11">
        <f>'2.XDTD_S.Tr.T'!F35</f>
        <v>0</v>
      </c>
      <c r="E24" s="7">
        <f>'2.XDTD_S.Tr.T'!G35</f>
        <v>0</v>
      </c>
      <c r="F24" s="8">
        <f>'2.XDTD_S.Tr.T'!H35</f>
        <v>0</v>
      </c>
      <c r="G24" s="9">
        <f ca="1">'2.XDTD_S.Tr.T'!I35</f>
        <v>0</v>
      </c>
      <c r="H24" s="10">
        <f ca="1">'2.XDTD_S.Tr.T'!J35</f>
        <v>0</v>
      </c>
      <c r="I24" s="9">
        <f ca="1">'2.XDTD_S.Tr.T'!K35</f>
        <v>0</v>
      </c>
      <c r="J24" s="13">
        <f>'2.XDTD_S.Tr.T'!L35</f>
        <v>0</v>
      </c>
      <c r="K24" s="13">
        <f>'2.XDTD_S.Tr.T'!M35</f>
        <v>0</v>
      </c>
      <c r="L24" s="9">
        <f ca="1">'2.XDTD_S.Tr.T'!N35</f>
        <v>0</v>
      </c>
      <c r="M24" s="14">
        <f>'2.XDTD_S.Tr.T'!O35</f>
        <v>0</v>
      </c>
      <c r="N24" s="14">
        <f>'2.XDTD_S.Tr.T'!P35</f>
        <v>0</v>
      </c>
      <c r="O24" s="9">
        <f>'2.XDTD_S.Tr.T'!P35</f>
        <v>0</v>
      </c>
      <c r="P24" s="15">
        <f ca="1">'2.XDTD_S.Tr.T'!R35</f>
        <v>0</v>
      </c>
      <c r="Q24" s="16">
        <f ca="1">'2.XDTD_S.Tr.T'!S35</f>
        <v>0</v>
      </c>
      <c r="R24" s="16">
        <f ca="1">'2.XDTD_S.Tr.T'!T35</f>
        <v>0</v>
      </c>
      <c r="S24" s="16">
        <f ca="1">'2.XDTD_S.Tr.T'!U35</f>
        <v>0</v>
      </c>
      <c r="T24" s="16">
        <f ca="1">'2.XDTD_S.Tr.T'!V35</f>
        <v>0</v>
      </c>
      <c r="U24" s="16">
        <f ca="1">'2.XDTD_S.Tr.T'!W35</f>
        <v>0</v>
      </c>
      <c r="V24" s="16">
        <f ca="1">'2.XDTD_S.Tr.T'!X35</f>
        <v>0</v>
      </c>
      <c r="W24" s="16">
        <f ca="1">'2.XDTD_S.Tr.T'!Y35</f>
        <v>0</v>
      </c>
      <c r="X24" s="16">
        <f ca="1">'2.XDTD_S.Tr.T'!Z35</f>
        <v>0</v>
      </c>
      <c r="Y24" s="16">
        <f ca="1">'2.XDTD_S.Tr.T'!AA35</f>
        <v>0</v>
      </c>
      <c r="Z24" s="16">
        <f ca="1">'2.XDTD_S.Tr.T'!AB35</f>
        <v>0</v>
      </c>
      <c r="AA24" s="16">
        <f ca="1">'2.XDTD_S.Tr.T'!AC35</f>
        <v>0</v>
      </c>
      <c r="AB24" s="16">
        <f ca="1">'2.XDTD_S.Tr.T'!AD35</f>
        <v>0</v>
      </c>
      <c r="AC24" s="16">
        <f ca="1">'2.XDTD_S.Tr.T'!AE35</f>
        <v>0</v>
      </c>
      <c r="AD24" s="16">
        <f ca="1">'2.XDTD_S.Tr.T'!AF35</f>
        <v>0</v>
      </c>
      <c r="AE24" s="16">
        <f ca="1">'2.XDTD_S.Tr.T'!AG35</f>
        <v>0</v>
      </c>
      <c r="AF24" s="16">
        <f ca="1">'2.XDTD_S.Tr.T'!AH35</f>
        <v>0</v>
      </c>
      <c r="AG24" s="16">
        <f ca="1">'2.XDTD_S.Tr.T'!AI35</f>
        <v>0</v>
      </c>
      <c r="AH24" s="16">
        <f ca="1">'2.XDTD_S.Tr.T'!AJ35</f>
        <v>0</v>
      </c>
      <c r="AI24" s="16">
        <f ca="1">'2.XDTD_S.Tr.T'!AK35</f>
        <v>0</v>
      </c>
      <c r="AJ24" s="16">
        <f ca="1">'2.XDTD_S.Tr.T'!AL35</f>
        <v>0</v>
      </c>
      <c r="AK24" s="16">
        <f ca="1">'2.XDTD_S.Tr.T'!AM35</f>
        <v>0</v>
      </c>
      <c r="AL24" s="16">
        <f ca="1">'2.XDTD_S.Tr.T'!AN35</f>
        <v>0</v>
      </c>
      <c r="AM24" s="16">
        <f ca="1">'2.XDTD_S.Tr.T'!AO35</f>
        <v>0</v>
      </c>
      <c r="AN24" s="16">
        <f ca="1">'2.XDTD_S.Tr.T'!AP35</f>
        <v>0</v>
      </c>
      <c r="AO24" s="16">
        <f ca="1">'2.XDTD_S.Tr.T'!AP35</f>
        <v>0</v>
      </c>
      <c r="AP24" s="16">
        <f ca="1">'2.XDTD_S.Tr.T'!AR35</f>
        <v>0</v>
      </c>
      <c r="AQ24" s="16">
        <f ca="1">'2.XDTD_S.Tr.T'!AS35</f>
        <v>0</v>
      </c>
      <c r="AR24" s="16">
        <f ca="1">'2.XDTD_S.Tr.T'!AT35</f>
        <v>0</v>
      </c>
      <c r="AS24" s="16">
        <f ca="1">'2.XDTD_S.Tr.T'!AU35</f>
        <v>0</v>
      </c>
      <c r="AT24" s="16">
        <f ca="1">'2.XDTD_S.Tr.T'!AV35</f>
        <v>0</v>
      </c>
      <c r="AU24" s="16">
        <f ca="1">'2.XDTD_S.Tr.T'!AW35</f>
        <v>0</v>
      </c>
      <c r="AV24" s="16">
        <f ca="1">'2.XDTD_S.Tr.T'!AX35</f>
        <v>0</v>
      </c>
      <c r="AW24" s="16">
        <f ca="1">'2.XDTD_S.Tr.T'!AY35</f>
        <v>0</v>
      </c>
      <c r="AX24" s="16">
        <f ca="1">'2.XDTD_S.Tr.T'!AZ35</f>
        <v>0</v>
      </c>
      <c r="AY24" s="16">
        <f ca="1">'2.XDTD_S.Tr.T'!BA35</f>
        <v>0</v>
      </c>
      <c r="AZ24" s="16">
        <f ca="1">'2.XDTD_S.Tr.T'!BB35</f>
        <v>0</v>
      </c>
      <c r="BA24" s="16">
        <f ca="1">'2.XDTD_S.Tr.T'!BC35</f>
        <v>0</v>
      </c>
      <c r="BB24" s="16">
        <f ca="1">'2.XDTD_S.Tr.T'!BD35</f>
        <v>0</v>
      </c>
      <c r="BC24" s="16">
        <f ca="1">'2.XDTD_S.Tr.T'!BE35</f>
        <v>0</v>
      </c>
      <c r="BD24" s="16">
        <f ca="1">'2.XDTD_S.Tr.T'!BF35</f>
        <v>0</v>
      </c>
      <c r="BE24" s="16">
        <f ca="1">'2.XDTD_S.Tr.T'!BG35</f>
        <v>0</v>
      </c>
      <c r="BF24" s="16">
        <f ca="1">'2.XDTD_S.Tr.T'!BH35</f>
        <v>0</v>
      </c>
      <c r="BG24" s="16">
        <f ca="1">'2.XDTD_S.Tr.T'!BI35</f>
        <v>0</v>
      </c>
      <c r="BH24" s="16">
        <f ca="1">'2.XDTD_S.Tr.T'!BJ35</f>
        <v>0</v>
      </c>
      <c r="BI24" s="16">
        <f ca="1">'2.XDTD_S.Tr.T'!BK35</f>
        <v>0</v>
      </c>
      <c r="BJ24" s="16">
        <f ca="1">'2.XDTD_S.Tr.T'!BL35</f>
        <v>0</v>
      </c>
      <c r="BK24" s="16">
        <f ca="1">'2.XDTD_S.Tr.T'!BM35</f>
        <v>0</v>
      </c>
      <c r="BL24" s="16">
        <f ca="1">'2.XDTD_S.Tr.T'!BN35</f>
        <v>0</v>
      </c>
      <c r="BM24" s="16">
        <f ca="1">'2.XDTD_S.Tr.T'!BO35</f>
        <v>0</v>
      </c>
      <c r="BN24" s="16">
        <f ca="1">'2.XDTD_S.Tr.T'!BP35</f>
        <v>0</v>
      </c>
      <c r="BO24" s="16">
        <f ca="1">'2.XDTD_S.Tr.T'!BP35</f>
        <v>0</v>
      </c>
      <c r="BP24" s="16">
        <f ca="1">'2.XDTD_S.Tr.T'!BR35</f>
        <v>0</v>
      </c>
      <c r="BQ24" s="16">
        <f ca="1">'2.XDTD_S.Tr.T'!BS35</f>
        <v>0</v>
      </c>
      <c r="BR24" s="16">
        <f ca="1">'2.XDTD_S.Tr.T'!BT35</f>
        <v>0</v>
      </c>
      <c r="BS24" s="16">
        <f ca="1">'2.XDTD_S.Tr.T'!BU35</f>
        <v>0</v>
      </c>
      <c r="BT24" s="16">
        <f ca="1">'2.XDTD_S.Tr.T'!BV35</f>
        <v>0</v>
      </c>
      <c r="BU24" s="16">
        <f ca="1">'2.XDTD_S.Tr.T'!BW35</f>
        <v>0</v>
      </c>
      <c r="BV24" s="16">
        <f ca="1">'2.XDTD_S.Tr.T'!BX35</f>
        <v>0</v>
      </c>
      <c r="BW24" s="16">
        <f ca="1">'2.XDTD_S.Tr.T'!BY35</f>
        <v>0</v>
      </c>
      <c r="BX24" s="16">
        <f ca="1">'2.XDTD_S.Tr.T'!BZ35</f>
        <v>0</v>
      </c>
      <c r="BY24" s="16">
        <f ca="1">'2.XDTD_S.Tr.T'!CA35</f>
        <v>0</v>
      </c>
      <c r="BZ24" s="16">
        <f ca="1">'2.XDTD_S.Tr.T'!CB35</f>
        <v>0</v>
      </c>
      <c r="CA24" s="16">
        <f ca="1">'2.XDTD_S.Tr.T'!CC35</f>
        <v>0</v>
      </c>
      <c r="CB24" s="16">
        <f ca="1">'2.XDTD_S.Tr.T'!CD35</f>
        <v>0</v>
      </c>
      <c r="CC24" s="16">
        <f ca="1">'2.XDTD_S.Tr.T'!CE35</f>
        <v>0</v>
      </c>
      <c r="CD24" s="16">
        <f ca="1">'2.XDTD_S.Tr.T'!CF35</f>
        <v>0</v>
      </c>
      <c r="CE24" s="16">
        <f ca="1">'2.XDTD_S.Tr.T'!CG35</f>
        <v>0</v>
      </c>
      <c r="CF24" s="16">
        <f ca="1">'2.XDTD_S.Tr.T'!CH35</f>
        <v>0</v>
      </c>
      <c r="CG24" s="16">
        <f ca="1">'2.XDTD_S.Tr.T'!CI35</f>
        <v>0</v>
      </c>
      <c r="CH24" s="16">
        <f ca="1">'2.XDTD_S.Tr.T'!CJ35</f>
        <v>0</v>
      </c>
      <c r="CI24" s="16">
        <f ca="1">'2.XDTD_S.Tr.T'!CK35</f>
        <v>0</v>
      </c>
      <c r="CJ24" s="16">
        <f ca="1">'2.XDTD_S.Tr.T'!CL35</f>
        <v>0</v>
      </c>
      <c r="CK24" s="16">
        <f ca="1">'2.XDTD_S.Tr.T'!CM35</f>
        <v>0</v>
      </c>
      <c r="CL24" s="16">
        <f ca="1">'2.XDTD_S.Tr.T'!CN35</f>
        <v>0</v>
      </c>
      <c r="CM24" s="16">
        <f ca="1">'2.XDTD_S.Tr.T'!CO35</f>
        <v>0</v>
      </c>
      <c r="CN24" s="16">
        <f ca="1">'2.XDTD_S.Tr.T'!CP35</f>
        <v>0</v>
      </c>
      <c r="CO24" s="16">
        <f ca="1">'2.XDTD_S.Tr.T'!CP35</f>
        <v>0</v>
      </c>
    </row>
    <row r="25" spans="3:93" ht="19.95" hidden="1" customHeight="1">
      <c r="C25" s="5"/>
      <c r="D25" s="11">
        <f>'2.XDTD_S.Tr.T'!F36</f>
        <v>0</v>
      </c>
      <c r="E25" s="7">
        <f>'2.XDTD_S.Tr.T'!G36</f>
        <v>0</v>
      </c>
      <c r="F25" s="8">
        <f>'2.XDTD_S.Tr.T'!H36</f>
        <v>0</v>
      </c>
      <c r="G25" s="9">
        <f ca="1">'2.XDTD_S.Tr.T'!I36</f>
        <v>0</v>
      </c>
      <c r="H25" s="10">
        <f ca="1">'2.XDTD_S.Tr.T'!J36</f>
        <v>0</v>
      </c>
      <c r="I25" s="9">
        <f ca="1">'2.XDTD_S.Tr.T'!K36</f>
        <v>0</v>
      </c>
      <c r="J25" s="13">
        <f>'2.XDTD_S.Tr.T'!L36</f>
        <v>0</v>
      </c>
      <c r="K25" s="13">
        <f>'2.XDTD_S.Tr.T'!M36</f>
        <v>0</v>
      </c>
      <c r="L25" s="9">
        <f ca="1">'2.XDTD_S.Tr.T'!N36</f>
        <v>0</v>
      </c>
      <c r="M25" s="14">
        <f>'2.XDTD_S.Tr.T'!O36</f>
        <v>0</v>
      </c>
      <c r="N25" s="14">
        <f>'2.XDTD_S.Tr.T'!P36</f>
        <v>0</v>
      </c>
      <c r="O25" s="9">
        <f>'2.XDTD_S.Tr.T'!P36</f>
        <v>0</v>
      </c>
      <c r="P25" s="15">
        <f ca="1">'2.XDTD_S.Tr.T'!R36</f>
        <v>0</v>
      </c>
      <c r="Q25" s="16">
        <f ca="1">'2.XDTD_S.Tr.T'!S36</f>
        <v>0</v>
      </c>
      <c r="R25" s="16">
        <f ca="1">'2.XDTD_S.Tr.T'!T36</f>
        <v>0</v>
      </c>
      <c r="S25" s="16">
        <f ca="1">'2.XDTD_S.Tr.T'!U36</f>
        <v>0</v>
      </c>
      <c r="T25" s="16">
        <f ca="1">'2.XDTD_S.Tr.T'!V36</f>
        <v>0</v>
      </c>
      <c r="U25" s="16">
        <f ca="1">'2.XDTD_S.Tr.T'!W36</f>
        <v>0</v>
      </c>
      <c r="V25" s="16">
        <f ca="1">'2.XDTD_S.Tr.T'!X36</f>
        <v>0</v>
      </c>
      <c r="W25" s="16">
        <f ca="1">'2.XDTD_S.Tr.T'!Y36</f>
        <v>0</v>
      </c>
      <c r="X25" s="16">
        <f ca="1">'2.XDTD_S.Tr.T'!Z36</f>
        <v>0</v>
      </c>
      <c r="Y25" s="16">
        <f ca="1">'2.XDTD_S.Tr.T'!AA36</f>
        <v>0</v>
      </c>
      <c r="Z25" s="16">
        <f ca="1">'2.XDTD_S.Tr.T'!AB36</f>
        <v>0</v>
      </c>
      <c r="AA25" s="16">
        <f ca="1">'2.XDTD_S.Tr.T'!AC36</f>
        <v>0</v>
      </c>
      <c r="AB25" s="16">
        <f ca="1">'2.XDTD_S.Tr.T'!AD36</f>
        <v>0</v>
      </c>
      <c r="AC25" s="16">
        <f ca="1">'2.XDTD_S.Tr.T'!AE36</f>
        <v>0</v>
      </c>
      <c r="AD25" s="16">
        <f ca="1">'2.XDTD_S.Tr.T'!AF36</f>
        <v>0</v>
      </c>
      <c r="AE25" s="16">
        <f ca="1">'2.XDTD_S.Tr.T'!AG36</f>
        <v>0</v>
      </c>
      <c r="AF25" s="16">
        <f ca="1">'2.XDTD_S.Tr.T'!AH36</f>
        <v>0</v>
      </c>
      <c r="AG25" s="16">
        <f ca="1">'2.XDTD_S.Tr.T'!AI36</f>
        <v>0</v>
      </c>
      <c r="AH25" s="16">
        <f ca="1">'2.XDTD_S.Tr.T'!AJ36</f>
        <v>0</v>
      </c>
      <c r="AI25" s="16">
        <f ca="1">'2.XDTD_S.Tr.T'!AK36</f>
        <v>0</v>
      </c>
      <c r="AJ25" s="16">
        <f ca="1">'2.XDTD_S.Tr.T'!AL36</f>
        <v>0</v>
      </c>
      <c r="AK25" s="16">
        <f ca="1">'2.XDTD_S.Tr.T'!AM36</f>
        <v>0</v>
      </c>
      <c r="AL25" s="16">
        <f ca="1">'2.XDTD_S.Tr.T'!AN36</f>
        <v>0</v>
      </c>
      <c r="AM25" s="16">
        <f ca="1">'2.XDTD_S.Tr.T'!AO36</f>
        <v>0</v>
      </c>
      <c r="AN25" s="16">
        <f ca="1">'2.XDTD_S.Tr.T'!AP36</f>
        <v>0</v>
      </c>
      <c r="AO25" s="16">
        <f ca="1">'2.XDTD_S.Tr.T'!AP36</f>
        <v>0</v>
      </c>
      <c r="AP25" s="16">
        <f ca="1">'2.XDTD_S.Tr.T'!AR36</f>
        <v>0</v>
      </c>
      <c r="AQ25" s="16">
        <f ca="1">'2.XDTD_S.Tr.T'!AS36</f>
        <v>0</v>
      </c>
      <c r="AR25" s="16">
        <f ca="1">'2.XDTD_S.Tr.T'!AT36</f>
        <v>0</v>
      </c>
      <c r="AS25" s="16">
        <f ca="1">'2.XDTD_S.Tr.T'!AU36</f>
        <v>0</v>
      </c>
      <c r="AT25" s="16">
        <f ca="1">'2.XDTD_S.Tr.T'!AV36</f>
        <v>0</v>
      </c>
      <c r="AU25" s="16">
        <f ca="1">'2.XDTD_S.Tr.T'!AW36</f>
        <v>0</v>
      </c>
      <c r="AV25" s="16">
        <f ca="1">'2.XDTD_S.Tr.T'!AX36</f>
        <v>0</v>
      </c>
      <c r="AW25" s="16">
        <f ca="1">'2.XDTD_S.Tr.T'!AY36</f>
        <v>0</v>
      </c>
      <c r="AX25" s="16">
        <f ca="1">'2.XDTD_S.Tr.T'!AZ36</f>
        <v>0</v>
      </c>
      <c r="AY25" s="16">
        <f ca="1">'2.XDTD_S.Tr.T'!BA36</f>
        <v>0</v>
      </c>
      <c r="AZ25" s="16">
        <f ca="1">'2.XDTD_S.Tr.T'!BB36</f>
        <v>0</v>
      </c>
      <c r="BA25" s="16">
        <f ca="1">'2.XDTD_S.Tr.T'!BC36</f>
        <v>0</v>
      </c>
      <c r="BB25" s="16">
        <f ca="1">'2.XDTD_S.Tr.T'!BD36</f>
        <v>0</v>
      </c>
      <c r="BC25" s="16">
        <f ca="1">'2.XDTD_S.Tr.T'!BE36</f>
        <v>0</v>
      </c>
      <c r="BD25" s="16">
        <f ca="1">'2.XDTD_S.Tr.T'!BF36</f>
        <v>0</v>
      </c>
      <c r="BE25" s="16">
        <f ca="1">'2.XDTD_S.Tr.T'!BG36</f>
        <v>0</v>
      </c>
      <c r="BF25" s="16">
        <f ca="1">'2.XDTD_S.Tr.T'!BH36</f>
        <v>0</v>
      </c>
      <c r="BG25" s="16">
        <f ca="1">'2.XDTD_S.Tr.T'!BI36</f>
        <v>0</v>
      </c>
      <c r="BH25" s="16">
        <f ca="1">'2.XDTD_S.Tr.T'!BJ36</f>
        <v>0</v>
      </c>
      <c r="BI25" s="16">
        <f ca="1">'2.XDTD_S.Tr.T'!BK36</f>
        <v>0</v>
      </c>
      <c r="BJ25" s="16">
        <f ca="1">'2.XDTD_S.Tr.T'!BL36</f>
        <v>0</v>
      </c>
      <c r="BK25" s="16">
        <f ca="1">'2.XDTD_S.Tr.T'!BM36</f>
        <v>0</v>
      </c>
      <c r="BL25" s="16">
        <f ca="1">'2.XDTD_S.Tr.T'!BN36</f>
        <v>0</v>
      </c>
      <c r="BM25" s="16">
        <f ca="1">'2.XDTD_S.Tr.T'!BO36</f>
        <v>0</v>
      </c>
      <c r="BN25" s="16">
        <f ca="1">'2.XDTD_S.Tr.T'!BP36</f>
        <v>0</v>
      </c>
      <c r="BO25" s="16">
        <f ca="1">'2.XDTD_S.Tr.T'!BP36</f>
        <v>0</v>
      </c>
      <c r="BP25" s="16">
        <f ca="1">'2.XDTD_S.Tr.T'!BR36</f>
        <v>0</v>
      </c>
      <c r="BQ25" s="16">
        <f ca="1">'2.XDTD_S.Tr.T'!BS36</f>
        <v>0</v>
      </c>
      <c r="BR25" s="16">
        <f ca="1">'2.XDTD_S.Tr.T'!BT36</f>
        <v>0</v>
      </c>
      <c r="BS25" s="16">
        <f ca="1">'2.XDTD_S.Tr.T'!BU36</f>
        <v>0</v>
      </c>
      <c r="BT25" s="16">
        <f ca="1">'2.XDTD_S.Tr.T'!BV36</f>
        <v>0</v>
      </c>
      <c r="BU25" s="16">
        <f ca="1">'2.XDTD_S.Tr.T'!BW36</f>
        <v>0</v>
      </c>
      <c r="BV25" s="16">
        <f ca="1">'2.XDTD_S.Tr.T'!BX36</f>
        <v>0</v>
      </c>
      <c r="BW25" s="16">
        <f ca="1">'2.XDTD_S.Tr.T'!BY36</f>
        <v>0</v>
      </c>
      <c r="BX25" s="16">
        <f ca="1">'2.XDTD_S.Tr.T'!BZ36</f>
        <v>0</v>
      </c>
      <c r="BY25" s="16">
        <f ca="1">'2.XDTD_S.Tr.T'!CA36</f>
        <v>0</v>
      </c>
      <c r="BZ25" s="16">
        <f ca="1">'2.XDTD_S.Tr.T'!CB36</f>
        <v>0</v>
      </c>
      <c r="CA25" s="16">
        <f ca="1">'2.XDTD_S.Tr.T'!CC36</f>
        <v>0</v>
      </c>
      <c r="CB25" s="16">
        <f ca="1">'2.XDTD_S.Tr.T'!CD36</f>
        <v>0</v>
      </c>
      <c r="CC25" s="16">
        <f ca="1">'2.XDTD_S.Tr.T'!CE36</f>
        <v>0</v>
      </c>
      <c r="CD25" s="16">
        <f ca="1">'2.XDTD_S.Tr.T'!CF36</f>
        <v>0</v>
      </c>
      <c r="CE25" s="16">
        <f ca="1">'2.XDTD_S.Tr.T'!CG36</f>
        <v>0</v>
      </c>
      <c r="CF25" s="16">
        <f ca="1">'2.XDTD_S.Tr.T'!CH36</f>
        <v>0</v>
      </c>
      <c r="CG25" s="16">
        <f ca="1">'2.XDTD_S.Tr.T'!CI36</f>
        <v>0</v>
      </c>
      <c r="CH25" s="16">
        <f ca="1">'2.XDTD_S.Tr.T'!CJ36</f>
        <v>0</v>
      </c>
      <c r="CI25" s="16">
        <f ca="1">'2.XDTD_S.Tr.T'!CK36</f>
        <v>0</v>
      </c>
      <c r="CJ25" s="16">
        <f ca="1">'2.XDTD_S.Tr.T'!CL36</f>
        <v>0</v>
      </c>
      <c r="CK25" s="16">
        <f ca="1">'2.XDTD_S.Tr.T'!CM36</f>
        <v>0</v>
      </c>
      <c r="CL25" s="16">
        <f ca="1">'2.XDTD_S.Tr.T'!CN36</f>
        <v>0</v>
      </c>
      <c r="CM25" s="16">
        <f ca="1">'2.XDTD_S.Tr.T'!CO36</f>
        <v>0</v>
      </c>
      <c r="CN25" s="16">
        <f ca="1">'2.XDTD_S.Tr.T'!CP36</f>
        <v>0</v>
      </c>
      <c r="CO25" s="16">
        <f ca="1">'2.XDTD_S.Tr.T'!CP36</f>
        <v>0</v>
      </c>
    </row>
    <row r="26" spans="3:93" ht="19.95" hidden="1" customHeight="1">
      <c r="C26" s="5"/>
      <c r="D26" s="11">
        <f>'2.XDTD_S.Tr.T'!F37</f>
        <v>0</v>
      </c>
      <c r="E26" s="7">
        <f>'2.XDTD_S.Tr.T'!G37</f>
        <v>0</v>
      </c>
      <c r="F26" s="8">
        <f>'2.XDTD_S.Tr.T'!H37</f>
        <v>0</v>
      </c>
      <c r="G26" s="9">
        <f ca="1">'2.XDTD_S.Tr.T'!I37</f>
        <v>0</v>
      </c>
      <c r="H26" s="10">
        <f ca="1">'2.XDTD_S.Tr.T'!J37</f>
        <v>0</v>
      </c>
      <c r="I26" s="9">
        <f ca="1">'2.XDTD_S.Tr.T'!K37</f>
        <v>0</v>
      </c>
      <c r="J26" s="13">
        <f>'2.XDTD_S.Tr.T'!L37</f>
        <v>0</v>
      </c>
      <c r="K26" s="13">
        <f>'2.XDTD_S.Tr.T'!M37</f>
        <v>0</v>
      </c>
      <c r="L26" s="9">
        <f ca="1">'2.XDTD_S.Tr.T'!N37</f>
        <v>0</v>
      </c>
      <c r="M26" s="14">
        <f>'2.XDTD_S.Tr.T'!O37</f>
        <v>0</v>
      </c>
      <c r="N26" s="14">
        <f>'2.XDTD_S.Tr.T'!P37</f>
        <v>0</v>
      </c>
      <c r="O26" s="9">
        <f>'2.XDTD_S.Tr.T'!P37</f>
        <v>0</v>
      </c>
      <c r="P26" s="15">
        <f ca="1">'2.XDTD_S.Tr.T'!R37</f>
        <v>0</v>
      </c>
      <c r="Q26" s="16">
        <f ca="1">'2.XDTD_S.Tr.T'!S37</f>
        <v>0</v>
      </c>
      <c r="R26" s="16">
        <f ca="1">'2.XDTD_S.Tr.T'!T37</f>
        <v>0</v>
      </c>
      <c r="S26" s="16">
        <f ca="1">'2.XDTD_S.Tr.T'!U37</f>
        <v>0</v>
      </c>
      <c r="T26" s="16">
        <f ca="1">'2.XDTD_S.Tr.T'!V37</f>
        <v>0</v>
      </c>
      <c r="U26" s="16">
        <f ca="1">'2.XDTD_S.Tr.T'!W37</f>
        <v>0</v>
      </c>
      <c r="V26" s="16">
        <f ca="1">'2.XDTD_S.Tr.T'!X37</f>
        <v>0</v>
      </c>
      <c r="W26" s="16">
        <f ca="1">'2.XDTD_S.Tr.T'!Y37</f>
        <v>0</v>
      </c>
      <c r="X26" s="16">
        <f ca="1">'2.XDTD_S.Tr.T'!Z37</f>
        <v>0</v>
      </c>
      <c r="Y26" s="16">
        <f ca="1">'2.XDTD_S.Tr.T'!AA37</f>
        <v>0</v>
      </c>
      <c r="Z26" s="16">
        <f ca="1">'2.XDTD_S.Tr.T'!AB37</f>
        <v>0</v>
      </c>
      <c r="AA26" s="16">
        <f ca="1">'2.XDTD_S.Tr.T'!AC37</f>
        <v>0</v>
      </c>
      <c r="AB26" s="16">
        <f ca="1">'2.XDTD_S.Tr.T'!AD37</f>
        <v>0</v>
      </c>
      <c r="AC26" s="16">
        <f ca="1">'2.XDTD_S.Tr.T'!AE37</f>
        <v>0</v>
      </c>
      <c r="AD26" s="16">
        <f ca="1">'2.XDTD_S.Tr.T'!AF37</f>
        <v>0</v>
      </c>
      <c r="AE26" s="16">
        <f ca="1">'2.XDTD_S.Tr.T'!AG37</f>
        <v>0</v>
      </c>
      <c r="AF26" s="16">
        <f ca="1">'2.XDTD_S.Tr.T'!AH37</f>
        <v>0</v>
      </c>
      <c r="AG26" s="16">
        <f ca="1">'2.XDTD_S.Tr.T'!AI37</f>
        <v>0</v>
      </c>
      <c r="AH26" s="16">
        <f ca="1">'2.XDTD_S.Tr.T'!AJ37</f>
        <v>0</v>
      </c>
      <c r="AI26" s="16">
        <f ca="1">'2.XDTD_S.Tr.T'!AK37</f>
        <v>0</v>
      </c>
      <c r="AJ26" s="16">
        <f ca="1">'2.XDTD_S.Tr.T'!AL37</f>
        <v>0</v>
      </c>
      <c r="AK26" s="16">
        <f ca="1">'2.XDTD_S.Tr.T'!AM37</f>
        <v>0</v>
      </c>
      <c r="AL26" s="16">
        <f ca="1">'2.XDTD_S.Tr.T'!AN37</f>
        <v>0</v>
      </c>
      <c r="AM26" s="16">
        <f ca="1">'2.XDTD_S.Tr.T'!AO37</f>
        <v>0</v>
      </c>
      <c r="AN26" s="16">
        <f ca="1">'2.XDTD_S.Tr.T'!AP37</f>
        <v>0</v>
      </c>
      <c r="AO26" s="16">
        <f ca="1">'2.XDTD_S.Tr.T'!AP37</f>
        <v>0</v>
      </c>
      <c r="AP26" s="16">
        <f ca="1">'2.XDTD_S.Tr.T'!AR37</f>
        <v>0</v>
      </c>
      <c r="AQ26" s="16">
        <f ca="1">'2.XDTD_S.Tr.T'!AS37</f>
        <v>0</v>
      </c>
      <c r="AR26" s="16">
        <f ca="1">'2.XDTD_S.Tr.T'!AT37</f>
        <v>0</v>
      </c>
      <c r="AS26" s="16">
        <f ca="1">'2.XDTD_S.Tr.T'!AU37</f>
        <v>0</v>
      </c>
      <c r="AT26" s="16">
        <f ca="1">'2.XDTD_S.Tr.T'!AV37</f>
        <v>0</v>
      </c>
      <c r="AU26" s="16">
        <f ca="1">'2.XDTD_S.Tr.T'!AW37</f>
        <v>0</v>
      </c>
      <c r="AV26" s="16">
        <f ca="1">'2.XDTD_S.Tr.T'!AX37</f>
        <v>0</v>
      </c>
      <c r="AW26" s="16">
        <f ca="1">'2.XDTD_S.Tr.T'!AY37</f>
        <v>0</v>
      </c>
      <c r="AX26" s="16">
        <f ca="1">'2.XDTD_S.Tr.T'!AZ37</f>
        <v>0</v>
      </c>
      <c r="AY26" s="16">
        <f ca="1">'2.XDTD_S.Tr.T'!BA37</f>
        <v>0</v>
      </c>
      <c r="AZ26" s="16">
        <f ca="1">'2.XDTD_S.Tr.T'!BB37</f>
        <v>0</v>
      </c>
      <c r="BA26" s="16">
        <f ca="1">'2.XDTD_S.Tr.T'!BC37</f>
        <v>0</v>
      </c>
      <c r="BB26" s="16">
        <f ca="1">'2.XDTD_S.Tr.T'!BD37</f>
        <v>0</v>
      </c>
      <c r="BC26" s="16">
        <f ca="1">'2.XDTD_S.Tr.T'!BE37</f>
        <v>0</v>
      </c>
      <c r="BD26" s="16">
        <f ca="1">'2.XDTD_S.Tr.T'!BF37</f>
        <v>0</v>
      </c>
      <c r="BE26" s="16">
        <f ca="1">'2.XDTD_S.Tr.T'!BG37</f>
        <v>0</v>
      </c>
      <c r="BF26" s="16">
        <f ca="1">'2.XDTD_S.Tr.T'!BH37</f>
        <v>0</v>
      </c>
      <c r="BG26" s="16">
        <f ca="1">'2.XDTD_S.Tr.T'!BI37</f>
        <v>0</v>
      </c>
      <c r="BH26" s="16">
        <f ca="1">'2.XDTD_S.Tr.T'!BJ37</f>
        <v>0</v>
      </c>
      <c r="BI26" s="16">
        <f ca="1">'2.XDTD_S.Tr.T'!BK37</f>
        <v>0</v>
      </c>
      <c r="BJ26" s="16">
        <f ca="1">'2.XDTD_S.Tr.T'!BL37</f>
        <v>0</v>
      </c>
      <c r="BK26" s="16">
        <f ca="1">'2.XDTD_S.Tr.T'!BM37</f>
        <v>0</v>
      </c>
      <c r="BL26" s="16">
        <f ca="1">'2.XDTD_S.Tr.T'!BN37</f>
        <v>0</v>
      </c>
      <c r="BM26" s="16">
        <f ca="1">'2.XDTD_S.Tr.T'!BO37</f>
        <v>0</v>
      </c>
      <c r="BN26" s="16">
        <f ca="1">'2.XDTD_S.Tr.T'!BP37</f>
        <v>0</v>
      </c>
      <c r="BO26" s="16">
        <f ca="1">'2.XDTD_S.Tr.T'!BP37</f>
        <v>0</v>
      </c>
      <c r="BP26" s="16">
        <f ca="1">'2.XDTD_S.Tr.T'!BR37</f>
        <v>0</v>
      </c>
      <c r="BQ26" s="16">
        <f ca="1">'2.XDTD_S.Tr.T'!BS37</f>
        <v>0</v>
      </c>
      <c r="BR26" s="16">
        <f ca="1">'2.XDTD_S.Tr.T'!BT37</f>
        <v>0</v>
      </c>
      <c r="BS26" s="16">
        <f ca="1">'2.XDTD_S.Tr.T'!BU37</f>
        <v>0</v>
      </c>
      <c r="BT26" s="16">
        <f ca="1">'2.XDTD_S.Tr.T'!BV37</f>
        <v>0</v>
      </c>
      <c r="BU26" s="16">
        <f ca="1">'2.XDTD_S.Tr.T'!BW37</f>
        <v>0</v>
      </c>
      <c r="BV26" s="16">
        <f ca="1">'2.XDTD_S.Tr.T'!BX37</f>
        <v>0</v>
      </c>
      <c r="BW26" s="16">
        <f ca="1">'2.XDTD_S.Tr.T'!BY37</f>
        <v>0</v>
      </c>
      <c r="BX26" s="16">
        <f ca="1">'2.XDTD_S.Tr.T'!BZ37</f>
        <v>0</v>
      </c>
      <c r="BY26" s="16">
        <f ca="1">'2.XDTD_S.Tr.T'!CA37</f>
        <v>0</v>
      </c>
      <c r="BZ26" s="16">
        <f ca="1">'2.XDTD_S.Tr.T'!CB37</f>
        <v>0</v>
      </c>
      <c r="CA26" s="16">
        <f ca="1">'2.XDTD_S.Tr.T'!CC37</f>
        <v>0</v>
      </c>
      <c r="CB26" s="16">
        <f ca="1">'2.XDTD_S.Tr.T'!CD37</f>
        <v>0</v>
      </c>
      <c r="CC26" s="16">
        <f ca="1">'2.XDTD_S.Tr.T'!CE37</f>
        <v>0</v>
      </c>
      <c r="CD26" s="16">
        <f ca="1">'2.XDTD_S.Tr.T'!CF37</f>
        <v>0</v>
      </c>
      <c r="CE26" s="16">
        <f ca="1">'2.XDTD_S.Tr.T'!CG37</f>
        <v>0</v>
      </c>
      <c r="CF26" s="16">
        <f ca="1">'2.XDTD_S.Tr.T'!CH37</f>
        <v>0</v>
      </c>
      <c r="CG26" s="16">
        <f ca="1">'2.XDTD_S.Tr.T'!CI37</f>
        <v>0</v>
      </c>
      <c r="CH26" s="16">
        <f ca="1">'2.XDTD_S.Tr.T'!CJ37</f>
        <v>0</v>
      </c>
      <c r="CI26" s="16">
        <f ca="1">'2.XDTD_S.Tr.T'!CK37</f>
        <v>0</v>
      </c>
      <c r="CJ26" s="16">
        <f ca="1">'2.XDTD_S.Tr.T'!CL37</f>
        <v>0</v>
      </c>
      <c r="CK26" s="16">
        <f ca="1">'2.XDTD_S.Tr.T'!CM37</f>
        <v>0</v>
      </c>
      <c r="CL26" s="16">
        <f ca="1">'2.XDTD_S.Tr.T'!CN37</f>
        <v>0</v>
      </c>
      <c r="CM26" s="16">
        <f ca="1">'2.XDTD_S.Tr.T'!CO37</f>
        <v>0</v>
      </c>
      <c r="CN26" s="16">
        <f ca="1">'2.XDTD_S.Tr.T'!CP37</f>
        <v>0</v>
      </c>
      <c r="CO26" s="16">
        <f ca="1">'2.XDTD_S.Tr.T'!CP37</f>
        <v>0</v>
      </c>
    </row>
    <row r="27" spans="3:93" ht="19.95" hidden="1" customHeight="1">
      <c r="C27" s="5"/>
      <c r="D27" s="11">
        <f>'2.XDTD_S.Tr.T'!F38</f>
        <v>0</v>
      </c>
      <c r="E27" s="7">
        <f>'2.XDTD_S.Tr.T'!G38</f>
        <v>0</v>
      </c>
      <c r="F27" s="8">
        <f>'2.XDTD_S.Tr.T'!H38</f>
        <v>0</v>
      </c>
      <c r="G27" s="9">
        <f ca="1">'2.XDTD_S.Tr.T'!I38</f>
        <v>0</v>
      </c>
      <c r="H27" s="10">
        <f ca="1">'2.XDTD_S.Tr.T'!J38</f>
        <v>0</v>
      </c>
      <c r="I27" s="9">
        <f ca="1">'2.XDTD_S.Tr.T'!K38</f>
        <v>0</v>
      </c>
      <c r="J27" s="13">
        <f>'2.XDTD_S.Tr.T'!L38</f>
        <v>0</v>
      </c>
      <c r="K27" s="13">
        <f>'2.XDTD_S.Tr.T'!M38</f>
        <v>0</v>
      </c>
      <c r="L27" s="9">
        <f ca="1">'2.XDTD_S.Tr.T'!N38</f>
        <v>0</v>
      </c>
      <c r="M27" s="14">
        <f>'2.XDTD_S.Tr.T'!O38</f>
        <v>0</v>
      </c>
      <c r="N27" s="14">
        <f>'2.XDTD_S.Tr.T'!P38</f>
        <v>0</v>
      </c>
      <c r="O27" s="9">
        <f>'2.XDTD_S.Tr.T'!P38</f>
        <v>0</v>
      </c>
      <c r="P27" s="15">
        <f ca="1">'2.XDTD_S.Tr.T'!R38</f>
        <v>0</v>
      </c>
      <c r="Q27" s="16">
        <f ca="1">'2.XDTD_S.Tr.T'!S38</f>
        <v>0</v>
      </c>
      <c r="R27" s="16">
        <f ca="1">'2.XDTD_S.Tr.T'!T38</f>
        <v>0</v>
      </c>
      <c r="S27" s="16">
        <f ca="1">'2.XDTD_S.Tr.T'!U38</f>
        <v>0</v>
      </c>
      <c r="T27" s="16">
        <f ca="1">'2.XDTD_S.Tr.T'!V38</f>
        <v>0</v>
      </c>
      <c r="U27" s="16">
        <f ca="1">'2.XDTD_S.Tr.T'!W38</f>
        <v>0</v>
      </c>
      <c r="V27" s="16">
        <f ca="1">'2.XDTD_S.Tr.T'!X38</f>
        <v>0</v>
      </c>
      <c r="W27" s="16">
        <f ca="1">'2.XDTD_S.Tr.T'!Y38</f>
        <v>0</v>
      </c>
      <c r="X27" s="16">
        <f ca="1">'2.XDTD_S.Tr.T'!Z38</f>
        <v>0</v>
      </c>
      <c r="Y27" s="16">
        <f ca="1">'2.XDTD_S.Tr.T'!AA38</f>
        <v>0</v>
      </c>
      <c r="Z27" s="16">
        <f ca="1">'2.XDTD_S.Tr.T'!AB38</f>
        <v>0</v>
      </c>
      <c r="AA27" s="16">
        <f ca="1">'2.XDTD_S.Tr.T'!AC38</f>
        <v>0</v>
      </c>
      <c r="AB27" s="16">
        <f ca="1">'2.XDTD_S.Tr.T'!AD38</f>
        <v>0</v>
      </c>
      <c r="AC27" s="16">
        <f ca="1">'2.XDTD_S.Tr.T'!AE38</f>
        <v>0</v>
      </c>
      <c r="AD27" s="16">
        <f ca="1">'2.XDTD_S.Tr.T'!AF38</f>
        <v>0</v>
      </c>
      <c r="AE27" s="16">
        <f ca="1">'2.XDTD_S.Tr.T'!AG38</f>
        <v>0</v>
      </c>
      <c r="AF27" s="16">
        <f ca="1">'2.XDTD_S.Tr.T'!AH38</f>
        <v>0</v>
      </c>
      <c r="AG27" s="16">
        <f ca="1">'2.XDTD_S.Tr.T'!AI38</f>
        <v>0</v>
      </c>
      <c r="AH27" s="16">
        <f ca="1">'2.XDTD_S.Tr.T'!AJ38</f>
        <v>0</v>
      </c>
      <c r="AI27" s="16">
        <f ca="1">'2.XDTD_S.Tr.T'!AK38</f>
        <v>0</v>
      </c>
      <c r="AJ27" s="16">
        <f ca="1">'2.XDTD_S.Tr.T'!AL38</f>
        <v>0</v>
      </c>
      <c r="AK27" s="16">
        <f ca="1">'2.XDTD_S.Tr.T'!AM38</f>
        <v>0</v>
      </c>
      <c r="AL27" s="16">
        <f ca="1">'2.XDTD_S.Tr.T'!AN38</f>
        <v>0</v>
      </c>
      <c r="AM27" s="16">
        <f ca="1">'2.XDTD_S.Tr.T'!AO38</f>
        <v>0</v>
      </c>
      <c r="AN27" s="16">
        <f ca="1">'2.XDTD_S.Tr.T'!AP38</f>
        <v>0</v>
      </c>
      <c r="AO27" s="16">
        <f ca="1">'2.XDTD_S.Tr.T'!AP38</f>
        <v>0</v>
      </c>
      <c r="AP27" s="16">
        <f ca="1">'2.XDTD_S.Tr.T'!AR38</f>
        <v>0</v>
      </c>
      <c r="AQ27" s="16">
        <f ca="1">'2.XDTD_S.Tr.T'!AS38</f>
        <v>0</v>
      </c>
      <c r="AR27" s="16">
        <f ca="1">'2.XDTD_S.Tr.T'!AT38</f>
        <v>0</v>
      </c>
      <c r="AS27" s="16">
        <f ca="1">'2.XDTD_S.Tr.T'!AU38</f>
        <v>0</v>
      </c>
      <c r="AT27" s="16">
        <f ca="1">'2.XDTD_S.Tr.T'!AV38</f>
        <v>0</v>
      </c>
      <c r="AU27" s="16">
        <f ca="1">'2.XDTD_S.Tr.T'!AW38</f>
        <v>0</v>
      </c>
      <c r="AV27" s="16">
        <f ca="1">'2.XDTD_S.Tr.T'!AX38</f>
        <v>0</v>
      </c>
      <c r="AW27" s="16">
        <f ca="1">'2.XDTD_S.Tr.T'!AY38</f>
        <v>0</v>
      </c>
      <c r="AX27" s="16">
        <f ca="1">'2.XDTD_S.Tr.T'!AZ38</f>
        <v>0</v>
      </c>
      <c r="AY27" s="16">
        <f ca="1">'2.XDTD_S.Tr.T'!BA38</f>
        <v>0</v>
      </c>
      <c r="AZ27" s="16">
        <f ca="1">'2.XDTD_S.Tr.T'!BB38</f>
        <v>0</v>
      </c>
      <c r="BA27" s="16">
        <f ca="1">'2.XDTD_S.Tr.T'!BC38</f>
        <v>0</v>
      </c>
      <c r="BB27" s="16">
        <f ca="1">'2.XDTD_S.Tr.T'!BD38</f>
        <v>0</v>
      </c>
      <c r="BC27" s="16">
        <f ca="1">'2.XDTD_S.Tr.T'!BE38</f>
        <v>0</v>
      </c>
      <c r="BD27" s="16">
        <f ca="1">'2.XDTD_S.Tr.T'!BF38</f>
        <v>0</v>
      </c>
      <c r="BE27" s="16">
        <f ca="1">'2.XDTD_S.Tr.T'!BG38</f>
        <v>0</v>
      </c>
      <c r="BF27" s="16">
        <f ca="1">'2.XDTD_S.Tr.T'!BH38</f>
        <v>0</v>
      </c>
      <c r="BG27" s="16">
        <f ca="1">'2.XDTD_S.Tr.T'!BI38</f>
        <v>0</v>
      </c>
      <c r="BH27" s="16">
        <f ca="1">'2.XDTD_S.Tr.T'!BJ38</f>
        <v>0</v>
      </c>
      <c r="BI27" s="16">
        <f ca="1">'2.XDTD_S.Tr.T'!BK38</f>
        <v>0</v>
      </c>
      <c r="BJ27" s="16">
        <f ca="1">'2.XDTD_S.Tr.T'!BL38</f>
        <v>0</v>
      </c>
      <c r="BK27" s="16">
        <f ca="1">'2.XDTD_S.Tr.T'!BM38</f>
        <v>0</v>
      </c>
      <c r="BL27" s="16">
        <f ca="1">'2.XDTD_S.Tr.T'!BN38</f>
        <v>0</v>
      </c>
      <c r="BM27" s="16">
        <f ca="1">'2.XDTD_S.Tr.T'!BO38</f>
        <v>0</v>
      </c>
      <c r="BN27" s="16">
        <f ca="1">'2.XDTD_S.Tr.T'!BP38</f>
        <v>0</v>
      </c>
      <c r="BO27" s="16">
        <f ca="1">'2.XDTD_S.Tr.T'!BP38</f>
        <v>0</v>
      </c>
      <c r="BP27" s="16">
        <f ca="1">'2.XDTD_S.Tr.T'!BR38</f>
        <v>0</v>
      </c>
      <c r="BQ27" s="16">
        <f ca="1">'2.XDTD_S.Tr.T'!BS38</f>
        <v>0</v>
      </c>
      <c r="BR27" s="16">
        <f ca="1">'2.XDTD_S.Tr.T'!BT38</f>
        <v>0</v>
      </c>
      <c r="BS27" s="16">
        <f ca="1">'2.XDTD_S.Tr.T'!BU38</f>
        <v>0</v>
      </c>
      <c r="BT27" s="16">
        <f ca="1">'2.XDTD_S.Tr.T'!BV38</f>
        <v>0</v>
      </c>
      <c r="BU27" s="16">
        <f ca="1">'2.XDTD_S.Tr.T'!BW38</f>
        <v>0</v>
      </c>
      <c r="BV27" s="16">
        <f ca="1">'2.XDTD_S.Tr.T'!BX38</f>
        <v>0</v>
      </c>
      <c r="BW27" s="16">
        <f ca="1">'2.XDTD_S.Tr.T'!BY38</f>
        <v>0</v>
      </c>
      <c r="BX27" s="16">
        <f ca="1">'2.XDTD_S.Tr.T'!BZ38</f>
        <v>0</v>
      </c>
      <c r="BY27" s="16">
        <f ca="1">'2.XDTD_S.Tr.T'!CA38</f>
        <v>0</v>
      </c>
      <c r="BZ27" s="16">
        <f ca="1">'2.XDTD_S.Tr.T'!CB38</f>
        <v>0</v>
      </c>
      <c r="CA27" s="16">
        <f ca="1">'2.XDTD_S.Tr.T'!CC38</f>
        <v>0</v>
      </c>
      <c r="CB27" s="16">
        <f ca="1">'2.XDTD_S.Tr.T'!CD38</f>
        <v>0</v>
      </c>
      <c r="CC27" s="16">
        <f ca="1">'2.XDTD_S.Tr.T'!CE38</f>
        <v>0</v>
      </c>
      <c r="CD27" s="16">
        <f ca="1">'2.XDTD_S.Tr.T'!CF38</f>
        <v>0</v>
      </c>
      <c r="CE27" s="16">
        <f ca="1">'2.XDTD_S.Tr.T'!CG38</f>
        <v>0</v>
      </c>
      <c r="CF27" s="16">
        <f ca="1">'2.XDTD_S.Tr.T'!CH38</f>
        <v>0</v>
      </c>
      <c r="CG27" s="16">
        <f ca="1">'2.XDTD_S.Tr.T'!CI38</f>
        <v>0</v>
      </c>
      <c r="CH27" s="16">
        <f ca="1">'2.XDTD_S.Tr.T'!CJ38</f>
        <v>0</v>
      </c>
      <c r="CI27" s="16">
        <f ca="1">'2.XDTD_S.Tr.T'!CK38</f>
        <v>0</v>
      </c>
      <c r="CJ27" s="16">
        <f ca="1">'2.XDTD_S.Tr.T'!CL38</f>
        <v>0</v>
      </c>
      <c r="CK27" s="16">
        <f ca="1">'2.XDTD_S.Tr.T'!CM38</f>
        <v>0</v>
      </c>
      <c r="CL27" s="16">
        <f ca="1">'2.XDTD_S.Tr.T'!CN38</f>
        <v>0</v>
      </c>
      <c r="CM27" s="16">
        <f ca="1">'2.XDTD_S.Tr.T'!CO38</f>
        <v>0</v>
      </c>
      <c r="CN27" s="16">
        <f ca="1">'2.XDTD_S.Tr.T'!CP38</f>
        <v>0</v>
      </c>
      <c r="CO27" s="16">
        <f ca="1">'2.XDTD_S.Tr.T'!CP38</f>
        <v>0</v>
      </c>
    </row>
    <row r="28" spans="3:93" ht="19.95" customHeight="1">
      <c r="C28" s="5"/>
      <c r="D28" s="6" t="str">
        <f>'2.XDTD_S.Tr.T'!F60</f>
        <v>Bánh bao</v>
      </c>
      <c r="E28" s="7" t="e">
        <f ca="1">'2.XDTD_S.Tr.T'!G60</f>
        <v>#NAME?</v>
      </c>
      <c r="F28" s="8">
        <f>'2.XDTD_S.Tr.T'!H60</f>
        <v>40</v>
      </c>
      <c r="G28" s="9">
        <f ca="1">'2.XDTD_S.Tr.T'!I60</f>
        <v>0</v>
      </c>
      <c r="H28" s="10">
        <f ca="1">'2.XDTD_S.Tr.T'!J60</f>
        <v>0</v>
      </c>
      <c r="I28" s="9">
        <f ca="1">'2.XDTD_S.Tr.T'!K60</f>
        <v>0</v>
      </c>
      <c r="J28" s="13" t="e">
        <f ca="1">'2.XDTD_S.Tr.T'!L60</f>
        <v>#NAME?</v>
      </c>
      <c r="K28" s="13" t="e">
        <f ca="1">'2.XDTD_S.Tr.T'!M60</f>
        <v>#NAME?</v>
      </c>
      <c r="L28" s="9">
        <f ca="1">'2.XDTD_S.Tr.T'!N60</f>
        <v>0</v>
      </c>
      <c r="M28" s="14" t="e">
        <f ca="1">'2.XDTD_S.Tr.T'!O60</f>
        <v>#NAME?</v>
      </c>
      <c r="N28" s="14" t="e">
        <f ca="1">'2.XDTD_S.Tr.T'!P60</f>
        <v>#NAME?</v>
      </c>
      <c r="O28" s="9" t="e">
        <f ca="1">'2.XDTD_S.Tr.T'!P60</f>
        <v>#NAME?</v>
      </c>
      <c r="P28" s="15">
        <f ca="1">'2.XDTD_S.Tr.T'!R60</f>
        <v>0</v>
      </c>
      <c r="Q28" s="16">
        <f ca="1">'2.XDTD_S.Tr.T'!S60</f>
        <v>0</v>
      </c>
      <c r="R28" s="16">
        <f ca="1">'2.XDTD_S.Tr.T'!T60</f>
        <v>0</v>
      </c>
      <c r="S28" s="16">
        <f ca="1">'2.XDTD_S.Tr.T'!U60</f>
        <v>0</v>
      </c>
      <c r="T28" s="16">
        <f ca="1">'2.XDTD_S.Tr.T'!V60</f>
        <v>0</v>
      </c>
      <c r="U28" s="16">
        <f ca="1">'2.XDTD_S.Tr.T'!W60</f>
        <v>0</v>
      </c>
      <c r="V28" s="16">
        <f ca="1">'2.XDTD_S.Tr.T'!X60</f>
        <v>0</v>
      </c>
      <c r="W28" s="16">
        <f ca="1">'2.XDTD_S.Tr.T'!Y60</f>
        <v>0</v>
      </c>
      <c r="X28" s="16">
        <f ca="1">'2.XDTD_S.Tr.T'!Z60</f>
        <v>0</v>
      </c>
      <c r="Y28" s="16">
        <f ca="1">'2.XDTD_S.Tr.T'!AA60</f>
        <v>0</v>
      </c>
      <c r="Z28" s="16">
        <f ca="1">'2.XDTD_S.Tr.T'!AB60</f>
        <v>0</v>
      </c>
      <c r="AA28" s="16">
        <f ca="1">'2.XDTD_S.Tr.T'!AC60</f>
        <v>0</v>
      </c>
      <c r="AB28" s="16">
        <f ca="1">'2.XDTD_S.Tr.T'!AD60</f>
        <v>0</v>
      </c>
      <c r="AC28" s="16">
        <f ca="1">'2.XDTD_S.Tr.T'!AE60</f>
        <v>0</v>
      </c>
      <c r="AD28" s="16">
        <f ca="1">'2.XDTD_S.Tr.T'!AF60</f>
        <v>0</v>
      </c>
      <c r="AE28" s="16">
        <f ca="1">'2.XDTD_S.Tr.T'!AG60</f>
        <v>0</v>
      </c>
      <c r="AF28" s="16">
        <f ca="1">'2.XDTD_S.Tr.T'!AH60</f>
        <v>0</v>
      </c>
      <c r="AG28" s="16">
        <f ca="1">'2.XDTD_S.Tr.T'!AI60</f>
        <v>0</v>
      </c>
      <c r="AH28" s="16">
        <f ca="1">'2.XDTD_S.Tr.T'!AJ60</f>
        <v>0</v>
      </c>
      <c r="AI28" s="16">
        <f ca="1">'2.XDTD_S.Tr.T'!AK60</f>
        <v>0</v>
      </c>
      <c r="AJ28" s="16">
        <f ca="1">'2.XDTD_S.Tr.T'!AL60</f>
        <v>0</v>
      </c>
      <c r="AK28" s="16">
        <f ca="1">'2.XDTD_S.Tr.T'!AM60</f>
        <v>0</v>
      </c>
      <c r="AL28" s="16">
        <f ca="1">'2.XDTD_S.Tr.T'!AN60</f>
        <v>0</v>
      </c>
      <c r="AM28" s="16">
        <f ca="1">'2.XDTD_S.Tr.T'!AO60</f>
        <v>0</v>
      </c>
      <c r="AN28" s="16">
        <f ca="1">'2.XDTD_S.Tr.T'!AP60</f>
        <v>0</v>
      </c>
      <c r="AO28" s="16">
        <f ca="1">'2.XDTD_S.Tr.T'!AP60</f>
        <v>0</v>
      </c>
      <c r="AP28" s="16">
        <f ca="1">'2.XDTD_S.Tr.T'!AR60</f>
        <v>0</v>
      </c>
      <c r="AQ28" s="16">
        <f ca="1">'2.XDTD_S.Tr.T'!AS60</f>
        <v>0</v>
      </c>
      <c r="AR28" s="16">
        <f ca="1">'2.XDTD_S.Tr.T'!AT60</f>
        <v>0</v>
      </c>
      <c r="AS28" s="16">
        <f ca="1">'2.XDTD_S.Tr.T'!AU60</f>
        <v>0</v>
      </c>
      <c r="AT28" s="16">
        <f ca="1">'2.XDTD_S.Tr.T'!AV60</f>
        <v>0</v>
      </c>
      <c r="AU28" s="16">
        <f ca="1">'2.XDTD_S.Tr.T'!AW60</f>
        <v>0</v>
      </c>
      <c r="AV28" s="16">
        <f ca="1">'2.XDTD_S.Tr.T'!AX60</f>
        <v>0</v>
      </c>
      <c r="AW28" s="16">
        <f ca="1">'2.XDTD_S.Tr.T'!AY60</f>
        <v>0</v>
      </c>
      <c r="AX28" s="16">
        <f ca="1">'2.XDTD_S.Tr.T'!AZ60</f>
        <v>0</v>
      </c>
      <c r="AY28" s="16">
        <f ca="1">'2.XDTD_S.Tr.T'!BA60</f>
        <v>0</v>
      </c>
      <c r="AZ28" s="16">
        <f ca="1">'2.XDTD_S.Tr.T'!BB60</f>
        <v>0</v>
      </c>
      <c r="BA28" s="16">
        <f ca="1">'2.XDTD_S.Tr.T'!BC60</f>
        <v>0</v>
      </c>
      <c r="BB28" s="16">
        <f ca="1">'2.XDTD_S.Tr.T'!BD60</f>
        <v>0</v>
      </c>
      <c r="BC28" s="16">
        <f ca="1">'2.XDTD_S.Tr.T'!BE60</f>
        <v>0</v>
      </c>
      <c r="BD28" s="16">
        <f ca="1">'2.XDTD_S.Tr.T'!BF60</f>
        <v>0</v>
      </c>
      <c r="BE28" s="16">
        <f ca="1">'2.XDTD_S.Tr.T'!BG60</f>
        <v>0</v>
      </c>
      <c r="BF28" s="16">
        <f ca="1">'2.XDTD_S.Tr.T'!BH60</f>
        <v>0</v>
      </c>
      <c r="BG28" s="16">
        <f ca="1">'2.XDTD_S.Tr.T'!BI60</f>
        <v>0</v>
      </c>
      <c r="BH28" s="16">
        <f ca="1">'2.XDTD_S.Tr.T'!BJ60</f>
        <v>0</v>
      </c>
      <c r="BI28" s="16">
        <f ca="1">'2.XDTD_S.Tr.T'!BK60</f>
        <v>0</v>
      </c>
      <c r="BJ28" s="16">
        <f ca="1">'2.XDTD_S.Tr.T'!BL60</f>
        <v>0</v>
      </c>
      <c r="BK28" s="16">
        <f ca="1">'2.XDTD_S.Tr.T'!BM60</f>
        <v>0</v>
      </c>
      <c r="BL28" s="16">
        <f ca="1">'2.XDTD_S.Tr.T'!BN60</f>
        <v>0</v>
      </c>
      <c r="BM28" s="16">
        <f ca="1">'2.XDTD_S.Tr.T'!BO60</f>
        <v>0</v>
      </c>
      <c r="BN28" s="16">
        <f ca="1">'2.XDTD_S.Tr.T'!BP60</f>
        <v>0</v>
      </c>
      <c r="BO28" s="16">
        <f ca="1">'2.XDTD_S.Tr.T'!BP60</f>
        <v>0</v>
      </c>
      <c r="BP28" s="16">
        <f ca="1">'2.XDTD_S.Tr.T'!BR60</f>
        <v>0</v>
      </c>
      <c r="BQ28" s="16">
        <f ca="1">'2.XDTD_S.Tr.T'!BS60</f>
        <v>0</v>
      </c>
      <c r="BR28" s="16">
        <f ca="1">'2.XDTD_S.Tr.T'!BT60</f>
        <v>0</v>
      </c>
      <c r="BS28" s="16">
        <f ca="1">'2.XDTD_S.Tr.T'!BU60</f>
        <v>0</v>
      </c>
      <c r="BT28" s="16">
        <f ca="1">'2.XDTD_S.Tr.T'!BV60</f>
        <v>0</v>
      </c>
      <c r="BU28" s="16">
        <f ca="1">'2.XDTD_S.Tr.T'!BW60</f>
        <v>0</v>
      </c>
      <c r="BV28" s="16">
        <f ca="1">'2.XDTD_S.Tr.T'!BX60</f>
        <v>0</v>
      </c>
      <c r="BW28" s="16">
        <f ca="1">'2.XDTD_S.Tr.T'!BY60</f>
        <v>0</v>
      </c>
      <c r="BX28" s="16">
        <f ca="1">'2.XDTD_S.Tr.T'!BZ60</f>
        <v>0</v>
      </c>
      <c r="BY28" s="16">
        <f ca="1">'2.XDTD_S.Tr.T'!CA60</f>
        <v>0</v>
      </c>
      <c r="BZ28" s="16">
        <f ca="1">'2.XDTD_S.Tr.T'!CB60</f>
        <v>0</v>
      </c>
      <c r="CA28" s="16">
        <f ca="1">'2.XDTD_S.Tr.T'!CC60</f>
        <v>0</v>
      </c>
      <c r="CB28" s="16">
        <f ca="1">'2.XDTD_S.Tr.T'!CD60</f>
        <v>0</v>
      </c>
      <c r="CC28" s="16">
        <f ca="1">'2.XDTD_S.Tr.T'!CE60</f>
        <v>0</v>
      </c>
      <c r="CD28" s="16">
        <f ca="1">'2.XDTD_S.Tr.T'!CF60</f>
        <v>0</v>
      </c>
      <c r="CE28" s="16">
        <f ca="1">'2.XDTD_S.Tr.T'!CG60</f>
        <v>0</v>
      </c>
      <c r="CF28" s="16">
        <f ca="1">'2.XDTD_S.Tr.T'!CH60</f>
        <v>0</v>
      </c>
      <c r="CG28" s="16">
        <f ca="1">'2.XDTD_S.Tr.T'!CI60</f>
        <v>0</v>
      </c>
      <c r="CH28" s="16">
        <f ca="1">'2.XDTD_S.Tr.T'!CJ60</f>
        <v>0</v>
      </c>
      <c r="CI28" s="16">
        <f ca="1">'2.XDTD_S.Tr.T'!CK60</f>
        <v>0</v>
      </c>
      <c r="CJ28" s="16">
        <f ca="1">'2.XDTD_S.Tr.T'!CL60</f>
        <v>0</v>
      </c>
      <c r="CK28" s="16">
        <f ca="1">'2.XDTD_S.Tr.T'!CM60</f>
        <v>0</v>
      </c>
      <c r="CL28" s="16">
        <f ca="1">'2.XDTD_S.Tr.T'!CN60</f>
        <v>0</v>
      </c>
      <c r="CM28" s="16">
        <f ca="1">'2.XDTD_S.Tr.T'!CO60</f>
        <v>0</v>
      </c>
      <c r="CN28" s="16">
        <f ca="1">'2.XDTD_S.Tr.T'!CP60</f>
        <v>0</v>
      </c>
      <c r="CO28" s="16">
        <f ca="1">'2.XDTD_S.Tr.T'!CP60</f>
        <v>0</v>
      </c>
    </row>
    <row r="29" spans="3:93" ht="19.95" hidden="1" customHeight="1">
      <c r="C29" s="5"/>
      <c r="D29" s="11">
        <f>'2.XDTD_S.Tr.T'!F61</f>
        <v>0</v>
      </c>
      <c r="E29" s="7">
        <f>'2.XDTD_S.Tr.T'!G61</f>
        <v>0</v>
      </c>
      <c r="F29" s="8">
        <f>'2.XDTD_S.Tr.T'!H61</f>
        <v>0</v>
      </c>
      <c r="G29" s="9">
        <f ca="1">'2.XDTD_S.Tr.T'!I61</f>
        <v>0</v>
      </c>
      <c r="H29" s="10">
        <f ca="1">'2.XDTD_S.Tr.T'!J61</f>
        <v>0</v>
      </c>
      <c r="I29" s="9">
        <f ca="1">'2.XDTD_S.Tr.T'!K61</f>
        <v>0</v>
      </c>
      <c r="J29" s="13">
        <f>'2.XDTD_S.Tr.T'!L61</f>
        <v>0</v>
      </c>
      <c r="K29" s="13">
        <f>'2.XDTD_S.Tr.T'!M61</f>
        <v>0</v>
      </c>
      <c r="L29" s="9">
        <f ca="1">'2.XDTD_S.Tr.T'!N61</f>
        <v>0</v>
      </c>
      <c r="M29" s="14">
        <f>'2.XDTD_S.Tr.T'!O61</f>
        <v>0</v>
      </c>
      <c r="N29" s="14">
        <f>'2.XDTD_S.Tr.T'!P61</f>
        <v>0</v>
      </c>
      <c r="O29" s="9">
        <f>'2.XDTD_S.Tr.T'!P61</f>
        <v>0</v>
      </c>
      <c r="P29" s="15">
        <f ca="1">'2.XDTD_S.Tr.T'!R61</f>
        <v>0</v>
      </c>
      <c r="Q29" s="16">
        <f ca="1">'2.XDTD_S.Tr.T'!S61</f>
        <v>0</v>
      </c>
      <c r="R29" s="16">
        <f ca="1">'2.XDTD_S.Tr.T'!T61</f>
        <v>0</v>
      </c>
      <c r="S29" s="16">
        <f ca="1">'2.XDTD_S.Tr.T'!U61</f>
        <v>0</v>
      </c>
      <c r="T29" s="16">
        <f ca="1">'2.XDTD_S.Tr.T'!V61</f>
        <v>0</v>
      </c>
      <c r="U29" s="16">
        <f ca="1">'2.XDTD_S.Tr.T'!W61</f>
        <v>0</v>
      </c>
      <c r="V29" s="16">
        <f ca="1">'2.XDTD_S.Tr.T'!X61</f>
        <v>0</v>
      </c>
      <c r="W29" s="16">
        <f ca="1">'2.XDTD_S.Tr.T'!Y61</f>
        <v>0</v>
      </c>
      <c r="X29" s="16">
        <f ca="1">'2.XDTD_S.Tr.T'!Z61</f>
        <v>0</v>
      </c>
      <c r="Y29" s="16">
        <f ca="1">'2.XDTD_S.Tr.T'!AA61</f>
        <v>0</v>
      </c>
      <c r="Z29" s="16">
        <f ca="1">'2.XDTD_S.Tr.T'!AB61</f>
        <v>0</v>
      </c>
      <c r="AA29" s="16">
        <f ca="1">'2.XDTD_S.Tr.T'!AC61</f>
        <v>0</v>
      </c>
      <c r="AB29" s="16">
        <f ca="1">'2.XDTD_S.Tr.T'!AD61</f>
        <v>0</v>
      </c>
      <c r="AC29" s="16">
        <f ca="1">'2.XDTD_S.Tr.T'!AE61</f>
        <v>0</v>
      </c>
      <c r="AD29" s="16">
        <f ca="1">'2.XDTD_S.Tr.T'!AF61</f>
        <v>0</v>
      </c>
      <c r="AE29" s="16">
        <f ca="1">'2.XDTD_S.Tr.T'!AG61</f>
        <v>0</v>
      </c>
      <c r="AF29" s="16">
        <f ca="1">'2.XDTD_S.Tr.T'!AH61</f>
        <v>0</v>
      </c>
      <c r="AG29" s="16">
        <f ca="1">'2.XDTD_S.Tr.T'!AI61</f>
        <v>0</v>
      </c>
      <c r="AH29" s="16">
        <f ca="1">'2.XDTD_S.Tr.T'!AJ61</f>
        <v>0</v>
      </c>
      <c r="AI29" s="16">
        <f ca="1">'2.XDTD_S.Tr.T'!AK61</f>
        <v>0</v>
      </c>
      <c r="AJ29" s="16">
        <f ca="1">'2.XDTD_S.Tr.T'!AL61</f>
        <v>0</v>
      </c>
      <c r="AK29" s="16">
        <f ca="1">'2.XDTD_S.Tr.T'!AM61</f>
        <v>0</v>
      </c>
      <c r="AL29" s="16">
        <f ca="1">'2.XDTD_S.Tr.T'!AN61</f>
        <v>0</v>
      </c>
      <c r="AM29" s="16">
        <f ca="1">'2.XDTD_S.Tr.T'!AO61</f>
        <v>0</v>
      </c>
      <c r="AN29" s="16">
        <f ca="1">'2.XDTD_S.Tr.T'!AP61</f>
        <v>0</v>
      </c>
      <c r="AO29" s="16">
        <f ca="1">'2.XDTD_S.Tr.T'!AP61</f>
        <v>0</v>
      </c>
      <c r="AP29" s="16">
        <f ca="1">'2.XDTD_S.Tr.T'!AR61</f>
        <v>0</v>
      </c>
      <c r="AQ29" s="16">
        <f ca="1">'2.XDTD_S.Tr.T'!AS61</f>
        <v>0</v>
      </c>
      <c r="AR29" s="16">
        <f ca="1">'2.XDTD_S.Tr.T'!AT61</f>
        <v>0</v>
      </c>
      <c r="AS29" s="16">
        <f ca="1">'2.XDTD_S.Tr.T'!AU61</f>
        <v>0</v>
      </c>
      <c r="AT29" s="16">
        <f ca="1">'2.XDTD_S.Tr.T'!AV61</f>
        <v>0</v>
      </c>
      <c r="AU29" s="16">
        <f ca="1">'2.XDTD_S.Tr.T'!AW61</f>
        <v>0</v>
      </c>
      <c r="AV29" s="16">
        <f ca="1">'2.XDTD_S.Tr.T'!AX61</f>
        <v>0</v>
      </c>
      <c r="AW29" s="16">
        <f ca="1">'2.XDTD_S.Tr.T'!AY61</f>
        <v>0</v>
      </c>
      <c r="AX29" s="16">
        <f ca="1">'2.XDTD_S.Tr.T'!AZ61</f>
        <v>0</v>
      </c>
      <c r="AY29" s="16">
        <f ca="1">'2.XDTD_S.Tr.T'!BA61</f>
        <v>0</v>
      </c>
      <c r="AZ29" s="16">
        <f ca="1">'2.XDTD_S.Tr.T'!BB61</f>
        <v>0</v>
      </c>
      <c r="BA29" s="16">
        <f ca="1">'2.XDTD_S.Tr.T'!BC61</f>
        <v>0</v>
      </c>
      <c r="BB29" s="16">
        <f ca="1">'2.XDTD_S.Tr.T'!BD61</f>
        <v>0</v>
      </c>
      <c r="BC29" s="16">
        <f ca="1">'2.XDTD_S.Tr.T'!BE61</f>
        <v>0</v>
      </c>
      <c r="BD29" s="16">
        <f ca="1">'2.XDTD_S.Tr.T'!BF61</f>
        <v>0</v>
      </c>
      <c r="BE29" s="16">
        <f ca="1">'2.XDTD_S.Tr.T'!BG61</f>
        <v>0</v>
      </c>
      <c r="BF29" s="16">
        <f ca="1">'2.XDTD_S.Tr.T'!BH61</f>
        <v>0</v>
      </c>
      <c r="BG29" s="16">
        <f ca="1">'2.XDTD_S.Tr.T'!BI61</f>
        <v>0</v>
      </c>
      <c r="BH29" s="16">
        <f ca="1">'2.XDTD_S.Tr.T'!BJ61</f>
        <v>0</v>
      </c>
      <c r="BI29" s="16">
        <f ca="1">'2.XDTD_S.Tr.T'!BK61</f>
        <v>0</v>
      </c>
      <c r="BJ29" s="16">
        <f ca="1">'2.XDTD_S.Tr.T'!BL61</f>
        <v>0</v>
      </c>
      <c r="BK29" s="16">
        <f ca="1">'2.XDTD_S.Tr.T'!BM61</f>
        <v>0</v>
      </c>
      <c r="BL29" s="16">
        <f ca="1">'2.XDTD_S.Tr.T'!BN61</f>
        <v>0</v>
      </c>
      <c r="BM29" s="16">
        <f ca="1">'2.XDTD_S.Tr.T'!BO61</f>
        <v>0</v>
      </c>
      <c r="BN29" s="16">
        <f ca="1">'2.XDTD_S.Tr.T'!BP61</f>
        <v>0</v>
      </c>
      <c r="BO29" s="16">
        <f ca="1">'2.XDTD_S.Tr.T'!BP61</f>
        <v>0</v>
      </c>
      <c r="BP29" s="16">
        <f ca="1">'2.XDTD_S.Tr.T'!BR61</f>
        <v>0</v>
      </c>
      <c r="BQ29" s="16">
        <f ca="1">'2.XDTD_S.Tr.T'!BS61</f>
        <v>0</v>
      </c>
      <c r="BR29" s="16">
        <f ca="1">'2.XDTD_S.Tr.T'!BT61</f>
        <v>0</v>
      </c>
      <c r="BS29" s="16">
        <f ca="1">'2.XDTD_S.Tr.T'!BU61</f>
        <v>0</v>
      </c>
      <c r="BT29" s="16">
        <f ca="1">'2.XDTD_S.Tr.T'!BV61</f>
        <v>0</v>
      </c>
      <c r="BU29" s="16">
        <f ca="1">'2.XDTD_S.Tr.T'!BW61</f>
        <v>0</v>
      </c>
      <c r="BV29" s="16">
        <f ca="1">'2.XDTD_S.Tr.T'!BX61</f>
        <v>0</v>
      </c>
      <c r="BW29" s="16">
        <f ca="1">'2.XDTD_S.Tr.T'!BY61</f>
        <v>0</v>
      </c>
      <c r="BX29" s="16">
        <f ca="1">'2.XDTD_S.Tr.T'!BZ61</f>
        <v>0</v>
      </c>
      <c r="BY29" s="16">
        <f ca="1">'2.XDTD_S.Tr.T'!CA61</f>
        <v>0</v>
      </c>
      <c r="BZ29" s="16">
        <f ca="1">'2.XDTD_S.Tr.T'!CB61</f>
        <v>0</v>
      </c>
      <c r="CA29" s="16">
        <f ca="1">'2.XDTD_S.Tr.T'!CC61</f>
        <v>0</v>
      </c>
      <c r="CB29" s="16">
        <f ca="1">'2.XDTD_S.Tr.T'!CD61</f>
        <v>0</v>
      </c>
      <c r="CC29" s="16">
        <f ca="1">'2.XDTD_S.Tr.T'!CE61</f>
        <v>0</v>
      </c>
      <c r="CD29" s="16">
        <f ca="1">'2.XDTD_S.Tr.T'!CF61</f>
        <v>0</v>
      </c>
      <c r="CE29" s="16">
        <f ca="1">'2.XDTD_S.Tr.T'!CG61</f>
        <v>0</v>
      </c>
      <c r="CF29" s="16">
        <f ca="1">'2.XDTD_S.Tr.T'!CH61</f>
        <v>0</v>
      </c>
      <c r="CG29" s="16">
        <f ca="1">'2.XDTD_S.Tr.T'!CI61</f>
        <v>0</v>
      </c>
      <c r="CH29" s="16">
        <f ca="1">'2.XDTD_S.Tr.T'!CJ61</f>
        <v>0</v>
      </c>
      <c r="CI29" s="16">
        <f ca="1">'2.XDTD_S.Tr.T'!CK61</f>
        <v>0</v>
      </c>
      <c r="CJ29" s="16">
        <f ca="1">'2.XDTD_S.Tr.T'!CL61</f>
        <v>0</v>
      </c>
      <c r="CK29" s="16">
        <f ca="1">'2.XDTD_S.Tr.T'!CM61</f>
        <v>0</v>
      </c>
      <c r="CL29" s="16">
        <f ca="1">'2.XDTD_S.Tr.T'!CN61</f>
        <v>0</v>
      </c>
      <c r="CM29" s="16">
        <f ca="1">'2.XDTD_S.Tr.T'!CO61</f>
        <v>0</v>
      </c>
      <c r="CN29" s="16">
        <f ca="1">'2.XDTD_S.Tr.T'!CP61</f>
        <v>0</v>
      </c>
      <c r="CO29" s="16">
        <f ca="1">'2.XDTD_S.Tr.T'!CP61</f>
        <v>0</v>
      </c>
    </row>
    <row r="30" spans="3:93" ht="19.95" hidden="1" customHeight="1">
      <c r="C30" s="5"/>
      <c r="D30" s="11">
        <f>'2.XDTD_S.Tr.T'!F62</f>
        <v>0</v>
      </c>
      <c r="E30" s="7">
        <f>'2.XDTD_S.Tr.T'!G62</f>
        <v>0</v>
      </c>
      <c r="F30" s="8">
        <f>'2.XDTD_S.Tr.T'!H62</f>
        <v>0</v>
      </c>
      <c r="G30" s="9">
        <f ca="1">'2.XDTD_S.Tr.T'!I62</f>
        <v>0</v>
      </c>
      <c r="H30" s="10">
        <f ca="1">'2.XDTD_S.Tr.T'!J62</f>
        <v>0</v>
      </c>
      <c r="I30" s="9">
        <f ca="1">'2.XDTD_S.Tr.T'!K62</f>
        <v>0</v>
      </c>
      <c r="J30" s="13">
        <f>'2.XDTD_S.Tr.T'!L62</f>
        <v>0</v>
      </c>
      <c r="K30" s="13">
        <f>'2.XDTD_S.Tr.T'!M62</f>
        <v>0</v>
      </c>
      <c r="L30" s="9">
        <f ca="1">'2.XDTD_S.Tr.T'!N62</f>
        <v>0</v>
      </c>
      <c r="M30" s="14">
        <f>'2.XDTD_S.Tr.T'!O62</f>
        <v>0</v>
      </c>
      <c r="N30" s="14">
        <f>'2.XDTD_S.Tr.T'!P62</f>
        <v>0</v>
      </c>
      <c r="O30" s="9">
        <f>'2.XDTD_S.Tr.T'!P62</f>
        <v>0</v>
      </c>
      <c r="P30" s="15">
        <f ca="1">'2.XDTD_S.Tr.T'!R62</f>
        <v>0</v>
      </c>
      <c r="Q30" s="16">
        <f ca="1">'2.XDTD_S.Tr.T'!S62</f>
        <v>0</v>
      </c>
      <c r="R30" s="16">
        <f ca="1">'2.XDTD_S.Tr.T'!T62</f>
        <v>0</v>
      </c>
      <c r="S30" s="16">
        <f ca="1">'2.XDTD_S.Tr.T'!U62</f>
        <v>0</v>
      </c>
      <c r="T30" s="16">
        <f ca="1">'2.XDTD_S.Tr.T'!V62</f>
        <v>0</v>
      </c>
      <c r="U30" s="16">
        <f ca="1">'2.XDTD_S.Tr.T'!W62</f>
        <v>0</v>
      </c>
      <c r="V30" s="16">
        <f ca="1">'2.XDTD_S.Tr.T'!X62</f>
        <v>0</v>
      </c>
      <c r="W30" s="16">
        <f ca="1">'2.XDTD_S.Tr.T'!Y62</f>
        <v>0</v>
      </c>
      <c r="X30" s="16">
        <f ca="1">'2.XDTD_S.Tr.T'!Z62</f>
        <v>0</v>
      </c>
      <c r="Y30" s="16">
        <f ca="1">'2.XDTD_S.Tr.T'!AA62</f>
        <v>0</v>
      </c>
      <c r="Z30" s="16">
        <f ca="1">'2.XDTD_S.Tr.T'!AB62</f>
        <v>0</v>
      </c>
      <c r="AA30" s="16">
        <f ca="1">'2.XDTD_S.Tr.T'!AC62</f>
        <v>0</v>
      </c>
      <c r="AB30" s="16">
        <f ca="1">'2.XDTD_S.Tr.T'!AD62</f>
        <v>0</v>
      </c>
      <c r="AC30" s="16">
        <f ca="1">'2.XDTD_S.Tr.T'!AE62</f>
        <v>0</v>
      </c>
      <c r="AD30" s="16">
        <f ca="1">'2.XDTD_S.Tr.T'!AF62</f>
        <v>0</v>
      </c>
      <c r="AE30" s="16">
        <f ca="1">'2.XDTD_S.Tr.T'!AG62</f>
        <v>0</v>
      </c>
      <c r="AF30" s="16">
        <f ca="1">'2.XDTD_S.Tr.T'!AH62</f>
        <v>0</v>
      </c>
      <c r="AG30" s="16">
        <f ca="1">'2.XDTD_S.Tr.T'!AI62</f>
        <v>0</v>
      </c>
      <c r="AH30" s="16">
        <f ca="1">'2.XDTD_S.Tr.T'!AJ62</f>
        <v>0</v>
      </c>
      <c r="AI30" s="16">
        <f ca="1">'2.XDTD_S.Tr.T'!AK62</f>
        <v>0</v>
      </c>
      <c r="AJ30" s="16">
        <f ca="1">'2.XDTD_S.Tr.T'!AL62</f>
        <v>0</v>
      </c>
      <c r="AK30" s="16">
        <f ca="1">'2.XDTD_S.Tr.T'!AM62</f>
        <v>0</v>
      </c>
      <c r="AL30" s="16">
        <f ca="1">'2.XDTD_S.Tr.T'!AN62</f>
        <v>0</v>
      </c>
      <c r="AM30" s="16">
        <f ca="1">'2.XDTD_S.Tr.T'!AO62</f>
        <v>0</v>
      </c>
      <c r="AN30" s="16">
        <f ca="1">'2.XDTD_S.Tr.T'!AP62</f>
        <v>0</v>
      </c>
      <c r="AO30" s="16">
        <f ca="1">'2.XDTD_S.Tr.T'!AP62</f>
        <v>0</v>
      </c>
      <c r="AP30" s="16">
        <f ca="1">'2.XDTD_S.Tr.T'!AR62</f>
        <v>0</v>
      </c>
      <c r="AQ30" s="16">
        <f ca="1">'2.XDTD_S.Tr.T'!AS62</f>
        <v>0</v>
      </c>
      <c r="AR30" s="16">
        <f ca="1">'2.XDTD_S.Tr.T'!AT62</f>
        <v>0</v>
      </c>
      <c r="AS30" s="16">
        <f ca="1">'2.XDTD_S.Tr.T'!AU62</f>
        <v>0</v>
      </c>
      <c r="AT30" s="16">
        <f ca="1">'2.XDTD_S.Tr.T'!AV62</f>
        <v>0</v>
      </c>
      <c r="AU30" s="16">
        <f ca="1">'2.XDTD_S.Tr.T'!AW62</f>
        <v>0</v>
      </c>
      <c r="AV30" s="16">
        <f ca="1">'2.XDTD_S.Tr.T'!AX62</f>
        <v>0</v>
      </c>
      <c r="AW30" s="16">
        <f ca="1">'2.XDTD_S.Tr.T'!AY62</f>
        <v>0</v>
      </c>
      <c r="AX30" s="16">
        <f ca="1">'2.XDTD_S.Tr.T'!AZ62</f>
        <v>0</v>
      </c>
      <c r="AY30" s="16">
        <f ca="1">'2.XDTD_S.Tr.T'!BA62</f>
        <v>0</v>
      </c>
      <c r="AZ30" s="16">
        <f ca="1">'2.XDTD_S.Tr.T'!BB62</f>
        <v>0</v>
      </c>
      <c r="BA30" s="16">
        <f ca="1">'2.XDTD_S.Tr.T'!BC62</f>
        <v>0</v>
      </c>
      <c r="BB30" s="16">
        <f ca="1">'2.XDTD_S.Tr.T'!BD62</f>
        <v>0</v>
      </c>
      <c r="BC30" s="16">
        <f ca="1">'2.XDTD_S.Tr.T'!BE62</f>
        <v>0</v>
      </c>
      <c r="BD30" s="16">
        <f ca="1">'2.XDTD_S.Tr.T'!BF62</f>
        <v>0</v>
      </c>
      <c r="BE30" s="16">
        <f ca="1">'2.XDTD_S.Tr.T'!BG62</f>
        <v>0</v>
      </c>
      <c r="BF30" s="16">
        <f ca="1">'2.XDTD_S.Tr.T'!BH62</f>
        <v>0</v>
      </c>
      <c r="BG30" s="16">
        <f ca="1">'2.XDTD_S.Tr.T'!BI62</f>
        <v>0</v>
      </c>
      <c r="BH30" s="16">
        <f ca="1">'2.XDTD_S.Tr.T'!BJ62</f>
        <v>0</v>
      </c>
      <c r="BI30" s="16">
        <f ca="1">'2.XDTD_S.Tr.T'!BK62</f>
        <v>0</v>
      </c>
      <c r="BJ30" s="16">
        <f ca="1">'2.XDTD_S.Tr.T'!BL62</f>
        <v>0</v>
      </c>
      <c r="BK30" s="16">
        <f ca="1">'2.XDTD_S.Tr.T'!BM62</f>
        <v>0</v>
      </c>
      <c r="BL30" s="16">
        <f ca="1">'2.XDTD_S.Tr.T'!BN62</f>
        <v>0</v>
      </c>
      <c r="BM30" s="16">
        <f ca="1">'2.XDTD_S.Tr.T'!BO62</f>
        <v>0</v>
      </c>
      <c r="BN30" s="16">
        <f ca="1">'2.XDTD_S.Tr.T'!BP62</f>
        <v>0</v>
      </c>
      <c r="BO30" s="16">
        <f ca="1">'2.XDTD_S.Tr.T'!BP62</f>
        <v>0</v>
      </c>
      <c r="BP30" s="16">
        <f ca="1">'2.XDTD_S.Tr.T'!BR62</f>
        <v>0</v>
      </c>
      <c r="BQ30" s="16">
        <f ca="1">'2.XDTD_S.Tr.T'!BS62</f>
        <v>0</v>
      </c>
      <c r="BR30" s="16">
        <f ca="1">'2.XDTD_S.Tr.T'!BT62</f>
        <v>0</v>
      </c>
      <c r="BS30" s="16">
        <f ca="1">'2.XDTD_S.Tr.T'!BU62</f>
        <v>0</v>
      </c>
      <c r="BT30" s="16">
        <f ca="1">'2.XDTD_S.Tr.T'!BV62</f>
        <v>0</v>
      </c>
      <c r="BU30" s="16">
        <f ca="1">'2.XDTD_S.Tr.T'!BW62</f>
        <v>0</v>
      </c>
      <c r="BV30" s="16">
        <f ca="1">'2.XDTD_S.Tr.T'!BX62</f>
        <v>0</v>
      </c>
      <c r="BW30" s="16">
        <f ca="1">'2.XDTD_S.Tr.T'!BY62</f>
        <v>0</v>
      </c>
      <c r="BX30" s="16">
        <f ca="1">'2.XDTD_S.Tr.T'!BZ62</f>
        <v>0</v>
      </c>
      <c r="BY30" s="16">
        <f ca="1">'2.XDTD_S.Tr.T'!CA62</f>
        <v>0</v>
      </c>
      <c r="BZ30" s="16">
        <f ca="1">'2.XDTD_S.Tr.T'!CB62</f>
        <v>0</v>
      </c>
      <c r="CA30" s="16">
        <f ca="1">'2.XDTD_S.Tr.T'!CC62</f>
        <v>0</v>
      </c>
      <c r="CB30" s="16">
        <f ca="1">'2.XDTD_S.Tr.T'!CD62</f>
        <v>0</v>
      </c>
      <c r="CC30" s="16">
        <f ca="1">'2.XDTD_S.Tr.T'!CE62</f>
        <v>0</v>
      </c>
      <c r="CD30" s="16">
        <f ca="1">'2.XDTD_S.Tr.T'!CF62</f>
        <v>0</v>
      </c>
      <c r="CE30" s="16">
        <f ca="1">'2.XDTD_S.Tr.T'!CG62</f>
        <v>0</v>
      </c>
      <c r="CF30" s="16">
        <f ca="1">'2.XDTD_S.Tr.T'!CH62</f>
        <v>0</v>
      </c>
      <c r="CG30" s="16">
        <f ca="1">'2.XDTD_S.Tr.T'!CI62</f>
        <v>0</v>
      </c>
      <c r="CH30" s="16">
        <f ca="1">'2.XDTD_S.Tr.T'!CJ62</f>
        <v>0</v>
      </c>
      <c r="CI30" s="16">
        <f ca="1">'2.XDTD_S.Tr.T'!CK62</f>
        <v>0</v>
      </c>
      <c r="CJ30" s="16">
        <f ca="1">'2.XDTD_S.Tr.T'!CL62</f>
        <v>0</v>
      </c>
      <c r="CK30" s="16">
        <f ca="1">'2.XDTD_S.Tr.T'!CM62</f>
        <v>0</v>
      </c>
      <c r="CL30" s="16">
        <f ca="1">'2.XDTD_S.Tr.T'!CN62</f>
        <v>0</v>
      </c>
      <c r="CM30" s="16">
        <f ca="1">'2.XDTD_S.Tr.T'!CO62</f>
        <v>0</v>
      </c>
      <c r="CN30" s="16">
        <f ca="1">'2.XDTD_S.Tr.T'!CP62</f>
        <v>0</v>
      </c>
      <c r="CO30" s="16">
        <f ca="1">'2.XDTD_S.Tr.T'!CP62</f>
        <v>0</v>
      </c>
    </row>
    <row r="31" spans="3:93" ht="19.95" hidden="1" customHeight="1">
      <c r="C31" s="5"/>
      <c r="D31" s="11">
        <f>'2.XDTD_S.Tr.T'!F63</f>
        <v>0</v>
      </c>
      <c r="E31" s="7">
        <f>'2.XDTD_S.Tr.T'!G63</f>
        <v>0</v>
      </c>
      <c r="F31" s="8">
        <f>'2.XDTD_S.Tr.T'!H63</f>
        <v>0</v>
      </c>
      <c r="G31" s="9">
        <f ca="1">'2.XDTD_S.Tr.T'!I63</f>
        <v>0</v>
      </c>
      <c r="H31" s="10">
        <f ca="1">'2.XDTD_S.Tr.T'!J63</f>
        <v>0</v>
      </c>
      <c r="I31" s="9">
        <f ca="1">'2.XDTD_S.Tr.T'!K63</f>
        <v>0</v>
      </c>
      <c r="J31" s="13">
        <f>'2.XDTD_S.Tr.T'!L63</f>
        <v>0</v>
      </c>
      <c r="K31" s="13">
        <f>'2.XDTD_S.Tr.T'!M63</f>
        <v>0</v>
      </c>
      <c r="L31" s="9">
        <f ca="1">'2.XDTD_S.Tr.T'!N63</f>
        <v>0</v>
      </c>
      <c r="M31" s="14">
        <f>'2.XDTD_S.Tr.T'!O63</f>
        <v>0</v>
      </c>
      <c r="N31" s="14">
        <f>'2.XDTD_S.Tr.T'!P63</f>
        <v>0</v>
      </c>
      <c r="O31" s="9">
        <f>'2.XDTD_S.Tr.T'!P63</f>
        <v>0</v>
      </c>
      <c r="P31" s="15">
        <f ca="1">'2.XDTD_S.Tr.T'!R63</f>
        <v>0</v>
      </c>
      <c r="Q31" s="16">
        <f ca="1">'2.XDTD_S.Tr.T'!S63</f>
        <v>0</v>
      </c>
      <c r="R31" s="16">
        <f ca="1">'2.XDTD_S.Tr.T'!T63</f>
        <v>0</v>
      </c>
      <c r="S31" s="16">
        <f ca="1">'2.XDTD_S.Tr.T'!U63</f>
        <v>0</v>
      </c>
      <c r="T31" s="16">
        <f ca="1">'2.XDTD_S.Tr.T'!V63</f>
        <v>0</v>
      </c>
      <c r="U31" s="16">
        <f ca="1">'2.XDTD_S.Tr.T'!W63</f>
        <v>0</v>
      </c>
      <c r="V31" s="16">
        <f ca="1">'2.XDTD_S.Tr.T'!X63</f>
        <v>0</v>
      </c>
      <c r="W31" s="16">
        <f ca="1">'2.XDTD_S.Tr.T'!Y63</f>
        <v>0</v>
      </c>
      <c r="X31" s="16">
        <f ca="1">'2.XDTD_S.Tr.T'!Z63</f>
        <v>0</v>
      </c>
      <c r="Y31" s="16">
        <f ca="1">'2.XDTD_S.Tr.T'!AA63</f>
        <v>0</v>
      </c>
      <c r="Z31" s="16">
        <f ca="1">'2.XDTD_S.Tr.T'!AB63</f>
        <v>0</v>
      </c>
      <c r="AA31" s="16">
        <f ca="1">'2.XDTD_S.Tr.T'!AC63</f>
        <v>0</v>
      </c>
      <c r="AB31" s="16">
        <f ca="1">'2.XDTD_S.Tr.T'!AD63</f>
        <v>0</v>
      </c>
      <c r="AC31" s="16">
        <f ca="1">'2.XDTD_S.Tr.T'!AE63</f>
        <v>0</v>
      </c>
      <c r="AD31" s="16">
        <f ca="1">'2.XDTD_S.Tr.T'!AF63</f>
        <v>0</v>
      </c>
      <c r="AE31" s="16">
        <f ca="1">'2.XDTD_S.Tr.T'!AG63</f>
        <v>0</v>
      </c>
      <c r="AF31" s="16">
        <f ca="1">'2.XDTD_S.Tr.T'!AH63</f>
        <v>0</v>
      </c>
      <c r="AG31" s="16">
        <f ca="1">'2.XDTD_S.Tr.T'!AI63</f>
        <v>0</v>
      </c>
      <c r="AH31" s="16">
        <f ca="1">'2.XDTD_S.Tr.T'!AJ63</f>
        <v>0</v>
      </c>
      <c r="AI31" s="16">
        <f ca="1">'2.XDTD_S.Tr.T'!AK63</f>
        <v>0</v>
      </c>
      <c r="AJ31" s="16">
        <f ca="1">'2.XDTD_S.Tr.T'!AL63</f>
        <v>0</v>
      </c>
      <c r="AK31" s="16">
        <f ca="1">'2.XDTD_S.Tr.T'!AM63</f>
        <v>0</v>
      </c>
      <c r="AL31" s="16">
        <f ca="1">'2.XDTD_S.Tr.T'!AN63</f>
        <v>0</v>
      </c>
      <c r="AM31" s="16">
        <f ca="1">'2.XDTD_S.Tr.T'!AO63</f>
        <v>0</v>
      </c>
      <c r="AN31" s="16">
        <f ca="1">'2.XDTD_S.Tr.T'!AP63</f>
        <v>0</v>
      </c>
      <c r="AO31" s="16">
        <f ca="1">'2.XDTD_S.Tr.T'!AP63</f>
        <v>0</v>
      </c>
      <c r="AP31" s="16">
        <f ca="1">'2.XDTD_S.Tr.T'!AR63</f>
        <v>0</v>
      </c>
      <c r="AQ31" s="16">
        <f ca="1">'2.XDTD_S.Tr.T'!AS63</f>
        <v>0</v>
      </c>
      <c r="AR31" s="16">
        <f ca="1">'2.XDTD_S.Tr.T'!AT63</f>
        <v>0</v>
      </c>
      <c r="AS31" s="16">
        <f ca="1">'2.XDTD_S.Tr.T'!AU63</f>
        <v>0</v>
      </c>
      <c r="AT31" s="16">
        <f ca="1">'2.XDTD_S.Tr.T'!AV63</f>
        <v>0</v>
      </c>
      <c r="AU31" s="16">
        <f ca="1">'2.XDTD_S.Tr.T'!AW63</f>
        <v>0</v>
      </c>
      <c r="AV31" s="16">
        <f ca="1">'2.XDTD_S.Tr.T'!AX63</f>
        <v>0</v>
      </c>
      <c r="AW31" s="16">
        <f ca="1">'2.XDTD_S.Tr.T'!AY63</f>
        <v>0</v>
      </c>
      <c r="AX31" s="16">
        <f ca="1">'2.XDTD_S.Tr.T'!AZ63</f>
        <v>0</v>
      </c>
      <c r="AY31" s="16">
        <f ca="1">'2.XDTD_S.Tr.T'!BA63</f>
        <v>0</v>
      </c>
      <c r="AZ31" s="16">
        <f ca="1">'2.XDTD_S.Tr.T'!BB63</f>
        <v>0</v>
      </c>
      <c r="BA31" s="16">
        <f ca="1">'2.XDTD_S.Tr.T'!BC63</f>
        <v>0</v>
      </c>
      <c r="BB31" s="16">
        <f ca="1">'2.XDTD_S.Tr.T'!BD63</f>
        <v>0</v>
      </c>
      <c r="BC31" s="16">
        <f ca="1">'2.XDTD_S.Tr.T'!BE63</f>
        <v>0</v>
      </c>
      <c r="BD31" s="16">
        <f ca="1">'2.XDTD_S.Tr.T'!BF63</f>
        <v>0</v>
      </c>
      <c r="BE31" s="16">
        <f ca="1">'2.XDTD_S.Tr.T'!BG63</f>
        <v>0</v>
      </c>
      <c r="BF31" s="16">
        <f ca="1">'2.XDTD_S.Tr.T'!BH63</f>
        <v>0</v>
      </c>
      <c r="BG31" s="16">
        <f ca="1">'2.XDTD_S.Tr.T'!BI63</f>
        <v>0</v>
      </c>
      <c r="BH31" s="16">
        <f ca="1">'2.XDTD_S.Tr.T'!BJ63</f>
        <v>0</v>
      </c>
      <c r="BI31" s="16">
        <f ca="1">'2.XDTD_S.Tr.T'!BK63</f>
        <v>0</v>
      </c>
      <c r="BJ31" s="16">
        <f ca="1">'2.XDTD_S.Tr.T'!BL63</f>
        <v>0</v>
      </c>
      <c r="BK31" s="16">
        <f ca="1">'2.XDTD_S.Tr.T'!BM63</f>
        <v>0</v>
      </c>
      <c r="BL31" s="16">
        <f ca="1">'2.XDTD_S.Tr.T'!BN63</f>
        <v>0</v>
      </c>
      <c r="BM31" s="16">
        <f ca="1">'2.XDTD_S.Tr.T'!BO63</f>
        <v>0</v>
      </c>
      <c r="BN31" s="16">
        <f ca="1">'2.XDTD_S.Tr.T'!BP63</f>
        <v>0</v>
      </c>
      <c r="BO31" s="16">
        <f ca="1">'2.XDTD_S.Tr.T'!BP63</f>
        <v>0</v>
      </c>
      <c r="BP31" s="16">
        <f ca="1">'2.XDTD_S.Tr.T'!BR63</f>
        <v>0</v>
      </c>
      <c r="BQ31" s="16">
        <f ca="1">'2.XDTD_S.Tr.T'!BS63</f>
        <v>0</v>
      </c>
      <c r="BR31" s="16">
        <f ca="1">'2.XDTD_S.Tr.T'!BT63</f>
        <v>0</v>
      </c>
      <c r="BS31" s="16">
        <f ca="1">'2.XDTD_S.Tr.T'!BU63</f>
        <v>0</v>
      </c>
      <c r="BT31" s="16">
        <f ca="1">'2.XDTD_S.Tr.T'!BV63</f>
        <v>0</v>
      </c>
      <c r="BU31" s="16">
        <f ca="1">'2.XDTD_S.Tr.T'!BW63</f>
        <v>0</v>
      </c>
      <c r="BV31" s="16">
        <f ca="1">'2.XDTD_S.Tr.T'!BX63</f>
        <v>0</v>
      </c>
      <c r="BW31" s="16">
        <f ca="1">'2.XDTD_S.Tr.T'!BY63</f>
        <v>0</v>
      </c>
      <c r="BX31" s="16">
        <f ca="1">'2.XDTD_S.Tr.T'!BZ63</f>
        <v>0</v>
      </c>
      <c r="BY31" s="16">
        <f ca="1">'2.XDTD_S.Tr.T'!CA63</f>
        <v>0</v>
      </c>
      <c r="BZ31" s="16">
        <f ca="1">'2.XDTD_S.Tr.T'!CB63</f>
        <v>0</v>
      </c>
      <c r="CA31" s="16">
        <f ca="1">'2.XDTD_S.Tr.T'!CC63</f>
        <v>0</v>
      </c>
      <c r="CB31" s="16">
        <f ca="1">'2.XDTD_S.Tr.T'!CD63</f>
        <v>0</v>
      </c>
      <c r="CC31" s="16">
        <f ca="1">'2.XDTD_S.Tr.T'!CE63</f>
        <v>0</v>
      </c>
      <c r="CD31" s="16">
        <f ca="1">'2.XDTD_S.Tr.T'!CF63</f>
        <v>0</v>
      </c>
      <c r="CE31" s="16">
        <f ca="1">'2.XDTD_S.Tr.T'!CG63</f>
        <v>0</v>
      </c>
      <c r="CF31" s="16">
        <f ca="1">'2.XDTD_S.Tr.T'!CH63</f>
        <v>0</v>
      </c>
      <c r="CG31" s="16">
        <f ca="1">'2.XDTD_S.Tr.T'!CI63</f>
        <v>0</v>
      </c>
      <c r="CH31" s="16">
        <f ca="1">'2.XDTD_S.Tr.T'!CJ63</f>
        <v>0</v>
      </c>
      <c r="CI31" s="16">
        <f ca="1">'2.XDTD_S.Tr.T'!CK63</f>
        <v>0</v>
      </c>
      <c r="CJ31" s="16">
        <f ca="1">'2.XDTD_S.Tr.T'!CL63</f>
        <v>0</v>
      </c>
      <c r="CK31" s="16">
        <f ca="1">'2.XDTD_S.Tr.T'!CM63</f>
        <v>0</v>
      </c>
      <c r="CL31" s="16">
        <f ca="1">'2.XDTD_S.Tr.T'!CN63</f>
        <v>0</v>
      </c>
      <c r="CM31" s="16">
        <f ca="1">'2.XDTD_S.Tr.T'!CO63</f>
        <v>0</v>
      </c>
      <c r="CN31" s="16">
        <f ca="1">'2.XDTD_S.Tr.T'!CP63</f>
        <v>0</v>
      </c>
      <c r="CO31" s="16">
        <f ca="1">'2.XDTD_S.Tr.T'!CP63</f>
        <v>0</v>
      </c>
    </row>
    <row r="32" spans="3:93" ht="19.95" hidden="1" customHeight="1">
      <c r="C32" s="5"/>
      <c r="D32" s="11">
        <f>'2.XDTD_S.Tr.T'!F64</f>
        <v>0</v>
      </c>
      <c r="E32" s="7">
        <f>'2.XDTD_S.Tr.T'!G64</f>
        <v>0</v>
      </c>
      <c r="F32" s="8">
        <f>'2.XDTD_S.Tr.T'!H64</f>
        <v>0</v>
      </c>
      <c r="G32" s="9">
        <f ca="1">'2.XDTD_S.Tr.T'!I64</f>
        <v>0</v>
      </c>
      <c r="H32" s="10">
        <f ca="1">'2.XDTD_S.Tr.T'!J64</f>
        <v>0</v>
      </c>
      <c r="I32" s="9">
        <f ca="1">'2.XDTD_S.Tr.T'!K64</f>
        <v>0</v>
      </c>
      <c r="J32" s="13">
        <f>'2.XDTD_S.Tr.T'!L64</f>
        <v>0</v>
      </c>
      <c r="K32" s="13">
        <f>'2.XDTD_S.Tr.T'!M64</f>
        <v>0</v>
      </c>
      <c r="L32" s="9">
        <f ca="1">'2.XDTD_S.Tr.T'!N64</f>
        <v>0</v>
      </c>
      <c r="M32" s="14">
        <f>'2.XDTD_S.Tr.T'!O64</f>
        <v>0</v>
      </c>
      <c r="N32" s="14">
        <f>'2.XDTD_S.Tr.T'!P64</f>
        <v>0</v>
      </c>
      <c r="O32" s="9">
        <f>'2.XDTD_S.Tr.T'!P64</f>
        <v>0</v>
      </c>
      <c r="P32" s="15">
        <f ca="1">'2.XDTD_S.Tr.T'!R64</f>
        <v>0</v>
      </c>
      <c r="Q32" s="16">
        <f ca="1">'2.XDTD_S.Tr.T'!S64</f>
        <v>0</v>
      </c>
      <c r="R32" s="16">
        <f ca="1">'2.XDTD_S.Tr.T'!T64</f>
        <v>0</v>
      </c>
      <c r="S32" s="16">
        <f ca="1">'2.XDTD_S.Tr.T'!U64</f>
        <v>0</v>
      </c>
      <c r="T32" s="16">
        <f ca="1">'2.XDTD_S.Tr.T'!V64</f>
        <v>0</v>
      </c>
      <c r="U32" s="16">
        <f ca="1">'2.XDTD_S.Tr.T'!W64</f>
        <v>0</v>
      </c>
      <c r="V32" s="16">
        <f ca="1">'2.XDTD_S.Tr.T'!X64</f>
        <v>0</v>
      </c>
      <c r="W32" s="16">
        <f ca="1">'2.XDTD_S.Tr.T'!Y64</f>
        <v>0</v>
      </c>
      <c r="X32" s="16">
        <f ca="1">'2.XDTD_S.Tr.T'!Z64</f>
        <v>0</v>
      </c>
      <c r="Y32" s="16">
        <f ca="1">'2.XDTD_S.Tr.T'!AA64</f>
        <v>0</v>
      </c>
      <c r="Z32" s="16">
        <f ca="1">'2.XDTD_S.Tr.T'!AB64</f>
        <v>0</v>
      </c>
      <c r="AA32" s="16">
        <f ca="1">'2.XDTD_S.Tr.T'!AC64</f>
        <v>0</v>
      </c>
      <c r="AB32" s="16">
        <f ca="1">'2.XDTD_S.Tr.T'!AD64</f>
        <v>0</v>
      </c>
      <c r="AC32" s="16">
        <f ca="1">'2.XDTD_S.Tr.T'!AE64</f>
        <v>0</v>
      </c>
      <c r="AD32" s="16">
        <f ca="1">'2.XDTD_S.Tr.T'!AF64</f>
        <v>0</v>
      </c>
      <c r="AE32" s="16">
        <f ca="1">'2.XDTD_S.Tr.T'!AG64</f>
        <v>0</v>
      </c>
      <c r="AF32" s="16">
        <f ca="1">'2.XDTD_S.Tr.T'!AH64</f>
        <v>0</v>
      </c>
      <c r="AG32" s="16">
        <f ca="1">'2.XDTD_S.Tr.T'!AI64</f>
        <v>0</v>
      </c>
      <c r="AH32" s="16">
        <f ca="1">'2.XDTD_S.Tr.T'!AJ64</f>
        <v>0</v>
      </c>
      <c r="AI32" s="16">
        <f ca="1">'2.XDTD_S.Tr.T'!AK64</f>
        <v>0</v>
      </c>
      <c r="AJ32" s="16">
        <f ca="1">'2.XDTD_S.Tr.T'!AL64</f>
        <v>0</v>
      </c>
      <c r="AK32" s="16">
        <f ca="1">'2.XDTD_S.Tr.T'!AM64</f>
        <v>0</v>
      </c>
      <c r="AL32" s="16">
        <f ca="1">'2.XDTD_S.Tr.T'!AN64</f>
        <v>0</v>
      </c>
      <c r="AM32" s="16">
        <f ca="1">'2.XDTD_S.Tr.T'!AO64</f>
        <v>0</v>
      </c>
      <c r="AN32" s="16">
        <f ca="1">'2.XDTD_S.Tr.T'!AP64</f>
        <v>0</v>
      </c>
      <c r="AO32" s="16">
        <f ca="1">'2.XDTD_S.Tr.T'!AP64</f>
        <v>0</v>
      </c>
      <c r="AP32" s="16">
        <f ca="1">'2.XDTD_S.Tr.T'!AR64</f>
        <v>0</v>
      </c>
      <c r="AQ32" s="16">
        <f ca="1">'2.XDTD_S.Tr.T'!AS64</f>
        <v>0</v>
      </c>
      <c r="AR32" s="16">
        <f ca="1">'2.XDTD_S.Tr.T'!AT64</f>
        <v>0</v>
      </c>
      <c r="AS32" s="16">
        <f ca="1">'2.XDTD_S.Tr.T'!AU64</f>
        <v>0</v>
      </c>
      <c r="AT32" s="16">
        <f ca="1">'2.XDTD_S.Tr.T'!AV64</f>
        <v>0</v>
      </c>
      <c r="AU32" s="16">
        <f ca="1">'2.XDTD_S.Tr.T'!AW64</f>
        <v>0</v>
      </c>
      <c r="AV32" s="16">
        <f ca="1">'2.XDTD_S.Tr.T'!AX64</f>
        <v>0</v>
      </c>
      <c r="AW32" s="16">
        <f ca="1">'2.XDTD_S.Tr.T'!AY64</f>
        <v>0</v>
      </c>
      <c r="AX32" s="16">
        <f ca="1">'2.XDTD_S.Tr.T'!AZ64</f>
        <v>0</v>
      </c>
      <c r="AY32" s="16">
        <f ca="1">'2.XDTD_S.Tr.T'!BA64</f>
        <v>0</v>
      </c>
      <c r="AZ32" s="16">
        <f ca="1">'2.XDTD_S.Tr.T'!BB64</f>
        <v>0</v>
      </c>
      <c r="BA32" s="16">
        <f ca="1">'2.XDTD_S.Tr.T'!BC64</f>
        <v>0</v>
      </c>
      <c r="BB32" s="16">
        <f ca="1">'2.XDTD_S.Tr.T'!BD64</f>
        <v>0</v>
      </c>
      <c r="BC32" s="16">
        <f ca="1">'2.XDTD_S.Tr.T'!BE64</f>
        <v>0</v>
      </c>
      <c r="BD32" s="16">
        <f ca="1">'2.XDTD_S.Tr.T'!BF64</f>
        <v>0</v>
      </c>
      <c r="BE32" s="16">
        <f ca="1">'2.XDTD_S.Tr.T'!BG64</f>
        <v>0</v>
      </c>
      <c r="BF32" s="16">
        <f ca="1">'2.XDTD_S.Tr.T'!BH64</f>
        <v>0</v>
      </c>
      <c r="BG32" s="16">
        <f ca="1">'2.XDTD_S.Tr.T'!BI64</f>
        <v>0</v>
      </c>
      <c r="BH32" s="16">
        <f ca="1">'2.XDTD_S.Tr.T'!BJ64</f>
        <v>0</v>
      </c>
      <c r="BI32" s="16">
        <f ca="1">'2.XDTD_S.Tr.T'!BK64</f>
        <v>0</v>
      </c>
      <c r="BJ32" s="16">
        <f ca="1">'2.XDTD_S.Tr.T'!BL64</f>
        <v>0</v>
      </c>
      <c r="BK32" s="16">
        <f ca="1">'2.XDTD_S.Tr.T'!BM64</f>
        <v>0</v>
      </c>
      <c r="BL32" s="16">
        <f ca="1">'2.XDTD_S.Tr.T'!BN64</f>
        <v>0</v>
      </c>
      <c r="BM32" s="16">
        <f ca="1">'2.XDTD_S.Tr.T'!BO64</f>
        <v>0</v>
      </c>
      <c r="BN32" s="16">
        <f ca="1">'2.XDTD_S.Tr.T'!BP64</f>
        <v>0</v>
      </c>
      <c r="BO32" s="16">
        <f ca="1">'2.XDTD_S.Tr.T'!BP64</f>
        <v>0</v>
      </c>
      <c r="BP32" s="16">
        <f ca="1">'2.XDTD_S.Tr.T'!BR64</f>
        <v>0</v>
      </c>
      <c r="BQ32" s="16">
        <f ca="1">'2.XDTD_S.Tr.T'!BS64</f>
        <v>0</v>
      </c>
      <c r="BR32" s="16">
        <f ca="1">'2.XDTD_S.Tr.T'!BT64</f>
        <v>0</v>
      </c>
      <c r="BS32" s="16">
        <f ca="1">'2.XDTD_S.Tr.T'!BU64</f>
        <v>0</v>
      </c>
      <c r="BT32" s="16">
        <f ca="1">'2.XDTD_S.Tr.T'!BV64</f>
        <v>0</v>
      </c>
      <c r="BU32" s="16">
        <f ca="1">'2.XDTD_S.Tr.T'!BW64</f>
        <v>0</v>
      </c>
      <c r="BV32" s="16">
        <f ca="1">'2.XDTD_S.Tr.T'!BX64</f>
        <v>0</v>
      </c>
      <c r="BW32" s="16">
        <f ca="1">'2.XDTD_S.Tr.T'!BY64</f>
        <v>0</v>
      </c>
      <c r="BX32" s="16">
        <f ca="1">'2.XDTD_S.Tr.T'!BZ64</f>
        <v>0</v>
      </c>
      <c r="BY32" s="16">
        <f ca="1">'2.XDTD_S.Tr.T'!CA64</f>
        <v>0</v>
      </c>
      <c r="BZ32" s="16">
        <f ca="1">'2.XDTD_S.Tr.T'!CB64</f>
        <v>0</v>
      </c>
      <c r="CA32" s="16">
        <f ca="1">'2.XDTD_S.Tr.T'!CC64</f>
        <v>0</v>
      </c>
      <c r="CB32" s="16">
        <f ca="1">'2.XDTD_S.Tr.T'!CD64</f>
        <v>0</v>
      </c>
      <c r="CC32" s="16">
        <f ca="1">'2.XDTD_S.Tr.T'!CE64</f>
        <v>0</v>
      </c>
      <c r="CD32" s="16">
        <f ca="1">'2.XDTD_S.Tr.T'!CF64</f>
        <v>0</v>
      </c>
      <c r="CE32" s="16">
        <f ca="1">'2.XDTD_S.Tr.T'!CG64</f>
        <v>0</v>
      </c>
      <c r="CF32" s="16">
        <f ca="1">'2.XDTD_S.Tr.T'!CH64</f>
        <v>0</v>
      </c>
      <c r="CG32" s="16">
        <f ca="1">'2.XDTD_S.Tr.T'!CI64</f>
        <v>0</v>
      </c>
      <c r="CH32" s="16">
        <f ca="1">'2.XDTD_S.Tr.T'!CJ64</f>
        <v>0</v>
      </c>
      <c r="CI32" s="16">
        <f ca="1">'2.XDTD_S.Tr.T'!CK64</f>
        <v>0</v>
      </c>
      <c r="CJ32" s="16">
        <f ca="1">'2.XDTD_S.Tr.T'!CL64</f>
        <v>0</v>
      </c>
      <c r="CK32" s="16">
        <f ca="1">'2.XDTD_S.Tr.T'!CM64</f>
        <v>0</v>
      </c>
      <c r="CL32" s="16">
        <f ca="1">'2.XDTD_S.Tr.T'!CN64</f>
        <v>0</v>
      </c>
      <c r="CM32" s="16">
        <f ca="1">'2.XDTD_S.Tr.T'!CO64</f>
        <v>0</v>
      </c>
      <c r="CN32" s="16">
        <f ca="1">'2.XDTD_S.Tr.T'!CP64</f>
        <v>0</v>
      </c>
      <c r="CO32" s="16">
        <f ca="1">'2.XDTD_S.Tr.T'!CP64</f>
        <v>0</v>
      </c>
    </row>
    <row r="33" spans="3:93" ht="19.95" hidden="1" customHeight="1">
      <c r="C33" s="5"/>
      <c r="D33" s="11">
        <f>'2.XDTD_S.Tr.T'!F65</f>
        <v>0</v>
      </c>
      <c r="E33" s="7">
        <f>'2.XDTD_S.Tr.T'!G65</f>
        <v>0</v>
      </c>
      <c r="F33" s="8">
        <f>'2.XDTD_S.Tr.T'!H65</f>
        <v>0</v>
      </c>
      <c r="G33" s="9">
        <f ca="1">'2.XDTD_S.Tr.T'!I65</f>
        <v>0</v>
      </c>
      <c r="H33" s="10">
        <f ca="1">'2.XDTD_S.Tr.T'!J65</f>
        <v>0</v>
      </c>
      <c r="I33" s="9">
        <f ca="1">'2.XDTD_S.Tr.T'!K65</f>
        <v>0</v>
      </c>
      <c r="J33" s="13">
        <f>'2.XDTD_S.Tr.T'!L65</f>
        <v>0</v>
      </c>
      <c r="K33" s="13">
        <f>'2.XDTD_S.Tr.T'!M65</f>
        <v>0</v>
      </c>
      <c r="L33" s="9">
        <f ca="1">'2.XDTD_S.Tr.T'!N65</f>
        <v>0</v>
      </c>
      <c r="M33" s="14">
        <f>'2.XDTD_S.Tr.T'!O65</f>
        <v>0</v>
      </c>
      <c r="N33" s="14">
        <f>'2.XDTD_S.Tr.T'!P65</f>
        <v>0</v>
      </c>
      <c r="O33" s="9">
        <f>'2.XDTD_S.Tr.T'!P65</f>
        <v>0</v>
      </c>
      <c r="P33" s="15">
        <f ca="1">'2.XDTD_S.Tr.T'!R65</f>
        <v>0</v>
      </c>
      <c r="Q33" s="16">
        <f ca="1">'2.XDTD_S.Tr.T'!S65</f>
        <v>0</v>
      </c>
      <c r="R33" s="16">
        <f ca="1">'2.XDTD_S.Tr.T'!T65</f>
        <v>0</v>
      </c>
      <c r="S33" s="16">
        <f ca="1">'2.XDTD_S.Tr.T'!U65</f>
        <v>0</v>
      </c>
      <c r="T33" s="16">
        <f ca="1">'2.XDTD_S.Tr.T'!V65</f>
        <v>0</v>
      </c>
      <c r="U33" s="16">
        <f ca="1">'2.XDTD_S.Tr.T'!W65</f>
        <v>0</v>
      </c>
      <c r="V33" s="16">
        <f ca="1">'2.XDTD_S.Tr.T'!X65</f>
        <v>0</v>
      </c>
      <c r="W33" s="16">
        <f ca="1">'2.XDTD_S.Tr.T'!Y65</f>
        <v>0</v>
      </c>
      <c r="X33" s="16">
        <f ca="1">'2.XDTD_S.Tr.T'!Z65</f>
        <v>0</v>
      </c>
      <c r="Y33" s="16">
        <f ca="1">'2.XDTD_S.Tr.T'!AA65</f>
        <v>0</v>
      </c>
      <c r="Z33" s="16">
        <f ca="1">'2.XDTD_S.Tr.T'!AB65</f>
        <v>0</v>
      </c>
      <c r="AA33" s="16">
        <f ca="1">'2.XDTD_S.Tr.T'!AC65</f>
        <v>0</v>
      </c>
      <c r="AB33" s="16">
        <f ca="1">'2.XDTD_S.Tr.T'!AD65</f>
        <v>0</v>
      </c>
      <c r="AC33" s="16">
        <f ca="1">'2.XDTD_S.Tr.T'!AE65</f>
        <v>0</v>
      </c>
      <c r="AD33" s="16">
        <f ca="1">'2.XDTD_S.Tr.T'!AF65</f>
        <v>0</v>
      </c>
      <c r="AE33" s="16">
        <f ca="1">'2.XDTD_S.Tr.T'!AG65</f>
        <v>0</v>
      </c>
      <c r="AF33" s="16">
        <f ca="1">'2.XDTD_S.Tr.T'!AH65</f>
        <v>0</v>
      </c>
      <c r="AG33" s="16">
        <f ca="1">'2.XDTD_S.Tr.T'!AI65</f>
        <v>0</v>
      </c>
      <c r="AH33" s="16">
        <f ca="1">'2.XDTD_S.Tr.T'!AJ65</f>
        <v>0</v>
      </c>
      <c r="AI33" s="16">
        <f ca="1">'2.XDTD_S.Tr.T'!AK65</f>
        <v>0</v>
      </c>
      <c r="AJ33" s="16">
        <f ca="1">'2.XDTD_S.Tr.T'!AL65</f>
        <v>0</v>
      </c>
      <c r="AK33" s="16">
        <f ca="1">'2.XDTD_S.Tr.T'!AM65</f>
        <v>0</v>
      </c>
      <c r="AL33" s="16">
        <f ca="1">'2.XDTD_S.Tr.T'!AN65</f>
        <v>0</v>
      </c>
      <c r="AM33" s="16">
        <f ca="1">'2.XDTD_S.Tr.T'!AO65</f>
        <v>0</v>
      </c>
      <c r="AN33" s="16">
        <f ca="1">'2.XDTD_S.Tr.T'!AP65</f>
        <v>0</v>
      </c>
      <c r="AO33" s="16">
        <f ca="1">'2.XDTD_S.Tr.T'!AP65</f>
        <v>0</v>
      </c>
      <c r="AP33" s="16">
        <f ca="1">'2.XDTD_S.Tr.T'!AR65</f>
        <v>0</v>
      </c>
      <c r="AQ33" s="16">
        <f ca="1">'2.XDTD_S.Tr.T'!AS65</f>
        <v>0</v>
      </c>
      <c r="AR33" s="16">
        <f ca="1">'2.XDTD_S.Tr.T'!AT65</f>
        <v>0</v>
      </c>
      <c r="AS33" s="16">
        <f ca="1">'2.XDTD_S.Tr.T'!AU65</f>
        <v>0</v>
      </c>
      <c r="AT33" s="16">
        <f ca="1">'2.XDTD_S.Tr.T'!AV65</f>
        <v>0</v>
      </c>
      <c r="AU33" s="16">
        <f ca="1">'2.XDTD_S.Tr.T'!AW65</f>
        <v>0</v>
      </c>
      <c r="AV33" s="16">
        <f ca="1">'2.XDTD_S.Tr.T'!AX65</f>
        <v>0</v>
      </c>
      <c r="AW33" s="16">
        <f ca="1">'2.XDTD_S.Tr.T'!AY65</f>
        <v>0</v>
      </c>
      <c r="AX33" s="16">
        <f ca="1">'2.XDTD_S.Tr.T'!AZ65</f>
        <v>0</v>
      </c>
      <c r="AY33" s="16">
        <f ca="1">'2.XDTD_S.Tr.T'!BA65</f>
        <v>0</v>
      </c>
      <c r="AZ33" s="16">
        <f ca="1">'2.XDTD_S.Tr.T'!BB65</f>
        <v>0</v>
      </c>
      <c r="BA33" s="16">
        <f ca="1">'2.XDTD_S.Tr.T'!BC65</f>
        <v>0</v>
      </c>
      <c r="BB33" s="16">
        <f ca="1">'2.XDTD_S.Tr.T'!BD65</f>
        <v>0</v>
      </c>
      <c r="BC33" s="16">
        <f ca="1">'2.XDTD_S.Tr.T'!BE65</f>
        <v>0</v>
      </c>
      <c r="BD33" s="16">
        <f ca="1">'2.XDTD_S.Tr.T'!BF65</f>
        <v>0</v>
      </c>
      <c r="BE33" s="16">
        <f ca="1">'2.XDTD_S.Tr.T'!BG65</f>
        <v>0</v>
      </c>
      <c r="BF33" s="16">
        <f ca="1">'2.XDTD_S.Tr.T'!BH65</f>
        <v>0</v>
      </c>
      <c r="BG33" s="16">
        <f ca="1">'2.XDTD_S.Tr.T'!BI65</f>
        <v>0</v>
      </c>
      <c r="BH33" s="16">
        <f ca="1">'2.XDTD_S.Tr.T'!BJ65</f>
        <v>0</v>
      </c>
      <c r="BI33" s="16">
        <f ca="1">'2.XDTD_S.Tr.T'!BK65</f>
        <v>0</v>
      </c>
      <c r="BJ33" s="16">
        <f ca="1">'2.XDTD_S.Tr.T'!BL65</f>
        <v>0</v>
      </c>
      <c r="BK33" s="16">
        <f ca="1">'2.XDTD_S.Tr.T'!BM65</f>
        <v>0</v>
      </c>
      <c r="BL33" s="16">
        <f ca="1">'2.XDTD_S.Tr.T'!BN65</f>
        <v>0</v>
      </c>
      <c r="BM33" s="16">
        <f ca="1">'2.XDTD_S.Tr.T'!BO65</f>
        <v>0</v>
      </c>
      <c r="BN33" s="16">
        <f ca="1">'2.XDTD_S.Tr.T'!BP65</f>
        <v>0</v>
      </c>
      <c r="BO33" s="16">
        <f ca="1">'2.XDTD_S.Tr.T'!BP65</f>
        <v>0</v>
      </c>
      <c r="BP33" s="16">
        <f ca="1">'2.XDTD_S.Tr.T'!BR65</f>
        <v>0</v>
      </c>
      <c r="BQ33" s="16">
        <f ca="1">'2.XDTD_S.Tr.T'!BS65</f>
        <v>0</v>
      </c>
      <c r="BR33" s="16">
        <f ca="1">'2.XDTD_S.Tr.T'!BT65</f>
        <v>0</v>
      </c>
      <c r="BS33" s="16">
        <f ca="1">'2.XDTD_S.Tr.T'!BU65</f>
        <v>0</v>
      </c>
      <c r="BT33" s="16">
        <f ca="1">'2.XDTD_S.Tr.T'!BV65</f>
        <v>0</v>
      </c>
      <c r="BU33" s="16">
        <f ca="1">'2.XDTD_S.Tr.T'!BW65</f>
        <v>0</v>
      </c>
      <c r="BV33" s="16">
        <f ca="1">'2.XDTD_S.Tr.T'!BX65</f>
        <v>0</v>
      </c>
      <c r="BW33" s="16">
        <f ca="1">'2.XDTD_S.Tr.T'!BY65</f>
        <v>0</v>
      </c>
      <c r="BX33" s="16">
        <f ca="1">'2.XDTD_S.Tr.T'!BZ65</f>
        <v>0</v>
      </c>
      <c r="BY33" s="16">
        <f ca="1">'2.XDTD_S.Tr.T'!CA65</f>
        <v>0</v>
      </c>
      <c r="BZ33" s="16">
        <f ca="1">'2.XDTD_S.Tr.T'!CB65</f>
        <v>0</v>
      </c>
      <c r="CA33" s="16">
        <f ca="1">'2.XDTD_S.Tr.T'!CC65</f>
        <v>0</v>
      </c>
      <c r="CB33" s="16">
        <f ca="1">'2.XDTD_S.Tr.T'!CD65</f>
        <v>0</v>
      </c>
      <c r="CC33" s="16">
        <f ca="1">'2.XDTD_S.Tr.T'!CE65</f>
        <v>0</v>
      </c>
      <c r="CD33" s="16">
        <f ca="1">'2.XDTD_S.Tr.T'!CF65</f>
        <v>0</v>
      </c>
      <c r="CE33" s="16">
        <f ca="1">'2.XDTD_S.Tr.T'!CG65</f>
        <v>0</v>
      </c>
      <c r="CF33" s="16">
        <f ca="1">'2.XDTD_S.Tr.T'!CH65</f>
        <v>0</v>
      </c>
      <c r="CG33" s="16">
        <f ca="1">'2.XDTD_S.Tr.T'!CI65</f>
        <v>0</v>
      </c>
      <c r="CH33" s="16">
        <f ca="1">'2.XDTD_S.Tr.T'!CJ65</f>
        <v>0</v>
      </c>
      <c r="CI33" s="16">
        <f ca="1">'2.XDTD_S.Tr.T'!CK65</f>
        <v>0</v>
      </c>
      <c r="CJ33" s="16">
        <f ca="1">'2.XDTD_S.Tr.T'!CL65</f>
        <v>0</v>
      </c>
      <c r="CK33" s="16">
        <f ca="1">'2.XDTD_S.Tr.T'!CM65</f>
        <v>0</v>
      </c>
      <c r="CL33" s="16">
        <f ca="1">'2.XDTD_S.Tr.T'!CN65</f>
        <v>0</v>
      </c>
      <c r="CM33" s="16">
        <f ca="1">'2.XDTD_S.Tr.T'!CO65</f>
        <v>0</v>
      </c>
      <c r="CN33" s="16">
        <f ca="1">'2.XDTD_S.Tr.T'!CP65</f>
        <v>0</v>
      </c>
      <c r="CO33" s="16">
        <f ca="1">'2.XDTD_S.Tr.T'!CP65</f>
        <v>0</v>
      </c>
    </row>
    <row r="34" spans="3:93" ht="19.95" hidden="1" customHeight="1">
      <c r="C34" s="5"/>
      <c r="D34" s="11">
        <f>'2.XDTD_S.Tr.T'!F66</f>
        <v>0</v>
      </c>
      <c r="E34" s="7">
        <f>'2.XDTD_S.Tr.T'!G66</f>
        <v>0</v>
      </c>
      <c r="F34" s="8">
        <f>'2.XDTD_S.Tr.T'!H66</f>
        <v>0</v>
      </c>
      <c r="G34" s="9">
        <f ca="1">'2.XDTD_S.Tr.T'!I66</f>
        <v>0</v>
      </c>
      <c r="H34" s="10">
        <f ca="1">'2.XDTD_S.Tr.T'!J66</f>
        <v>0</v>
      </c>
      <c r="I34" s="9">
        <f ca="1">'2.XDTD_S.Tr.T'!K66</f>
        <v>0</v>
      </c>
      <c r="J34" s="13">
        <f>'2.XDTD_S.Tr.T'!L66</f>
        <v>0</v>
      </c>
      <c r="K34" s="13">
        <f>'2.XDTD_S.Tr.T'!M66</f>
        <v>0</v>
      </c>
      <c r="L34" s="9">
        <f ca="1">'2.XDTD_S.Tr.T'!N66</f>
        <v>0</v>
      </c>
      <c r="M34" s="14">
        <f>'2.XDTD_S.Tr.T'!O66</f>
        <v>0</v>
      </c>
      <c r="N34" s="14">
        <f>'2.XDTD_S.Tr.T'!P66</f>
        <v>0</v>
      </c>
      <c r="O34" s="9">
        <f>'2.XDTD_S.Tr.T'!P66</f>
        <v>0</v>
      </c>
      <c r="P34" s="15">
        <f ca="1">'2.XDTD_S.Tr.T'!R66</f>
        <v>0</v>
      </c>
      <c r="Q34" s="16">
        <f ca="1">'2.XDTD_S.Tr.T'!S66</f>
        <v>0</v>
      </c>
      <c r="R34" s="16">
        <f ca="1">'2.XDTD_S.Tr.T'!T66</f>
        <v>0</v>
      </c>
      <c r="S34" s="16">
        <f ca="1">'2.XDTD_S.Tr.T'!U66</f>
        <v>0</v>
      </c>
      <c r="T34" s="16">
        <f ca="1">'2.XDTD_S.Tr.T'!V66</f>
        <v>0</v>
      </c>
      <c r="U34" s="16">
        <f ca="1">'2.XDTD_S.Tr.T'!W66</f>
        <v>0</v>
      </c>
      <c r="V34" s="16">
        <f ca="1">'2.XDTD_S.Tr.T'!X66</f>
        <v>0</v>
      </c>
      <c r="W34" s="16">
        <f ca="1">'2.XDTD_S.Tr.T'!Y66</f>
        <v>0</v>
      </c>
      <c r="X34" s="16">
        <f ca="1">'2.XDTD_S.Tr.T'!Z66</f>
        <v>0</v>
      </c>
      <c r="Y34" s="16">
        <f ca="1">'2.XDTD_S.Tr.T'!AA66</f>
        <v>0</v>
      </c>
      <c r="Z34" s="16">
        <f ca="1">'2.XDTD_S.Tr.T'!AB66</f>
        <v>0</v>
      </c>
      <c r="AA34" s="16">
        <f ca="1">'2.XDTD_S.Tr.T'!AC66</f>
        <v>0</v>
      </c>
      <c r="AB34" s="16">
        <f ca="1">'2.XDTD_S.Tr.T'!AD66</f>
        <v>0</v>
      </c>
      <c r="AC34" s="16">
        <f ca="1">'2.XDTD_S.Tr.T'!AE66</f>
        <v>0</v>
      </c>
      <c r="AD34" s="16">
        <f ca="1">'2.XDTD_S.Tr.T'!AF66</f>
        <v>0</v>
      </c>
      <c r="AE34" s="16">
        <f ca="1">'2.XDTD_S.Tr.T'!AG66</f>
        <v>0</v>
      </c>
      <c r="AF34" s="16">
        <f ca="1">'2.XDTD_S.Tr.T'!AH66</f>
        <v>0</v>
      </c>
      <c r="AG34" s="16">
        <f ca="1">'2.XDTD_S.Tr.T'!AI66</f>
        <v>0</v>
      </c>
      <c r="AH34" s="16">
        <f ca="1">'2.XDTD_S.Tr.T'!AJ66</f>
        <v>0</v>
      </c>
      <c r="AI34" s="16">
        <f ca="1">'2.XDTD_S.Tr.T'!AK66</f>
        <v>0</v>
      </c>
      <c r="AJ34" s="16">
        <f ca="1">'2.XDTD_S.Tr.T'!AL66</f>
        <v>0</v>
      </c>
      <c r="AK34" s="16">
        <f ca="1">'2.XDTD_S.Tr.T'!AM66</f>
        <v>0</v>
      </c>
      <c r="AL34" s="16">
        <f ca="1">'2.XDTD_S.Tr.T'!AN66</f>
        <v>0</v>
      </c>
      <c r="AM34" s="16">
        <f ca="1">'2.XDTD_S.Tr.T'!AO66</f>
        <v>0</v>
      </c>
      <c r="AN34" s="16">
        <f ca="1">'2.XDTD_S.Tr.T'!AP66</f>
        <v>0</v>
      </c>
      <c r="AO34" s="16">
        <f ca="1">'2.XDTD_S.Tr.T'!AP66</f>
        <v>0</v>
      </c>
      <c r="AP34" s="16">
        <f ca="1">'2.XDTD_S.Tr.T'!AR66</f>
        <v>0</v>
      </c>
      <c r="AQ34" s="16">
        <f ca="1">'2.XDTD_S.Tr.T'!AS66</f>
        <v>0</v>
      </c>
      <c r="AR34" s="16">
        <f ca="1">'2.XDTD_S.Tr.T'!AT66</f>
        <v>0</v>
      </c>
      <c r="AS34" s="16">
        <f ca="1">'2.XDTD_S.Tr.T'!AU66</f>
        <v>0</v>
      </c>
      <c r="AT34" s="16">
        <f ca="1">'2.XDTD_S.Tr.T'!AV66</f>
        <v>0</v>
      </c>
      <c r="AU34" s="16">
        <f ca="1">'2.XDTD_S.Tr.T'!AW66</f>
        <v>0</v>
      </c>
      <c r="AV34" s="16">
        <f ca="1">'2.XDTD_S.Tr.T'!AX66</f>
        <v>0</v>
      </c>
      <c r="AW34" s="16">
        <f ca="1">'2.XDTD_S.Tr.T'!AY66</f>
        <v>0</v>
      </c>
      <c r="AX34" s="16">
        <f ca="1">'2.XDTD_S.Tr.T'!AZ66</f>
        <v>0</v>
      </c>
      <c r="AY34" s="16">
        <f ca="1">'2.XDTD_S.Tr.T'!BA66</f>
        <v>0</v>
      </c>
      <c r="AZ34" s="16">
        <f ca="1">'2.XDTD_S.Tr.T'!BB66</f>
        <v>0</v>
      </c>
      <c r="BA34" s="16">
        <f ca="1">'2.XDTD_S.Tr.T'!BC66</f>
        <v>0</v>
      </c>
      <c r="BB34" s="16">
        <f ca="1">'2.XDTD_S.Tr.T'!BD66</f>
        <v>0</v>
      </c>
      <c r="BC34" s="16">
        <f ca="1">'2.XDTD_S.Tr.T'!BE66</f>
        <v>0</v>
      </c>
      <c r="BD34" s="16">
        <f ca="1">'2.XDTD_S.Tr.T'!BF66</f>
        <v>0</v>
      </c>
      <c r="BE34" s="16">
        <f ca="1">'2.XDTD_S.Tr.T'!BG66</f>
        <v>0</v>
      </c>
      <c r="BF34" s="16">
        <f ca="1">'2.XDTD_S.Tr.T'!BH66</f>
        <v>0</v>
      </c>
      <c r="BG34" s="16">
        <f ca="1">'2.XDTD_S.Tr.T'!BI66</f>
        <v>0</v>
      </c>
      <c r="BH34" s="16">
        <f ca="1">'2.XDTD_S.Tr.T'!BJ66</f>
        <v>0</v>
      </c>
      <c r="BI34" s="16">
        <f ca="1">'2.XDTD_S.Tr.T'!BK66</f>
        <v>0</v>
      </c>
      <c r="BJ34" s="16">
        <f ca="1">'2.XDTD_S.Tr.T'!BL66</f>
        <v>0</v>
      </c>
      <c r="BK34" s="16">
        <f ca="1">'2.XDTD_S.Tr.T'!BM66</f>
        <v>0</v>
      </c>
      <c r="BL34" s="16">
        <f ca="1">'2.XDTD_S.Tr.T'!BN66</f>
        <v>0</v>
      </c>
      <c r="BM34" s="16">
        <f ca="1">'2.XDTD_S.Tr.T'!BO66</f>
        <v>0</v>
      </c>
      <c r="BN34" s="16">
        <f ca="1">'2.XDTD_S.Tr.T'!BP66</f>
        <v>0</v>
      </c>
      <c r="BO34" s="16">
        <f ca="1">'2.XDTD_S.Tr.T'!BP66</f>
        <v>0</v>
      </c>
      <c r="BP34" s="16">
        <f ca="1">'2.XDTD_S.Tr.T'!BR66</f>
        <v>0</v>
      </c>
      <c r="BQ34" s="16">
        <f ca="1">'2.XDTD_S.Tr.T'!BS66</f>
        <v>0</v>
      </c>
      <c r="BR34" s="16">
        <f ca="1">'2.XDTD_S.Tr.T'!BT66</f>
        <v>0</v>
      </c>
      <c r="BS34" s="16">
        <f ca="1">'2.XDTD_S.Tr.T'!BU66</f>
        <v>0</v>
      </c>
      <c r="BT34" s="16">
        <f ca="1">'2.XDTD_S.Tr.T'!BV66</f>
        <v>0</v>
      </c>
      <c r="BU34" s="16">
        <f ca="1">'2.XDTD_S.Tr.T'!BW66</f>
        <v>0</v>
      </c>
      <c r="BV34" s="16">
        <f ca="1">'2.XDTD_S.Tr.T'!BX66</f>
        <v>0</v>
      </c>
      <c r="BW34" s="16">
        <f ca="1">'2.XDTD_S.Tr.T'!BY66</f>
        <v>0</v>
      </c>
      <c r="BX34" s="16">
        <f ca="1">'2.XDTD_S.Tr.T'!BZ66</f>
        <v>0</v>
      </c>
      <c r="BY34" s="16">
        <f ca="1">'2.XDTD_S.Tr.T'!CA66</f>
        <v>0</v>
      </c>
      <c r="BZ34" s="16">
        <f ca="1">'2.XDTD_S.Tr.T'!CB66</f>
        <v>0</v>
      </c>
      <c r="CA34" s="16">
        <f ca="1">'2.XDTD_S.Tr.T'!CC66</f>
        <v>0</v>
      </c>
      <c r="CB34" s="16">
        <f ca="1">'2.XDTD_S.Tr.T'!CD66</f>
        <v>0</v>
      </c>
      <c r="CC34" s="16">
        <f ca="1">'2.XDTD_S.Tr.T'!CE66</f>
        <v>0</v>
      </c>
      <c r="CD34" s="16">
        <f ca="1">'2.XDTD_S.Tr.T'!CF66</f>
        <v>0</v>
      </c>
      <c r="CE34" s="16">
        <f ca="1">'2.XDTD_S.Tr.T'!CG66</f>
        <v>0</v>
      </c>
      <c r="CF34" s="16">
        <f ca="1">'2.XDTD_S.Tr.T'!CH66</f>
        <v>0</v>
      </c>
      <c r="CG34" s="16">
        <f ca="1">'2.XDTD_S.Tr.T'!CI66</f>
        <v>0</v>
      </c>
      <c r="CH34" s="16">
        <f ca="1">'2.XDTD_S.Tr.T'!CJ66</f>
        <v>0</v>
      </c>
      <c r="CI34" s="16">
        <f ca="1">'2.XDTD_S.Tr.T'!CK66</f>
        <v>0</v>
      </c>
      <c r="CJ34" s="16">
        <f ca="1">'2.XDTD_S.Tr.T'!CL66</f>
        <v>0</v>
      </c>
      <c r="CK34" s="16">
        <f ca="1">'2.XDTD_S.Tr.T'!CM66</f>
        <v>0</v>
      </c>
      <c r="CL34" s="16">
        <f ca="1">'2.XDTD_S.Tr.T'!CN66</f>
        <v>0</v>
      </c>
      <c r="CM34" s="16">
        <f ca="1">'2.XDTD_S.Tr.T'!CO66</f>
        <v>0</v>
      </c>
      <c r="CN34" s="16">
        <f ca="1">'2.XDTD_S.Tr.T'!CP66</f>
        <v>0</v>
      </c>
      <c r="CO34" s="16">
        <f ca="1">'2.XDTD_S.Tr.T'!CP66</f>
        <v>0</v>
      </c>
    </row>
    <row r="35" spans="3:93" ht="19.95" hidden="1" customHeight="1">
      <c r="C35" s="5"/>
      <c r="D35" s="11">
        <f>'2.XDTD_S.Tr.T'!F67</f>
        <v>0</v>
      </c>
      <c r="E35" s="7">
        <f>'2.XDTD_S.Tr.T'!G67</f>
        <v>0</v>
      </c>
      <c r="F35" s="8">
        <f>'2.XDTD_S.Tr.T'!H67</f>
        <v>0</v>
      </c>
      <c r="G35" s="9">
        <f ca="1">'2.XDTD_S.Tr.T'!I67</f>
        <v>0</v>
      </c>
      <c r="H35" s="10">
        <f ca="1">'2.XDTD_S.Tr.T'!J67</f>
        <v>0</v>
      </c>
      <c r="I35" s="9">
        <f ca="1">'2.XDTD_S.Tr.T'!K67</f>
        <v>0</v>
      </c>
      <c r="J35" s="13">
        <f>'2.XDTD_S.Tr.T'!L67</f>
        <v>0</v>
      </c>
      <c r="K35" s="13">
        <f>'2.XDTD_S.Tr.T'!M67</f>
        <v>0</v>
      </c>
      <c r="L35" s="9">
        <f ca="1">'2.XDTD_S.Tr.T'!N67</f>
        <v>0</v>
      </c>
      <c r="M35" s="14">
        <f>'2.XDTD_S.Tr.T'!O67</f>
        <v>0</v>
      </c>
      <c r="N35" s="14">
        <f>'2.XDTD_S.Tr.T'!P67</f>
        <v>0</v>
      </c>
      <c r="O35" s="9">
        <f>'2.XDTD_S.Tr.T'!P67</f>
        <v>0</v>
      </c>
      <c r="P35" s="15">
        <f ca="1">'2.XDTD_S.Tr.T'!R67</f>
        <v>0</v>
      </c>
      <c r="Q35" s="16">
        <f ca="1">'2.XDTD_S.Tr.T'!S67</f>
        <v>0</v>
      </c>
      <c r="R35" s="16">
        <f ca="1">'2.XDTD_S.Tr.T'!T67</f>
        <v>0</v>
      </c>
      <c r="S35" s="16">
        <f ca="1">'2.XDTD_S.Tr.T'!U67</f>
        <v>0</v>
      </c>
      <c r="T35" s="16">
        <f ca="1">'2.XDTD_S.Tr.T'!V67</f>
        <v>0</v>
      </c>
      <c r="U35" s="16">
        <f ca="1">'2.XDTD_S.Tr.T'!W67</f>
        <v>0</v>
      </c>
      <c r="V35" s="16">
        <f ca="1">'2.XDTD_S.Tr.T'!X67</f>
        <v>0</v>
      </c>
      <c r="W35" s="16">
        <f ca="1">'2.XDTD_S.Tr.T'!Y67</f>
        <v>0</v>
      </c>
      <c r="X35" s="16">
        <f ca="1">'2.XDTD_S.Tr.T'!Z67</f>
        <v>0</v>
      </c>
      <c r="Y35" s="16">
        <f ca="1">'2.XDTD_S.Tr.T'!AA67</f>
        <v>0</v>
      </c>
      <c r="Z35" s="16">
        <f ca="1">'2.XDTD_S.Tr.T'!AB67</f>
        <v>0</v>
      </c>
      <c r="AA35" s="16">
        <f ca="1">'2.XDTD_S.Tr.T'!AC67</f>
        <v>0</v>
      </c>
      <c r="AB35" s="16">
        <f ca="1">'2.XDTD_S.Tr.T'!AD67</f>
        <v>0</v>
      </c>
      <c r="AC35" s="16">
        <f ca="1">'2.XDTD_S.Tr.T'!AE67</f>
        <v>0</v>
      </c>
      <c r="AD35" s="16">
        <f ca="1">'2.XDTD_S.Tr.T'!AF67</f>
        <v>0</v>
      </c>
      <c r="AE35" s="16">
        <f ca="1">'2.XDTD_S.Tr.T'!AG67</f>
        <v>0</v>
      </c>
      <c r="AF35" s="16">
        <f ca="1">'2.XDTD_S.Tr.T'!AH67</f>
        <v>0</v>
      </c>
      <c r="AG35" s="16">
        <f ca="1">'2.XDTD_S.Tr.T'!AI67</f>
        <v>0</v>
      </c>
      <c r="AH35" s="16">
        <f ca="1">'2.XDTD_S.Tr.T'!AJ67</f>
        <v>0</v>
      </c>
      <c r="AI35" s="16">
        <f ca="1">'2.XDTD_S.Tr.T'!AK67</f>
        <v>0</v>
      </c>
      <c r="AJ35" s="16">
        <f ca="1">'2.XDTD_S.Tr.T'!AL67</f>
        <v>0</v>
      </c>
      <c r="AK35" s="16">
        <f ca="1">'2.XDTD_S.Tr.T'!AM67</f>
        <v>0</v>
      </c>
      <c r="AL35" s="16">
        <f ca="1">'2.XDTD_S.Tr.T'!AN67</f>
        <v>0</v>
      </c>
      <c r="AM35" s="16">
        <f ca="1">'2.XDTD_S.Tr.T'!AO67</f>
        <v>0</v>
      </c>
      <c r="AN35" s="16">
        <f ca="1">'2.XDTD_S.Tr.T'!AP67</f>
        <v>0</v>
      </c>
      <c r="AO35" s="16">
        <f ca="1">'2.XDTD_S.Tr.T'!AP67</f>
        <v>0</v>
      </c>
      <c r="AP35" s="16">
        <f ca="1">'2.XDTD_S.Tr.T'!AR67</f>
        <v>0</v>
      </c>
      <c r="AQ35" s="16">
        <f ca="1">'2.XDTD_S.Tr.T'!AS67</f>
        <v>0</v>
      </c>
      <c r="AR35" s="16">
        <f ca="1">'2.XDTD_S.Tr.T'!AT67</f>
        <v>0</v>
      </c>
      <c r="AS35" s="16">
        <f ca="1">'2.XDTD_S.Tr.T'!AU67</f>
        <v>0</v>
      </c>
      <c r="AT35" s="16">
        <f ca="1">'2.XDTD_S.Tr.T'!AV67</f>
        <v>0</v>
      </c>
      <c r="AU35" s="16">
        <f ca="1">'2.XDTD_S.Tr.T'!AW67</f>
        <v>0</v>
      </c>
      <c r="AV35" s="16">
        <f ca="1">'2.XDTD_S.Tr.T'!AX67</f>
        <v>0</v>
      </c>
      <c r="AW35" s="16">
        <f ca="1">'2.XDTD_S.Tr.T'!AY67</f>
        <v>0</v>
      </c>
      <c r="AX35" s="16">
        <f ca="1">'2.XDTD_S.Tr.T'!AZ67</f>
        <v>0</v>
      </c>
      <c r="AY35" s="16">
        <f ca="1">'2.XDTD_S.Tr.T'!BA67</f>
        <v>0</v>
      </c>
      <c r="AZ35" s="16">
        <f ca="1">'2.XDTD_S.Tr.T'!BB67</f>
        <v>0</v>
      </c>
      <c r="BA35" s="16">
        <f ca="1">'2.XDTD_S.Tr.T'!BC67</f>
        <v>0</v>
      </c>
      <c r="BB35" s="16">
        <f ca="1">'2.XDTD_S.Tr.T'!BD67</f>
        <v>0</v>
      </c>
      <c r="BC35" s="16">
        <f ca="1">'2.XDTD_S.Tr.T'!BE67</f>
        <v>0</v>
      </c>
      <c r="BD35" s="16">
        <f ca="1">'2.XDTD_S.Tr.T'!BF67</f>
        <v>0</v>
      </c>
      <c r="BE35" s="16">
        <f ca="1">'2.XDTD_S.Tr.T'!BG67</f>
        <v>0</v>
      </c>
      <c r="BF35" s="16">
        <f ca="1">'2.XDTD_S.Tr.T'!BH67</f>
        <v>0</v>
      </c>
      <c r="BG35" s="16">
        <f ca="1">'2.XDTD_S.Tr.T'!BI67</f>
        <v>0</v>
      </c>
      <c r="BH35" s="16">
        <f ca="1">'2.XDTD_S.Tr.T'!BJ67</f>
        <v>0</v>
      </c>
      <c r="BI35" s="16">
        <f ca="1">'2.XDTD_S.Tr.T'!BK67</f>
        <v>0</v>
      </c>
      <c r="BJ35" s="16">
        <f ca="1">'2.XDTD_S.Tr.T'!BL67</f>
        <v>0</v>
      </c>
      <c r="BK35" s="16">
        <f ca="1">'2.XDTD_S.Tr.T'!BM67</f>
        <v>0</v>
      </c>
      <c r="BL35" s="16">
        <f ca="1">'2.XDTD_S.Tr.T'!BN67</f>
        <v>0</v>
      </c>
      <c r="BM35" s="16">
        <f ca="1">'2.XDTD_S.Tr.T'!BO67</f>
        <v>0</v>
      </c>
      <c r="BN35" s="16">
        <f ca="1">'2.XDTD_S.Tr.T'!BP67</f>
        <v>0</v>
      </c>
      <c r="BO35" s="16">
        <f ca="1">'2.XDTD_S.Tr.T'!BP67</f>
        <v>0</v>
      </c>
      <c r="BP35" s="16">
        <f ca="1">'2.XDTD_S.Tr.T'!BR67</f>
        <v>0</v>
      </c>
      <c r="BQ35" s="16">
        <f ca="1">'2.XDTD_S.Tr.T'!BS67</f>
        <v>0</v>
      </c>
      <c r="BR35" s="16">
        <f ca="1">'2.XDTD_S.Tr.T'!BT67</f>
        <v>0</v>
      </c>
      <c r="BS35" s="16">
        <f ca="1">'2.XDTD_S.Tr.T'!BU67</f>
        <v>0</v>
      </c>
      <c r="BT35" s="16">
        <f ca="1">'2.XDTD_S.Tr.T'!BV67</f>
        <v>0</v>
      </c>
      <c r="BU35" s="16">
        <f ca="1">'2.XDTD_S.Tr.T'!BW67</f>
        <v>0</v>
      </c>
      <c r="BV35" s="16">
        <f ca="1">'2.XDTD_S.Tr.T'!BX67</f>
        <v>0</v>
      </c>
      <c r="BW35" s="16">
        <f ca="1">'2.XDTD_S.Tr.T'!BY67</f>
        <v>0</v>
      </c>
      <c r="BX35" s="16">
        <f ca="1">'2.XDTD_S.Tr.T'!BZ67</f>
        <v>0</v>
      </c>
      <c r="BY35" s="16">
        <f ca="1">'2.XDTD_S.Tr.T'!CA67</f>
        <v>0</v>
      </c>
      <c r="BZ35" s="16">
        <f ca="1">'2.XDTD_S.Tr.T'!CB67</f>
        <v>0</v>
      </c>
      <c r="CA35" s="16">
        <f ca="1">'2.XDTD_S.Tr.T'!CC67</f>
        <v>0</v>
      </c>
      <c r="CB35" s="16">
        <f ca="1">'2.XDTD_S.Tr.T'!CD67</f>
        <v>0</v>
      </c>
      <c r="CC35" s="16">
        <f ca="1">'2.XDTD_S.Tr.T'!CE67</f>
        <v>0</v>
      </c>
      <c r="CD35" s="16">
        <f ca="1">'2.XDTD_S.Tr.T'!CF67</f>
        <v>0</v>
      </c>
      <c r="CE35" s="16">
        <f ca="1">'2.XDTD_S.Tr.T'!CG67</f>
        <v>0</v>
      </c>
      <c r="CF35" s="16">
        <f ca="1">'2.XDTD_S.Tr.T'!CH67</f>
        <v>0</v>
      </c>
      <c r="CG35" s="16">
        <f ca="1">'2.XDTD_S.Tr.T'!CI67</f>
        <v>0</v>
      </c>
      <c r="CH35" s="16">
        <f ca="1">'2.XDTD_S.Tr.T'!CJ67</f>
        <v>0</v>
      </c>
      <c r="CI35" s="16">
        <f ca="1">'2.XDTD_S.Tr.T'!CK67</f>
        <v>0</v>
      </c>
      <c r="CJ35" s="16">
        <f ca="1">'2.XDTD_S.Tr.T'!CL67</f>
        <v>0</v>
      </c>
      <c r="CK35" s="16">
        <f ca="1">'2.XDTD_S.Tr.T'!CM67</f>
        <v>0</v>
      </c>
      <c r="CL35" s="16">
        <f ca="1">'2.XDTD_S.Tr.T'!CN67</f>
        <v>0</v>
      </c>
      <c r="CM35" s="16">
        <f ca="1">'2.XDTD_S.Tr.T'!CO67</f>
        <v>0</v>
      </c>
      <c r="CN35" s="16">
        <f ca="1">'2.XDTD_S.Tr.T'!CP67</f>
        <v>0</v>
      </c>
      <c r="CO35" s="16">
        <f ca="1">'2.XDTD_S.Tr.T'!CP67</f>
        <v>0</v>
      </c>
    </row>
    <row r="36" spans="3:93" ht="19.95" hidden="1" customHeight="1">
      <c r="C36" s="5"/>
      <c r="D36" s="11">
        <f>'2.XDTD_S.Tr.T'!F68</f>
        <v>0</v>
      </c>
      <c r="E36" s="7">
        <f>'2.XDTD_S.Tr.T'!G68</f>
        <v>0</v>
      </c>
      <c r="F36" s="8">
        <f>'2.XDTD_S.Tr.T'!H68</f>
        <v>0</v>
      </c>
      <c r="G36" s="9">
        <f ca="1">'2.XDTD_S.Tr.T'!I68</f>
        <v>0</v>
      </c>
      <c r="H36" s="10">
        <f ca="1">'2.XDTD_S.Tr.T'!J68</f>
        <v>0</v>
      </c>
      <c r="I36" s="9">
        <f ca="1">'2.XDTD_S.Tr.T'!K68</f>
        <v>0</v>
      </c>
      <c r="J36" s="13">
        <f>'2.XDTD_S.Tr.T'!L68</f>
        <v>0</v>
      </c>
      <c r="K36" s="13">
        <f>'2.XDTD_S.Tr.T'!M68</f>
        <v>0</v>
      </c>
      <c r="L36" s="9">
        <f ca="1">'2.XDTD_S.Tr.T'!N68</f>
        <v>0</v>
      </c>
      <c r="M36" s="14">
        <f>'2.XDTD_S.Tr.T'!O68</f>
        <v>0</v>
      </c>
      <c r="N36" s="14">
        <f>'2.XDTD_S.Tr.T'!P68</f>
        <v>0</v>
      </c>
      <c r="O36" s="9">
        <f>'2.XDTD_S.Tr.T'!P68</f>
        <v>0</v>
      </c>
      <c r="P36" s="15">
        <f ca="1">'2.XDTD_S.Tr.T'!R68</f>
        <v>0</v>
      </c>
      <c r="Q36" s="16">
        <f ca="1">'2.XDTD_S.Tr.T'!S68</f>
        <v>0</v>
      </c>
      <c r="R36" s="16">
        <f ca="1">'2.XDTD_S.Tr.T'!T68</f>
        <v>0</v>
      </c>
      <c r="S36" s="16">
        <f ca="1">'2.XDTD_S.Tr.T'!U68</f>
        <v>0</v>
      </c>
      <c r="T36" s="16">
        <f ca="1">'2.XDTD_S.Tr.T'!V68</f>
        <v>0</v>
      </c>
      <c r="U36" s="16">
        <f ca="1">'2.XDTD_S.Tr.T'!W68</f>
        <v>0</v>
      </c>
      <c r="V36" s="16">
        <f ca="1">'2.XDTD_S.Tr.T'!X68</f>
        <v>0</v>
      </c>
      <c r="W36" s="16">
        <f ca="1">'2.XDTD_S.Tr.T'!Y68</f>
        <v>0</v>
      </c>
      <c r="X36" s="16">
        <f ca="1">'2.XDTD_S.Tr.T'!Z68</f>
        <v>0</v>
      </c>
      <c r="Y36" s="16">
        <f ca="1">'2.XDTD_S.Tr.T'!AA68</f>
        <v>0</v>
      </c>
      <c r="Z36" s="16">
        <f ca="1">'2.XDTD_S.Tr.T'!AB68</f>
        <v>0</v>
      </c>
      <c r="AA36" s="16">
        <f ca="1">'2.XDTD_S.Tr.T'!AC68</f>
        <v>0</v>
      </c>
      <c r="AB36" s="16">
        <f ca="1">'2.XDTD_S.Tr.T'!AD68</f>
        <v>0</v>
      </c>
      <c r="AC36" s="16">
        <f ca="1">'2.XDTD_S.Tr.T'!AE68</f>
        <v>0</v>
      </c>
      <c r="AD36" s="16">
        <f ca="1">'2.XDTD_S.Tr.T'!AF68</f>
        <v>0</v>
      </c>
      <c r="AE36" s="16">
        <f ca="1">'2.XDTD_S.Tr.T'!AG68</f>
        <v>0</v>
      </c>
      <c r="AF36" s="16">
        <f ca="1">'2.XDTD_S.Tr.T'!AH68</f>
        <v>0</v>
      </c>
      <c r="AG36" s="16">
        <f ca="1">'2.XDTD_S.Tr.T'!AI68</f>
        <v>0</v>
      </c>
      <c r="AH36" s="16">
        <f ca="1">'2.XDTD_S.Tr.T'!AJ68</f>
        <v>0</v>
      </c>
      <c r="AI36" s="16">
        <f ca="1">'2.XDTD_S.Tr.T'!AK68</f>
        <v>0</v>
      </c>
      <c r="AJ36" s="16">
        <f ca="1">'2.XDTD_S.Tr.T'!AL68</f>
        <v>0</v>
      </c>
      <c r="AK36" s="16">
        <f ca="1">'2.XDTD_S.Tr.T'!AM68</f>
        <v>0</v>
      </c>
      <c r="AL36" s="16">
        <f ca="1">'2.XDTD_S.Tr.T'!AN68</f>
        <v>0</v>
      </c>
      <c r="AM36" s="16">
        <f ca="1">'2.XDTD_S.Tr.T'!AO68</f>
        <v>0</v>
      </c>
      <c r="AN36" s="16">
        <f ca="1">'2.XDTD_S.Tr.T'!AP68</f>
        <v>0</v>
      </c>
      <c r="AO36" s="16">
        <f ca="1">'2.XDTD_S.Tr.T'!AP68</f>
        <v>0</v>
      </c>
      <c r="AP36" s="16">
        <f ca="1">'2.XDTD_S.Tr.T'!AR68</f>
        <v>0</v>
      </c>
      <c r="AQ36" s="16">
        <f ca="1">'2.XDTD_S.Tr.T'!AS68</f>
        <v>0</v>
      </c>
      <c r="AR36" s="16">
        <f ca="1">'2.XDTD_S.Tr.T'!AT68</f>
        <v>0</v>
      </c>
      <c r="AS36" s="16">
        <f ca="1">'2.XDTD_S.Tr.T'!AU68</f>
        <v>0</v>
      </c>
      <c r="AT36" s="16">
        <f ca="1">'2.XDTD_S.Tr.T'!AV68</f>
        <v>0</v>
      </c>
      <c r="AU36" s="16">
        <f ca="1">'2.XDTD_S.Tr.T'!AW68</f>
        <v>0</v>
      </c>
      <c r="AV36" s="16">
        <f ca="1">'2.XDTD_S.Tr.T'!AX68</f>
        <v>0</v>
      </c>
      <c r="AW36" s="16">
        <f ca="1">'2.XDTD_S.Tr.T'!AY68</f>
        <v>0</v>
      </c>
      <c r="AX36" s="16">
        <f ca="1">'2.XDTD_S.Tr.T'!AZ68</f>
        <v>0</v>
      </c>
      <c r="AY36" s="16">
        <f ca="1">'2.XDTD_S.Tr.T'!BA68</f>
        <v>0</v>
      </c>
      <c r="AZ36" s="16">
        <f ca="1">'2.XDTD_S.Tr.T'!BB68</f>
        <v>0</v>
      </c>
      <c r="BA36" s="16">
        <f ca="1">'2.XDTD_S.Tr.T'!BC68</f>
        <v>0</v>
      </c>
      <c r="BB36" s="16">
        <f ca="1">'2.XDTD_S.Tr.T'!BD68</f>
        <v>0</v>
      </c>
      <c r="BC36" s="16">
        <f ca="1">'2.XDTD_S.Tr.T'!BE68</f>
        <v>0</v>
      </c>
      <c r="BD36" s="16">
        <f ca="1">'2.XDTD_S.Tr.T'!BF68</f>
        <v>0</v>
      </c>
      <c r="BE36" s="16">
        <f ca="1">'2.XDTD_S.Tr.T'!BG68</f>
        <v>0</v>
      </c>
      <c r="BF36" s="16">
        <f ca="1">'2.XDTD_S.Tr.T'!BH68</f>
        <v>0</v>
      </c>
      <c r="BG36" s="16">
        <f ca="1">'2.XDTD_S.Tr.T'!BI68</f>
        <v>0</v>
      </c>
      <c r="BH36" s="16">
        <f ca="1">'2.XDTD_S.Tr.T'!BJ68</f>
        <v>0</v>
      </c>
      <c r="BI36" s="16">
        <f ca="1">'2.XDTD_S.Tr.T'!BK68</f>
        <v>0</v>
      </c>
      <c r="BJ36" s="16">
        <f ca="1">'2.XDTD_S.Tr.T'!BL68</f>
        <v>0</v>
      </c>
      <c r="BK36" s="16">
        <f ca="1">'2.XDTD_S.Tr.T'!BM68</f>
        <v>0</v>
      </c>
      <c r="BL36" s="16">
        <f ca="1">'2.XDTD_S.Tr.T'!BN68</f>
        <v>0</v>
      </c>
      <c r="BM36" s="16">
        <f ca="1">'2.XDTD_S.Tr.T'!BO68</f>
        <v>0</v>
      </c>
      <c r="BN36" s="16">
        <f ca="1">'2.XDTD_S.Tr.T'!BP68</f>
        <v>0</v>
      </c>
      <c r="BO36" s="16">
        <f ca="1">'2.XDTD_S.Tr.T'!BP68</f>
        <v>0</v>
      </c>
      <c r="BP36" s="16">
        <f ca="1">'2.XDTD_S.Tr.T'!BR68</f>
        <v>0</v>
      </c>
      <c r="BQ36" s="16">
        <f ca="1">'2.XDTD_S.Tr.T'!BS68</f>
        <v>0</v>
      </c>
      <c r="BR36" s="16">
        <f ca="1">'2.XDTD_S.Tr.T'!BT68</f>
        <v>0</v>
      </c>
      <c r="BS36" s="16">
        <f ca="1">'2.XDTD_S.Tr.T'!BU68</f>
        <v>0</v>
      </c>
      <c r="BT36" s="16">
        <f ca="1">'2.XDTD_S.Tr.T'!BV68</f>
        <v>0</v>
      </c>
      <c r="BU36" s="16">
        <f ca="1">'2.XDTD_S.Tr.T'!BW68</f>
        <v>0</v>
      </c>
      <c r="BV36" s="16">
        <f ca="1">'2.XDTD_S.Tr.T'!BX68</f>
        <v>0</v>
      </c>
      <c r="BW36" s="16">
        <f ca="1">'2.XDTD_S.Tr.T'!BY68</f>
        <v>0</v>
      </c>
      <c r="BX36" s="16">
        <f ca="1">'2.XDTD_S.Tr.T'!BZ68</f>
        <v>0</v>
      </c>
      <c r="BY36" s="16">
        <f ca="1">'2.XDTD_S.Tr.T'!CA68</f>
        <v>0</v>
      </c>
      <c r="BZ36" s="16">
        <f ca="1">'2.XDTD_S.Tr.T'!CB68</f>
        <v>0</v>
      </c>
      <c r="CA36" s="16">
        <f ca="1">'2.XDTD_S.Tr.T'!CC68</f>
        <v>0</v>
      </c>
      <c r="CB36" s="16">
        <f ca="1">'2.XDTD_S.Tr.T'!CD68</f>
        <v>0</v>
      </c>
      <c r="CC36" s="16">
        <f ca="1">'2.XDTD_S.Tr.T'!CE68</f>
        <v>0</v>
      </c>
      <c r="CD36" s="16">
        <f ca="1">'2.XDTD_S.Tr.T'!CF68</f>
        <v>0</v>
      </c>
      <c r="CE36" s="16">
        <f ca="1">'2.XDTD_S.Tr.T'!CG68</f>
        <v>0</v>
      </c>
      <c r="CF36" s="16">
        <f ca="1">'2.XDTD_S.Tr.T'!CH68</f>
        <v>0</v>
      </c>
      <c r="CG36" s="16">
        <f ca="1">'2.XDTD_S.Tr.T'!CI68</f>
        <v>0</v>
      </c>
      <c r="CH36" s="16">
        <f ca="1">'2.XDTD_S.Tr.T'!CJ68</f>
        <v>0</v>
      </c>
      <c r="CI36" s="16">
        <f ca="1">'2.XDTD_S.Tr.T'!CK68</f>
        <v>0</v>
      </c>
      <c r="CJ36" s="16">
        <f ca="1">'2.XDTD_S.Tr.T'!CL68</f>
        <v>0</v>
      </c>
      <c r="CK36" s="16">
        <f ca="1">'2.XDTD_S.Tr.T'!CM68</f>
        <v>0</v>
      </c>
      <c r="CL36" s="16">
        <f ca="1">'2.XDTD_S.Tr.T'!CN68</f>
        <v>0</v>
      </c>
      <c r="CM36" s="16">
        <f ca="1">'2.XDTD_S.Tr.T'!CO68</f>
        <v>0</v>
      </c>
      <c r="CN36" s="16">
        <f ca="1">'2.XDTD_S.Tr.T'!CP68</f>
        <v>0</v>
      </c>
      <c r="CO36" s="16">
        <f ca="1">'2.XDTD_S.Tr.T'!CP68</f>
        <v>0</v>
      </c>
    </row>
    <row r="37" spans="3:93" ht="19.95" customHeight="1">
      <c r="C37" s="5"/>
      <c r="D37" s="11" t="str">
        <f>'2.XDTD_S.Tr.T'!F69</f>
        <v>Dâu tây</v>
      </c>
      <c r="E37" s="7" t="e">
        <f ca="1">'2.XDTD_S.Tr.T'!G69</f>
        <v>#NAME?</v>
      </c>
      <c r="F37" s="8">
        <f>'2.XDTD_S.Tr.T'!H69</f>
        <v>70</v>
      </c>
      <c r="G37" s="9">
        <f ca="1">'2.XDTD_S.Tr.T'!I69</f>
        <v>0</v>
      </c>
      <c r="H37" s="10">
        <f ca="1">'2.XDTD_S.Tr.T'!J69</f>
        <v>0</v>
      </c>
      <c r="I37" s="9">
        <f ca="1">'2.XDTD_S.Tr.T'!K69</f>
        <v>0</v>
      </c>
      <c r="J37" s="13" t="e">
        <f ca="1">'2.XDTD_S.Tr.T'!L69</f>
        <v>#NAME?</v>
      </c>
      <c r="K37" s="13" t="e">
        <f ca="1">'2.XDTD_S.Tr.T'!M69</f>
        <v>#NAME?</v>
      </c>
      <c r="L37" s="9">
        <f ca="1">'2.XDTD_S.Tr.T'!N69</f>
        <v>0</v>
      </c>
      <c r="M37" s="14" t="e">
        <f ca="1">'2.XDTD_S.Tr.T'!O69</f>
        <v>#NAME?</v>
      </c>
      <c r="N37" s="14" t="e">
        <f ca="1">'2.XDTD_S.Tr.T'!P69</f>
        <v>#NAME?</v>
      </c>
      <c r="O37" s="9" t="e">
        <f ca="1">'2.XDTD_S.Tr.T'!P69</f>
        <v>#NAME?</v>
      </c>
      <c r="P37" s="15">
        <f ca="1">'2.XDTD_S.Tr.T'!R69</f>
        <v>0</v>
      </c>
      <c r="Q37" s="16">
        <f ca="1">'2.XDTD_S.Tr.T'!S69</f>
        <v>0</v>
      </c>
      <c r="R37" s="16">
        <f ca="1">'2.XDTD_S.Tr.T'!T69</f>
        <v>0</v>
      </c>
      <c r="S37" s="16">
        <f ca="1">'2.XDTD_S.Tr.T'!U69</f>
        <v>0</v>
      </c>
      <c r="T37" s="16">
        <f ca="1">'2.XDTD_S.Tr.T'!V69</f>
        <v>0</v>
      </c>
      <c r="U37" s="16">
        <f ca="1">'2.XDTD_S.Tr.T'!W69</f>
        <v>0</v>
      </c>
      <c r="V37" s="16">
        <f ca="1">'2.XDTD_S.Tr.T'!X69</f>
        <v>0</v>
      </c>
      <c r="W37" s="16">
        <f ca="1">'2.XDTD_S.Tr.T'!Y69</f>
        <v>0</v>
      </c>
      <c r="X37" s="16">
        <f ca="1">'2.XDTD_S.Tr.T'!Z69</f>
        <v>0</v>
      </c>
      <c r="Y37" s="16">
        <f ca="1">'2.XDTD_S.Tr.T'!AA69</f>
        <v>0</v>
      </c>
      <c r="Z37" s="16">
        <f ca="1">'2.XDTD_S.Tr.T'!AB69</f>
        <v>0</v>
      </c>
      <c r="AA37" s="16">
        <f ca="1">'2.XDTD_S.Tr.T'!AC69</f>
        <v>0</v>
      </c>
      <c r="AB37" s="16">
        <f ca="1">'2.XDTD_S.Tr.T'!AD69</f>
        <v>0</v>
      </c>
      <c r="AC37" s="16">
        <f ca="1">'2.XDTD_S.Tr.T'!AE69</f>
        <v>0</v>
      </c>
      <c r="AD37" s="16">
        <f ca="1">'2.XDTD_S.Tr.T'!AF69</f>
        <v>0</v>
      </c>
      <c r="AE37" s="16">
        <f ca="1">'2.XDTD_S.Tr.T'!AG69</f>
        <v>0</v>
      </c>
      <c r="AF37" s="16">
        <f ca="1">'2.XDTD_S.Tr.T'!AH69</f>
        <v>0</v>
      </c>
      <c r="AG37" s="16">
        <f ca="1">'2.XDTD_S.Tr.T'!AI69</f>
        <v>0</v>
      </c>
      <c r="AH37" s="16">
        <f ca="1">'2.XDTD_S.Tr.T'!AJ69</f>
        <v>0</v>
      </c>
      <c r="AI37" s="16">
        <f ca="1">'2.XDTD_S.Tr.T'!AK69</f>
        <v>0</v>
      </c>
      <c r="AJ37" s="16">
        <f ca="1">'2.XDTD_S.Tr.T'!AL69</f>
        <v>0</v>
      </c>
      <c r="AK37" s="16">
        <f ca="1">'2.XDTD_S.Tr.T'!AM69</f>
        <v>0</v>
      </c>
      <c r="AL37" s="16">
        <f ca="1">'2.XDTD_S.Tr.T'!AN69</f>
        <v>0</v>
      </c>
      <c r="AM37" s="16">
        <f ca="1">'2.XDTD_S.Tr.T'!AO69</f>
        <v>0</v>
      </c>
      <c r="AN37" s="16">
        <f ca="1">'2.XDTD_S.Tr.T'!AP69</f>
        <v>0</v>
      </c>
      <c r="AO37" s="16">
        <f ca="1">'2.XDTD_S.Tr.T'!AP69</f>
        <v>0</v>
      </c>
      <c r="AP37" s="16">
        <f ca="1">'2.XDTD_S.Tr.T'!AR69</f>
        <v>0</v>
      </c>
      <c r="AQ37" s="16">
        <f ca="1">'2.XDTD_S.Tr.T'!AS69</f>
        <v>0</v>
      </c>
      <c r="AR37" s="16">
        <f ca="1">'2.XDTD_S.Tr.T'!AT69</f>
        <v>0</v>
      </c>
      <c r="AS37" s="16">
        <f ca="1">'2.XDTD_S.Tr.T'!AU69</f>
        <v>0</v>
      </c>
      <c r="AT37" s="16">
        <f ca="1">'2.XDTD_S.Tr.T'!AV69</f>
        <v>0</v>
      </c>
      <c r="AU37" s="16">
        <f ca="1">'2.XDTD_S.Tr.T'!AW69</f>
        <v>0</v>
      </c>
      <c r="AV37" s="16">
        <f ca="1">'2.XDTD_S.Tr.T'!AX69</f>
        <v>0</v>
      </c>
      <c r="AW37" s="16">
        <f ca="1">'2.XDTD_S.Tr.T'!AY69</f>
        <v>0</v>
      </c>
      <c r="AX37" s="16">
        <f ca="1">'2.XDTD_S.Tr.T'!AZ69</f>
        <v>0</v>
      </c>
      <c r="AY37" s="16">
        <f ca="1">'2.XDTD_S.Tr.T'!BA69</f>
        <v>0</v>
      </c>
      <c r="AZ37" s="16">
        <f ca="1">'2.XDTD_S.Tr.T'!BB69</f>
        <v>0</v>
      </c>
      <c r="BA37" s="16">
        <f ca="1">'2.XDTD_S.Tr.T'!BC69</f>
        <v>0</v>
      </c>
      <c r="BB37" s="16">
        <f ca="1">'2.XDTD_S.Tr.T'!BD69</f>
        <v>0</v>
      </c>
      <c r="BC37" s="16">
        <f ca="1">'2.XDTD_S.Tr.T'!BE69</f>
        <v>0</v>
      </c>
      <c r="BD37" s="16">
        <f ca="1">'2.XDTD_S.Tr.T'!BF69</f>
        <v>0</v>
      </c>
      <c r="BE37" s="16">
        <f ca="1">'2.XDTD_S.Tr.T'!BG69</f>
        <v>0</v>
      </c>
      <c r="BF37" s="16">
        <f ca="1">'2.XDTD_S.Tr.T'!BH69</f>
        <v>0</v>
      </c>
      <c r="BG37" s="16">
        <f ca="1">'2.XDTD_S.Tr.T'!BI69</f>
        <v>0</v>
      </c>
      <c r="BH37" s="16">
        <f ca="1">'2.XDTD_S.Tr.T'!BJ69</f>
        <v>0</v>
      </c>
      <c r="BI37" s="16">
        <f ca="1">'2.XDTD_S.Tr.T'!BK69</f>
        <v>0</v>
      </c>
      <c r="BJ37" s="16">
        <f ca="1">'2.XDTD_S.Tr.T'!BL69</f>
        <v>0</v>
      </c>
      <c r="BK37" s="16">
        <f ca="1">'2.XDTD_S.Tr.T'!BM69</f>
        <v>0</v>
      </c>
      <c r="BL37" s="16">
        <f ca="1">'2.XDTD_S.Tr.T'!BN69</f>
        <v>0</v>
      </c>
      <c r="BM37" s="16">
        <f ca="1">'2.XDTD_S.Tr.T'!BO69</f>
        <v>0</v>
      </c>
      <c r="BN37" s="16">
        <f ca="1">'2.XDTD_S.Tr.T'!BP69</f>
        <v>0</v>
      </c>
      <c r="BO37" s="16">
        <f ca="1">'2.XDTD_S.Tr.T'!BP69</f>
        <v>0</v>
      </c>
      <c r="BP37" s="16">
        <f ca="1">'2.XDTD_S.Tr.T'!BR69</f>
        <v>0</v>
      </c>
      <c r="BQ37" s="16">
        <f ca="1">'2.XDTD_S.Tr.T'!BS69</f>
        <v>0</v>
      </c>
      <c r="BR37" s="16">
        <f ca="1">'2.XDTD_S.Tr.T'!BT69</f>
        <v>0</v>
      </c>
      <c r="BS37" s="16">
        <f ca="1">'2.XDTD_S.Tr.T'!BU69</f>
        <v>0</v>
      </c>
      <c r="BT37" s="16">
        <f ca="1">'2.XDTD_S.Tr.T'!BV69</f>
        <v>0</v>
      </c>
      <c r="BU37" s="16">
        <f ca="1">'2.XDTD_S.Tr.T'!BW69</f>
        <v>0</v>
      </c>
      <c r="BV37" s="16">
        <f ca="1">'2.XDTD_S.Tr.T'!BX69</f>
        <v>0</v>
      </c>
      <c r="BW37" s="16">
        <f ca="1">'2.XDTD_S.Tr.T'!BY69</f>
        <v>0</v>
      </c>
      <c r="BX37" s="16">
        <f ca="1">'2.XDTD_S.Tr.T'!BZ69</f>
        <v>0</v>
      </c>
      <c r="BY37" s="16">
        <f ca="1">'2.XDTD_S.Tr.T'!CA69</f>
        <v>0</v>
      </c>
      <c r="BZ37" s="16">
        <f ca="1">'2.XDTD_S.Tr.T'!CB69</f>
        <v>0</v>
      </c>
      <c r="CA37" s="16">
        <f ca="1">'2.XDTD_S.Tr.T'!CC69</f>
        <v>0</v>
      </c>
      <c r="CB37" s="16">
        <f ca="1">'2.XDTD_S.Tr.T'!CD69</f>
        <v>0</v>
      </c>
      <c r="CC37" s="16">
        <f ca="1">'2.XDTD_S.Tr.T'!CE69</f>
        <v>0</v>
      </c>
      <c r="CD37" s="16">
        <f ca="1">'2.XDTD_S.Tr.T'!CF69</f>
        <v>0</v>
      </c>
      <c r="CE37" s="16">
        <f ca="1">'2.XDTD_S.Tr.T'!CG69</f>
        <v>0</v>
      </c>
      <c r="CF37" s="16">
        <f ca="1">'2.XDTD_S.Tr.T'!CH69</f>
        <v>0</v>
      </c>
      <c r="CG37" s="16">
        <f ca="1">'2.XDTD_S.Tr.T'!CI69</f>
        <v>0</v>
      </c>
      <c r="CH37" s="16">
        <f ca="1">'2.XDTD_S.Tr.T'!CJ69</f>
        <v>0</v>
      </c>
      <c r="CI37" s="16">
        <f ca="1">'2.XDTD_S.Tr.T'!CK69</f>
        <v>0</v>
      </c>
      <c r="CJ37" s="16">
        <f ca="1">'2.XDTD_S.Tr.T'!CL69</f>
        <v>0</v>
      </c>
      <c r="CK37" s="16">
        <f ca="1">'2.XDTD_S.Tr.T'!CM69</f>
        <v>0</v>
      </c>
      <c r="CL37" s="16">
        <f ca="1">'2.XDTD_S.Tr.T'!CN69</f>
        <v>0</v>
      </c>
      <c r="CM37" s="16">
        <f ca="1">'2.XDTD_S.Tr.T'!CO69</f>
        <v>0</v>
      </c>
      <c r="CN37" s="16">
        <f ca="1">'2.XDTD_S.Tr.T'!CP69</f>
        <v>0</v>
      </c>
      <c r="CO37" s="16">
        <f ca="1">'2.XDTD_S.Tr.T'!CP69</f>
        <v>0</v>
      </c>
    </row>
    <row r="38" spans="3:93" ht="19.95" hidden="1" customHeight="1">
      <c r="C38" s="5"/>
      <c r="D38" s="11">
        <f>'2.XDTD_S.Tr.T'!F70</f>
        <v>0</v>
      </c>
      <c r="E38" s="7">
        <f>'2.XDTD_S.Tr.T'!G70</f>
        <v>0</v>
      </c>
      <c r="F38" s="8">
        <f>'2.XDTD_S.Tr.T'!H70</f>
        <v>0</v>
      </c>
      <c r="G38" s="9">
        <f ca="1">'2.XDTD_S.Tr.T'!I70</f>
        <v>0</v>
      </c>
      <c r="H38" s="10">
        <f ca="1">'2.XDTD_S.Tr.T'!J70</f>
        <v>0</v>
      </c>
      <c r="I38" s="9">
        <f ca="1">'2.XDTD_S.Tr.T'!K70</f>
        <v>0</v>
      </c>
      <c r="J38" s="13">
        <f>'2.XDTD_S.Tr.T'!L70</f>
        <v>0</v>
      </c>
      <c r="K38" s="13">
        <f>'2.XDTD_S.Tr.T'!M70</f>
        <v>0</v>
      </c>
      <c r="L38" s="9">
        <f ca="1">'2.XDTD_S.Tr.T'!N70</f>
        <v>0</v>
      </c>
      <c r="M38" s="14">
        <f>'2.XDTD_S.Tr.T'!O70</f>
        <v>0</v>
      </c>
      <c r="N38" s="14">
        <f>'2.XDTD_S.Tr.T'!P70</f>
        <v>0</v>
      </c>
      <c r="O38" s="9">
        <f>'2.XDTD_S.Tr.T'!P70</f>
        <v>0</v>
      </c>
      <c r="P38" s="15">
        <f ca="1">'2.XDTD_S.Tr.T'!R70</f>
        <v>0</v>
      </c>
      <c r="Q38" s="16">
        <f ca="1">'2.XDTD_S.Tr.T'!S70</f>
        <v>0</v>
      </c>
      <c r="R38" s="16">
        <f ca="1">'2.XDTD_S.Tr.T'!T70</f>
        <v>0</v>
      </c>
      <c r="S38" s="16">
        <f ca="1">'2.XDTD_S.Tr.T'!U70</f>
        <v>0</v>
      </c>
      <c r="T38" s="16">
        <f ca="1">'2.XDTD_S.Tr.T'!V70</f>
        <v>0</v>
      </c>
      <c r="U38" s="16">
        <f ca="1">'2.XDTD_S.Tr.T'!W70</f>
        <v>0</v>
      </c>
      <c r="V38" s="16">
        <f ca="1">'2.XDTD_S.Tr.T'!X70</f>
        <v>0</v>
      </c>
      <c r="W38" s="16">
        <f ca="1">'2.XDTD_S.Tr.T'!Y70</f>
        <v>0</v>
      </c>
      <c r="X38" s="16">
        <f ca="1">'2.XDTD_S.Tr.T'!Z70</f>
        <v>0</v>
      </c>
      <c r="Y38" s="16">
        <f ca="1">'2.XDTD_S.Tr.T'!AA70</f>
        <v>0</v>
      </c>
      <c r="Z38" s="16">
        <f ca="1">'2.XDTD_S.Tr.T'!AB70</f>
        <v>0</v>
      </c>
      <c r="AA38" s="16">
        <f ca="1">'2.XDTD_S.Tr.T'!AC70</f>
        <v>0</v>
      </c>
      <c r="AB38" s="16">
        <f ca="1">'2.XDTD_S.Tr.T'!AD70</f>
        <v>0</v>
      </c>
      <c r="AC38" s="16">
        <f ca="1">'2.XDTD_S.Tr.T'!AE70</f>
        <v>0</v>
      </c>
      <c r="AD38" s="16">
        <f ca="1">'2.XDTD_S.Tr.T'!AF70</f>
        <v>0</v>
      </c>
      <c r="AE38" s="16">
        <f ca="1">'2.XDTD_S.Tr.T'!AG70</f>
        <v>0</v>
      </c>
      <c r="AF38" s="16">
        <f ca="1">'2.XDTD_S.Tr.T'!AH70</f>
        <v>0</v>
      </c>
      <c r="AG38" s="16">
        <f ca="1">'2.XDTD_S.Tr.T'!AI70</f>
        <v>0</v>
      </c>
      <c r="AH38" s="16">
        <f ca="1">'2.XDTD_S.Tr.T'!AJ70</f>
        <v>0</v>
      </c>
      <c r="AI38" s="16">
        <f ca="1">'2.XDTD_S.Tr.T'!AK70</f>
        <v>0</v>
      </c>
      <c r="AJ38" s="16">
        <f ca="1">'2.XDTD_S.Tr.T'!AL70</f>
        <v>0</v>
      </c>
      <c r="AK38" s="16">
        <f ca="1">'2.XDTD_S.Tr.T'!AM70</f>
        <v>0</v>
      </c>
      <c r="AL38" s="16">
        <f ca="1">'2.XDTD_S.Tr.T'!AN70</f>
        <v>0</v>
      </c>
      <c r="AM38" s="16">
        <f ca="1">'2.XDTD_S.Tr.T'!AO70</f>
        <v>0</v>
      </c>
      <c r="AN38" s="16">
        <f ca="1">'2.XDTD_S.Tr.T'!AP70</f>
        <v>0</v>
      </c>
      <c r="AO38" s="16">
        <f ca="1">'2.XDTD_S.Tr.T'!AP70</f>
        <v>0</v>
      </c>
      <c r="AP38" s="16">
        <f ca="1">'2.XDTD_S.Tr.T'!AR70</f>
        <v>0</v>
      </c>
      <c r="AQ38" s="16">
        <f ca="1">'2.XDTD_S.Tr.T'!AS70</f>
        <v>0</v>
      </c>
      <c r="AR38" s="16">
        <f ca="1">'2.XDTD_S.Tr.T'!AT70</f>
        <v>0</v>
      </c>
      <c r="AS38" s="16">
        <f ca="1">'2.XDTD_S.Tr.T'!AU70</f>
        <v>0</v>
      </c>
      <c r="AT38" s="16">
        <f ca="1">'2.XDTD_S.Tr.T'!AV70</f>
        <v>0</v>
      </c>
      <c r="AU38" s="16">
        <f ca="1">'2.XDTD_S.Tr.T'!AW70</f>
        <v>0</v>
      </c>
      <c r="AV38" s="16">
        <f ca="1">'2.XDTD_S.Tr.T'!AX70</f>
        <v>0</v>
      </c>
      <c r="AW38" s="16">
        <f ca="1">'2.XDTD_S.Tr.T'!AY70</f>
        <v>0</v>
      </c>
      <c r="AX38" s="16">
        <f ca="1">'2.XDTD_S.Tr.T'!AZ70</f>
        <v>0</v>
      </c>
      <c r="AY38" s="16">
        <f ca="1">'2.XDTD_S.Tr.T'!BA70</f>
        <v>0</v>
      </c>
      <c r="AZ38" s="16">
        <f ca="1">'2.XDTD_S.Tr.T'!BB70</f>
        <v>0</v>
      </c>
      <c r="BA38" s="16">
        <f ca="1">'2.XDTD_S.Tr.T'!BC70</f>
        <v>0</v>
      </c>
      <c r="BB38" s="16">
        <f ca="1">'2.XDTD_S.Tr.T'!BD70</f>
        <v>0</v>
      </c>
      <c r="BC38" s="16">
        <f ca="1">'2.XDTD_S.Tr.T'!BE70</f>
        <v>0</v>
      </c>
      <c r="BD38" s="16">
        <f ca="1">'2.XDTD_S.Tr.T'!BF70</f>
        <v>0</v>
      </c>
      <c r="BE38" s="16">
        <f ca="1">'2.XDTD_S.Tr.T'!BG70</f>
        <v>0</v>
      </c>
      <c r="BF38" s="16">
        <f ca="1">'2.XDTD_S.Tr.T'!BH70</f>
        <v>0</v>
      </c>
      <c r="BG38" s="16">
        <f ca="1">'2.XDTD_S.Tr.T'!BI70</f>
        <v>0</v>
      </c>
      <c r="BH38" s="16">
        <f ca="1">'2.XDTD_S.Tr.T'!BJ70</f>
        <v>0</v>
      </c>
      <c r="BI38" s="16">
        <f ca="1">'2.XDTD_S.Tr.T'!BK70</f>
        <v>0</v>
      </c>
      <c r="BJ38" s="16">
        <f ca="1">'2.XDTD_S.Tr.T'!BL70</f>
        <v>0</v>
      </c>
      <c r="BK38" s="16">
        <f ca="1">'2.XDTD_S.Tr.T'!BM70</f>
        <v>0</v>
      </c>
      <c r="BL38" s="16">
        <f ca="1">'2.XDTD_S.Tr.T'!BN70</f>
        <v>0</v>
      </c>
      <c r="BM38" s="16">
        <f ca="1">'2.XDTD_S.Tr.T'!BO70</f>
        <v>0</v>
      </c>
      <c r="BN38" s="16">
        <f ca="1">'2.XDTD_S.Tr.T'!BP70</f>
        <v>0</v>
      </c>
      <c r="BO38" s="16">
        <f ca="1">'2.XDTD_S.Tr.T'!BP70</f>
        <v>0</v>
      </c>
      <c r="BP38" s="16">
        <f ca="1">'2.XDTD_S.Tr.T'!BR70</f>
        <v>0</v>
      </c>
      <c r="BQ38" s="16">
        <f ca="1">'2.XDTD_S.Tr.T'!BS70</f>
        <v>0</v>
      </c>
      <c r="BR38" s="16">
        <f ca="1">'2.XDTD_S.Tr.T'!BT70</f>
        <v>0</v>
      </c>
      <c r="BS38" s="16">
        <f ca="1">'2.XDTD_S.Tr.T'!BU70</f>
        <v>0</v>
      </c>
      <c r="BT38" s="16">
        <f ca="1">'2.XDTD_S.Tr.T'!BV70</f>
        <v>0</v>
      </c>
      <c r="BU38" s="16">
        <f ca="1">'2.XDTD_S.Tr.T'!BW70</f>
        <v>0</v>
      </c>
      <c r="BV38" s="16">
        <f ca="1">'2.XDTD_S.Tr.T'!BX70</f>
        <v>0</v>
      </c>
      <c r="BW38" s="16">
        <f ca="1">'2.XDTD_S.Tr.T'!BY70</f>
        <v>0</v>
      </c>
      <c r="BX38" s="16">
        <f ca="1">'2.XDTD_S.Tr.T'!BZ70</f>
        <v>0</v>
      </c>
      <c r="BY38" s="16">
        <f ca="1">'2.XDTD_S.Tr.T'!CA70</f>
        <v>0</v>
      </c>
      <c r="BZ38" s="16">
        <f ca="1">'2.XDTD_S.Tr.T'!CB70</f>
        <v>0</v>
      </c>
      <c r="CA38" s="16">
        <f ca="1">'2.XDTD_S.Tr.T'!CC70</f>
        <v>0</v>
      </c>
      <c r="CB38" s="16">
        <f ca="1">'2.XDTD_S.Tr.T'!CD70</f>
        <v>0</v>
      </c>
      <c r="CC38" s="16">
        <f ca="1">'2.XDTD_S.Tr.T'!CE70</f>
        <v>0</v>
      </c>
      <c r="CD38" s="16">
        <f ca="1">'2.XDTD_S.Tr.T'!CF70</f>
        <v>0</v>
      </c>
      <c r="CE38" s="16">
        <f ca="1">'2.XDTD_S.Tr.T'!CG70</f>
        <v>0</v>
      </c>
      <c r="CF38" s="16">
        <f ca="1">'2.XDTD_S.Tr.T'!CH70</f>
        <v>0</v>
      </c>
      <c r="CG38" s="16">
        <f ca="1">'2.XDTD_S.Tr.T'!CI70</f>
        <v>0</v>
      </c>
      <c r="CH38" s="16">
        <f ca="1">'2.XDTD_S.Tr.T'!CJ70</f>
        <v>0</v>
      </c>
      <c r="CI38" s="16">
        <f ca="1">'2.XDTD_S.Tr.T'!CK70</f>
        <v>0</v>
      </c>
      <c r="CJ38" s="16">
        <f ca="1">'2.XDTD_S.Tr.T'!CL70</f>
        <v>0</v>
      </c>
      <c r="CK38" s="16">
        <f ca="1">'2.XDTD_S.Tr.T'!CM70</f>
        <v>0</v>
      </c>
      <c r="CL38" s="16">
        <f ca="1">'2.XDTD_S.Tr.T'!CN70</f>
        <v>0</v>
      </c>
      <c r="CM38" s="16">
        <f ca="1">'2.XDTD_S.Tr.T'!CO70</f>
        <v>0</v>
      </c>
      <c r="CN38" s="16">
        <f ca="1">'2.XDTD_S.Tr.T'!CP70</f>
        <v>0</v>
      </c>
      <c r="CO38" s="16">
        <f ca="1">'2.XDTD_S.Tr.T'!CP70</f>
        <v>0</v>
      </c>
    </row>
    <row r="39" spans="3:93" ht="19.95" hidden="1" customHeight="1">
      <c r="C39" s="5"/>
      <c r="D39" s="11">
        <f>'2.XDTD_S.Tr.T'!F71</f>
        <v>0</v>
      </c>
      <c r="E39" s="7">
        <f>'2.XDTD_S.Tr.T'!G71</f>
        <v>0</v>
      </c>
      <c r="F39" s="8">
        <f>'2.XDTD_S.Tr.T'!H71</f>
        <v>0</v>
      </c>
      <c r="G39" s="9">
        <f ca="1">'2.XDTD_S.Tr.T'!I71</f>
        <v>0</v>
      </c>
      <c r="H39" s="10">
        <f ca="1">'2.XDTD_S.Tr.T'!J71</f>
        <v>0</v>
      </c>
      <c r="I39" s="9">
        <f ca="1">'2.XDTD_S.Tr.T'!K71</f>
        <v>0</v>
      </c>
      <c r="J39" s="13">
        <f>'2.XDTD_S.Tr.T'!L71</f>
        <v>0</v>
      </c>
      <c r="K39" s="13">
        <f>'2.XDTD_S.Tr.T'!M71</f>
        <v>0</v>
      </c>
      <c r="L39" s="9">
        <f ca="1">'2.XDTD_S.Tr.T'!N71</f>
        <v>0</v>
      </c>
      <c r="M39" s="14">
        <f>'2.XDTD_S.Tr.T'!O71</f>
        <v>0</v>
      </c>
      <c r="N39" s="14">
        <f>'2.XDTD_S.Tr.T'!P71</f>
        <v>0</v>
      </c>
      <c r="O39" s="9">
        <f>'2.XDTD_S.Tr.T'!P71</f>
        <v>0</v>
      </c>
      <c r="P39" s="15">
        <f ca="1">'2.XDTD_S.Tr.T'!R71</f>
        <v>0</v>
      </c>
      <c r="Q39" s="16">
        <f ca="1">'2.XDTD_S.Tr.T'!S71</f>
        <v>0</v>
      </c>
      <c r="R39" s="16">
        <f ca="1">'2.XDTD_S.Tr.T'!T71</f>
        <v>0</v>
      </c>
      <c r="S39" s="16">
        <f ca="1">'2.XDTD_S.Tr.T'!U71</f>
        <v>0</v>
      </c>
      <c r="T39" s="16">
        <f ca="1">'2.XDTD_S.Tr.T'!V71</f>
        <v>0</v>
      </c>
      <c r="U39" s="16">
        <f ca="1">'2.XDTD_S.Tr.T'!W71</f>
        <v>0</v>
      </c>
      <c r="V39" s="16">
        <f ca="1">'2.XDTD_S.Tr.T'!X71</f>
        <v>0</v>
      </c>
      <c r="W39" s="16">
        <f ca="1">'2.XDTD_S.Tr.T'!Y71</f>
        <v>0</v>
      </c>
      <c r="X39" s="16">
        <f ca="1">'2.XDTD_S.Tr.T'!Z71</f>
        <v>0</v>
      </c>
      <c r="Y39" s="16">
        <f ca="1">'2.XDTD_S.Tr.T'!AA71</f>
        <v>0</v>
      </c>
      <c r="Z39" s="16">
        <f ca="1">'2.XDTD_S.Tr.T'!AB71</f>
        <v>0</v>
      </c>
      <c r="AA39" s="16">
        <f ca="1">'2.XDTD_S.Tr.T'!AC71</f>
        <v>0</v>
      </c>
      <c r="AB39" s="16">
        <f ca="1">'2.XDTD_S.Tr.T'!AD71</f>
        <v>0</v>
      </c>
      <c r="AC39" s="16">
        <f ca="1">'2.XDTD_S.Tr.T'!AE71</f>
        <v>0</v>
      </c>
      <c r="AD39" s="16">
        <f ca="1">'2.XDTD_S.Tr.T'!AF71</f>
        <v>0</v>
      </c>
      <c r="AE39" s="16">
        <f ca="1">'2.XDTD_S.Tr.T'!AG71</f>
        <v>0</v>
      </c>
      <c r="AF39" s="16">
        <f ca="1">'2.XDTD_S.Tr.T'!AH71</f>
        <v>0</v>
      </c>
      <c r="AG39" s="16">
        <f ca="1">'2.XDTD_S.Tr.T'!AI71</f>
        <v>0</v>
      </c>
      <c r="AH39" s="16">
        <f ca="1">'2.XDTD_S.Tr.T'!AJ71</f>
        <v>0</v>
      </c>
      <c r="AI39" s="16">
        <f ca="1">'2.XDTD_S.Tr.T'!AK71</f>
        <v>0</v>
      </c>
      <c r="AJ39" s="16">
        <f ca="1">'2.XDTD_S.Tr.T'!AL71</f>
        <v>0</v>
      </c>
      <c r="AK39" s="16">
        <f ca="1">'2.XDTD_S.Tr.T'!AM71</f>
        <v>0</v>
      </c>
      <c r="AL39" s="16">
        <f ca="1">'2.XDTD_S.Tr.T'!AN71</f>
        <v>0</v>
      </c>
      <c r="AM39" s="16">
        <f ca="1">'2.XDTD_S.Tr.T'!AO71</f>
        <v>0</v>
      </c>
      <c r="AN39" s="16">
        <f ca="1">'2.XDTD_S.Tr.T'!AP71</f>
        <v>0</v>
      </c>
      <c r="AO39" s="16">
        <f ca="1">'2.XDTD_S.Tr.T'!AP71</f>
        <v>0</v>
      </c>
      <c r="AP39" s="16">
        <f ca="1">'2.XDTD_S.Tr.T'!AR71</f>
        <v>0</v>
      </c>
      <c r="AQ39" s="16">
        <f ca="1">'2.XDTD_S.Tr.T'!AS71</f>
        <v>0</v>
      </c>
      <c r="AR39" s="16">
        <f ca="1">'2.XDTD_S.Tr.T'!AT71</f>
        <v>0</v>
      </c>
      <c r="AS39" s="16">
        <f ca="1">'2.XDTD_S.Tr.T'!AU71</f>
        <v>0</v>
      </c>
      <c r="AT39" s="16">
        <f ca="1">'2.XDTD_S.Tr.T'!AV71</f>
        <v>0</v>
      </c>
      <c r="AU39" s="16">
        <f ca="1">'2.XDTD_S.Tr.T'!AW71</f>
        <v>0</v>
      </c>
      <c r="AV39" s="16">
        <f ca="1">'2.XDTD_S.Tr.T'!AX71</f>
        <v>0</v>
      </c>
      <c r="AW39" s="16">
        <f ca="1">'2.XDTD_S.Tr.T'!AY71</f>
        <v>0</v>
      </c>
      <c r="AX39" s="16">
        <f ca="1">'2.XDTD_S.Tr.T'!AZ71</f>
        <v>0</v>
      </c>
      <c r="AY39" s="16">
        <f ca="1">'2.XDTD_S.Tr.T'!BA71</f>
        <v>0</v>
      </c>
      <c r="AZ39" s="16">
        <f ca="1">'2.XDTD_S.Tr.T'!BB71</f>
        <v>0</v>
      </c>
      <c r="BA39" s="16">
        <f ca="1">'2.XDTD_S.Tr.T'!BC71</f>
        <v>0</v>
      </c>
      <c r="BB39" s="16">
        <f ca="1">'2.XDTD_S.Tr.T'!BD71</f>
        <v>0</v>
      </c>
      <c r="BC39" s="16">
        <f ca="1">'2.XDTD_S.Tr.T'!BE71</f>
        <v>0</v>
      </c>
      <c r="BD39" s="16">
        <f ca="1">'2.XDTD_S.Tr.T'!BF71</f>
        <v>0</v>
      </c>
      <c r="BE39" s="16">
        <f ca="1">'2.XDTD_S.Tr.T'!BG71</f>
        <v>0</v>
      </c>
      <c r="BF39" s="16">
        <f ca="1">'2.XDTD_S.Tr.T'!BH71</f>
        <v>0</v>
      </c>
      <c r="BG39" s="16">
        <f ca="1">'2.XDTD_S.Tr.T'!BI71</f>
        <v>0</v>
      </c>
      <c r="BH39" s="16">
        <f ca="1">'2.XDTD_S.Tr.T'!BJ71</f>
        <v>0</v>
      </c>
      <c r="BI39" s="16">
        <f ca="1">'2.XDTD_S.Tr.T'!BK71</f>
        <v>0</v>
      </c>
      <c r="BJ39" s="16">
        <f ca="1">'2.XDTD_S.Tr.T'!BL71</f>
        <v>0</v>
      </c>
      <c r="BK39" s="16">
        <f ca="1">'2.XDTD_S.Tr.T'!BM71</f>
        <v>0</v>
      </c>
      <c r="BL39" s="16">
        <f ca="1">'2.XDTD_S.Tr.T'!BN71</f>
        <v>0</v>
      </c>
      <c r="BM39" s="16">
        <f ca="1">'2.XDTD_S.Tr.T'!BO71</f>
        <v>0</v>
      </c>
      <c r="BN39" s="16">
        <f ca="1">'2.XDTD_S.Tr.T'!BP71</f>
        <v>0</v>
      </c>
      <c r="BO39" s="16">
        <f ca="1">'2.XDTD_S.Tr.T'!BP71</f>
        <v>0</v>
      </c>
      <c r="BP39" s="16">
        <f ca="1">'2.XDTD_S.Tr.T'!BR71</f>
        <v>0</v>
      </c>
      <c r="BQ39" s="16">
        <f ca="1">'2.XDTD_S.Tr.T'!BS71</f>
        <v>0</v>
      </c>
      <c r="BR39" s="16">
        <f ca="1">'2.XDTD_S.Tr.T'!BT71</f>
        <v>0</v>
      </c>
      <c r="BS39" s="16">
        <f ca="1">'2.XDTD_S.Tr.T'!BU71</f>
        <v>0</v>
      </c>
      <c r="BT39" s="16">
        <f ca="1">'2.XDTD_S.Tr.T'!BV71</f>
        <v>0</v>
      </c>
      <c r="BU39" s="16">
        <f ca="1">'2.XDTD_S.Tr.T'!BW71</f>
        <v>0</v>
      </c>
      <c r="BV39" s="16">
        <f ca="1">'2.XDTD_S.Tr.T'!BX71</f>
        <v>0</v>
      </c>
      <c r="BW39" s="16">
        <f ca="1">'2.XDTD_S.Tr.T'!BY71</f>
        <v>0</v>
      </c>
      <c r="BX39" s="16">
        <f ca="1">'2.XDTD_S.Tr.T'!BZ71</f>
        <v>0</v>
      </c>
      <c r="BY39" s="16">
        <f ca="1">'2.XDTD_S.Tr.T'!CA71</f>
        <v>0</v>
      </c>
      <c r="BZ39" s="16">
        <f ca="1">'2.XDTD_S.Tr.T'!CB71</f>
        <v>0</v>
      </c>
      <c r="CA39" s="16">
        <f ca="1">'2.XDTD_S.Tr.T'!CC71</f>
        <v>0</v>
      </c>
      <c r="CB39" s="16">
        <f ca="1">'2.XDTD_S.Tr.T'!CD71</f>
        <v>0</v>
      </c>
      <c r="CC39" s="16">
        <f ca="1">'2.XDTD_S.Tr.T'!CE71</f>
        <v>0</v>
      </c>
      <c r="CD39" s="16">
        <f ca="1">'2.XDTD_S.Tr.T'!CF71</f>
        <v>0</v>
      </c>
      <c r="CE39" s="16">
        <f ca="1">'2.XDTD_S.Tr.T'!CG71</f>
        <v>0</v>
      </c>
      <c r="CF39" s="16">
        <f ca="1">'2.XDTD_S.Tr.T'!CH71</f>
        <v>0</v>
      </c>
      <c r="CG39" s="16">
        <f ca="1">'2.XDTD_S.Tr.T'!CI71</f>
        <v>0</v>
      </c>
      <c r="CH39" s="16">
        <f ca="1">'2.XDTD_S.Tr.T'!CJ71</f>
        <v>0</v>
      </c>
      <c r="CI39" s="16">
        <f ca="1">'2.XDTD_S.Tr.T'!CK71</f>
        <v>0</v>
      </c>
      <c r="CJ39" s="16">
        <f ca="1">'2.XDTD_S.Tr.T'!CL71</f>
        <v>0</v>
      </c>
      <c r="CK39" s="16">
        <f ca="1">'2.XDTD_S.Tr.T'!CM71</f>
        <v>0</v>
      </c>
      <c r="CL39" s="16">
        <f ca="1">'2.XDTD_S.Tr.T'!CN71</f>
        <v>0</v>
      </c>
      <c r="CM39" s="16">
        <f ca="1">'2.XDTD_S.Tr.T'!CO71</f>
        <v>0</v>
      </c>
      <c r="CN39" s="16">
        <f ca="1">'2.XDTD_S.Tr.T'!CP71</f>
        <v>0</v>
      </c>
      <c r="CO39" s="16">
        <f ca="1">'2.XDTD_S.Tr.T'!CP71</f>
        <v>0</v>
      </c>
    </row>
    <row r="40" spans="3:93" ht="19.95" hidden="1" customHeight="1">
      <c r="C40" s="5"/>
      <c r="D40" s="11">
        <f>'2.XDTD_S.Tr.T'!F72</f>
        <v>0</v>
      </c>
      <c r="E40" s="7">
        <f>'2.XDTD_S.Tr.T'!G72</f>
        <v>0</v>
      </c>
      <c r="F40" s="8">
        <f>'2.XDTD_S.Tr.T'!H72</f>
        <v>0</v>
      </c>
      <c r="G40" s="9">
        <f ca="1">'2.XDTD_S.Tr.T'!I72</f>
        <v>0</v>
      </c>
      <c r="H40" s="10">
        <f ca="1">'2.XDTD_S.Tr.T'!J72</f>
        <v>0</v>
      </c>
      <c r="I40" s="9">
        <f ca="1">'2.XDTD_S.Tr.T'!K72</f>
        <v>0</v>
      </c>
      <c r="J40" s="13">
        <f>'2.XDTD_S.Tr.T'!L72</f>
        <v>0</v>
      </c>
      <c r="K40" s="13">
        <f>'2.XDTD_S.Tr.T'!M72</f>
        <v>0</v>
      </c>
      <c r="L40" s="9">
        <f ca="1">'2.XDTD_S.Tr.T'!N72</f>
        <v>0</v>
      </c>
      <c r="M40" s="14">
        <f>'2.XDTD_S.Tr.T'!O72</f>
        <v>0</v>
      </c>
      <c r="N40" s="14">
        <f>'2.XDTD_S.Tr.T'!P72</f>
        <v>0</v>
      </c>
      <c r="O40" s="9">
        <f>'2.XDTD_S.Tr.T'!P72</f>
        <v>0</v>
      </c>
      <c r="P40" s="15">
        <f ca="1">'2.XDTD_S.Tr.T'!R72</f>
        <v>0</v>
      </c>
      <c r="Q40" s="16">
        <f ca="1">'2.XDTD_S.Tr.T'!S72</f>
        <v>0</v>
      </c>
      <c r="R40" s="16">
        <f ca="1">'2.XDTD_S.Tr.T'!T72</f>
        <v>0</v>
      </c>
      <c r="S40" s="16">
        <f ca="1">'2.XDTD_S.Tr.T'!U72</f>
        <v>0</v>
      </c>
      <c r="T40" s="16">
        <f ca="1">'2.XDTD_S.Tr.T'!V72</f>
        <v>0</v>
      </c>
      <c r="U40" s="16">
        <f ca="1">'2.XDTD_S.Tr.T'!W72</f>
        <v>0</v>
      </c>
      <c r="V40" s="16">
        <f ca="1">'2.XDTD_S.Tr.T'!X72</f>
        <v>0</v>
      </c>
      <c r="W40" s="16">
        <f ca="1">'2.XDTD_S.Tr.T'!Y72</f>
        <v>0</v>
      </c>
      <c r="X40" s="16">
        <f ca="1">'2.XDTD_S.Tr.T'!Z72</f>
        <v>0</v>
      </c>
      <c r="Y40" s="16">
        <f ca="1">'2.XDTD_S.Tr.T'!AA72</f>
        <v>0</v>
      </c>
      <c r="Z40" s="16">
        <f ca="1">'2.XDTD_S.Tr.T'!AB72</f>
        <v>0</v>
      </c>
      <c r="AA40" s="16">
        <f ca="1">'2.XDTD_S.Tr.T'!AC72</f>
        <v>0</v>
      </c>
      <c r="AB40" s="16">
        <f ca="1">'2.XDTD_S.Tr.T'!AD72</f>
        <v>0</v>
      </c>
      <c r="AC40" s="16">
        <f ca="1">'2.XDTD_S.Tr.T'!AE72</f>
        <v>0</v>
      </c>
      <c r="AD40" s="16">
        <f ca="1">'2.XDTD_S.Tr.T'!AF72</f>
        <v>0</v>
      </c>
      <c r="AE40" s="16">
        <f ca="1">'2.XDTD_S.Tr.T'!AG72</f>
        <v>0</v>
      </c>
      <c r="AF40" s="16">
        <f ca="1">'2.XDTD_S.Tr.T'!AH72</f>
        <v>0</v>
      </c>
      <c r="AG40" s="16">
        <f ca="1">'2.XDTD_S.Tr.T'!AI72</f>
        <v>0</v>
      </c>
      <c r="AH40" s="16">
        <f ca="1">'2.XDTD_S.Tr.T'!AJ72</f>
        <v>0</v>
      </c>
      <c r="AI40" s="16">
        <f ca="1">'2.XDTD_S.Tr.T'!AK72</f>
        <v>0</v>
      </c>
      <c r="AJ40" s="16">
        <f ca="1">'2.XDTD_S.Tr.T'!AL72</f>
        <v>0</v>
      </c>
      <c r="AK40" s="16">
        <f ca="1">'2.XDTD_S.Tr.T'!AM72</f>
        <v>0</v>
      </c>
      <c r="AL40" s="16">
        <f ca="1">'2.XDTD_S.Tr.T'!AN72</f>
        <v>0</v>
      </c>
      <c r="AM40" s="16">
        <f ca="1">'2.XDTD_S.Tr.T'!AO72</f>
        <v>0</v>
      </c>
      <c r="AN40" s="16">
        <f ca="1">'2.XDTD_S.Tr.T'!AP72</f>
        <v>0</v>
      </c>
      <c r="AO40" s="16">
        <f ca="1">'2.XDTD_S.Tr.T'!AP72</f>
        <v>0</v>
      </c>
      <c r="AP40" s="16">
        <f ca="1">'2.XDTD_S.Tr.T'!AR72</f>
        <v>0</v>
      </c>
      <c r="AQ40" s="16">
        <f ca="1">'2.XDTD_S.Tr.T'!AS72</f>
        <v>0</v>
      </c>
      <c r="AR40" s="16">
        <f ca="1">'2.XDTD_S.Tr.T'!AT72</f>
        <v>0</v>
      </c>
      <c r="AS40" s="16">
        <f ca="1">'2.XDTD_S.Tr.T'!AU72</f>
        <v>0</v>
      </c>
      <c r="AT40" s="16">
        <f ca="1">'2.XDTD_S.Tr.T'!AV72</f>
        <v>0</v>
      </c>
      <c r="AU40" s="16">
        <f ca="1">'2.XDTD_S.Tr.T'!AW72</f>
        <v>0</v>
      </c>
      <c r="AV40" s="16">
        <f ca="1">'2.XDTD_S.Tr.T'!AX72</f>
        <v>0</v>
      </c>
      <c r="AW40" s="16">
        <f ca="1">'2.XDTD_S.Tr.T'!AY72</f>
        <v>0</v>
      </c>
      <c r="AX40" s="16">
        <f ca="1">'2.XDTD_S.Tr.T'!AZ72</f>
        <v>0</v>
      </c>
      <c r="AY40" s="16">
        <f ca="1">'2.XDTD_S.Tr.T'!BA72</f>
        <v>0</v>
      </c>
      <c r="AZ40" s="16">
        <f ca="1">'2.XDTD_S.Tr.T'!BB72</f>
        <v>0</v>
      </c>
      <c r="BA40" s="16">
        <f ca="1">'2.XDTD_S.Tr.T'!BC72</f>
        <v>0</v>
      </c>
      <c r="BB40" s="16">
        <f ca="1">'2.XDTD_S.Tr.T'!BD72</f>
        <v>0</v>
      </c>
      <c r="BC40" s="16">
        <f ca="1">'2.XDTD_S.Tr.T'!BE72</f>
        <v>0</v>
      </c>
      <c r="BD40" s="16">
        <f ca="1">'2.XDTD_S.Tr.T'!BF72</f>
        <v>0</v>
      </c>
      <c r="BE40" s="16">
        <f ca="1">'2.XDTD_S.Tr.T'!BG72</f>
        <v>0</v>
      </c>
      <c r="BF40" s="16">
        <f ca="1">'2.XDTD_S.Tr.T'!BH72</f>
        <v>0</v>
      </c>
      <c r="BG40" s="16">
        <f ca="1">'2.XDTD_S.Tr.T'!BI72</f>
        <v>0</v>
      </c>
      <c r="BH40" s="16">
        <f ca="1">'2.XDTD_S.Tr.T'!BJ72</f>
        <v>0</v>
      </c>
      <c r="BI40" s="16">
        <f ca="1">'2.XDTD_S.Tr.T'!BK72</f>
        <v>0</v>
      </c>
      <c r="BJ40" s="16">
        <f ca="1">'2.XDTD_S.Tr.T'!BL72</f>
        <v>0</v>
      </c>
      <c r="BK40" s="16">
        <f ca="1">'2.XDTD_S.Tr.T'!BM72</f>
        <v>0</v>
      </c>
      <c r="BL40" s="16">
        <f ca="1">'2.XDTD_S.Tr.T'!BN72</f>
        <v>0</v>
      </c>
      <c r="BM40" s="16">
        <f ca="1">'2.XDTD_S.Tr.T'!BO72</f>
        <v>0</v>
      </c>
      <c r="BN40" s="16">
        <f ca="1">'2.XDTD_S.Tr.T'!BP72</f>
        <v>0</v>
      </c>
      <c r="BO40" s="16">
        <f ca="1">'2.XDTD_S.Tr.T'!BP72</f>
        <v>0</v>
      </c>
      <c r="BP40" s="16">
        <f ca="1">'2.XDTD_S.Tr.T'!BR72</f>
        <v>0</v>
      </c>
      <c r="BQ40" s="16">
        <f ca="1">'2.XDTD_S.Tr.T'!BS72</f>
        <v>0</v>
      </c>
      <c r="BR40" s="16">
        <f ca="1">'2.XDTD_S.Tr.T'!BT72</f>
        <v>0</v>
      </c>
      <c r="BS40" s="16">
        <f ca="1">'2.XDTD_S.Tr.T'!BU72</f>
        <v>0</v>
      </c>
      <c r="BT40" s="16">
        <f ca="1">'2.XDTD_S.Tr.T'!BV72</f>
        <v>0</v>
      </c>
      <c r="BU40" s="16">
        <f ca="1">'2.XDTD_S.Tr.T'!BW72</f>
        <v>0</v>
      </c>
      <c r="BV40" s="16">
        <f ca="1">'2.XDTD_S.Tr.T'!BX72</f>
        <v>0</v>
      </c>
      <c r="BW40" s="16">
        <f ca="1">'2.XDTD_S.Tr.T'!BY72</f>
        <v>0</v>
      </c>
      <c r="BX40" s="16">
        <f ca="1">'2.XDTD_S.Tr.T'!BZ72</f>
        <v>0</v>
      </c>
      <c r="BY40" s="16">
        <f ca="1">'2.XDTD_S.Tr.T'!CA72</f>
        <v>0</v>
      </c>
      <c r="BZ40" s="16">
        <f ca="1">'2.XDTD_S.Tr.T'!CB72</f>
        <v>0</v>
      </c>
      <c r="CA40" s="16">
        <f ca="1">'2.XDTD_S.Tr.T'!CC72</f>
        <v>0</v>
      </c>
      <c r="CB40" s="16">
        <f ca="1">'2.XDTD_S.Tr.T'!CD72</f>
        <v>0</v>
      </c>
      <c r="CC40" s="16">
        <f ca="1">'2.XDTD_S.Tr.T'!CE72</f>
        <v>0</v>
      </c>
      <c r="CD40" s="16">
        <f ca="1">'2.XDTD_S.Tr.T'!CF72</f>
        <v>0</v>
      </c>
      <c r="CE40" s="16">
        <f ca="1">'2.XDTD_S.Tr.T'!CG72</f>
        <v>0</v>
      </c>
      <c r="CF40" s="16">
        <f ca="1">'2.XDTD_S.Tr.T'!CH72</f>
        <v>0</v>
      </c>
      <c r="CG40" s="16">
        <f ca="1">'2.XDTD_S.Tr.T'!CI72</f>
        <v>0</v>
      </c>
      <c r="CH40" s="16">
        <f ca="1">'2.XDTD_S.Tr.T'!CJ72</f>
        <v>0</v>
      </c>
      <c r="CI40" s="16">
        <f ca="1">'2.XDTD_S.Tr.T'!CK72</f>
        <v>0</v>
      </c>
      <c r="CJ40" s="16">
        <f ca="1">'2.XDTD_S.Tr.T'!CL72</f>
        <v>0</v>
      </c>
      <c r="CK40" s="16">
        <f ca="1">'2.XDTD_S.Tr.T'!CM72</f>
        <v>0</v>
      </c>
      <c r="CL40" s="16">
        <f ca="1">'2.XDTD_S.Tr.T'!CN72</f>
        <v>0</v>
      </c>
      <c r="CM40" s="16">
        <f ca="1">'2.XDTD_S.Tr.T'!CO72</f>
        <v>0</v>
      </c>
      <c r="CN40" s="16">
        <f ca="1">'2.XDTD_S.Tr.T'!CP72</f>
        <v>0</v>
      </c>
      <c r="CO40" s="16">
        <f ca="1">'2.XDTD_S.Tr.T'!CP72</f>
        <v>0</v>
      </c>
    </row>
    <row r="41" spans="3:93" ht="19.95" hidden="1" customHeight="1">
      <c r="C41" s="5"/>
      <c r="D41" s="11">
        <f>'2.XDTD_S.Tr.T'!F73</f>
        <v>0</v>
      </c>
      <c r="E41" s="7">
        <f>'2.XDTD_S.Tr.T'!G73</f>
        <v>0</v>
      </c>
      <c r="F41" s="8">
        <f>'2.XDTD_S.Tr.T'!H73</f>
        <v>0</v>
      </c>
      <c r="G41" s="9">
        <f ca="1">'2.XDTD_S.Tr.T'!I73</f>
        <v>0</v>
      </c>
      <c r="H41" s="10">
        <f ca="1">'2.XDTD_S.Tr.T'!J73</f>
        <v>0</v>
      </c>
      <c r="I41" s="9">
        <f ca="1">'2.XDTD_S.Tr.T'!K73</f>
        <v>0</v>
      </c>
      <c r="J41" s="13">
        <f>'2.XDTD_S.Tr.T'!L73</f>
        <v>0</v>
      </c>
      <c r="K41" s="13">
        <f>'2.XDTD_S.Tr.T'!M73</f>
        <v>0</v>
      </c>
      <c r="L41" s="9">
        <f ca="1">'2.XDTD_S.Tr.T'!N73</f>
        <v>0</v>
      </c>
      <c r="M41" s="14">
        <f>'2.XDTD_S.Tr.T'!O73</f>
        <v>0</v>
      </c>
      <c r="N41" s="14">
        <f>'2.XDTD_S.Tr.T'!P73</f>
        <v>0</v>
      </c>
      <c r="O41" s="9">
        <f>'2.XDTD_S.Tr.T'!P73</f>
        <v>0</v>
      </c>
      <c r="P41" s="15">
        <f ca="1">'2.XDTD_S.Tr.T'!R73</f>
        <v>0</v>
      </c>
      <c r="Q41" s="16">
        <f ca="1">'2.XDTD_S.Tr.T'!S73</f>
        <v>0</v>
      </c>
      <c r="R41" s="16">
        <f ca="1">'2.XDTD_S.Tr.T'!T73</f>
        <v>0</v>
      </c>
      <c r="S41" s="16">
        <f ca="1">'2.XDTD_S.Tr.T'!U73</f>
        <v>0</v>
      </c>
      <c r="T41" s="16">
        <f ca="1">'2.XDTD_S.Tr.T'!V73</f>
        <v>0</v>
      </c>
      <c r="U41" s="16">
        <f ca="1">'2.XDTD_S.Tr.T'!W73</f>
        <v>0</v>
      </c>
      <c r="V41" s="16">
        <f ca="1">'2.XDTD_S.Tr.T'!X73</f>
        <v>0</v>
      </c>
      <c r="W41" s="16">
        <f ca="1">'2.XDTD_S.Tr.T'!Y73</f>
        <v>0</v>
      </c>
      <c r="X41" s="16">
        <f ca="1">'2.XDTD_S.Tr.T'!Z73</f>
        <v>0</v>
      </c>
      <c r="Y41" s="16">
        <f ca="1">'2.XDTD_S.Tr.T'!AA73</f>
        <v>0</v>
      </c>
      <c r="Z41" s="16">
        <f ca="1">'2.XDTD_S.Tr.T'!AB73</f>
        <v>0</v>
      </c>
      <c r="AA41" s="16">
        <f ca="1">'2.XDTD_S.Tr.T'!AC73</f>
        <v>0</v>
      </c>
      <c r="AB41" s="16">
        <f ca="1">'2.XDTD_S.Tr.T'!AD73</f>
        <v>0</v>
      </c>
      <c r="AC41" s="16">
        <f ca="1">'2.XDTD_S.Tr.T'!AE73</f>
        <v>0</v>
      </c>
      <c r="AD41" s="16">
        <f ca="1">'2.XDTD_S.Tr.T'!AF73</f>
        <v>0</v>
      </c>
      <c r="AE41" s="16">
        <f ca="1">'2.XDTD_S.Tr.T'!AG73</f>
        <v>0</v>
      </c>
      <c r="AF41" s="16">
        <f ca="1">'2.XDTD_S.Tr.T'!AH73</f>
        <v>0</v>
      </c>
      <c r="AG41" s="16">
        <f ca="1">'2.XDTD_S.Tr.T'!AI73</f>
        <v>0</v>
      </c>
      <c r="AH41" s="16">
        <f ca="1">'2.XDTD_S.Tr.T'!AJ73</f>
        <v>0</v>
      </c>
      <c r="AI41" s="16">
        <f ca="1">'2.XDTD_S.Tr.T'!AK73</f>
        <v>0</v>
      </c>
      <c r="AJ41" s="16">
        <f ca="1">'2.XDTD_S.Tr.T'!AL73</f>
        <v>0</v>
      </c>
      <c r="AK41" s="16">
        <f ca="1">'2.XDTD_S.Tr.T'!AM73</f>
        <v>0</v>
      </c>
      <c r="AL41" s="16">
        <f ca="1">'2.XDTD_S.Tr.T'!AN73</f>
        <v>0</v>
      </c>
      <c r="AM41" s="16">
        <f ca="1">'2.XDTD_S.Tr.T'!AO73</f>
        <v>0</v>
      </c>
      <c r="AN41" s="16">
        <f ca="1">'2.XDTD_S.Tr.T'!AP73</f>
        <v>0</v>
      </c>
      <c r="AO41" s="16">
        <f ca="1">'2.XDTD_S.Tr.T'!AP73</f>
        <v>0</v>
      </c>
      <c r="AP41" s="16">
        <f ca="1">'2.XDTD_S.Tr.T'!AR73</f>
        <v>0</v>
      </c>
      <c r="AQ41" s="16">
        <f ca="1">'2.XDTD_S.Tr.T'!AS73</f>
        <v>0</v>
      </c>
      <c r="AR41" s="16">
        <f ca="1">'2.XDTD_S.Tr.T'!AT73</f>
        <v>0</v>
      </c>
      <c r="AS41" s="16">
        <f ca="1">'2.XDTD_S.Tr.T'!AU73</f>
        <v>0</v>
      </c>
      <c r="AT41" s="16">
        <f ca="1">'2.XDTD_S.Tr.T'!AV73</f>
        <v>0</v>
      </c>
      <c r="AU41" s="16">
        <f ca="1">'2.XDTD_S.Tr.T'!AW73</f>
        <v>0</v>
      </c>
      <c r="AV41" s="16">
        <f ca="1">'2.XDTD_S.Tr.T'!AX73</f>
        <v>0</v>
      </c>
      <c r="AW41" s="16">
        <f ca="1">'2.XDTD_S.Tr.T'!AY73</f>
        <v>0</v>
      </c>
      <c r="AX41" s="16">
        <f ca="1">'2.XDTD_S.Tr.T'!AZ73</f>
        <v>0</v>
      </c>
      <c r="AY41" s="16">
        <f ca="1">'2.XDTD_S.Tr.T'!BA73</f>
        <v>0</v>
      </c>
      <c r="AZ41" s="16">
        <f ca="1">'2.XDTD_S.Tr.T'!BB73</f>
        <v>0</v>
      </c>
      <c r="BA41" s="16">
        <f ca="1">'2.XDTD_S.Tr.T'!BC73</f>
        <v>0</v>
      </c>
      <c r="BB41" s="16">
        <f ca="1">'2.XDTD_S.Tr.T'!BD73</f>
        <v>0</v>
      </c>
      <c r="BC41" s="16">
        <f ca="1">'2.XDTD_S.Tr.T'!BE73</f>
        <v>0</v>
      </c>
      <c r="BD41" s="16">
        <f ca="1">'2.XDTD_S.Tr.T'!BF73</f>
        <v>0</v>
      </c>
      <c r="BE41" s="16">
        <f ca="1">'2.XDTD_S.Tr.T'!BG73</f>
        <v>0</v>
      </c>
      <c r="BF41" s="16">
        <f ca="1">'2.XDTD_S.Tr.T'!BH73</f>
        <v>0</v>
      </c>
      <c r="BG41" s="16">
        <f ca="1">'2.XDTD_S.Tr.T'!BI73</f>
        <v>0</v>
      </c>
      <c r="BH41" s="16">
        <f ca="1">'2.XDTD_S.Tr.T'!BJ73</f>
        <v>0</v>
      </c>
      <c r="BI41" s="16">
        <f ca="1">'2.XDTD_S.Tr.T'!BK73</f>
        <v>0</v>
      </c>
      <c r="BJ41" s="16">
        <f ca="1">'2.XDTD_S.Tr.T'!BL73</f>
        <v>0</v>
      </c>
      <c r="BK41" s="16">
        <f ca="1">'2.XDTD_S.Tr.T'!BM73</f>
        <v>0</v>
      </c>
      <c r="BL41" s="16">
        <f ca="1">'2.XDTD_S.Tr.T'!BN73</f>
        <v>0</v>
      </c>
      <c r="BM41" s="16">
        <f ca="1">'2.XDTD_S.Tr.T'!BO73</f>
        <v>0</v>
      </c>
      <c r="BN41" s="16">
        <f ca="1">'2.XDTD_S.Tr.T'!BP73</f>
        <v>0</v>
      </c>
      <c r="BO41" s="16">
        <f ca="1">'2.XDTD_S.Tr.T'!BP73</f>
        <v>0</v>
      </c>
      <c r="BP41" s="16">
        <f ca="1">'2.XDTD_S.Tr.T'!BR73</f>
        <v>0</v>
      </c>
      <c r="BQ41" s="16">
        <f ca="1">'2.XDTD_S.Tr.T'!BS73</f>
        <v>0</v>
      </c>
      <c r="BR41" s="16">
        <f ca="1">'2.XDTD_S.Tr.T'!BT73</f>
        <v>0</v>
      </c>
      <c r="BS41" s="16">
        <f ca="1">'2.XDTD_S.Tr.T'!BU73</f>
        <v>0</v>
      </c>
      <c r="BT41" s="16">
        <f ca="1">'2.XDTD_S.Tr.T'!BV73</f>
        <v>0</v>
      </c>
      <c r="BU41" s="16">
        <f ca="1">'2.XDTD_S.Tr.T'!BW73</f>
        <v>0</v>
      </c>
      <c r="BV41" s="16">
        <f ca="1">'2.XDTD_S.Tr.T'!BX73</f>
        <v>0</v>
      </c>
      <c r="BW41" s="16">
        <f ca="1">'2.XDTD_S.Tr.T'!BY73</f>
        <v>0</v>
      </c>
      <c r="BX41" s="16">
        <f ca="1">'2.XDTD_S.Tr.T'!BZ73</f>
        <v>0</v>
      </c>
      <c r="BY41" s="16">
        <f ca="1">'2.XDTD_S.Tr.T'!CA73</f>
        <v>0</v>
      </c>
      <c r="BZ41" s="16">
        <f ca="1">'2.XDTD_S.Tr.T'!CB73</f>
        <v>0</v>
      </c>
      <c r="CA41" s="16">
        <f ca="1">'2.XDTD_S.Tr.T'!CC73</f>
        <v>0</v>
      </c>
      <c r="CB41" s="16">
        <f ca="1">'2.XDTD_S.Tr.T'!CD73</f>
        <v>0</v>
      </c>
      <c r="CC41" s="16">
        <f ca="1">'2.XDTD_S.Tr.T'!CE73</f>
        <v>0</v>
      </c>
      <c r="CD41" s="16">
        <f ca="1">'2.XDTD_S.Tr.T'!CF73</f>
        <v>0</v>
      </c>
      <c r="CE41" s="16">
        <f ca="1">'2.XDTD_S.Tr.T'!CG73</f>
        <v>0</v>
      </c>
      <c r="CF41" s="16">
        <f ca="1">'2.XDTD_S.Tr.T'!CH73</f>
        <v>0</v>
      </c>
      <c r="CG41" s="16">
        <f ca="1">'2.XDTD_S.Tr.T'!CI73</f>
        <v>0</v>
      </c>
      <c r="CH41" s="16">
        <f ca="1">'2.XDTD_S.Tr.T'!CJ73</f>
        <v>0</v>
      </c>
      <c r="CI41" s="16">
        <f ca="1">'2.XDTD_S.Tr.T'!CK73</f>
        <v>0</v>
      </c>
      <c r="CJ41" s="16">
        <f ca="1">'2.XDTD_S.Tr.T'!CL73</f>
        <v>0</v>
      </c>
      <c r="CK41" s="16">
        <f ca="1">'2.XDTD_S.Tr.T'!CM73</f>
        <v>0</v>
      </c>
      <c r="CL41" s="16">
        <f ca="1">'2.XDTD_S.Tr.T'!CN73</f>
        <v>0</v>
      </c>
      <c r="CM41" s="16">
        <f ca="1">'2.XDTD_S.Tr.T'!CO73</f>
        <v>0</v>
      </c>
      <c r="CN41" s="16">
        <f ca="1">'2.XDTD_S.Tr.T'!CP73</f>
        <v>0</v>
      </c>
      <c r="CO41" s="16">
        <f ca="1">'2.XDTD_S.Tr.T'!CP73</f>
        <v>0</v>
      </c>
    </row>
    <row r="42" spans="3:93" ht="19.95" hidden="1" customHeight="1">
      <c r="C42" s="5"/>
      <c r="D42" s="11">
        <f>'2.XDTD_S.Tr.T'!F74</f>
        <v>0</v>
      </c>
      <c r="E42" s="7">
        <f>'2.XDTD_S.Tr.T'!G74</f>
        <v>0</v>
      </c>
      <c r="F42" s="8">
        <f>'2.XDTD_S.Tr.T'!H74</f>
        <v>0</v>
      </c>
      <c r="G42" s="9">
        <f ca="1">'2.XDTD_S.Tr.T'!I74</f>
        <v>0</v>
      </c>
      <c r="H42" s="10">
        <f ca="1">'2.XDTD_S.Tr.T'!J74</f>
        <v>0</v>
      </c>
      <c r="I42" s="9">
        <f ca="1">'2.XDTD_S.Tr.T'!K74</f>
        <v>0</v>
      </c>
      <c r="J42" s="13">
        <f>'2.XDTD_S.Tr.T'!L74</f>
        <v>0</v>
      </c>
      <c r="K42" s="13">
        <f>'2.XDTD_S.Tr.T'!M74</f>
        <v>0</v>
      </c>
      <c r="L42" s="9">
        <f ca="1">'2.XDTD_S.Tr.T'!N74</f>
        <v>0</v>
      </c>
      <c r="M42" s="14">
        <f>'2.XDTD_S.Tr.T'!O74</f>
        <v>0</v>
      </c>
      <c r="N42" s="14">
        <f>'2.XDTD_S.Tr.T'!P74</f>
        <v>0</v>
      </c>
      <c r="O42" s="9">
        <f>'2.XDTD_S.Tr.T'!P74</f>
        <v>0</v>
      </c>
      <c r="P42" s="15">
        <f ca="1">'2.XDTD_S.Tr.T'!R74</f>
        <v>0</v>
      </c>
      <c r="Q42" s="16">
        <f ca="1">'2.XDTD_S.Tr.T'!S74</f>
        <v>0</v>
      </c>
      <c r="R42" s="16">
        <f ca="1">'2.XDTD_S.Tr.T'!T74</f>
        <v>0</v>
      </c>
      <c r="S42" s="16">
        <f ca="1">'2.XDTD_S.Tr.T'!U74</f>
        <v>0</v>
      </c>
      <c r="T42" s="16">
        <f ca="1">'2.XDTD_S.Tr.T'!V74</f>
        <v>0</v>
      </c>
      <c r="U42" s="16">
        <f ca="1">'2.XDTD_S.Tr.T'!W74</f>
        <v>0</v>
      </c>
      <c r="V42" s="16">
        <f ca="1">'2.XDTD_S.Tr.T'!X74</f>
        <v>0</v>
      </c>
      <c r="W42" s="16">
        <f ca="1">'2.XDTD_S.Tr.T'!Y74</f>
        <v>0</v>
      </c>
      <c r="X42" s="16">
        <f ca="1">'2.XDTD_S.Tr.T'!Z74</f>
        <v>0</v>
      </c>
      <c r="Y42" s="16">
        <f ca="1">'2.XDTD_S.Tr.T'!AA74</f>
        <v>0</v>
      </c>
      <c r="Z42" s="16">
        <f ca="1">'2.XDTD_S.Tr.T'!AB74</f>
        <v>0</v>
      </c>
      <c r="AA42" s="16">
        <f ca="1">'2.XDTD_S.Tr.T'!AC74</f>
        <v>0</v>
      </c>
      <c r="AB42" s="16">
        <f ca="1">'2.XDTD_S.Tr.T'!AD74</f>
        <v>0</v>
      </c>
      <c r="AC42" s="16">
        <f ca="1">'2.XDTD_S.Tr.T'!AE74</f>
        <v>0</v>
      </c>
      <c r="AD42" s="16">
        <f ca="1">'2.XDTD_S.Tr.T'!AF74</f>
        <v>0</v>
      </c>
      <c r="AE42" s="16">
        <f ca="1">'2.XDTD_S.Tr.T'!AG74</f>
        <v>0</v>
      </c>
      <c r="AF42" s="16">
        <f ca="1">'2.XDTD_S.Tr.T'!AH74</f>
        <v>0</v>
      </c>
      <c r="AG42" s="16">
        <f ca="1">'2.XDTD_S.Tr.T'!AI74</f>
        <v>0</v>
      </c>
      <c r="AH42" s="16">
        <f ca="1">'2.XDTD_S.Tr.T'!AJ74</f>
        <v>0</v>
      </c>
      <c r="AI42" s="16">
        <f ca="1">'2.XDTD_S.Tr.T'!AK74</f>
        <v>0</v>
      </c>
      <c r="AJ42" s="16">
        <f ca="1">'2.XDTD_S.Tr.T'!AL74</f>
        <v>0</v>
      </c>
      <c r="AK42" s="16">
        <f ca="1">'2.XDTD_S.Tr.T'!AM74</f>
        <v>0</v>
      </c>
      <c r="AL42" s="16">
        <f ca="1">'2.XDTD_S.Tr.T'!AN74</f>
        <v>0</v>
      </c>
      <c r="AM42" s="16">
        <f ca="1">'2.XDTD_S.Tr.T'!AO74</f>
        <v>0</v>
      </c>
      <c r="AN42" s="16">
        <f ca="1">'2.XDTD_S.Tr.T'!AP74</f>
        <v>0</v>
      </c>
      <c r="AO42" s="16">
        <f ca="1">'2.XDTD_S.Tr.T'!AP74</f>
        <v>0</v>
      </c>
      <c r="AP42" s="16">
        <f ca="1">'2.XDTD_S.Tr.T'!AR74</f>
        <v>0</v>
      </c>
      <c r="AQ42" s="16">
        <f ca="1">'2.XDTD_S.Tr.T'!AS74</f>
        <v>0</v>
      </c>
      <c r="AR42" s="16">
        <f ca="1">'2.XDTD_S.Tr.T'!AT74</f>
        <v>0</v>
      </c>
      <c r="AS42" s="16">
        <f ca="1">'2.XDTD_S.Tr.T'!AU74</f>
        <v>0</v>
      </c>
      <c r="AT42" s="16">
        <f ca="1">'2.XDTD_S.Tr.T'!AV74</f>
        <v>0</v>
      </c>
      <c r="AU42" s="16">
        <f ca="1">'2.XDTD_S.Tr.T'!AW74</f>
        <v>0</v>
      </c>
      <c r="AV42" s="16">
        <f ca="1">'2.XDTD_S.Tr.T'!AX74</f>
        <v>0</v>
      </c>
      <c r="AW42" s="16">
        <f ca="1">'2.XDTD_S.Tr.T'!AY74</f>
        <v>0</v>
      </c>
      <c r="AX42" s="16">
        <f ca="1">'2.XDTD_S.Tr.T'!AZ74</f>
        <v>0</v>
      </c>
      <c r="AY42" s="16">
        <f ca="1">'2.XDTD_S.Tr.T'!BA74</f>
        <v>0</v>
      </c>
      <c r="AZ42" s="16">
        <f ca="1">'2.XDTD_S.Tr.T'!BB74</f>
        <v>0</v>
      </c>
      <c r="BA42" s="16">
        <f ca="1">'2.XDTD_S.Tr.T'!BC74</f>
        <v>0</v>
      </c>
      <c r="BB42" s="16">
        <f ca="1">'2.XDTD_S.Tr.T'!BD74</f>
        <v>0</v>
      </c>
      <c r="BC42" s="16">
        <f ca="1">'2.XDTD_S.Tr.T'!BE74</f>
        <v>0</v>
      </c>
      <c r="BD42" s="16">
        <f ca="1">'2.XDTD_S.Tr.T'!BF74</f>
        <v>0</v>
      </c>
      <c r="BE42" s="16">
        <f ca="1">'2.XDTD_S.Tr.T'!BG74</f>
        <v>0</v>
      </c>
      <c r="BF42" s="16">
        <f ca="1">'2.XDTD_S.Tr.T'!BH74</f>
        <v>0</v>
      </c>
      <c r="BG42" s="16">
        <f ca="1">'2.XDTD_S.Tr.T'!BI74</f>
        <v>0</v>
      </c>
      <c r="BH42" s="16">
        <f ca="1">'2.XDTD_S.Tr.T'!BJ74</f>
        <v>0</v>
      </c>
      <c r="BI42" s="16">
        <f ca="1">'2.XDTD_S.Tr.T'!BK74</f>
        <v>0</v>
      </c>
      <c r="BJ42" s="16">
        <f ca="1">'2.XDTD_S.Tr.T'!BL74</f>
        <v>0</v>
      </c>
      <c r="BK42" s="16">
        <f ca="1">'2.XDTD_S.Tr.T'!BM74</f>
        <v>0</v>
      </c>
      <c r="BL42" s="16">
        <f ca="1">'2.XDTD_S.Tr.T'!BN74</f>
        <v>0</v>
      </c>
      <c r="BM42" s="16">
        <f ca="1">'2.XDTD_S.Tr.T'!BO74</f>
        <v>0</v>
      </c>
      <c r="BN42" s="16">
        <f ca="1">'2.XDTD_S.Tr.T'!BP74</f>
        <v>0</v>
      </c>
      <c r="BO42" s="16">
        <f ca="1">'2.XDTD_S.Tr.T'!BP74</f>
        <v>0</v>
      </c>
      <c r="BP42" s="16">
        <f ca="1">'2.XDTD_S.Tr.T'!BR74</f>
        <v>0</v>
      </c>
      <c r="BQ42" s="16">
        <f ca="1">'2.XDTD_S.Tr.T'!BS74</f>
        <v>0</v>
      </c>
      <c r="BR42" s="16">
        <f ca="1">'2.XDTD_S.Tr.T'!BT74</f>
        <v>0</v>
      </c>
      <c r="BS42" s="16">
        <f ca="1">'2.XDTD_S.Tr.T'!BU74</f>
        <v>0</v>
      </c>
      <c r="BT42" s="16">
        <f ca="1">'2.XDTD_S.Tr.T'!BV74</f>
        <v>0</v>
      </c>
      <c r="BU42" s="16">
        <f ca="1">'2.XDTD_S.Tr.T'!BW74</f>
        <v>0</v>
      </c>
      <c r="BV42" s="16">
        <f ca="1">'2.XDTD_S.Tr.T'!BX74</f>
        <v>0</v>
      </c>
      <c r="BW42" s="16">
        <f ca="1">'2.XDTD_S.Tr.T'!BY74</f>
        <v>0</v>
      </c>
      <c r="BX42" s="16">
        <f ca="1">'2.XDTD_S.Tr.T'!BZ74</f>
        <v>0</v>
      </c>
      <c r="BY42" s="16">
        <f ca="1">'2.XDTD_S.Tr.T'!CA74</f>
        <v>0</v>
      </c>
      <c r="BZ42" s="16">
        <f ca="1">'2.XDTD_S.Tr.T'!CB74</f>
        <v>0</v>
      </c>
      <c r="CA42" s="16">
        <f ca="1">'2.XDTD_S.Tr.T'!CC74</f>
        <v>0</v>
      </c>
      <c r="CB42" s="16">
        <f ca="1">'2.XDTD_S.Tr.T'!CD74</f>
        <v>0</v>
      </c>
      <c r="CC42" s="16">
        <f ca="1">'2.XDTD_S.Tr.T'!CE74</f>
        <v>0</v>
      </c>
      <c r="CD42" s="16">
        <f ca="1">'2.XDTD_S.Tr.T'!CF74</f>
        <v>0</v>
      </c>
      <c r="CE42" s="16">
        <f ca="1">'2.XDTD_S.Tr.T'!CG74</f>
        <v>0</v>
      </c>
      <c r="CF42" s="16">
        <f ca="1">'2.XDTD_S.Tr.T'!CH74</f>
        <v>0</v>
      </c>
      <c r="CG42" s="16">
        <f ca="1">'2.XDTD_S.Tr.T'!CI74</f>
        <v>0</v>
      </c>
      <c r="CH42" s="16">
        <f ca="1">'2.XDTD_S.Tr.T'!CJ74</f>
        <v>0</v>
      </c>
      <c r="CI42" s="16">
        <f ca="1">'2.XDTD_S.Tr.T'!CK74</f>
        <v>0</v>
      </c>
      <c r="CJ42" s="16">
        <f ca="1">'2.XDTD_S.Tr.T'!CL74</f>
        <v>0</v>
      </c>
      <c r="CK42" s="16">
        <f ca="1">'2.XDTD_S.Tr.T'!CM74</f>
        <v>0</v>
      </c>
      <c r="CL42" s="16">
        <f ca="1">'2.XDTD_S.Tr.T'!CN74</f>
        <v>0</v>
      </c>
      <c r="CM42" s="16">
        <f ca="1">'2.XDTD_S.Tr.T'!CO74</f>
        <v>0</v>
      </c>
      <c r="CN42" s="16">
        <f ca="1">'2.XDTD_S.Tr.T'!CP74</f>
        <v>0</v>
      </c>
      <c r="CO42" s="16">
        <f ca="1">'2.XDTD_S.Tr.T'!CP74</f>
        <v>0</v>
      </c>
    </row>
    <row r="43" spans="3:93" ht="19.95" hidden="1" customHeight="1">
      <c r="C43" s="5"/>
      <c r="D43" s="11">
        <f>'2.XDTD_S.Tr.T'!F75</f>
        <v>0</v>
      </c>
      <c r="E43" s="7">
        <f>'2.XDTD_S.Tr.T'!G75</f>
        <v>0</v>
      </c>
      <c r="F43" s="8">
        <f>'2.XDTD_S.Tr.T'!H75</f>
        <v>0</v>
      </c>
      <c r="G43" s="9">
        <f ca="1">'2.XDTD_S.Tr.T'!I75</f>
        <v>0</v>
      </c>
      <c r="H43" s="10">
        <f ca="1">'2.XDTD_S.Tr.T'!J75</f>
        <v>0</v>
      </c>
      <c r="I43" s="9">
        <f ca="1">'2.XDTD_S.Tr.T'!K75</f>
        <v>0</v>
      </c>
      <c r="J43" s="13">
        <f>'2.XDTD_S.Tr.T'!L75</f>
        <v>0</v>
      </c>
      <c r="K43" s="13">
        <f>'2.XDTD_S.Tr.T'!M75</f>
        <v>0</v>
      </c>
      <c r="L43" s="9">
        <f ca="1">'2.XDTD_S.Tr.T'!N75</f>
        <v>0</v>
      </c>
      <c r="M43" s="14">
        <f>'2.XDTD_S.Tr.T'!O75</f>
        <v>0</v>
      </c>
      <c r="N43" s="14">
        <f>'2.XDTD_S.Tr.T'!P75</f>
        <v>0</v>
      </c>
      <c r="O43" s="9">
        <f>'2.XDTD_S.Tr.T'!P75</f>
        <v>0</v>
      </c>
      <c r="P43" s="15">
        <f ca="1">'2.XDTD_S.Tr.T'!R75</f>
        <v>0</v>
      </c>
      <c r="Q43" s="16">
        <f ca="1">'2.XDTD_S.Tr.T'!S75</f>
        <v>0</v>
      </c>
      <c r="R43" s="16">
        <f ca="1">'2.XDTD_S.Tr.T'!T75</f>
        <v>0</v>
      </c>
      <c r="S43" s="16">
        <f ca="1">'2.XDTD_S.Tr.T'!U75</f>
        <v>0</v>
      </c>
      <c r="T43" s="16">
        <f ca="1">'2.XDTD_S.Tr.T'!V75</f>
        <v>0</v>
      </c>
      <c r="U43" s="16">
        <f ca="1">'2.XDTD_S.Tr.T'!W75</f>
        <v>0</v>
      </c>
      <c r="V43" s="16">
        <f ca="1">'2.XDTD_S.Tr.T'!X75</f>
        <v>0</v>
      </c>
      <c r="W43" s="16">
        <f ca="1">'2.XDTD_S.Tr.T'!Y75</f>
        <v>0</v>
      </c>
      <c r="X43" s="16">
        <f ca="1">'2.XDTD_S.Tr.T'!Z75</f>
        <v>0</v>
      </c>
      <c r="Y43" s="16">
        <f ca="1">'2.XDTD_S.Tr.T'!AA75</f>
        <v>0</v>
      </c>
      <c r="Z43" s="16">
        <f ca="1">'2.XDTD_S.Tr.T'!AB75</f>
        <v>0</v>
      </c>
      <c r="AA43" s="16">
        <f ca="1">'2.XDTD_S.Tr.T'!AC75</f>
        <v>0</v>
      </c>
      <c r="AB43" s="16">
        <f ca="1">'2.XDTD_S.Tr.T'!AD75</f>
        <v>0</v>
      </c>
      <c r="AC43" s="16">
        <f ca="1">'2.XDTD_S.Tr.T'!AE75</f>
        <v>0</v>
      </c>
      <c r="AD43" s="16">
        <f ca="1">'2.XDTD_S.Tr.T'!AF75</f>
        <v>0</v>
      </c>
      <c r="AE43" s="16">
        <f ca="1">'2.XDTD_S.Tr.T'!AG75</f>
        <v>0</v>
      </c>
      <c r="AF43" s="16">
        <f ca="1">'2.XDTD_S.Tr.T'!AH75</f>
        <v>0</v>
      </c>
      <c r="AG43" s="16">
        <f ca="1">'2.XDTD_S.Tr.T'!AI75</f>
        <v>0</v>
      </c>
      <c r="AH43" s="16">
        <f ca="1">'2.XDTD_S.Tr.T'!AJ75</f>
        <v>0</v>
      </c>
      <c r="AI43" s="16">
        <f ca="1">'2.XDTD_S.Tr.T'!AK75</f>
        <v>0</v>
      </c>
      <c r="AJ43" s="16">
        <f ca="1">'2.XDTD_S.Tr.T'!AL75</f>
        <v>0</v>
      </c>
      <c r="AK43" s="16">
        <f ca="1">'2.XDTD_S.Tr.T'!AM75</f>
        <v>0</v>
      </c>
      <c r="AL43" s="16">
        <f ca="1">'2.XDTD_S.Tr.T'!AN75</f>
        <v>0</v>
      </c>
      <c r="AM43" s="16">
        <f ca="1">'2.XDTD_S.Tr.T'!AO75</f>
        <v>0</v>
      </c>
      <c r="AN43" s="16">
        <f ca="1">'2.XDTD_S.Tr.T'!AP75</f>
        <v>0</v>
      </c>
      <c r="AO43" s="16">
        <f ca="1">'2.XDTD_S.Tr.T'!AP75</f>
        <v>0</v>
      </c>
      <c r="AP43" s="16">
        <f ca="1">'2.XDTD_S.Tr.T'!AR75</f>
        <v>0</v>
      </c>
      <c r="AQ43" s="16">
        <f ca="1">'2.XDTD_S.Tr.T'!AS75</f>
        <v>0</v>
      </c>
      <c r="AR43" s="16">
        <f ca="1">'2.XDTD_S.Tr.T'!AT75</f>
        <v>0</v>
      </c>
      <c r="AS43" s="16">
        <f ca="1">'2.XDTD_S.Tr.T'!AU75</f>
        <v>0</v>
      </c>
      <c r="AT43" s="16">
        <f ca="1">'2.XDTD_S.Tr.T'!AV75</f>
        <v>0</v>
      </c>
      <c r="AU43" s="16">
        <f ca="1">'2.XDTD_S.Tr.T'!AW75</f>
        <v>0</v>
      </c>
      <c r="AV43" s="16">
        <f ca="1">'2.XDTD_S.Tr.T'!AX75</f>
        <v>0</v>
      </c>
      <c r="AW43" s="16">
        <f ca="1">'2.XDTD_S.Tr.T'!AY75</f>
        <v>0</v>
      </c>
      <c r="AX43" s="16">
        <f ca="1">'2.XDTD_S.Tr.T'!AZ75</f>
        <v>0</v>
      </c>
      <c r="AY43" s="16">
        <f ca="1">'2.XDTD_S.Tr.T'!BA75</f>
        <v>0</v>
      </c>
      <c r="AZ43" s="16">
        <f ca="1">'2.XDTD_S.Tr.T'!BB75</f>
        <v>0</v>
      </c>
      <c r="BA43" s="16">
        <f ca="1">'2.XDTD_S.Tr.T'!BC75</f>
        <v>0</v>
      </c>
      <c r="BB43" s="16">
        <f ca="1">'2.XDTD_S.Tr.T'!BD75</f>
        <v>0</v>
      </c>
      <c r="BC43" s="16">
        <f ca="1">'2.XDTD_S.Tr.T'!BE75</f>
        <v>0</v>
      </c>
      <c r="BD43" s="16">
        <f ca="1">'2.XDTD_S.Tr.T'!BF75</f>
        <v>0</v>
      </c>
      <c r="BE43" s="16">
        <f ca="1">'2.XDTD_S.Tr.T'!BG75</f>
        <v>0</v>
      </c>
      <c r="BF43" s="16">
        <f ca="1">'2.XDTD_S.Tr.T'!BH75</f>
        <v>0</v>
      </c>
      <c r="BG43" s="16">
        <f ca="1">'2.XDTD_S.Tr.T'!BI75</f>
        <v>0</v>
      </c>
      <c r="BH43" s="16">
        <f ca="1">'2.XDTD_S.Tr.T'!BJ75</f>
        <v>0</v>
      </c>
      <c r="BI43" s="16">
        <f ca="1">'2.XDTD_S.Tr.T'!BK75</f>
        <v>0</v>
      </c>
      <c r="BJ43" s="16">
        <f ca="1">'2.XDTD_S.Tr.T'!BL75</f>
        <v>0</v>
      </c>
      <c r="BK43" s="16">
        <f ca="1">'2.XDTD_S.Tr.T'!BM75</f>
        <v>0</v>
      </c>
      <c r="BL43" s="16">
        <f ca="1">'2.XDTD_S.Tr.T'!BN75</f>
        <v>0</v>
      </c>
      <c r="BM43" s="16">
        <f ca="1">'2.XDTD_S.Tr.T'!BO75</f>
        <v>0</v>
      </c>
      <c r="BN43" s="16">
        <f ca="1">'2.XDTD_S.Tr.T'!BP75</f>
        <v>0</v>
      </c>
      <c r="BO43" s="16">
        <f ca="1">'2.XDTD_S.Tr.T'!BP75</f>
        <v>0</v>
      </c>
      <c r="BP43" s="16">
        <f ca="1">'2.XDTD_S.Tr.T'!BR75</f>
        <v>0</v>
      </c>
      <c r="BQ43" s="16">
        <f ca="1">'2.XDTD_S.Tr.T'!BS75</f>
        <v>0</v>
      </c>
      <c r="BR43" s="16">
        <f ca="1">'2.XDTD_S.Tr.T'!BT75</f>
        <v>0</v>
      </c>
      <c r="BS43" s="16">
        <f ca="1">'2.XDTD_S.Tr.T'!BU75</f>
        <v>0</v>
      </c>
      <c r="BT43" s="16">
        <f ca="1">'2.XDTD_S.Tr.T'!BV75</f>
        <v>0</v>
      </c>
      <c r="BU43" s="16">
        <f ca="1">'2.XDTD_S.Tr.T'!BW75</f>
        <v>0</v>
      </c>
      <c r="BV43" s="16">
        <f ca="1">'2.XDTD_S.Tr.T'!BX75</f>
        <v>0</v>
      </c>
      <c r="BW43" s="16">
        <f ca="1">'2.XDTD_S.Tr.T'!BY75</f>
        <v>0</v>
      </c>
      <c r="BX43" s="16">
        <f ca="1">'2.XDTD_S.Tr.T'!BZ75</f>
        <v>0</v>
      </c>
      <c r="BY43" s="16">
        <f ca="1">'2.XDTD_S.Tr.T'!CA75</f>
        <v>0</v>
      </c>
      <c r="BZ43" s="16">
        <f ca="1">'2.XDTD_S.Tr.T'!CB75</f>
        <v>0</v>
      </c>
      <c r="CA43" s="16">
        <f ca="1">'2.XDTD_S.Tr.T'!CC75</f>
        <v>0</v>
      </c>
      <c r="CB43" s="16">
        <f ca="1">'2.XDTD_S.Tr.T'!CD75</f>
        <v>0</v>
      </c>
      <c r="CC43" s="16">
        <f ca="1">'2.XDTD_S.Tr.T'!CE75</f>
        <v>0</v>
      </c>
      <c r="CD43" s="16">
        <f ca="1">'2.XDTD_S.Tr.T'!CF75</f>
        <v>0</v>
      </c>
      <c r="CE43" s="16">
        <f ca="1">'2.XDTD_S.Tr.T'!CG75</f>
        <v>0</v>
      </c>
      <c r="CF43" s="16">
        <f ca="1">'2.XDTD_S.Tr.T'!CH75</f>
        <v>0</v>
      </c>
      <c r="CG43" s="16">
        <f ca="1">'2.XDTD_S.Tr.T'!CI75</f>
        <v>0</v>
      </c>
      <c r="CH43" s="16">
        <f ca="1">'2.XDTD_S.Tr.T'!CJ75</f>
        <v>0</v>
      </c>
      <c r="CI43" s="16">
        <f ca="1">'2.XDTD_S.Tr.T'!CK75</f>
        <v>0</v>
      </c>
      <c r="CJ43" s="16">
        <f ca="1">'2.XDTD_S.Tr.T'!CL75</f>
        <v>0</v>
      </c>
      <c r="CK43" s="16">
        <f ca="1">'2.XDTD_S.Tr.T'!CM75</f>
        <v>0</v>
      </c>
      <c r="CL43" s="16">
        <f ca="1">'2.XDTD_S.Tr.T'!CN75</f>
        <v>0</v>
      </c>
      <c r="CM43" s="16">
        <f ca="1">'2.XDTD_S.Tr.T'!CO75</f>
        <v>0</v>
      </c>
      <c r="CN43" s="16">
        <f ca="1">'2.XDTD_S.Tr.T'!CP75</f>
        <v>0</v>
      </c>
      <c r="CO43" s="16">
        <f ca="1">'2.XDTD_S.Tr.T'!CP75</f>
        <v>0</v>
      </c>
    </row>
    <row r="44" spans="3:93" ht="19.95" hidden="1" customHeight="1">
      <c r="C44" s="5"/>
      <c r="D44" s="11">
        <f>'2.XDTD_S.Tr.T'!F76</f>
        <v>0</v>
      </c>
      <c r="E44" s="7">
        <f>'2.XDTD_S.Tr.T'!G76</f>
        <v>0</v>
      </c>
      <c r="F44" s="8">
        <f>'2.XDTD_S.Tr.T'!H76</f>
        <v>0</v>
      </c>
      <c r="G44" s="9">
        <f ca="1">'2.XDTD_S.Tr.T'!I76</f>
        <v>0</v>
      </c>
      <c r="H44" s="10">
        <f ca="1">'2.XDTD_S.Tr.T'!J76</f>
        <v>0</v>
      </c>
      <c r="I44" s="9">
        <f ca="1">'2.XDTD_S.Tr.T'!K76</f>
        <v>0</v>
      </c>
      <c r="J44" s="13">
        <f>'2.XDTD_S.Tr.T'!L76</f>
        <v>0</v>
      </c>
      <c r="K44" s="13">
        <f>'2.XDTD_S.Tr.T'!M76</f>
        <v>0</v>
      </c>
      <c r="L44" s="9">
        <f ca="1">'2.XDTD_S.Tr.T'!N76</f>
        <v>0</v>
      </c>
      <c r="M44" s="14">
        <f>'2.XDTD_S.Tr.T'!O76</f>
        <v>0</v>
      </c>
      <c r="N44" s="14">
        <f>'2.XDTD_S.Tr.T'!P76</f>
        <v>0</v>
      </c>
      <c r="O44" s="9">
        <f>'2.XDTD_S.Tr.T'!P76</f>
        <v>0</v>
      </c>
      <c r="P44" s="15">
        <f ca="1">'2.XDTD_S.Tr.T'!R76</f>
        <v>0</v>
      </c>
      <c r="Q44" s="16">
        <f ca="1">'2.XDTD_S.Tr.T'!S76</f>
        <v>0</v>
      </c>
      <c r="R44" s="16">
        <f ca="1">'2.XDTD_S.Tr.T'!T76</f>
        <v>0</v>
      </c>
      <c r="S44" s="16">
        <f ca="1">'2.XDTD_S.Tr.T'!U76</f>
        <v>0</v>
      </c>
      <c r="T44" s="16">
        <f ca="1">'2.XDTD_S.Tr.T'!V76</f>
        <v>0</v>
      </c>
      <c r="U44" s="16">
        <f ca="1">'2.XDTD_S.Tr.T'!W76</f>
        <v>0</v>
      </c>
      <c r="V44" s="16">
        <f ca="1">'2.XDTD_S.Tr.T'!X76</f>
        <v>0</v>
      </c>
      <c r="W44" s="16">
        <f ca="1">'2.XDTD_S.Tr.T'!Y76</f>
        <v>0</v>
      </c>
      <c r="X44" s="16">
        <f ca="1">'2.XDTD_S.Tr.T'!Z76</f>
        <v>0</v>
      </c>
      <c r="Y44" s="16">
        <f ca="1">'2.XDTD_S.Tr.T'!AA76</f>
        <v>0</v>
      </c>
      <c r="Z44" s="16">
        <f ca="1">'2.XDTD_S.Tr.T'!AB76</f>
        <v>0</v>
      </c>
      <c r="AA44" s="16">
        <f ca="1">'2.XDTD_S.Tr.T'!AC76</f>
        <v>0</v>
      </c>
      <c r="AB44" s="16">
        <f ca="1">'2.XDTD_S.Tr.T'!AD76</f>
        <v>0</v>
      </c>
      <c r="AC44" s="16">
        <f ca="1">'2.XDTD_S.Tr.T'!AE76</f>
        <v>0</v>
      </c>
      <c r="AD44" s="16">
        <f ca="1">'2.XDTD_S.Tr.T'!AF76</f>
        <v>0</v>
      </c>
      <c r="AE44" s="16">
        <f ca="1">'2.XDTD_S.Tr.T'!AG76</f>
        <v>0</v>
      </c>
      <c r="AF44" s="16">
        <f ca="1">'2.XDTD_S.Tr.T'!AH76</f>
        <v>0</v>
      </c>
      <c r="AG44" s="16">
        <f ca="1">'2.XDTD_S.Tr.T'!AI76</f>
        <v>0</v>
      </c>
      <c r="AH44" s="16">
        <f ca="1">'2.XDTD_S.Tr.T'!AJ76</f>
        <v>0</v>
      </c>
      <c r="AI44" s="16">
        <f ca="1">'2.XDTD_S.Tr.T'!AK76</f>
        <v>0</v>
      </c>
      <c r="AJ44" s="16">
        <f ca="1">'2.XDTD_S.Tr.T'!AL76</f>
        <v>0</v>
      </c>
      <c r="AK44" s="16">
        <f ca="1">'2.XDTD_S.Tr.T'!AM76</f>
        <v>0</v>
      </c>
      <c r="AL44" s="16">
        <f ca="1">'2.XDTD_S.Tr.T'!AN76</f>
        <v>0</v>
      </c>
      <c r="AM44" s="16">
        <f ca="1">'2.XDTD_S.Tr.T'!AO76</f>
        <v>0</v>
      </c>
      <c r="AN44" s="16">
        <f ca="1">'2.XDTD_S.Tr.T'!AP76</f>
        <v>0</v>
      </c>
      <c r="AO44" s="16">
        <f ca="1">'2.XDTD_S.Tr.T'!AP76</f>
        <v>0</v>
      </c>
      <c r="AP44" s="16">
        <f ca="1">'2.XDTD_S.Tr.T'!AR76</f>
        <v>0</v>
      </c>
      <c r="AQ44" s="16">
        <f ca="1">'2.XDTD_S.Tr.T'!AS76</f>
        <v>0</v>
      </c>
      <c r="AR44" s="16">
        <f ca="1">'2.XDTD_S.Tr.T'!AT76</f>
        <v>0</v>
      </c>
      <c r="AS44" s="16">
        <f ca="1">'2.XDTD_S.Tr.T'!AU76</f>
        <v>0</v>
      </c>
      <c r="AT44" s="16">
        <f ca="1">'2.XDTD_S.Tr.T'!AV76</f>
        <v>0</v>
      </c>
      <c r="AU44" s="16">
        <f ca="1">'2.XDTD_S.Tr.T'!AW76</f>
        <v>0</v>
      </c>
      <c r="AV44" s="16">
        <f ca="1">'2.XDTD_S.Tr.T'!AX76</f>
        <v>0</v>
      </c>
      <c r="AW44" s="16">
        <f ca="1">'2.XDTD_S.Tr.T'!AY76</f>
        <v>0</v>
      </c>
      <c r="AX44" s="16">
        <f ca="1">'2.XDTD_S.Tr.T'!AZ76</f>
        <v>0</v>
      </c>
      <c r="AY44" s="16">
        <f ca="1">'2.XDTD_S.Tr.T'!BA76</f>
        <v>0</v>
      </c>
      <c r="AZ44" s="16">
        <f ca="1">'2.XDTD_S.Tr.T'!BB76</f>
        <v>0</v>
      </c>
      <c r="BA44" s="16">
        <f ca="1">'2.XDTD_S.Tr.T'!BC76</f>
        <v>0</v>
      </c>
      <c r="BB44" s="16">
        <f ca="1">'2.XDTD_S.Tr.T'!BD76</f>
        <v>0</v>
      </c>
      <c r="BC44" s="16">
        <f ca="1">'2.XDTD_S.Tr.T'!BE76</f>
        <v>0</v>
      </c>
      <c r="BD44" s="16">
        <f ca="1">'2.XDTD_S.Tr.T'!BF76</f>
        <v>0</v>
      </c>
      <c r="BE44" s="16">
        <f ca="1">'2.XDTD_S.Tr.T'!BG76</f>
        <v>0</v>
      </c>
      <c r="BF44" s="16">
        <f ca="1">'2.XDTD_S.Tr.T'!BH76</f>
        <v>0</v>
      </c>
      <c r="BG44" s="16">
        <f ca="1">'2.XDTD_S.Tr.T'!BI76</f>
        <v>0</v>
      </c>
      <c r="BH44" s="16">
        <f ca="1">'2.XDTD_S.Tr.T'!BJ76</f>
        <v>0</v>
      </c>
      <c r="BI44" s="16">
        <f ca="1">'2.XDTD_S.Tr.T'!BK76</f>
        <v>0</v>
      </c>
      <c r="BJ44" s="16">
        <f ca="1">'2.XDTD_S.Tr.T'!BL76</f>
        <v>0</v>
      </c>
      <c r="BK44" s="16">
        <f ca="1">'2.XDTD_S.Tr.T'!BM76</f>
        <v>0</v>
      </c>
      <c r="BL44" s="16">
        <f ca="1">'2.XDTD_S.Tr.T'!BN76</f>
        <v>0</v>
      </c>
      <c r="BM44" s="16">
        <f ca="1">'2.XDTD_S.Tr.T'!BO76</f>
        <v>0</v>
      </c>
      <c r="BN44" s="16">
        <f ca="1">'2.XDTD_S.Tr.T'!BP76</f>
        <v>0</v>
      </c>
      <c r="BO44" s="16">
        <f ca="1">'2.XDTD_S.Tr.T'!BP76</f>
        <v>0</v>
      </c>
      <c r="BP44" s="16">
        <f ca="1">'2.XDTD_S.Tr.T'!BR76</f>
        <v>0</v>
      </c>
      <c r="BQ44" s="16">
        <f ca="1">'2.XDTD_S.Tr.T'!BS76</f>
        <v>0</v>
      </c>
      <c r="BR44" s="16">
        <f ca="1">'2.XDTD_S.Tr.T'!BT76</f>
        <v>0</v>
      </c>
      <c r="BS44" s="16">
        <f ca="1">'2.XDTD_S.Tr.T'!BU76</f>
        <v>0</v>
      </c>
      <c r="BT44" s="16">
        <f ca="1">'2.XDTD_S.Tr.T'!BV76</f>
        <v>0</v>
      </c>
      <c r="BU44" s="16">
        <f ca="1">'2.XDTD_S.Tr.T'!BW76</f>
        <v>0</v>
      </c>
      <c r="BV44" s="16">
        <f ca="1">'2.XDTD_S.Tr.T'!BX76</f>
        <v>0</v>
      </c>
      <c r="BW44" s="16">
        <f ca="1">'2.XDTD_S.Tr.T'!BY76</f>
        <v>0</v>
      </c>
      <c r="BX44" s="16">
        <f ca="1">'2.XDTD_S.Tr.T'!BZ76</f>
        <v>0</v>
      </c>
      <c r="BY44" s="16">
        <f ca="1">'2.XDTD_S.Tr.T'!CA76</f>
        <v>0</v>
      </c>
      <c r="BZ44" s="16">
        <f ca="1">'2.XDTD_S.Tr.T'!CB76</f>
        <v>0</v>
      </c>
      <c r="CA44" s="16">
        <f ca="1">'2.XDTD_S.Tr.T'!CC76</f>
        <v>0</v>
      </c>
      <c r="CB44" s="16">
        <f ca="1">'2.XDTD_S.Tr.T'!CD76</f>
        <v>0</v>
      </c>
      <c r="CC44" s="16">
        <f ca="1">'2.XDTD_S.Tr.T'!CE76</f>
        <v>0</v>
      </c>
      <c r="CD44" s="16">
        <f ca="1">'2.XDTD_S.Tr.T'!CF76</f>
        <v>0</v>
      </c>
      <c r="CE44" s="16">
        <f ca="1">'2.XDTD_S.Tr.T'!CG76</f>
        <v>0</v>
      </c>
      <c r="CF44" s="16">
        <f ca="1">'2.XDTD_S.Tr.T'!CH76</f>
        <v>0</v>
      </c>
      <c r="CG44" s="16">
        <f ca="1">'2.XDTD_S.Tr.T'!CI76</f>
        <v>0</v>
      </c>
      <c r="CH44" s="16">
        <f ca="1">'2.XDTD_S.Tr.T'!CJ76</f>
        <v>0</v>
      </c>
      <c r="CI44" s="16">
        <f ca="1">'2.XDTD_S.Tr.T'!CK76</f>
        <v>0</v>
      </c>
      <c r="CJ44" s="16">
        <f ca="1">'2.XDTD_S.Tr.T'!CL76</f>
        <v>0</v>
      </c>
      <c r="CK44" s="16">
        <f ca="1">'2.XDTD_S.Tr.T'!CM76</f>
        <v>0</v>
      </c>
      <c r="CL44" s="16">
        <f ca="1">'2.XDTD_S.Tr.T'!CN76</f>
        <v>0</v>
      </c>
      <c r="CM44" s="16">
        <f ca="1">'2.XDTD_S.Tr.T'!CO76</f>
        <v>0</v>
      </c>
      <c r="CN44" s="16">
        <f ca="1">'2.XDTD_S.Tr.T'!CP76</f>
        <v>0</v>
      </c>
      <c r="CO44" s="16">
        <f ca="1">'2.XDTD_S.Tr.T'!CP76</f>
        <v>0</v>
      </c>
    </row>
    <row r="45" spans="3:93" ht="19.95" hidden="1" customHeight="1">
      <c r="C45" s="5"/>
      <c r="D45" s="11">
        <f>'2.XDTD_S.Tr.T'!F77</f>
        <v>0</v>
      </c>
      <c r="E45" s="7">
        <f>'2.XDTD_S.Tr.T'!G77</f>
        <v>0</v>
      </c>
      <c r="F45" s="8">
        <f>'2.XDTD_S.Tr.T'!H77</f>
        <v>0</v>
      </c>
      <c r="G45" s="9">
        <f ca="1">'2.XDTD_S.Tr.T'!I77</f>
        <v>0</v>
      </c>
      <c r="H45" s="10">
        <f ca="1">'2.XDTD_S.Tr.T'!J77</f>
        <v>0</v>
      </c>
      <c r="I45" s="9">
        <f ca="1">'2.XDTD_S.Tr.T'!K77</f>
        <v>0</v>
      </c>
      <c r="J45" s="13">
        <f>'2.XDTD_S.Tr.T'!L77</f>
        <v>0</v>
      </c>
      <c r="K45" s="13">
        <f>'2.XDTD_S.Tr.T'!M77</f>
        <v>0</v>
      </c>
      <c r="L45" s="9">
        <f ca="1">'2.XDTD_S.Tr.T'!N77</f>
        <v>0</v>
      </c>
      <c r="M45" s="14">
        <f>'2.XDTD_S.Tr.T'!O77</f>
        <v>0</v>
      </c>
      <c r="N45" s="14">
        <f>'2.XDTD_S.Tr.T'!P77</f>
        <v>0</v>
      </c>
      <c r="O45" s="9">
        <f>'2.XDTD_S.Tr.T'!P77</f>
        <v>0</v>
      </c>
      <c r="P45" s="15">
        <f ca="1">'2.XDTD_S.Tr.T'!R77</f>
        <v>0</v>
      </c>
      <c r="Q45" s="16">
        <f ca="1">'2.XDTD_S.Tr.T'!S77</f>
        <v>0</v>
      </c>
      <c r="R45" s="16">
        <f ca="1">'2.XDTD_S.Tr.T'!T77</f>
        <v>0</v>
      </c>
      <c r="S45" s="16">
        <f ca="1">'2.XDTD_S.Tr.T'!U77</f>
        <v>0</v>
      </c>
      <c r="T45" s="16">
        <f ca="1">'2.XDTD_S.Tr.T'!V77</f>
        <v>0</v>
      </c>
      <c r="U45" s="16">
        <f ca="1">'2.XDTD_S.Tr.T'!W77</f>
        <v>0</v>
      </c>
      <c r="V45" s="16">
        <f ca="1">'2.XDTD_S.Tr.T'!X77</f>
        <v>0</v>
      </c>
      <c r="W45" s="16">
        <f ca="1">'2.XDTD_S.Tr.T'!Y77</f>
        <v>0</v>
      </c>
      <c r="X45" s="16">
        <f ca="1">'2.XDTD_S.Tr.T'!Z77</f>
        <v>0</v>
      </c>
      <c r="Y45" s="16">
        <f ca="1">'2.XDTD_S.Tr.T'!AA77</f>
        <v>0</v>
      </c>
      <c r="Z45" s="16">
        <f ca="1">'2.XDTD_S.Tr.T'!AB77</f>
        <v>0</v>
      </c>
      <c r="AA45" s="16">
        <f ca="1">'2.XDTD_S.Tr.T'!AC77</f>
        <v>0</v>
      </c>
      <c r="AB45" s="16">
        <f ca="1">'2.XDTD_S.Tr.T'!AD77</f>
        <v>0</v>
      </c>
      <c r="AC45" s="16">
        <f ca="1">'2.XDTD_S.Tr.T'!AE77</f>
        <v>0</v>
      </c>
      <c r="AD45" s="16">
        <f ca="1">'2.XDTD_S.Tr.T'!AF77</f>
        <v>0</v>
      </c>
      <c r="AE45" s="16">
        <f ca="1">'2.XDTD_S.Tr.T'!AG77</f>
        <v>0</v>
      </c>
      <c r="AF45" s="16">
        <f ca="1">'2.XDTD_S.Tr.T'!AH77</f>
        <v>0</v>
      </c>
      <c r="AG45" s="16">
        <f ca="1">'2.XDTD_S.Tr.T'!AI77</f>
        <v>0</v>
      </c>
      <c r="AH45" s="16">
        <f ca="1">'2.XDTD_S.Tr.T'!AJ77</f>
        <v>0</v>
      </c>
      <c r="AI45" s="16">
        <f ca="1">'2.XDTD_S.Tr.T'!AK77</f>
        <v>0</v>
      </c>
      <c r="AJ45" s="16">
        <f ca="1">'2.XDTD_S.Tr.T'!AL77</f>
        <v>0</v>
      </c>
      <c r="AK45" s="16">
        <f ca="1">'2.XDTD_S.Tr.T'!AM77</f>
        <v>0</v>
      </c>
      <c r="AL45" s="16">
        <f ca="1">'2.XDTD_S.Tr.T'!AN77</f>
        <v>0</v>
      </c>
      <c r="AM45" s="16">
        <f ca="1">'2.XDTD_S.Tr.T'!AO77</f>
        <v>0</v>
      </c>
      <c r="AN45" s="16">
        <f ca="1">'2.XDTD_S.Tr.T'!AP77</f>
        <v>0</v>
      </c>
      <c r="AO45" s="16">
        <f ca="1">'2.XDTD_S.Tr.T'!AP77</f>
        <v>0</v>
      </c>
      <c r="AP45" s="16">
        <f ca="1">'2.XDTD_S.Tr.T'!AR77</f>
        <v>0</v>
      </c>
      <c r="AQ45" s="16">
        <f ca="1">'2.XDTD_S.Tr.T'!AS77</f>
        <v>0</v>
      </c>
      <c r="AR45" s="16">
        <f ca="1">'2.XDTD_S.Tr.T'!AT77</f>
        <v>0</v>
      </c>
      <c r="AS45" s="16">
        <f ca="1">'2.XDTD_S.Tr.T'!AU77</f>
        <v>0</v>
      </c>
      <c r="AT45" s="16">
        <f ca="1">'2.XDTD_S.Tr.T'!AV77</f>
        <v>0</v>
      </c>
      <c r="AU45" s="16">
        <f ca="1">'2.XDTD_S.Tr.T'!AW77</f>
        <v>0</v>
      </c>
      <c r="AV45" s="16">
        <f ca="1">'2.XDTD_S.Tr.T'!AX77</f>
        <v>0</v>
      </c>
      <c r="AW45" s="16">
        <f ca="1">'2.XDTD_S.Tr.T'!AY77</f>
        <v>0</v>
      </c>
      <c r="AX45" s="16">
        <f ca="1">'2.XDTD_S.Tr.T'!AZ77</f>
        <v>0</v>
      </c>
      <c r="AY45" s="16">
        <f ca="1">'2.XDTD_S.Tr.T'!BA77</f>
        <v>0</v>
      </c>
      <c r="AZ45" s="16">
        <f ca="1">'2.XDTD_S.Tr.T'!BB77</f>
        <v>0</v>
      </c>
      <c r="BA45" s="16">
        <f ca="1">'2.XDTD_S.Tr.T'!BC77</f>
        <v>0</v>
      </c>
      <c r="BB45" s="16">
        <f ca="1">'2.XDTD_S.Tr.T'!BD77</f>
        <v>0</v>
      </c>
      <c r="BC45" s="16">
        <f ca="1">'2.XDTD_S.Tr.T'!BE77</f>
        <v>0</v>
      </c>
      <c r="BD45" s="16">
        <f ca="1">'2.XDTD_S.Tr.T'!BF77</f>
        <v>0</v>
      </c>
      <c r="BE45" s="16">
        <f ca="1">'2.XDTD_S.Tr.T'!BG77</f>
        <v>0</v>
      </c>
      <c r="BF45" s="16">
        <f ca="1">'2.XDTD_S.Tr.T'!BH77</f>
        <v>0</v>
      </c>
      <c r="BG45" s="16">
        <f ca="1">'2.XDTD_S.Tr.T'!BI77</f>
        <v>0</v>
      </c>
      <c r="BH45" s="16">
        <f ca="1">'2.XDTD_S.Tr.T'!BJ77</f>
        <v>0</v>
      </c>
      <c r="BI45" s="16">
        <f ca="1">'2.XDTD_S.Tr.T'!BK77</f>
        <v>0</v>
      </c>
      <c r="BJ45" s="16">
        <f ca="1">'2.XDTD_S.Tr.T'!BL77</f>
        <v>0</v>
      </c>
      <c r="BK45" s="16">
        <f ca="1">'2.XDTD_S.Tr.T'!BM77</f>
        <v>0</v>
      </c>
      <c r="BL45" s="16">
        <f ca="1">'2.XDTD_S.Tr.T'!BN77</f>
        <v>0</v>
      </c>
      <c r="BM45" s="16">
        <f ca="1">'2.XDTD_S.Tr.T'!BO77</f>
        <v>0</v>
      </c>
      <c r="BN45" s="16">
        <f ca="1">'2.XDTD_S.Tr.T'!BP77</f>
        <v>0</v>
      </c>
      <c r="BO45" s="16">
        <f ca="1">'2.XDTD_S.Tr.T'!BP77</f>
        <v>0</v>
      </c>
      <c r="BP45" s="16">
        <f ca="1">'2.XDTD_S.Tr.T'!BR77</f>
        <v>0</v>
      </c>
      <c r="BQ45" s="16">
        <f ca="1">'2.XDTD_S.Tr.T'!BS77</f>
        <v>0</v>
      </c>
      <c r="BR45" s="16">
        <f ca="1">'2.XDTD_S.Tr.T'!BT77</f>
        <v>0</v>
      </c>
      <c r="BS45" s="16">
        <f ca="1">'2.XDTD_S.Tr.T'!BU77</f>
        <v>0</v>
      </c>
      <c r="BT45" s="16">
        <f ca="1">'2.XDTD_S.Tr.T'!BV77</f>
        <v>0</v>
      </c>
      <c r="BU45" s="16">
        <f ca="1">'2.XDTD_S.Tr.T'!BW77</f>
        <v>0</v>
      </c>
      <c r="BV45" s="16">
        <f ca="1">'2.XDTD_S.Tr.T'!BX77</f>
        <v>0</v>
      </c>
      <c r="BW45" s="16">
        <f ca="1">'2.XDTD_S.Tr.T'!BY77</f>
        <v>0</v>
      </c>
      <c r="BX45" s="16">
        <f ca="1">'2.XDTD_S.Tr.T'!BZ77</f>
        <v>0</v>
      </c>
      <c r="BY45" s="16">
        <f ca="1">'2.XDTD_S.Tr.T'!CA77</f>
        <v>0</v>
      </c>
      <c r="BZ45" s="16">
        <f ca="1">'2.XDTD_S.Tr.T'!CB77</f>
        <v>0</v>
      </c>
      <c r="CA45" s="16">
        <f ca="1">'2.XDTD_S.Tr.T'!CC77</f>
        <v>0</v>
      </c>
      <c r="CB45" s="16">
        <f ca="1">'2.XDTD_S.Tr.T'!CD77</f>
        <v>0</v>
      </c>
      <c r="CC45" s="16">
        <f ca="1">'2.XDTD_S.Tr.T'!CE77</f>
        <v>0</v>
      </c>
      <c r="CD45" s="16">
        <f ca="1">'2.XDTD_S.Tr.T'!CF77</f>
        <v>0</v>
      </c>
      <c r="CE45" s="16">
        <f ca="1">'2.XDTD_S.Tr.T'!CG77</f>
        <v>0</v>
      </c>
      <c r="CF45" s="16">
        <f ca="1">'2.XDTD_S.Tr.T'!CH77</f>
        <v>0</v>
      </c>
      <c r="CG45" s="16">
        <f ca="1">'2.XDTD_S.Tr.T'!CI77</f>
        <v>0</v>
      </c>
      <c r="CH45" s="16">
        <f ca="1">'2.XDTD_S.Tr.T'!CJ77</f>
        <v>0</v>
      </c>
      <c r="CI45" s="16">
        <f ca="1">'2.XDTD_S.Tr.T'!CK77</f>
        <v>0</v>
      </c>
      <c r="CJ45" s="16">
        <f ca="1">'2.XDTD_S.Tr.T'!CL77</f>
        <v>0</v>
      </c>
      <c r="CK45" s="16">
        <f ca="1">'2.XDTD_S.Tr.T'!CM77</f>
        <v>0</v>
      </c>
      <c r="CL45" s="16">
        <f ca="1">'2.XDTD_S.Tr.T'!CN77</f>
        <v>0</v>
      </c>
      <c r="CM45" s="16">
        <f ca="1">'2.XDTD_S.Tr.T'!CO77</f>
        <v>0</v>
      </c>
      <c r="CN45" s="16">
        <f ca="1">'2.XDTD_S.Tr.T'!CP77</f>
        <v>0</v>
      </c>
      <c r="CO45" s="16">
        <f ca="1">'2.XDTD_S.Tr.T'!CP77</f>
        <v>0</v>
      </c>
    </row>
    <row r="46" spans="3:93" ht="19.95" hidden="1" customHeight="1">
      <c r="C46" s="5"/>
      <c r="D46" s="11">
        <f>'2.XDTD_S.Tr.T'!F78</f>
        <v>0</v>
      </c>
      <c r="E46" s="7">
        <f>'2.XDTD_S.Tr.T'!G78</f>
        <v>0</v>
      </c>
      <c r="F46" s="8">
        <f>'2.XDTD_S.Tr.T'!H78</f>
        <v>0</v>
      </c>
      <c r="G46" s="9">
        <f ca="1">'2.XDTD_S.Tr.T'!I78</f>
        <v>0</v>
      </c>
      <c r="H46" s="10">
        <f ca="1">'2.XDTD_S.Tr.T'!J78</f>
        <v>0</v>
      </c>
      <c r="I46" s="9">
        <f ca="1">'2.XDTD_S.Tr.T'!K78</f>
        <v>0</v>
      </c>
      <c r="J46" s="13">
        <f>'2.XDTD_S.Tr.T'!L78</f>
        <v>0</v>
      </c>
      <c r="K46" s="13">
        <f>'2.XDTD_S.Tr.T'!M78</f>
        <v>0</v>
      </c>
      <c r="L46" s="9">
        <f ca="1">'2.XDTD_S.Tr.T'!N78</f>
        <v>0</v>
      </c>
      <c r="M46" s="14">
        <f>'2.XDTD_S.Tr.T'!O78</f>
        <v>0</v>
      </c>
      <c r="N46" s="14">
        <f>'2.XDTD_S.Tr.T'!P78</f>
        <v>0</v>
      </c>
      <c r="O46" s="9">
        <f>'2.XDTD_S.Tr.T'!P78</f>
        <v>0</v>
      </c>
      <c r="P46" s="15">
        <f ca="1">'2.XDTD_S.Tr.T'!R78</f>
        <v>0</v>
      </c>
      <c r="Q46" s="16">
        <f ca="1">'2.XDTD_S.Tr.T'!S78</f>
        <v>0</v>
      </c>
      <c r="R46" s="16">
        <f ca="1">'2.XDTD_S.Tr.T'!T78</f>
        <v>0</v>
      </c>
      <c r="S46" s="16">
        <f ca="1">'2.XDTD_S.Tr.T'!U78</f>
        <v>0</v>
      </c>
      <c r="T46" s="16">
        <f ca="1">'2.XDTD_S.Tr.T'!V78</f>
        <v>0</v>
      </c>
      <c r="U46" s="16">
        <f ca="1">'2.XDTD_S.Tr.T'!W78</f>
        <v>0</v>
      </c>
      <c r="V46" s="16">
        <f ca="1">'2.XDTD_S.Tr.T'!X78</f>
        <v>0</v>
      </c>
      <c r="W46" s="16">
        <f ca="1">'2.XDTD_S.Tr.T'!Y78</f>
        <v>0</v>
      </c>
      <c r="X46" s="16">
        <f ca="1">'2.XDTD_S.Tr.T'!Z78</f>
        <v>0</v>
      </c>
      <c r="Y46" s="16">
        <f ca="1">'2.XDTD_S.Tr.T'!AA78</f>
        <v>0</v>
      </c>
      <c r="Z46" s="16">
        <f ca="1">'2.XDTD_S.Tr.T'!AB78</f>
        <v>0</v>
      </c>
      <c r="AA46" s="16">
        <f ca="1">'2.XDTD_S.Tr.T'!AC78</f>
        <v>0</v>
      </c>
      <c r="AB46" s="16">
        <f ca="1">'2.XDTD_S.Tr.T'!AD78</f>
        <v>0</v>
      </c>
      <c r="AC46" s="16">
        <f ca="1">'2.XDTD_S.Tr.T'!AE78</f>
        <v>0</v>
      </c>
      <c r="AD46" s="16">
        <f ca="1">'2.XDTD_S.Tr.T'!AF78</f>
        <v>0</v>
      </c>
      <c r="AE46" s="16">
        <f ca="1">'2.XDTD_S.Tr.T'!AG78</f>
        <v>0</v>
      </c>
      <c r="AF46" s="16">
        <f ca="1">'2.XDTD_S.Tr.T'!AH78</f>
        <v>0</v>
      </c>
      <c r="AG46" s="16">
        <f ca="1">'2.XDTD_S.Tr.T'!AI78</f>
        <v>0</v>
      </c>
      <c r="AH46" s="16">
        <f ca="1">'2.XDTD_S.Tr.T'!AJ78</f>
        <v>0</v>
      </c>
      <c r="AI46" s="16">
        <f ca="1">'2.XDTD_S.Tr.T'!AK78</f>
        <v>0</v>
      </c>
      <c r="AJ46" s="16">
        <f ca="1">'2.XDTD_S.Tr.T'!AL78</f>
        <v>0</v>
      </c>
      <c r="AK46" s="16">
        <f ca="1">'2.XDTD_S.Tr.T'!AM78</f>
        <v>0</v>
      </c>
      <c r="AL46" s="16">
        <f ca="1">'2.XDTD_S.Tr.T'!AN78</f>
        <v>0</v>
      </c>
      <c r="AM46" s="16">
        <f ca="1">'2.XDTD_S.Tr.T'!AO78</f>
        <v>0</v>
      </c>
      <c r="AN46" s="16">
        <f ca="1">'2.XDTD_S.Tr.T'!AP78</f>
        <v>0</v>
      </c>
      <c r="AO46" s="16">
        <f ca="1">'2.XDTD_S.Tr.T'!AP78</f>
        <v>0</v>
      </c>
      <c r="AP46" s="16">
        <f ca="1">'2.XDTD_S.Tr.T'!AR78</f>
        <v>0</v>
      </c>
      <c r="AQ46" s="16">
        <f ca="1">'2.XDTD_S.Tr.T'!AS78</f>
        <v>0</v>
      </c>
      <c r="AR46" s="16">
        <f ca="1">'2.XDTD_S.Tr.T'!AT78</f>
        <v>0</v>
      </c>
      <c r="AS46" s="16">
        <f ca="1">'2.XDTD_S.Tr.T'!AU78</f>
        <v>0</v>
      </c>
      <c r="AT46" s="16">
        <f ca="1">'2.XDTD_S.Tr.T'!AV78</f>
        <v>0</v>
      </c>
      <c r="AU46" s="16">
        <f ca="1">'2.XDTD_S.Tr.T'!AW78</f>
        <v>0</v>
      </c>
      <c r="AV46" s="16">
        <f ca="1">'2.XDTD_S.Tr.T'!AX78</f>
        <v>0</v>
      </c>
      <c r="AW46" s="16">
        <f ca="1">'2.XDTD_S.Tr.T'!AY78</f>
        <v>0</v>
      </c>
      <c r="AX46" s="16">
        <f ca="1">'2.XDTD_S.Tr.T'!AZ78</f>
        <v>0</v>
      </c>
      <c r="AY46" s="16">
        <f ca="1">'2.XDTD_S.Tr.T'!BA78</f>
        <v>0</v>
      </c>
      <c r="AZ46" s="16">
        <f ca="1">'2.XDTD_S.Tr.T'!BB78</f>
        <v>0</v>
      </c>
      <c r="BA46" s="16">
        <f ca="1">'2.XDTD_S.Tr.T'!BC78</f>
        <v>0</v>
      </c>
      <c r="BB46" s="16">
        <f ca="1">'2.XDTD_S.Tr.T'!BD78</f>
        <v>0</v>
      </c>
      <c r="BC46" s="16">
        <f ca="1">'2.XDTD_S.Tr.T'!BE78</f>
        <v>0</v>
      </c>
      <c r="BD46" s="16">
        <f ca="1">'2.XDTD_S.Tr.T'!BF78</f>
        <v>0</v>
      </c>
      <c r="BE46" s="16">
        <f ca="1">'2.XDTD_S.Tr.T'!BG78</f>
        <v>0</v>
      </c>
      <c r="BF46" s="16">
        <f ca="1">'2.XDTD_S.Tr.T'!BH78</f>
        <v>0</v>
      </c>
      <c r="BG46" s="16">
        <f ca="1">'2.XDTD_S.Tr.T'!BI78</f>
        <v>0</v>
      </c>
      <c r="BH46" s="16">
        <f ca="1">'2.XDTD_S.Tr.T'!BJ78</f>
        <v>0</v>
      </c>
      <c r="BI46" s="16">
        <f ca="1">'2.XDTD_S.Tr.T'!BK78</f>
        <v>0</v>
      </c>
      <c r="BJ46" s="16">
        <f ca="1">'2.XDTD_S.Tr.T'!BL78</f>
        <v>0</v>
      </c>
      <c r="BK46" s="16">
        <f ca="1">'2.XDTD_S.Tr.T'!BM78</f>
        <v>0</v>
      </c>
      <c r="BL46" s="16">
        <f ca="1">'2.XDTD_S.Tr.T'!BN78</f>
        <v>0</v>
      </c>
      <c r="BM46" s="16">
        <f ca="1">'2.XDTD_S.Tr.T'!BO78</f>
        <v>0</v>
      </c>
      <c r="BN46" s="16">
        <f ca="1">'2.XDTD_S.Tr.T'!BP78</f>
        <v>0</v>
      </c>
      <c r="BO46" s="16">
        <f ca="1">'2.XDTD_S.Tr.T'!BP78</f>
        <v>0</v>
      </c>
      <c r="BP46" s="16">
        <f ca="1">'2.XDTD_S.Tr.T'!BR78</f>
        <v>0</v>
      </c>
      <c r="BQ46" s="16">
        <f ca="1">'2.XDTD_S.Tr.T'!BS78</f>
        <v>0</v>
      </c>
      <c r="BR46" s="16">
        <f ca="1">'2.XDTD_S.Tr.T'!BT78</f>
        <v>0</v>
      </c>
      <c r="BS46" s="16">
        <f ca="1">'2.XDTD_S.Tr.T'!BU78</f>
        <v>0</v>
      </c>
      <c r="BT46" s="16">
        <f ca="1">'2.XDTD_S.Tr.T'!BV78</f>
        <v>0</v>
      </c>
      <c r="BU46" s="16">
        <f ca="1">'2.XDTD_S.Tr.T'!BW78</f>
        <v>0</v>
      </c>
      <c r="BV46" s="16">
        <f ca="1">'2.XDTD_S.Tr.T'!BX78</f>
        <v>0</v>
      </c>
      <c r="BW46" s="16">
        <f ca="1">'2.XDTD_S.Tr.T'!BY78</f>
        <v>0</v>
      </c>
      <c r="BX46" s="16">
        <f ca="1">'2.XDTD_S.Tr.T'!BZ78</f>
        <v>0</v>
      </c>
      <c r="BY46" s="16">
        <f ca="1">'2.XDTD_S.Tr.T'!CA78</f>
        <v>0</v>
      </c>
      <c r="BZ46" s="16">
        <f ca="1">'2.XDTD_S.Tr.T'!CB78</f>
        <v>0</v>
      </c>
      <c r="CA46" s="16">
        <f ca="1">'2.XDTD_S.Tr.T'!CC78</f>
        <v>0</v>
      </c>
      <c r="CB46" s="16">
        <f ca="1">'2.XDTD_S.Tr.T'!CD78</f>
        <v>0</v>
      </c>
      <c r="CC46" s="16">
        <f ca="1">'2.XDTD_S.Tr.T'!CE78</f>
        <v>0</v>
      </c>
      <c r="CD46" s="16">
        <f ca="1">'2.XDTD_S.Tr.T'!CF78</f>
        <v>0</v>
      </c>
      <c r="CE46" s="16">
        <f ca="1">'2.XDTD_S.Tr.T'!CG78</f>
        <v>0</v>
      </c>
      <c r="CF46" s="16">
        <f ca="1">'2.XDTD_S.Tr.T'!CH78</f>
        <v>0</v>
      </c>
      <c r="CG46" s="16">
        <f ca="1">'2.XDTD_S.Tr.T'!CI78</f>
        <v>0</v>
      </c>
      <c r="CH46" s="16">
        <f ca="1">'2.XDTD_S.Tr.T'!CJ78</f>
        <v>0</v>
      </c>
      <c r="CI46" s="16">
        <f ca="1">'2.XDTD_S.Tr.T'!CK78</f>
        <v>0</v>
      </c>
      <c r="CJ46" s="16">
        <f ca="1">'2.XDTD_S.Tr.T'!CL78</f>
        <v>0</v>
      </c>
      <c r="CK46" s="16">
        <f ca="1">'2.XDTD_S.Tr.T'!CM78</f>
        <v>0</v>
      </c>
      <c r="CL46" s="16">
        <f ca="1">'2.XDTD_S.Tr.T'!CN78</f>
        <v>0</v>
      </c>
      <c r="CM46" s="16">
        <f ca="1">'2.XDTD_S.Tr.T'!CO78</f>
        <v>0</v>
      </c>
      <c r="CN46" s="16">
        <f ca="1">'2.XDTD_S.Tr.T'!CP78</f>
        <v>0</v>
      </c>
      <c r="CO46" s="16">
        <f ca="1">'2.XDTD_S.Tr.T'!CP78</f>
        <v>0</v>
      </c>
    </row>
    <row r="47" spans="3:93" ht="19.95" hidden="1" customHeight="1">
      <c r="C47" s="5"/>
      <c r="D47" s="11">
        <f>'2.XDTD_S.Tr.T'!F79</f>
        <v>0</v>
      </c>
      <c r="E47" s="7">
        <f>'2.XDTD_S.Tr.T'!G79</f>
        <v>0</v>
      </c>
      <c r="F47" s="8">
        <f>'2.XDTD_S.Tr.T'!H79</f>
        <v>0</v>
      </c>
      <c r="G47" s="9">
        <f ca="1">'2.XDTD_S.Tr.T'!I79</f>
        <v>0</v>
      </c>
      <c r="H47" s="10">
        <f ca="1">'2.XDTD_S.Tr.T'!J79</f>
        <v>0</v>
      </c>
      <c r="I47" s="9">
        <f ca="1">'2.XDTD_S.Tr.T'!K79</f>
        <v>0</v>
      </c>
      <c r="J47" s="13">
        <f>'2.XDTD_S.Tr.T'!L79</f>
        <v>0</v>
      </c>
      <c r="K47" s="13">
        <f>'2.XDTD_S.Tr.T'!M79</f>
        <v>0</v>
      </c>
      <c r="L47" s="9">
        <f ca="1">'2.XDTD_S.Tr.T'!N79</f>
        <v>0</v>
      </c>
      <c r="M47" s="14">
        <f>'2.XDTD_S.Tr.T'!O79</f>
        <v>0</v>
      </c>
      <c r="N47" s="14">
        <f>'2.XDTD_S.Tr.T'!P79</f>
        <v>0</v>
      </c>
      <c r="O47" s="9">
        <f>'2.XDTD_S.Tr.T'!P79</f>
        <v>0</v>
      </c>
      <c r="P47" s="15">
        <f ca="1">'2.XDTD_S.Tr.T'!R79</f>
        <v>0</v>
      </c>
      <c r="Q47" s="16">
        <f ca="1">'2.XDTD_S.Tr.T'!S79</f>
        <v>0</v>
      </c>
      <c r="R47" s="16">
        <f ca="1">'2.XDTD_S.Tr.T'!T79</f>
        <v>0</v>
      </c>
      <c r="S47" s="16">
        <f ca="1">'2.XDTD_S.Tr.T'!U79</f>
        <v>0</v>
      </c>
      <c r="T47" s="16">
        <f ca="1">'2.XDTD_S.Tr.T'!V79</f>
        <v>0</v>
      </c>
      <c r="U47" s="16">
        <f ca="1">'2.XDTD_S.Tr.T'!W79</f>
        <v>0</v>
      </c>
      <c r="V47" s="16">
        <f ca="1">'2.XDTD_S.Tr.T'!X79</f>
        <v>0</v>
      </c>
      <c r="W47" s="16">
        <f ca="1">'2.XDTD_S.Tr.T'!Y79</f>
        <v>0</v>
      </c>
      <c r="X47" s="16">
        <f ca="1">'2.XDTD_S.Tr.T'!Z79</f>
        <v>0</v>
      </c>
      <c r="Y47" s="16">
        <f ca="1">'2.XDTD_S.Tr.T'!AA79</f>
        <v>0</v>
      </c>
      <c r="Z47" s="16">
        <f ca="1">'2.XDTD_S.Tr.T'!AB79</f>
        <v>0</v>
      </c>
      <c r="AA47" s="16">
        <f ca="1">'2.XDTD_S.Tr.T'!AC79</f>
        <v>0</v>
      </c>
      <c r="AB47" s="16">
        <f ca="1">'2.XDTD_S.Tr.T'!AD79</f>
        <v>0</v>
      </c>
      <c r="AC47" s="16">
        <f ca="1">'2.XDTD_S.Tr.T'!AE79</f>
        <v>0</v>
      </c>
      <c r="AD47" s="16">
        <f ca="1">'2.XDTD_S.Tr.T'!AF79</f>
        <v>0</v>
      </c>
      <c r="AE47" s="16">
        <f ca="1">'2.XDTD_S.Tr.T'!AG79</f>
        <v>0</v>
      </c>
      <c r="AF47" s="16">
        <f ca="1">'2.XDTD_S.Tr.T'!AH79</f>
        <v>0</v>
      </c>
      <c r="AG47" s="16">
        <f ca="1">'2.XDTD_S.Tr.T'!AI79</f>
        <v>0</v>
      </c>
      <c r="AH47" s="16">
        <f ca="1">'2.XDTD_S.Tr.T'!AJ79</f>
        <v>0</v>
      </c>
      <c r="AI47" s="16">
        <f ca="1">'2.XDTD_S.Tr.T'!AK79</f>
        <v>0</v>
      </c>
      <c r="AJ47" s="16">
        <f ca="1">'2.XDTD_S.Tr.T'!AL79</f>
        <v>0</v>
      </c>
      <c r="AK47" s="16">
        <f ca="1">'2.XDTD_S.Tr.T'!AM79</f>
        <v>0</v>
      </c>
      <c r="AL47" s="16">
        <f ca="1">'2.XDTD_S.Tr.T'!AN79</f>
        <v>0</v>
      </c>
      <c r="AM47" s="16">
        <f ca="1">'2.XDTD_S.Tr.T'!AO79</f>
        <v>0</v>
      </c>
      <c r="AN47" s="16">
        <f ca="1">'2.XDTD_S.Tr.T'!AP79</f>
        <v>0</v>
      </c>
      <c r="AO47" s="16">
        <f ca="1">'2.XDTD_S.Tr.T'!AP79</f>
        <v>0</v>
      </c>
      <c r="AP47" s="16">
        <f ca="1">'2.XDTD_S.Tr.T'!AR79</f>
        <v>0</v>
      </c>
      <c r="AQ47" s="16">
        <f ca="1">'2.XDTD_S.Tr.T'!AS79</f>
        <v>0</v>
      </c>
      <c r="AR47" s="16">
        <f ca="1">'2.XDTD_S.Tr.T'!AT79</f>
        <v>0</v>
      </c>
      <c r="AS47" s="16">
        <f ca="1">'2.XDTD_S.Tr.T'!AU79</f>
        <v>0</v>
      </c>
      <c r="AT47" s="16">
        <f ca="1">'2.XDTD_S.Tr.T'!AV79</f>
        <v>0</v>
      </c>
      <c r="AU47" s="16">
        <f ca="1">'2.XDTD_S.Tr.T'!AW79</f>
        <v>0</v>
      </c>
      <c r="AV47" s="16">
        <f ca="1">'2.XDTD_S.Tr.T'!AX79</f>
        <v>0</v>
      </c>
      <c r="AW47" s="16">
        <f ca="1">'2.XDTD_S.Tr.T'!AY79</f>
        <v>0</v>
      </c>
      <c r="AX47" s="16">
        <f ca="1">'2.XDTD_S.Tr.T'!AZ79</f>
        <v>0</v>
      </c>
      <c r="AY47" s="16">
        <f ca="1">'2.XDTD_S.Tr.T'!BA79</f>
        <v>0</v>
      </c>
      <c r="AZ47" s="16">
        <f ca="1">'2.XDTD_S.Tr.T'!BB79</f>
        <v>0</v>
      </c>
      <c r="BA47" s="16">
        <f ca="1">'2.XDTD_S.Tr.T'!BC79</f>
        <v>0</v>
      </c>
      <c r="BB47" s="16">
        <f ca="1">'2.XDTD_S.Tr.T'!BD79</f>
        <v>0</v>
      </c>
      <c r="BC47" s="16">
        <f ca="1">'2.XDTD_S.Tr.T'!BE79</f>
        <v>0</v>
      </c>
      <c r="BD47" s="16">
        <f ca="1">'2.XDTD_S.Tr.T'!BF79</f>
        <v>0</v>
      </c>
      <c r="BE47" s="16">
        <f ca="1">'2.XDTD_S.Tr.T'!BG79</f>
        <v>0</v>
      </c>
      <c r="BF47" s="16">
        <f ca="1">'2.XDTD_S.Tr.T'!BH79</f>
        <v>0</v>
      </c>
      <c r="BG47" s="16">
        <f ca="1">'2.XDTD_S.Tr.T'!BI79</f>
        <v>0</v>
      </c>
      <c r="BH47" s="16">
        <f ca="1">'2.XDTD_S.Tr.T'!BJ79</f>
        <v>0</v>
      </c>
      <c r="BI47" s="16">
        <f ca="1">'2.XDTD_S.Tr.T'!BK79</f>
        <v>0</v>
      </c>
      <c r="BJ47" s="16">
        <f ca="1">'2.XDTD_S.Tr.T'!BL79</f>
        <v>0</v>
      </c>
      <c r="BK47" s="16">
        <f ca="1">'2.XDTD_S.Tr.T'!BM79</f>
        <v>0</v>
      </c>
      <c r="BL47" s="16">
        <f ca="1">'2.XDTD_S.Tr.T'!BN79</f>
        <v>0</v>
      </c>
      <c r="BM47" s="16">
        <f ca="1">'2.XDTD_S.Tr.T'!BO79</f>
        <v>0</v>
      </c>
      <c r="BN47" s="16">
        <f ca="1">'2.XDTD_S.Tr.T'!BP79</f>
        <v>0</v>
      </c>
      <c r="BO47" s="16">
        <f ca="1">'2.XDTD_S.Tr.T'!BP79</f>
        <v>0</v>
      </c>
      <c r="BP47" s="16">
        <f ca="1">'2.XDTD_S.Tr.T'!BR79</f>
        <v>0</v>
      </c>
      <c r="BQ47" s="16">
        <f ca="1">'2.XDTD_S.Tr.T'!BS79</f>
        <v>0</v>
      </c>
      <c r="BR47" s="16">
        <f ca="1">'2.XDTD_S.Tr.T'!BT79</f>
        <v>0</v>
      </c>
      <c r="BS47" s="16">
        <f ca="1">'2.XDTD_S.Tr.T'!BU79</f>
        <v>0</v>
      </c>
      <c r="BT47" s="16">
        <f ca="1">'2.XDTD_S.Tr.T'!BV79</f>
        <v>0</v>
      </c>
      <c r="BU47" s="16">
        <f ca="1">'2.XDTD_S.Tr.T'!BW79</f>
        <v>0</v>
      </c>
      <c r="BV47" s="16">
        <f ca="1">'2.XDTD_S.Tr.T'!BX79</f>
        <v>0</v>
      </c>
      <c r="BW47" s="16">
        <f ca="1">'2.XDTD_S.Tr.T'!BY79</f>
        <v>0</v>
      </c>
      <c r="BX47" s="16">
        <f ca="1">'2.XDTD_S.Tr.T'!BZ79</f>
        <v>0</v>
      </c>
      <c r="BY47" s="16">
        <f ca="1">'2.XDTD_S.Tr.T'!CA79</f>
        <v>0</v>
      </c>
      <c r="BZ47" s="16">
        <f ca="1">'2.XDTD_S.Tr.T'!CB79</f>
        <v>0</v>
      </c>
      <c r="CA47" s="16">
        <f ca="1">'2.XDTD_S.Tr.T'!CC79</f>
        <v>0</v>
      </c>
      <c r="CB47" s="16">
        <f ca="1">'2.XDTD_S.Tr.T'!CD79</f>
        <v>0</v>
      </c>
      <c r="CC47" s="16">
        <f ca="1">'2.XDTD_S.Tr.T'!CE79</f>
        <v>0</v>
      </c>
      <c r="CD47" s="16">
        <f ca="1">'2.XDTD_S.Tr.T'!CF79</f>
        <v>0</v>
      </c>
      <c r="CE47" s="16">
        <f ca="1">'2.XDTD_S.Tr.T'!CG79</f>
        <v>0</v>
      </c>
      <c r="CF47" s="16">
        <f ca="1">'2.XDTD_S.Tr.T'!CH79</f>
        <v>0</v>
      </c>
      <c r="CG47" s="16">
        <f ca="1">'2.XDTD_S.Tr.T'!CI79</f>
        <v>0</v>
      </c>
      <c r="CH47" s="16">
        <f ca="1">'2.XDTD_S.Tr.T'!CJ79</f>
        <v>0</v>
      </c>
      <c r="CI47" s="16">
        <f ca="1">'2.XDTD_S.Tr.T'!CK79</f>
        <v>0</v>
      </c>
      <c r="CJ47" s="16">
        <f ca="1">'2.XDTD_S.Tr.T'!CL79</f>
        <v>0</v>
      </c>
      <c r="CK47" s="16">
        <f ca="1">'2.XDTD_S.Tr.T'!CM79</f>
        <v>0</v>
      </c>
      <c r="CL47" s="16">
        <f ca="1">'2.XDTD_S.Tr.T'!CN79</f>
        <v>0</v>
      </c>
      <c r="CM47" s="16">
        <f ca="1">'2.XDTD_S.Tr.T'!CO79</f>
        <v>0</v>
      </c>
      <c r="CN47" s="16">
        <f ca="1">'2.XDTD_S.Tr.T'!CP79</f>
        <v>0</v>
      </c>
      <c r="CO47" s="16">
        <f ca="1">'2.XDTD_S.Tr.T'!CP79</f>
        <v>0</v>
      </c>
    </row>
    <row r="48" spans="3:93" ht="19.95" hidden="1" customHeight="1">
      <c r="C48" s="5"/>
      <c r="D48" s="11">
        <f>'2.XDTD_S.Tr.T'!F80</f>
        <v>0</v>
      </c>
      <c r="E48" s="7">
        <f>'2.XDTD_S.Tr.T'!G80</f>
        <v>0</v>
      </c>
      <c r="F48" s="8">
        <f>'2.XDTD_S.Tr.T'!H80</f>
        <v>0</v>
      </c>
      <c r="G48" s="9">
        <f ca="1">'2.XDTD_S.Tr.T'!I80</f>
        <v>0</v>
      </c>
      <c r="H48" s="10">
        <f ca="1">'2.XDTD_S.Tr.T'!J80</f>
        <v>0</v>
      </c>
      <c r="I48" s="9">
        <f ca="1">'2.XDTD_S.Tr.T'!K80</f>
        <v>0</v>
      </c>
      <c r="J48" s="13">
        <f>'2.XDTD_S.Tr.T'!L80</f>
        <v>0</v>
      </c>
      <c r="K48" s="13">
        <f>'2.XDTD_S.Tr.T'!M80</f>
        <v>0</v>
      </c>
      <c r="L48" s="9">
        <f ca="1">'2.XDTD_S.Tr.T'!N80</f>
        <v>0</v>
      </c>
      <c r="M48" s="14">
        <f>'2.XDTD_S.Tr.T'!O80</f>
        <v>0</v>
      </c>
      <c r="N48" s="14">
        <f>'2.XDTD_S.Tr.T'!P80</f>
        <v>0</v>
      </c>
      <c r="O48" s="9">
        <f>'2.XDTD_S.Tr.T'!P80</f>
        <v>0</v>
      </c>
      <c r="P48" s="15">
        <f ca="1">'2.XDTD_S.Tr.T'!R80</f>
        <v>0</v>
      </c>
      <c r="Q48" s="16">
        <f ca="1">'2.XDTD_S.Tr.T'!S80</f>
        <v>0</v>
      </c>
      <c r="R48" s="16">
        <f ca="1">'2.XDTD_S.Tr.T'!T80</f>
        <v>0</v>
      </c>
      <c r="S48" s="16">
        <f ca="1">'2.XDTD_S.Tr.T'!U80</f>
        <v>0</v>
      </c>
      <c r="T48" s="16">
        <f ca="1">'2.XDTD_S.Tr.T'!V80</f>
        <v>0</v>
      </c>
      <c r="U48" s="16">
        <f ca="1">'2.XDTD_S.Tr.T'!W80</f>
        <v>0</v>
      </c>
      <c r="V48" s="16">
        <f ca="1">'2.XDTD_S.Tr.T'!X80</f>
        <v>0</v>
      </c>
      <c r="W48" s="16">
        <f ca="1">'2.XDTD_S.Tr.T'!Y80</f>
        <v>0</v>
      </c>
      <c r="X48" s="16">
        <f ca="1">'2.XDTD_S.Tr.T'!Z80</f>
        <v>0</v>
      </c>
      <c r="Y48" s="16">
        <f ca="1">'2.XDTD_S.Tr.T'!AA80</f>
        <v>0</v>
      </c>
      <c r="Z48" s="16">
        <f ca="1">'2.XDTD_S.Tr.T'!AB80</f>
        <v>0</v>
      </c>
      <c r="AA48" s="16">
        <f ca="1">'2.XDTD_S.Tr.T'!AC80</f>
        <v>0</v>
      </c>
      <c r="AB48" s="16">
        <f ca="1">'2.XDTD_S.Tr.T'!AD80</f>
        <v>0</v>
      </c>
      <c r="AC48" s="16">
        <f ca="1">'2.XDTD_S.Tr.T'!AE80</f>
        <v>0</v>
      </c>
      <c r="AD48" s="16">
        <f ca="1">'2.XDTD_S.Tr.T'!AF80</f>
        <v>0</v>
      </c>
      <c r="AE48" s="16">
        <f ca="1">'2.XDTD_S.Tr.T'!AG80</f>
        <v>0</v>
      </c>
      <c r="AF48" s="16">
        <f ca="1">'2.XDTD_S.Tr.T'!AH80</f>
        <v>0</v>
      </c>
      <c r="AG48" s="16">
        <f ca="1">'2.XDTD_S.Tr.T'!AI80</f>
        <v>0</v>
      </c>
      <c r="AH48" s="16">
        <f ca="1">'2.XDTD_S.Tr.T'!AJ80</f>
        <v>0</v>
      </c>
      <c r="AI48" s="16">
        <f ca="1">'2.XDTD_S.Tr.T'!AK80</f>
        <v>0</v>
      </c>
      <c r="AJ48" s="16">
        <f ca="1">'2.XDTD_S.Tr.T'!AL80</f>
        <v>0</v>
      </c>
      <c r="AK48" s="16">
        <f ca="1">'2.XDTD_S.Tr.T'!AM80</f>
        <v>0</v>
      </c>
      <c r="AL48" s="16">
        <f ca="1">'2.XDTD_S.Tr.T'!AN80</f>
        <v>0</v>
      </c>
      <c r="AM48" s="16">
        <f ca="1">'2.XDTD_S.Tr.T'!AO80</f>
        <v>0</v>
      </c>
      <c r="AN48" s="16">
        <f ca="1">'2.XDTD_S.Tr.T'!AP80</f>
        <v>0</v>
      </c>
      <c r="AO48" s="16">
        <f ca="1">'2.XDTD_S.Tr.T'!AP80</f>
        <v>0</v>
      </c>
      <c r="AP48" s="16">
        <f ca="1">'2.XDTD_S.Tr.T'!AR80</f>
        <v>0</v>
      </c>
      <c r="AQ48" s="16">
        <f ca="1">'2.XDTD_S.Tr.T'!AS80</f>
        <v>0</v>
      </c>
      <c r="AR48" s="16">
        <f ca="1">'2.XDTD_S.Tr.T'!AT80</f>
        <v>0</v>
      </c>
      <c r="AS48" s="16">
        <f ca="1">'2.XDTD_S.Tr.T'!AU80</f>
        <v>0</v>
      </c>
      <c r="AT48" s="16">
        <f ca="1">'2.XDTD_S.Tr.T'!AV80</f>
        <v>0</v>
      </c>
      <c r="AU48" s="16">
        <f ca="1">'2.XDTD_S.Tr.T'!AW80</f>
        <v>0</v>
      </c>
      <c r="AV48" s="16">
        <f ca="1">'2.XDTD_S.Tr.T'!AX80</f>
        <v>0</v>
      </c>
      <c r="AW48" s="16">
        <f ca="1">'2.XDTD_S.Tr.T'!AY80</f>
        <v>0</v>
      </c>
      <c r="AX48" s="16">
        <f ca="1">'2.XDTD_S.Tr.T'!AZ80</f>
        <v>0</v>
      </c>
      <c r="AY48" s="16">
        <f ca="1">'2.XDTD_S.Tr.T'!BA80</f>
        <v>0</v>
      </c>
      <c r="AZ48" s="16">
        <f ca="1">'2.XDTD_S.Tr.T'!BB80</f>
        <v>0</v>
      </c>
      <c r="BA48" s="16">
        <f ca="1">'2.XDTD_S.Tr.T'!BC80</f>
        <v>0</v>
      </c>
      <c r="BB48" s="16">
        <f ca="1">'2.XDTD_S.Tr.T'!BD80</f>
        <v>0</v>
      </c>
      <c r="BC48" s="16">
        <f ca="1">'2.XDTD_S.Tr.T'!BE80</f>
        <v>0</v>
      </c>
      <c r="BD48" s="16">
        <f ca="1">'2.XDTD_S.Tr.T'!BF80</f>
        <v>0</v>
      </c>
      <c r="BE48" s="16">
        <f ca="1">'2.XDTD_S.Tr.T'!BG80</f>
        <v>0</v>
      </c>
      <c r="BF48" s="16">
        <f ca="1">'2.XDTD_S.Tr.T'!BH80</f>
        <v>0</v>
      </c>
      <c r="BG48" s="16">
        <f ca="1">'2.XDTD_S.Tr.T'!BI80</f>
        <v>0</v>
      </c>
      <c r="BH48" s="16">
        <f ca="1">'2.XDTD_S.Tr.T'!BJ80</f>
        <v>0</v>
      </c>
      <c r="BI48" s="16">
        <f ca="1">'2.XDTD_S.Tr.T'!BK80</f>
        <v>0</v>
      </c>
      <c r="BJ48" s="16">
        <f ca="1">'2.XDTD_S.Tr.T'!BL80</f>
        <v>0</v>
      </c>
      <c r="BK48" s="16">
        <f ca="1">'2.XDTD_S.Tr.T'!BM80</f>
        <v>0</v>
      </c>
      <c r="BL48" s="16">
        <f ca="1">'2.XDTD_S.Tr.T'!BN80</f>
        <v>0</v>
      </c>
      <c r="BM48" s="16">
        <f ca="1">'2.XDTD_S.Tr.T'!BO80</f>
        <v>0</v>
      </c>
      <c r="BN48" s="16">
        <f ca="1">'2.XDTD_S.Tr.T'!BP80</f>
        <v>0</v>
      </c>
      <c r="BO48" s="16">
        <f ca="1">'2.XDTD_S.Tr.T'!BP80</f>
        <v>0</v>
      </c>
      <c r="BP48" s="16">
        <f ca="1">'2.XDTD_S.Tr.T'!BR80</f>
        <v>0</v>
      </c>
      <c r="BQ48" s="16">
        <f ca="1">'2.XDTD_S.Tr.T'!BS80</f>
        <v>0</v>
      </c>
      <c r="BR48" s="16">
        <f ca="1">'2.XDTD_S.Tr.T'!BT80</f>
        <v>0</v>
      </c>
      <c r="BS48" s="16">
        <f ca="1">'2.XDTD_S.Tr.T'!BU80</f>
        <v>0</v>
      </c>
      <c r="BT48" s="16">
        <f ca="1">'2.XDTD_S.Tr.T'!BV80</f>
        <v>0</v>
      </c>
      <c r="BU48" s="16">
        <f ca="1">'2.XDTD_S.Tr.T'!BW80</f>
        <v>0</v>
      </c>
      <c r="BV48" s="16">
        <f ca="1">'2.XDTD_S.Tr.T'!BX80</f>
        <v>0</v>
      </c>
      <c r="BW48" s="16">
        <f ca="1">'2.XDTD_S.Tr.T'!BY80</f>
        <v>0</v>
      </c>
      <c r="BX48" s="16">
        <f ca="1">'2.XDTD_S.Tr.T'!BZ80</f>
        <v>0</v>
      </c>
      <c r="BY48" s="16">
        <f ca="1">'2.XDTD_S.Tr.T'!CA80</f>
        <v>0</v>
      </c>
      <c r="BZ48" s="16">
        <f ca="1">'2.XDTD_S.Tr.T'!CB80</f>
        <v>0</v>
      </c>
      <c r="CA48" s="16">
        <f ca="1">'2.XDTD_S.Tr.T'!CC80</f>
        <v>0</v>
      </c>
      <c r="CB48" s="16">
        <f ca="1">'2.XDTD_S.Tr.T'!CD80</f>
        <v>0</v>
      </c>
      <c r="CC48" s="16">
        <f ca="1">'2.XDTD_S.Tr.T'!CE80</f>
        <v>0</v>
      </c>
      <c r="CD48" s="16">
        <f ca="1">'2.XDTD_S.Tr.T'!CF80</f>
        <v>0</v>
      </c>
      <c r="CE48" s="16">
        <f ca="1">'2.XDTD_S.Tr.T'!CG80</f>
        <v>0</v>
      </c>
      <c r="CF48" s="16">
        <f ca="1">'2.XDTD_S.Tr.T'!CH80</f>
        <v>0</v>
      </c>
      <c r="CG48" s="16">
        <f ca="1">'2.XDTD_S.Tr.T'!CI80</f>
        <v>0</v>
      </c>
      <c r="CH48" s="16">
        <f ca="1">'2.XDTD_S.Tr.T'!CJ80</f>
        <v>0</v>
      </c>
      <c r="CI48" s="16">
        <f ca="1">'2.XDTD_S.Tr.T'!CK80</f>
        <v>0</v>
      </c>
      <c r="CJ48" s="16">
        <f ca="1">'2.XDTD_S.Tr.T'!CL80</f>
        <v>0</v>
      </c>
      <c r="CK48" s="16">
        <f ca="1">'2.XDTD_S.Tr.T'!CM80</f>
        <v>0</v>
      </c>
      <c r="CL48" s="16">
        <f ca="1">'2.XDTD_S.Tr.T'!CN80</f>
        <v>0</v>
      </c>
      <c r="CM48" s="16">
        <f ca="1">'2.XDTD_S.Tr.T'!CO80</f>
        <v>0</v>
      </c>
      <c r="CN48" s="16">
        <f ca="1">'2.XDTD_S.Tr.T'!CP80</f>
        <v>0</v>
      </c>
      <c r="CO48" s="16">
        <f ca="1">'2.XDTD_S.Tr.T'!CP80</f>
        <v>0</v>
      </c>
    </row>
    <row r="49" spans="3:93" ht="19.95" hidden="1" customHeight="1">
      <c r="C49" s="5"/>
      <c r="D49" s="11">
        <f>'2.XDTD_S.Tr.T'!F81</f>
        <v>0</v>
      </c>
      <c r="E49" s="7">
        <f>'2.XDTD_S.Tr.T'!G81</f>
        <v>0</v>
      </c>
      <c r="F49" s="8">
        <f>'2.XDTD_S.Tr.T'!H81</f>
        <v>0</v>
      </c>
      <c r="G49" s="9">
        <f ca="1">'2.XDTD_S.Tr.T'!I81</f>
        <v>0</v>
      </c>
      <c r="H49" s="10">
        <f ca="1">'2.XDTD_S.Tr.T'!J81</f>
        <v>0</v>
      </c>
      <c r="I49" s="9">
        <f ca="1">'2.XDTD_S.Tr.T'!K81</f>
        <v>0</v>
      </c>
      <c r="J49" s="13">
        <f>'2.XDTD_S.Tr.T'!L81</f>
        <v>0</v>
      </c>
      <c r="K49" s="13">
        <f>'2.XDTD_S.Tr.T'!M81</f>
        <v>0</v>
      </c>
      <c r="L49" s="9">
        <f ca="1">'2.XDTD_S.Tr.T'!N81</f>
        <v>0</v>
      </c>
      <c r="M49" s="14">
        <f>'2.XDTD_S.Tr.T'!O81</f>
        <v>0</v>
      </c>
      <c r="N49" s="14">
        <f>'2.XDTD_S.Tr.T'!P81</f>
        <v>0</v>
      </c>
      <c r="O49" s="9">
        <f>'2.XDTD_S.Tr.T'!P81</f>
        <v>0</v>
      </c>
      <c r="P49" s="15">
        <f ca="1">'2.XDTD_S.Tr.T'!R81</f>
        <v>0</v>
      </c>
      <c r="Q49" s="16">
        <f ca="1">'2.XDTD_S.Tr.T'!S81</f>
        <v>0</v>
      </c>
      <c r="R49" s="16">
        <f ca="1">'2.XDTD_S.Tr.T'!T81</f>
        <v>0</v>
      </c>
      <c r="S49" s="16">
        <f ca="1">'2.XDTD_S.Tr.T'!U81</f>
        <v>0</v>
      </c>
      <c r="T49" s="16">
        <f ca="1">'2.XDTD_S.Tr.T'!V81</f>
        <v>0</v>
      </c>
      <c r="U49" s="16">
        <f ca="1">'2.XDTD_S.Tr.T'!W81</f>
        <v>0</v>
      </c>
      <c r="V49" s="16">
        <f ca="1">'2.XDTD_S.Tr.T'!X81</f>
        <v>0</v>
      </c>
      <c r="W49" s="16">
        <f ca="1">'2.XDTD_S.Tr.T'!Y81</f>
        <v>0</v>
      </c>
      <c r="X49" s="16">
        <f ca="1">'2.XDTD_S.Tr.T'!Z81</f>
        <v>0</v>
      </c>
      <c r="Y49" s="16">
        <f ca="1">'2.XDTD_S.Tr.T'!AA81</f>
        <v>0</v>
      </c>
      <c r="Z49" s="16">
        <f ca="1">'2.XDTD_S.Tr.T'!AB81</f>
        <v>0</v>
      </c>
      <c r="AA49" s="16">
        <f ca="1">'2.XDTD_S.Tr.T'!AC81</f>
        <v>0</v>
      </c>
      <c r="AB49" s="16">
        <f ca="1">'2.XDTD_S.Tr.T'!AD81</f>
        <v>0</v>
      </c>
      <c r="AC49" s="16">
        <f ca="1">'2.XDTD_S.Tr.T'!AE81</f>
        <v>0</v>
      </c>
      <c r="AD49" s="16">
        <f ca="1">'2.XDTD_S.Tr.T'!AF81</f>
        <v>0</v>
      </c>
      <c r="AE49" s="16">
        <f ca="1">'2.XDTD_S.Tr.T'!AG81</f>
        <v>0</v>
      </c>
      <c r="AF49" s="16">
        <f ca="1">'2.XDTD_S.Tr.T'!AH81</f>
        <v>0</v>
      </c>
      <c r="AG49" s="16">
        <f ca="1">'2.XDTD_S.Tr.T'!AI81</f>
        <v>0</v>
      </c>
      <c r="AH49" s="16">
        <f ca="1">'2.XDTD_S.Tr.T'!AJ81</f>
        <v>0</v>
      </c>
      <c r="AI49" s="16">
        <f ca="1">'2.XDTD_S.Tr.T'!AK81</f>
        <v>0</v>
      </c>
      <c r="AJ49" s="16">
        <f ca="1">'2.XDTD_S.Tr.T'!AL81</f>
        <v>0</v>
      </c>
      <c r="AK49" s="16">
        <f ca="1">'2.XDTD_S.Tr.T'!AM81</f>
        <v>0</v>
      </c>
      <c r="AL49" s="16">
        <f ca="1">'2.XDTD_S.Tr.T'!AN81</f>
        <v>0</v>
      </c>
      <c r="AM49" s="16">
        <f ca="1">'2.XDTD_S.Tr.T'!AO81</f>
        <v>0</v>
      </c>
      <c r="AN49" s="16">
        <f ca="1">'2.XDTD_S.Tr.T'!AP81</f>
        <v>0</v>
      </c>
      <c r="AO49" s="16">
        <f ca="1">'2.XDTD_S.Tr.T'!AP81</f>
        <v>0</v>
      </c>
      <c r="AP49" s="16">
        <f ca="1">'2.XDTD_S.Tr.T'!AR81</f>
        <v>0</v>
      </c>
      <c r="AQ49" s="16">
        <f ca="1">'2.XDTD_S.Tr.T'!AS81</f>
        <v>0</v>
      </c>
      <c r="AR49" s="16">
        <f ca="1">'2.XDTD_S.Tr.T'!AT81</f>
        <v>0</v>
      </c>
      <c r="AS49" s="16">
        <f ca="1">'2.XDTD_S.Tr.T'!AU81</f>
        <v>0</v>
      </c>
      <c r="AT49" s="16">
        <f ca="1">'2.XDTD_S.Tr.T'!AV81</f>
        <v>0</v>
      </c>
      <c r="AU49" s="16">
        <f ca="1">'2.XDTD_S.Tr.T'!AW81</f>
        <v>0</v>
      </c>
      <c r="AV49" s="16">
        <f ca="1">'2.XDTD_S.Tr.T'!AX81</f>
        <v>0</v>
      </c>
      <c r="AW49" s="16">
        <f ca="1">'2.XDTD_S.Tr.T'!AY81</f>
        <v>0</v>
      </c>
      <c r="AX49" s="16">
        <f ca="1">'2.XDTD_S.Tr.T'!AZ81</f>
        <v>0</v>
      </c>
      <c r="AY49" s="16">
        <f ca="1">'2.XDTD_S.Tr.T'!BA81</f>
        <v>0</v>
      </c>
      <c r="AZ49" s="16">
        <f ca="1">'2.XDTD_S.Tr.T'!BB81</f>
        <v>0</v>
      </c>
      <c r="BA49" s="16">
        <f ca="1">'2.XDTD_S.Tr.T'!BC81</f>
        <v>0</v>
      </c>
      <c r="BB49" s="16">
        <f ca="1">'2.XDTD_S.Tr.T'!BD81</f>
        <v>0</v>
      </c>
      <c r="BC49" s="16">
        <f ca="1">'2.XDTD_S.Tr.T'!BE81</f>
        <v>0</v>
      </c>
      <c r="BD49" s="16">
        <f ca="1">'2.XDTD_S.Tr.T'!BF81</f>
        <v>0</v>
      </c>
      <c r="BE49" s="16">
        <f ca="1">'2.XDTD_S.Tr.T'!BG81</f>
        <v>0</v>
      </c>
      <c r="BF49" s="16">
        <f ca="1">'2.XDTD_S.Tr.T'!BH81</f>
        <v>0</v>
      </c>
      <c r="BG49" s="16">
        <f ca="1">'2.XDTD_S.Tr.T'!BI81</f>
        <v>0</v>
      </c>
      <c r="BH49" s="16">
        <f ca="1">'2.XDTD_S.Tr.T'!BJ81</f>
        <v>0</v>
      </c>
      <c r="BI49" s="16">
        <f ca="1">'2.XDTD_S.Tr.T'!BK81</f>
        <v>0</v>
      </c>
      <c r="BJ49" s="16">
        <f ca="1">'2.XDTD_S.Tr.T'!BL81</f>
        <v>0</v>
      </c>
      <c r="BK49" s="16">
        <f ca="1">'2.XDTD_S.Tr.T'!BM81</f>
        <v>0</v>
      </c>
      <c r="BL49" s="16">
        <f ca="1">'2.XDTD_S.Tr.T'!BN81</f>
        <v>0</v>
      </c>
      <c r="BM49" s="16">
        <f ca="1">'2.XDTD_S.Tr.T'!BO81</f>
        <v>0</v>
      </c>
      <c r="BN49" s="16">
        <f ca="1">'2.XDTD_S.Tr.T'!BP81</f>
        <v>0</v>
      </c>
      <c r="BO49" s="16">
        <f ca="1">'2.XDTD_S.Tr.T'!BP81</f>
        <v>0</v>
      </c>
      <c r="BP49" s="16">
        <f ca="1">'2.XDTD_S.Tr.T'!BR81</f>
        <v>0</v>
      </c>
      <c r="BQ49" s="16">
        <f ca="1">'2.XDTD_S.Tr.T'!BS81</f>
        <v>0</v>
      </c>
      <c r="BR49" s="16">
        <f ca="1">'2.XDTD_S.Tr.T'!BT81</f>
        <v>0</v>
      </c>
      <c r="BS49" s="16">
        <f ca="1">'2.XDTD_S.Tr.T'!BU81</f>
        <v>0</v>
      </c>
      <c r="BT49" s="16">
        <f ca="1">'2.XDTD_S.Tr.T'!BV81</f>
        <v>0</v>
      </c>
      <c r="BU49" s="16">
        <f ca="1">'2.XDTD_S.Tr.T'!BW81</f>
        <v>0</v>
      </c>
      <c r="BV49" s="16">
        <f ca="1">'2.XDTD_S.Tr.T'!BX81</f>
        <v>0</v>
      </c>
      <c r="BW49" s="16">
        <f ca="1">'2.XDTD_S.Tr.T'!BY81</f>
        <v>0</v>
      </c>
      <c r="BX49" s="16">
        <f ca="1">'2.XDTD_S.Tr.T'!BZ81</f>
        <v>0</v>
      </c>
      <c r="BY49" s="16">
        <f ca="1">'2.XDTD_S.Tr.T'!CA81</f>
        <v>0</v>
      </c>
      <c r="BZ49" s="16">
        <f ca="1">'2.XDTD_S.Tr.T'!CB81</f>
        <v>0</v>
      </c>
      <c r="CA49" s="16">
        <f ca="1">'2.XDTD_S.Tr.T'!CC81</f>
        <v>0</v>
      </c>
      <c r="CB49" s="16">
        <f ca="1">'2.XDTD_S.Tr.T'!CD81</f>
        <v>0</v>
      </c>
      <c r="CC49" s="16">
        <f ca="1">'2.XDTD_S.Tr.T'!CE81</f>
        <v>0</v>
      </c>
      <c r="CD49" s="16">
        <f ca="1">'2.XDTD_S.Tr.T'!CF81</f>
        <v>0</v>
      </c>
      <c r="CE49" s="16">
        <f ca="1">'2.XDTD_S.Tr.T'!CG81</f>
        <v>0</v>
      </c>
      <c r="CF49" s="16">
        <f ca="1">'2.XDTD_S.Tr.T'!CH81</f>
        <v>0</v>
      </c>
      <c r="CG49" s="16">
        <f ca="1">'2.XDTD_S.Tr.T'!CI81</f>
        <v>0</v>
      </c>
      <c r="CH49" s="16">
        <f ca="1">'2.XDTD_S.Tr.T'!CJ81</f>
        <v>0</v>
      </c>
      <c r="CI49" s="16">
        <f ca="1">'2.XDTD_S.Tr.T'!CK81</f>
        <v>0</v>
      </c>
      <c r="CJ49" s="16">
        <f ca="1">'2.XDTD_S.Tr.T'!CL81</f>
        <v>0</v>
      </c>
      <c r="CK49" s="16">
        <f ca="1">'2.XDTD_S.Tr.T'!CM81</f>
        <v>0</v>
      </c>
      <c r="CL49" s="16">
        <f ca="1">'2.XDTD_S.Tr.T'!CN81</f>
        <v>0</v>
      </c>
      <c r="CM49" s="16">
        <f ca="1">'2.XDTD_S.Tr.T'!CO81</f>
        <v>0</v>
      </c>
      <c r="CN49" s="16">
        <f ca="1">'2.XDTD_S.Tr.T'!CP81</f>
        <v>0</v>
      </c>
      <c r="CO49" s="16">
        <f ca="1">'2.XDTD_S.Tr.T'!CP81</f>
        <v>0</v>
      </c>
    </row>
    <row r="50" spans="3:93" ht="19.95" hidden="1" customHeight="1">
      <c r="C50" s="5"/>
      <c r="D50" s="11">
        <f>'2.XDTD_S.Tr.T'!F82</f>
        <v>0</v>
      </c>
      <c r="E50" s="7">
        <f>'2.XDTD_S.Tr.T'!G82</f>
        <v>0</v>
      </c>
      <c r="F50" s="8">
        <f>'2.XDTD_S.Tr.T'!H82</f>
        <v>0</v>
      </c>
      <c r="G50" s="9">
        <f ca="1">'2.XDTD_S.Tr.T'!I82</f>
        <v>0</v>
      </c>
      <c r="H50" s="10">
        <f ca="1">'2.XDTD_S.Tr.T'!J82</f>
        <v>0</v>
      </c>
      <c r="I50" s="9">
        <f ca="1">'2.XDTD_S.Tr.T'!K82</f>
        <v>0</v>
      </c>
      <c r="J50" s="13">
        <f>'2.XDTD_S.Tr.T'!L82</f>
        <v>0</v>
      </c>
      <c r="K50" s="13">
        <f>'2.XDTD_S.Tr.T'!M82</f>
        <v>0</v>
      </c>
      <c r="L50" s="9">
        <f ca="1">'2.XDTD_S.Tr.T'!N82</f>
        <v>0</v>
      </c>
      <c r="M50" s="14">
        <f>'2.XDTD_S.Tr.T'!O82</f>
        <v>0</v>
      </c>
      <c r="N50" s="14">
        <f>'2.XDTD_S.Tr.T'!P82</f>
        <v>0</v>
      </c>
      <c r="O50" s="9">
        <f>'2.XDTD_S.Tr.T'!P82</f>
        <v>0</v>
      </c>
      <c r="P50" s="15">
        <f ca="1">'2.XDTD_S.Tr.T'!R82</f>
        <v>0</v>
      </c>
      <c r="Q50" s="16">
        <f ca="1">'2.XDTD_S.Tr.T'!S82</f>
        <v>0</v>
      </c>
      <c r="R50" s="16">
        <f ca="1">'2.XDTD_S.Tr.T'!T82</f>
        <v>0</v>
      </c>
      <c r="S50" s="16">
        <f ca="1">'2.XDTD_S.Tr.T'!U82</f>
        <v>0</v>
      </c>
      <c r="T50" s="16">
        <f ca="1">'2.XDTD_S.Tr.T'!V82</f>
        <v>0</v>
      </c>
      <c r="U50" s="16">
        <f ca="1">'2.XDTD_S.Tr.T'!W82</f>
        <v>0</v>
      </c>
      <c r="V50" s="16">
        <f ca="1">'2.XDTD_S.Tr.T'!X82</f>
        <v>0</v>
      </c>
      <c r="W50" s="16">
        <f ca="1">'2.XDTD_S.Tr.T'!Y82</f>
        <v>0</v>
      </c>
      <c r="X50" s="16">
        <f ca="1">'2.XDTD_S.Tr.T'!Z82</f>
        <v>0</v>
      </c>
      <c r="Y50" s="16">
        <f ca="1">'2.XDTD_S.Tr.T'!AA82</f>
        <v>0</v>
      </c>
      <c r="Z50" s="16">
        <f ca="1">'2.XDTD_S.Tr.T'!AB82</f>
        <v>0</v>
      </c>
      <c r="AA50" s="16">
        <f ca="1">'2.XDTD_S.Tr.T'!AC82</f>
        <v>0</v>
      </c>
      <c r="AB50" s="16">
        <f ca="1">'2.XDTD_S.Tr.T'!AD82</f>
        <v>0</v>
      </c>
      <c r="AC50" s="16">
        <f ca="1">'2.XDTD_S.Tr.T'!AE82</f>
        <v>0</v>
      </c>
      <c r="AD50" s="16">
        <f ca="1">'2.XDTD_S.Tr.T'!AF82</f>
        <v>0</v>
      </c>
      <c r="AE50" s="16">
        <f ca="1">'2.XDTD_S.Tr.T'!AG82</f>
        <v>0</v>
      </c>
      <c r="AF50" s="16">
        <f ca="1">'2.XDTD_S.Tr.T'!AH82</f>
        <v>0</v>
      </c>
      <c r="AG50" s="16">
        <f ca="1">'2.XDTD_S.Tr.T'!AI82</f>
        <v>0</v>
      </c>
      <c r="AH50" s="16">
        <f ca="1">'2.XDTD_S.Tr.T'!AJ82</f>
        <v>0</v>
      </c>
      <c r="AI50" s="16">
        <f ca="1">'2.XDTD_S.Tr.T'!AK82</f>
        <v>0</v>
      </c>
      <c r="AJ50" s="16">
        <f ca="1">'2.XDTD_S.Tr.T'!AL82</f>
        <v>0</v>
      </c>
      <c r="AK50" s="16">
        <f ca="1">'2.XDTD_S.Tr.T'!AM82</f>
        <v>0</v>
      </c>
      <c r="AL50" s="16">
        <f ca="1">'2.XDTD_S.Tr.T'!AN82</f>
        <v>0</v>
      </c>
      <c r="AM50" s="16">
        <f ca="1">'2.XDTD_S.Tr.T'!AO82</f>
        <v>0</v>
      </c>
      <c r="AN50" s="16">
        <f ca="1">'2.XDTD_S.Tr.T'!AP82</f>
        <v>0</v>
      </c>
      <c r="AO50" s="16">
        <f ca="1">'2.XDTD_S.Tr.T'!AP82</f>
        <v>0</v>
      </c>
      <c r="AP50" s="16">
        <f ca="1">'2.XDTD_S.Tr.T'!AR82</f>
        <v>0</v>
      </c>
      <c r="AQ50" s="16">
        <f ca="1">'2.XDTD_S.Tr.T'!AS82</f>
        <v>0</v>
      </c>
      <c r="AR50" s="16">
        <f ca="1">'2.XDTD_S.Tr.T'!AT82</f>
        <v>0</v>
      </c>
      <c r="AS50" s="16">
        <f ca="1">'2.XDTD_S.Tr.T'!AU82</f>
        <v>0</v>
      </c>
      <c r="AT50" s="16">
        <f ca="1">'2.XDTD_S.Tr.T'!AV82</f>
        <v>0</v>
      </c>
      <c r="AU50" s="16">
        <f ca="1">'2.XDTD_S.Tr.T'!AW82</f>
        <v>0</v>
      </c>
      <c r="AV50" s="16">
        <f ca="1">'2.XDTD_S.Tr.T'!AX82</f>
        <v>0</v>
      </c>
      <c r="AW50" s="16">
        <f ca="1">'2.XDTD_S.Tr.T'!AY82</f>
        <v>0</v>
      </c>
      <c r="AX50" s="16">
        <f ca="1">'2.XDTD_S.Tr.T'!AZ82</f>
        <v>0</v>
      </c>
      <c r="AY50" s="16">
        <f ca="1">'2.XDTD_S.Tr.T'!BA82</f>
        <v>0</v>
      </c>
      <c r="AZ50" s="16">
        <f ca="1">'2.XDTD_S.Tr.T'!BB82</f>
        <v>0</v>
      </c>
      <c r="BA50" s="16">
        <f ca="1">'2.XDTD_S.Tr.T'!BC82</f>
        <v>0</v>
      </c>
      <c r="BB50" s="16">
        <f ca="1">'2.XDTD_S.Tr.T'!BD82</f>
        <v>0</v>
      </c>
      <c r="BC50" s="16">
        <f ca="1">'2.XDTD_S.Tr.T'!BE82</f>
        <v>0</v>
      </c>
      <c r="BD50" s="16">
        <f ca="1">'2.XDTD_S.Tr.T'!BF82</f>
        <v>0</v>
      </c>
      <c r="BE50" s="16">
        <f ca="1">'2.XDTD_S.Tr.T'!BG82</f>
        <v>0</v>
      </c>
      <c r="BF50" s="16">
        <f ca="1">'2.XDTD_S.Tr.T'!BH82</f>
        <v>0</v>
      </c>
      <c r="BG50" s="16">
        <f ca="1">'2.XDTD_S.Tr.T'!BI82</f>
        <v>0</v>
      </c>
      <c r="BH50" s="16">
        <f ca="1">'2.XDTD_S.Tr.T'!BJ82</f>
        <v>0</v>
      </c>
      <c r="BI50" s="16">
        <f ca="1">'2.XDTD_S.Tr.T'!BK82</f>
        <v>0</v>
      </c>
      <c r="BJ50" s="16">
        <f ca="1">'2.XDTD_S.Tr.T'!BL82</f>
        <v>0</v>
      </c>
      <c r="BK50" s="16">
        <f ca="1">'2.XDTD_S.Tr.T'!BM82</f>
        <v>0</v>
      </c>
      <c r="BL50" s="16">
        <f ca="1">'2.XDTD_S.Tr.T'!BN82</f>
        <v>0</v>
      </c>
      <c r="BM50" s="16">
        <f ca="1">'2.XDTD_S.Tr.T'!BO82</f>
        <v>0</v>
      </c>
      <c r="BN50" s="16">
        <f ca="1">'2.XDTD_S.Tr.T'!BP82</f>
        <v>0</v>
      </c>
      <c r="BO50" s="16">
        <f ca="1">'2.XDTD_S.Tr.T'!BP82</f>
        <v>0</v>
      </c>
      <c r="BP50" s="16">
        <f ca="1">'2.XDTD_S.Tr.T'!BR82</f>
        <v>0</v>
      </c>
      <c r="BQ50" s="16">
        <f ca="1">'2.XDTD_S.Tr.T'!BS82</f>
        <v>0</v>
      </c>
      <c r="BR50" s="16">
        <f ca="1">'2.XDTD_S.Tr.T'!BT82</f>
        <v>0</v>
      </c>
      <c r="BS50" s="16">
        <f ca="1">'2.XDTD_S.Tr.T'!BU82</f>
        <v>0</v>
      </c>
      <c r="BT50" s="16">
        <f ca="1">'2.XDTD_S.Tr.T'!BV82</f>
        <v>0</v>
      </c>
      <c r="BU50" s="16">
        <f ca="1">'2.XDTD_S.Tr.T'!BW82</f>
        <v>0</v>
      </c>
      <c r="BV50" s="16">
        <f ca="1">'2.XDTD_S.Tr.T'!BX82</f>
        <v>0</v>
      </c>
      <c r="BW50" s="16">
        <f ca="1">'2.XDTD_S.Tr.T'!BY82</f>
        <v>0</v>
      </c>
      <c r="BX50" s="16">
        <f ca="1">'2.XDTD_S.Tr.T'!BZ82</f>
        <v>0</v>
      </c>
      <c r="BY50" s="16">
        <f ca="1">'2.XDTD_S.Tr.T'!CA82</f>
        <v>0</v>
      </c>
      <c r="BZ50" s="16">
        <f ca="1">'2.XDTD_S.Tr.T'!CB82</f>
        <v>0</v>
      </c>
      <c r="CA50" s="16">
        <f ca="1">'2.XDTD_S.Tr.T'!CC82</f>
        <v>0</v>
      </c>
      <c r="CB50" s="16">
        <f ca="1">'2.XDTD_S.Tr.T'!CD82</f>
        <v>0</v>
      </c>
      <c r="CC50" s="16">
        <f ca="1">'2.XDTD_S.Tr.T'!CE82</f>
        <v>0</v>
      </c>
      <c r="CD50" s="16">
        <f ca="1">'2.XDTD_S.Tr.T'!CF82</f>
        <v>0</v>
      </c>
      <c r="CE50" s="16">
        <f ca="1">'2.XDTD_S.Tr.T'!CG82</f>
        <v>0</v>
      </c>
      <c r="CF50" s="16">
        <f ca="1">'2.XDTD_S.Tr.T'!CH82</f>
        <v>0</v>
      </c>
      <c r="CG50" s="16">
        <f ca="1">'2.XDTD_S.Tr.T'!CI82</f>
        <v>0</v>
      </c>
      <c r="CH50" s="16">
        <f ca="1">'2.XDTD_S.Tr.T'!CJ82</f>
        <v>0</v>
      </c>
      <c r="CI50" s="16">
        <f ca="1">'2.XDTD_S.Tr.T'!CK82</f>
        <v>0</v>
      </c>
      <c r="CJ50" s="16">
        <f ca="1">'2.XDTD_S.Tr.T'!CL82</f>
        <v>0</v>
      </c>
      <c r="CK50" s="16">
        <f ca="1">'2.XDTD_S.Tr.T'!CM82</f>
        <v>0</v>
      </c>
      <c r="CL50" s="16">
        <f ca="1">'2.XDTD_S.Tr.T'!CN82</f>
        <v>0</v>
      </c>
      <c r="CM50" s="16">
        <f ca="1">'2.XDTD_S.Tr.T'!CO82</f>
        <v>0</v>
      </c>
      <c r="CN50" s="16">
        <f ca="1">'2.XDTD_S.Tr.T'!CP82</f>
        <v>0</v>
      </c>
      <c r="CO50" s="16">
        <f ca="1">'2.XDTD_S.Tr.T'!CP82</f>
        <v>0</v>
      </c>
    </row>
    <row r="51" spans="3:93" ht="19.95" customHeight="1">
      <c r="C51" s="5"/>
      <c r="D51" s="6" t="str">
        <f>'2.XDTD_S.Tr.T'!F103</f>
        <v>Gạo tẻ máy</v>
      </c>
      <c r="E51" s="7" t="e">
        <f ca="1">'2.XDTD_S.Tr.T'!G103</f>
        <v>#NAME?</v>
      </c>
      <c r="F51" s="8">
        <f>'2.XDTD_S.Tr.T'!H103</f>
        <v>70</v>
      </c>
      <c r="G51" s="9">
        <f ca="1">'2.XDTD_S.Tr.T'!I103</f>
        <v>0</v>
      </c>
      <c r="H51" s="10">
        <f ca="1">'2.XDTD_S.Tr.T'!J103</f>
        <v>0</v>
      </c>
      <c r="I51" s="9">
        <f ca="1">'2.XDTD_S.Tr.T'!K103</f>
        <v>0</v>
      </c>
      <c r="J51" s="13" t="e">
        <f ca="1">'2.XDTD_S.Tr.T'!L103</f>
        <v>#NAME?</v>
      </c>
      <c r="K51" s="13" t="e">
        <f ca="1">'2.XDTD_S.Tr.T'!M103</f>
        <v>#NAME?</v>
      </c>
      <c r="L51" s="9">
        <f ca="1">'2.XDTD_S.Tr.T'!N103</f>
        <v>0</v>
      </c>
      <c r="M51" s="14" t="e">
        <f ca="1">'2.XDTD_S.Tr.T'!O103</f>
        <v>#NAME?</v>
      </c>
      <c r="N51" s="14" t="e">
        <f ca="1">'2.XDTD_S.Tr.T'!P103</f>
        <v>#NAME?</v>
      </c>
      <c r="O51" s="9" t="e">
        <f ca="1">'2.XDTD_S.Tr.T'!P103</f>
        <v>#NAME?</v>
      </c>
      <c r="P51" s="15">
        <f ca="1">'2.XDTD_S.Tr.T'!R103</f>
        <v>0</v>
      </c>
      <c r="Q51" s="16">
        <f ca="1">'2.XDTD_S.Tr.T'!S103</f>
        <v>0</v>
      </c>
      <c r="R51" s="16">
        <f ca="1">'2.XDTD_S.Tr.T'!T103</f>
        <v>0</v>
      </c>
      <c r="S51" s="16">
        <f ca="1">'2.XDTD_S.Tr.T'!U103</f>
        <v>0</v>
      </c>
      <c r="T51" s="16">
        <f ca="1">'2.XDTD_S.Tr.T'!V103</f>
        <v>0</v>
      </c>
      <c r="U51" s="16">
        <f ca="1">'2.XDTD_S.Tr.T'!W103</f>
        <v>0</v>
      </c>
      <c r="V51" s="16">
        <f ca="1">'2.XDTD_S.Tr.T'!X103</f>
        <v>0</v>
      </c>
      <c r="W51" s="16">
        <f ca="1">'2.XDTD_S.Tr.T'!Y103</f>
        <v>0</v>
      </c>
      <c r="X51" s="16">
        <f ca="1">'2.XDTD_S.Tr.T'!Z103</f>
        <v>0</v>
      </c>
      <c r="Y51" s="16">
        <f ca="1">'2.XDTD_S.Tr.T'!AA103</f>
        <v>0</v>
      </c>
      <c r="Z51" s="16">
        <f ca="1">'2.XDTD_S.Tr.T'!AB103</f>
        <v>0</v>
      </c>
      <c r="AA51" s="16">
        <f ca="1">'2.XDTD_S.Tr.T'!AC103</f>
        <v>0</v>
      </c>
      <c r="AB51" s="16">
        <f ca="1">'2.XDTD_S.Tr.T'!AD103</f>
        <v>0</v>
      </c>
      <c r="AC51" s="16">
        <f ca="1">'2.XDTD_S.Tr.T'!AE103</f>
        <v>0</v>
      </c>
      <c r="AD51" s="16">
        <f ca="1">'2.XDTD_S.Tr.T'!AF103</f>
        <v>0</v>
      </c>
      <c r="AE51" s="16">
        <f ca="1">'2.XDTD_S.Tr.T'!AG103</f>
        <v>0</v>
      </c>
      <c r="AF51" s="16">
        <f ca="1">'2.XDTD_S.Tr.T'!AH103</f>
        <v>0</v>
      </c>
      <c r="AG51" s="16">
        <f ca="1">'2.XDTD_S.Tr.T'!AI103</f>
        <v>0</v>
      </c>
      <c r="AH51" s="16">
        <f ca="1">'2.XDTD_S.Tr.T'!AJ103</f>
        <v>0</v>
      </c>
      <c r="AI51" s="16">
        <f ca="1">'2.XDTD_S.Tr.T'!AK103</f>
        <v>0</v>
      </c>
      <c r="AJ51" s="16">
        <f ca="1">'2.XDTD_S.Tr.T'!AL103</f>
        <v>0</v>
      </c>
      <c r="AK51" s="16">
        <f ca="1">'2.XDTD_S.Tr.T'!AM103</f>
        <v>0</v>
      </c>
      <c r="AL51" s="16">
        <f ca="1">'2.XDTD_S.Tr.T'!AN103</f>
        <v>0</v>
      </c>
      <c r="AM51" s="16">
        <f ca="1">'2.XDTD_S.Tr.T'!AO103</f>
        <v>0</v>
      </c>
      <c r="AN51" s="16">
        <f ca="1">'2.XDTD_S.Tr.T'!AP103</f>
        <v>0</v>
      </c>
      <c r="AO51" s="16">
        <f ca="1">'2.XDTD_S.Tr.T'!AP103</f>
        <v>0</v>
      </c>
      <c r="AP51" s="16">
        <f ca="1">'2.XDTD_S.Tr.T'!AR103</f>
        <v>0</v>
      </c>
      <c r="AQ51" s="16">
        <f ca="1">'2.XDTD_S.Tr.T'!AS103</f>
        <v>0</v>
      </c>
      <c r="AR51" s="16">
        <f ca="1">'2.XDTD_S.Tr.T'!AT103</f>
        <v>0</v>
      </c>
      <c r="AS51" s="16">
        <f ca="1">'2.XDTD_S.Tr.T'!AU103</f>
        <v>0</v>
      </c>
      <c r="AT51" s="16">
        <f ca="1">'2.XDTD_S.Tr.T'!AV103</f>
        <v>0</v>
      </c>
      <c r="AU51" s="16">
        <f ca="1">'2.XDTD_S.Tr.T'!AW103</f>
        <v>0</v>
      </c>
      <c r="AV51" s="16">
        <f ca="1">'2.XDTD_S.Tr.T'!AX103</f>
        <v>0</v>
      </c>
      <c r="AW51" s="16">
        <f ca="1">'2.XDTD_S.Tr.T'!AY103</f>
        <v>0</v>
      </c>
      <c r="AX51" s="16">
        <f ca="1">'2.XDTD_S.Tr.T'!AZ103</f>
        <v>0</v>
      </c>
      <c r="AY51" s="16">
        <f ca="1">'2.XDTD_S.Tr.T'!BA103</f>
        <v>0</v>
      </c>
      <c r="AZ51" s="16">
        <f ca="1">'2.XDTD_S.Tr.T'!BB103</f>
        <v>0</v>
      </c>
      <c r="BA51" s="16">
        <f ca="1">'2.XDTD_S.Tr.T'!BC103</f>
        <v>0</v>
      </c>
      <c r="BB51" s="16">
        <f ca="1">'2.XDTD_S.Tr.T'!BD103</f>
        <v>0</v>
      </c>
      <c r="BC51" s="16">
        <f ca="1">'2.XDTD_S.Tr.T'!BE103</f>
        <v>0</v>
      </c>
      <c r="BD51" s="16">
        <f ca="1">'2.XDTD_S.Tr.T'!BF103</f>
        <v>0</v>
      </c>
      <c r="BE51" s="16">
        <f ca="1">'2.XDTD_S.Tr.T'!BG103</f>
        <v>0</v>
      </c>
      <c r="BF51" s="16">
        <f ca="1">'2.XDTD_S.Tr.T'!BH103</f>
        <v>0</v>
      </c>
      <c r="BG51" s="16">
        <f ca="1">'2.XDTD_S.Tr.T'!BI103</f>
        <v>0</v>
      </c>
      <c r="BH51" s="16">
        <f ca="1">'2.XDTD_S.Tr.T'!BJ103</f>
        <v>0</v>
      </c>
      <c r="BI51" s="16">
        <f ca="1">'2.XDTD_S.Tr.T'!BK103</f>
        <v>0</v>
      </c>
      <c r="BJ51" s="16">
        <f ca="1">'2.XDTD_S.Tr.T'!BL103</f>
        <v>0</v>
      </c>
      <c r="BK51" s="16">
        <f ca="1">'2.XDTD_S.Tr.T'!BM103</f>
        <v>0</v>
      </c>
      <c r="BL51" s="16">
        <f ca="1">'2.XDTD_S.Tr.T'!BN103</f>
        <v>0</v>
      </c>
      <c r="BM51" s="16">
        <f ca="1">'2.XDTD_S.Tr.T'!BO103</f>
        <v>0</v>
      </c>
      <c r="BN51" s="16">
        <f ca="1">'2.XDTD_S.Tr.T'!BP103</f>
        <v>0</v>
      </c>
      <c r="BO51" s="16">
        <f ca="1">'2.XDTD_S.Tr.T'!BP103</f>
        <v>0</v>
      </c>
      <c r="BP51" s="16">
        <f ca="1">'2.XDTD_S.Tr.T'!BR103</f>
        <v>0</v>
      </c>
      <c r="BQ51" s="16">
        <f ca="1">'2.XDTD_S.Tr.T'!BS103</f>
        <v>0</v>
      </c>
      <c r="BR51" s="16">
        <f ca="1">'2.XDTD_S.Tr.T'!BT103</f>
        <v>0</v>
      </c>
      <c r="BS51" s="16">
        <f ca="1">'2.XDTD_S.Tr.T'!BU103</f>
        <v>0</v>
      </c>
      <c r="BT51" s="16">
        <f ca="1">'2.XDTD_S.Tr.T'!BV103</f>
        <v>0</v>
      </c>
      <c r="BU51" s="16">
        <f ca="1">'2.XDTD_S.Tr.T'!BW103</f>
        <v>0</v>
      </c>
      <c r="BV51" s="16">
        <f ca="1">'2.XDTD_S.Tr.T'!BX103</f>
        <v>0</v>
      </c>
      <c r="BW51" s="16">
        <f ca="1">'2.XDTD_S.Tr.T'!BY103</f>
        <v>0</v>
      </c>
      <c r="BX51" s="16">
        <f ca="1">'2.XDTD_S.Tr.T'!BZ103</f>
        <v>0</v>
      </c>
      <c r="BY51" s="16">
        <f ca="1">'2.XDTD_S.Tr.T'!CA103</f>
        <v>0</v>
      </c>
      <c r="BZ51" s="16">
        <f ca="1">'2.XDTD_S.Tr.T'!CB103</f>
        <v>0</v>
      </c>
      <c r="CA51" s="16">
        <f ca="1">'2.XDTD_S.Tr.T'!CC103</f>
        <v>0</v>
      </c>
      <c r="CB51" s="16">
        <f ca="1">'2.XDTD_S.Tr.T'!CD103</f>
        <v>0</v>
      </c>
      <c r="CC51" s="16">
        <f ca="1">'2.XDTD_S.Tr.T'!CE103</f>
        <v>0</v>
      </c>
      <c r="CD51" s="16">
        <f ca="1">'2.XDTD_S.Tr.T'!CF103</f>
        <v>0</v>
      </c>
      <c r="CE51" s="16">
        <f ca="1">'2.XDTD_S.Tr.T'!CG103</f>
        <v>0</v>
      </c>
      <c r="CF51" s="16">
        <f ca="1">'2.XDTD_S.Tr.T'!CH103</f>
        <v>0</v>
      </c>
      <c r="CG51" s="16">
        <f ca="1">'2.XDTD_S.Tr.T'!CI103</f>
        <v>0</v>
      </c>
      <c r="CH51" s="16">
        <f ca="1">'2.XDTD_S.Tr.T'!CJ103</f>
        <v>0</v>
      </c>
      <c r="CI51" s="16">
        <f ca="1">'2.XDTD_S.Tr.T'!CK103</f>
        <v>0</v>
      </c>
      <c r="CJ51" s="16">
        <f ca="1">'2.XDTD_S.Tr.T'!CL103</f>
        <v>0</v>
      </c>
      <c r="CK51" s="16">
        <f ca="1">'2.XDTD_S.Tr.T'!CM103</f>
        <v>0</v>
      </c>
      <c r="CL51" s="16">
        <f ca="1">'2.XDTD_S.Tr.T'!CN103</f>
        <v>0</v>
      </c>
      <c r="CM51" s="16">
        <f ca="1">'2.XDTD_S.Tr.T'!CO103</f>
        <v>0</v>
      </c>
      <c r="CN51" s="16">
        <f ca="1">'2.XDTD_S.Tr.T'!CP103</f>
        <v>0</v>
      </c>
      <c r="CO51" s="16">
        <f ca="1">'2.XDTD_S.Tr.T'!CP103</f>
        <v>0</v>
      </c>
    </row>
    <row r="52" spans="3:93" ht="19.95" customHeight="1">
      <c r="C52" s="5"/>
      <c r="D52" s="11" t="str">
        <f>'2.XDTD_S.Tr.T'!F104</f>
        <v>Khoai sọ</v>
      </c>
      <c r="E52" s="7" t="e">
        <f ca="1">'2.XDTD_S.Tr.T'!G104</f>
        <v>#NAME?</v>
      </c>
      <c r="F52" s="8">
        <f>'2.XDTD_S.Tr.T'!H104</f>
        <v>30</v>
      </c>
      <c r="G52" s="9">
        <f ca="1">'2.XDTD_S.Tr.T'!I104</f>
        <v>0</v>
      </c>
      <c r="H52" s="10">
        <f ca="1">'2.XDTD_S.Tr.T'!J104</f>
        <v>0</v>
      </c>
      <c r="I52" s="9">
        <f ca="1">'2.XDTD_S.Tr.T'!K104</f>
        <v>0</v>
      </c>
      <c r="J52" s="13" t="e">
        <f ca="1">'2.XDTD_S.Tr.T'!L104</f>
        <v>#NAME?</v>
      </c>
      <c r="K52" s="13" t="e">
        <f ca="1">'2.XDTD_S.Tr.T'!M104</f>
        <v>#NAME?</v>
      </c>
      <c r="L52" s="9">
        <f ca="1">'2.XDTD_S.Tr.T'!N104</f>
        <v>0</v>
      </c>
      <c r="M52" s="14" t="e">
        <f ca="1">'2.XDTD_S.Tr.T'!O104</f>
        <v>#NAME?</v>
      </c>
      <c r="N52" s="14" t="e">
        <f ca="1">'2.XDTD_S.Tr.T'!P104</f>
        <v>#NAME?</v>
      </c>
      <c r="O52" s="9" t="e">
        <f ca="1">'2.XDTD_S.Tr.T'!P104</f>
        <v>#NAME?</v>
      </c>
      <c r="P52" s="15">
        <f ca="1">'2.XDTD_S.Tr.T'!R104</f>
        <v>0</v>
      </c>
      <c r="Q52" s="16">
        <f ca="1">'2.XDTD_S.Tr.T'!S104</f>
        <v>0</v>
      </c>
      <c r="R52" s="16">
        <f ca="1">'2.XDTD_S.Tr.T'!T104</f>
        <v>0</v>
      </c>
      <c r="S52" s="16">
        <f ca="1">'2.XDTD_S.Tr.T'!U104</f>
        <v>0</v>
      </c>
      <c r="T52" s="16">
        <f ca="1">'2.XDTD_S.Tr.T'!V104</f>
        <v>0</v>
      </c>
      <c r="U52" s="16">
        <f ca="1">'2.XDTD_S.Tr.T'!W104</f>
        <v>0</v>
      </c>
      <c r="V52" s="16">
        <f ca="1">'2.XDTD_S.Tr.T'!X104</f>
        <v>0</v>
      </c>
      <c r="W52" s="16">
        <f ca="1">'2.XDTD_S.Tr.T'!Y104</f>
        <v>0</v>
      </c>
      <c r="X52" s="16">
        <f ca="1">'2.XDTD_S.Tr.T'!Z104</f>
        <v>0</v>
      </c>
      <c r="Y52" s="16">
        <f ca="1">'2.XDTD_S.Tr.T'!AA104</f>
        <v>0</v>
      </c>
      <c r="Z52" s="16">
        <f ca="1">'2.XDTD_S.Tr.T'!AB104</f>
        <v>0</v>
      </c>
      <c r="AA52" s="16">
        <f ca="1">'2.XDTD_S.Tr.T'!AC104</f>
        <v>0</v>
      </c>
      <c r="AB52" s="16">
        <f ca="1">'2.XDTD_S.Tr.T'!AD104</f>
        <v>0</v>
      </c>
      <c r="AC52" s="16">
        <f ca="1">'2.XDTD_S.Tr.T'!AE104</f>
        <v>0</v>
      </c>
      <c r="AD52" s="16">
        <f ca="1">'2.XDTD_S.Tr.T'!AF104</f>
        <v>0</v>
      </c>
      <c r="AE52" s="16">
        <f ca="1">'2.XDTD_S.Tr.T'!AG104</f>
        <v>0</v>
      </c>
      <c r="AF52" s="16">
        <f ca="1">'2.XDTD_S.Tr.T'!AH104</f>
        <v>0</v>
      </c>
      <c r="AG52" s="16">
        <f ca="1">'2.XDTD_S.Tr.T'!AI104</f>
        <v>0</v>
      </c>
      <c r="AH52" s="16">
        <f ca="1">'2.XDTD_S.Tr.T'!AJ104</f>
        <v>0</v>
      </c>
      <c r="AI52" s="16">
        <f ca="1">'2.XDTD_S.Tr.T'!AK104</f>
        <v>0</v>
      </c>
      <c r="AJ52" s="16">
        <f ca="1">'2.XDTD_S.Tr.T'!AL104</f>
        <v>0</v>
      </c>
      <c r="AK52" s="16">
        <f ca="1">'2.XDTD_S.Tr.T'!AM104</f>
        <v>0</v>
      </c>
      <c r="AL52" s="16">
        <f ca="1">'2.XDTD_S.Tr.T'!AN104</f>
        <v>0</v>
      </c>
      <c r="AM52" s="16">
        <f ca="1">'2.XDTD_S.Tr.T'!AO104</f>
        <v>0</v>
      </c>
      <c r="AN52" s="16">
        <f ca="1">'2.XDTD_S.Tr.T'!AP104</f>
        <v>0</v>
      </c>
      <c r="AO52" s="16">
        <f ca="1">'2.XDTD_S.Tr.T'!AP104</f>
        <v>0</v>
      </c>
      <c r="AP52" s="16">
        <f ca="1">'2.XDTD_S.Tr.T'!AR104</f>
        <v>0</v>
      </c>
      <c r="AQ52" s="16">
        <f ca="1">'2.XDTD_S.Tr.T'!AS104</f>
        <v>0</v>
      </c>
      <c r="AR52" s="16">
        <f ca="1">'2.XDTD_S.Tr.T'!AT104</f>
        <v>0</v>
      </c>
      <c r="AS52" s="16">
        <f ca="1">'2.XDTD_S.Tr.T'!AU104</f>
        <v>0</v>
      </c>
      <c r="AT52" s="16">
        <f ca="1">'2.XDTD_S.Tr.T'!AV104</f>
        <v>0</v>
      </c>
      <c r="AU52" s="16">
        <f ca="1">'2.XDTD_S.Tr.T'!AW104</f>
        <v>0</v>
      </c>
      <c r="AV52" s="16">
        <f ca="1">'2.XDTD_S.Tr.T'!AX104</f>
        <v>0</v>
      </c>
      <c r="AW52" s="16">
        <f ca="1">'2.XDTD_S.Tr.T'!AY104</f>
        <v>0</v>
      </c>
      <c r="AX52" s="16">
        <f ca="1">'2.XDTD_S.Tr.T'!AZ104</f>
        <v>0</v>
      </c>
      <c r="AY52" s="16">
        <f ca="1">'2.XDTD_S.Tr.T'!BA104</f>
        <v>0</v>
      </c>
      <c r="AZ52" s="16">
        <f ca="1">'2.XDTD_S.Tr.T'!BB104</f>
        <v>0</v>
      </c>
      <c r="BA52" s="16">
        <f ca="1">'2.XDTD_S.Tr.T'!BC104</f>
        <v>0</v>
      </c>
      <c r="BB52" s="16">
        <f ca="1">'2.XDTD_S.Tr.T'!BD104</f>
        <v>0</v>
      </c>
      <c r="BC52" s="16">
        <f ca="1">'2.XDTD_S.Tr.T'!BE104</f>
        <v>0</v>
      </c>
      <c r="BD52" s="16">
        <f ca="1">'2.XDTD_S.Tr.T'!BF104</f>
        <v>0</v>
      </c>
      <c r="BE52" s="16">
        <f ca="1">'2.XDTD_S.Tr.T'!BG104</f>
        <v>0</v>
      </c>
      <c r="BF52" s="16">
        <f ca="1">'2.XDTD_S.Tr.T'!BH104</f>
        <v>0</v>
      </c>
      <c r="BG52" s="16">
        <f ca="1">'2.XDTD_S.Tr.T'!BI104</f>
        <v>0</v>
      </c>
      <c r="BH52" s="16">
        <f ca="1">'2.XDTD_S.Tr.T'!BJ104</f>
        <v>0</v>
      </c>
      <c r="BI52" s="16">
        <f ca="1">'2.XDTD_S.Tr.T'!BK104</f>
        <v>0</v>
      </c>
      <c r="BJ52" s="16">
        <f ca="1">'2.XDTD_S.Tr.T'!BL104</f>
        <v>0</v>
      </c>
      <c r="BK52" s="16">
        <f ca="1">'2.XDTD_S.Tr.T'!BM104</f>
        <v>0</v>
      </c>
      <c r="BL52" s="16">
        <f ca="1">'2.XDTD_S.Tr.T'!BN104</f>
        <v>0</v>
      </c>
      <c r="BM52" s="16">
        <f ca="1">'2.XDTD_S.Tr.T'!BO104</f>
        <v>0</v>
      </c>
      <c r="BN52" s="16">
        <f ca="1">'2.XDTD_S.Tr.T'!BP104</f>
        <v>0</v>
      </c>
      <c r="BO52" s="16">
        <f ca="1">'2.XDTD_S.Tr.T'!BP104</f>
        <v>0</v>
      </c>
      <c r="BP52" s="16">
        <f ca="1">'2.XDTD_S.Tr.T'!BR104</f>
        <v>0</v>
      </c>
      <c r="BQ52" s="16">
        <f ca="1">'2.XDTD_S.Tr.T'!BS104</f>
        <v>0</v>
      </c>
      <c r="BR52" s="16">
        <f ca="1">'2.XDTD_S.Tr.T'!BT104</f>
        <v>0</v>
      </c>
      <c r="BS52" s="16">
        <f ca="1">'2.XDTD_S.Tr.T'!BU104</f>
        <v>0</v>
      </c>
      <c r="BT52" s="16">
        <f ca="1">'2.XDTD_S.Tr.T'!BV104</f>
        <v>0</v>
      </c>
      <c r="BU52" s="16">
        <f ca="1">'2.XDTD_S.Tr.T'!BW104</f>
        <v>0</v>
      </c>
      <c r="BV52" s="16">
        <f ca="1">'2.XDTD_S.Tr.T'!BX104</f>
        <v>0</v>
      </c>
      <c r="BW52" s="16">
        <f ca="1">'2.XDTD_S.Tr.T'!BY104</f>
        <v>0</v>
      </c>
      <c r="BX52" s="16">
        <f ca="1">'2.XDTD_S.Tr.T'!BZ104</f>
        <v>0</v>
      </c>
      <c r="BY52" s="16">
        <f ca="1">'2.XDTD_S.Tr.T'!CA104</f>
        <v>0</v>
      </c>
      <c r="BZ52" s="16">
        <f ca="1">'2.XDTD_S.Tr.T'!CB104</f>
        <v>0</v>
      </c>
      <c r="CA52" s="16">
        <f ca="1">'2.XDTD_S.Tr.T'!CC104</f>
        <v>0</v>
      </c>
      <c r="CB52" s="16">
        <f ca="1">'2.XDTD_S.Tr.T'!CD104</f>
        <v>0</v>
      </c>
      <c r="CC52" s="16">
        <f ca="1">'2.XDTD_S.Tr.T'!CE104</f>
        <v>0</v>
      </c>
      <c r="CD52" s="16">
        <f ca="1">'2.XDTD_S.Tr.T'!CF104</f>
        <v>0</v>
      </c>
      <c r="CE52" s="16">
        <f ca="1">'2.XDTD_S.Tr.T'!CG104</f>
        <v>0</v>
      </c>
      <c r="CF52" s="16">
        <f ca="1">'2.XDTD_S.Tr.T'!CH104</f>
        <v>0</v>
      </c>
      <c r="CG52" s="16">
        <f ca="1">'2.XDTD_S.Tr.T'!CI104</f>
        <v>0</v>
      </c>
      <c r="CH52" s="16">
        <f ca="1">'2.XDTD_S.Tr.T'!CJ104</f>
        <v>0</v>
      </c>
      <c r="CI52" s="16">
        <f ca="1">'2.XDTD_S.Tr.T'!CK104</f>
        <v>0</v>
      </c>
      <c r="CJ52" s="16">
        <f ca="1">'2.XDTD_S.Tr.T'!CL104</f>
        <v>0</v>
      </c>
      <c r="CK52" s="16">
        <f ca="1">'2.XDTD_S.Tr.T'!CM104</f>
        <v>0</v>
      </c>
      <c r="CL52" s="16">
        <f ca="1">'2.XDTD_S.Tr.T'!CN104</f>
        <v>0</v>
      </c>
      <c r="CM52" s="16">
        <f ca="1">'2.XDTD_S.Tr.T'!CO104</f>
        <v>0</v>
      </c>
      <c r="CN52" s="16">
        <f ca="1">'2.XDTD_S.Tr.T'!CP104</f>
        <v>0</v>
      </c>
      <c r="CO52" s="16">
        <f ca="1">'2.XDTD_S.Tr.T'!CP104</f>
        <v>0</v>
      </c>
    </row>
    <row r="53" spans="3:93" ht="19.95" hidden="1" customHeight="1">
      <c r="C53" s="5"/>
      <c r="D53" s="11">
        <f>'2.XDTD_S.Tr.T'!F105</f>
        <v>0</v>
      </c>
      <c r="E53" s="7">
        <f>'2.XDTD_S.Tr.T'!G105</f>
        <v>0</v>
      </c>
      <c r="F53" s="8">
        <f>'2.XDTD_S.Tr.T'!H105</f>
        <v>0</v>
      </c>
      <c r="G53" s="9">
        <f ca="1">'2.XDTD_S.Tr.T'!I105</f>
        <v>0</v>
      </c>
      <c r="H53" s="10">
        <f ca="1">'2.XDTD_S.Tr.T'!J105</f>
        <v>0</v>
      </c>
      <c r="I53" s="9">
        <f ca="1">'2.XDTD_S.Tr.T'!K105</f>
        <v>0</v>
      </c>
      <c r="J53" s="13">
        <f>'2.XDTD_S.Tr.T'!L105</f>
        <v>0</v>
      </c>
      <c r="K53" s="13">
        <f>'2.XDTD_S.Tr.T'!M105</f>
        <v>0</v>
      </c>
      <c r="L53" s="9">
        <f ca="1">'2.XDTD_S.Tr.T'!N105</f>
        <v>0</v>
      </c>
      <c r="M53" s="14">
        <f>'2.XDTD_S.Tr.T'!O105</f>
        <v>0</v>
      </c>
      <c r="N53" s="14">
        <f>'2.XDTD_S.Tr.T'!P105</f>
        <v>0</v>
      </c>
      <c r="O53" s="9">
        <f>'2.XDTD_S.Tr.T'!P105</f>
        <v>0</v>
      </c>
      <c r="P53" s="15">
        <f ca="1">'2.XDTD_S.Tr.T'!R105</f>
        <v>0</v>
      </c>
      <c r="Q53" s="16">
        <f ca="1">'2.XDTD_S.Tr.T'!S105</f>
        <v>0</v>
      </c>
      <c r="R53" s="16">
        <f ca="1">'2.XDTD_S.Tr.T'!T105</f>
        <v>0</v>
      </c>
      <c r="S53" s="16">
        <f ca="1">'2.XDTD_S.Tr.T'!U105</f>
        <v>0</v>
      </c>
      <c r="T53" s="16">
        <f ca="1">'2.XDTD_S.Tr.T'!V105</f>
        <v>0</v>
      </c>
      <c r="U53" s="16">
        <f ca="1">'2.XDTD_S.Tr.T'!W105</f>
        <v>0</v>
      </c>
      <c r="V53" s="16">
        <f ca="1">'2.XDTD_S.Tr.T'!X105</f>
        <v>0</v>
      </c>
      <c r="W53" s="16">
        <f ca="1">'2.XDTD_S.Tr.T'!Y105</f>
        <v>0</v>
      </c>
      <c r="X53" s="16">
        <f ca="1">'2.XDTD_S.Tr.T'!Z105</f>
        <v>0</v>
      </c>
      <c r="Y53" s="16">
        <f ca="1">'2.XDTD_S.Tr.T'!AA105</f>
        <v>0</v>
      </c>
      <c r="Z53" s="16">
        <f ca="1">'2.XDTD_S.Tr.T'!AB105</f>
        <v>0</v>
      </c>
      <c r="AA53" s="16">
        <f ca="1">'2.XDTD_S.Tr.T'!AC105</f>
        <v>0</v>
      </c>
      <c r="AB53" s="16">
        <f ca="1">'2.XDTD_S.Tr.T'!AD105</f>
        <v>0</v>
      </c>
      <c r="AC53" s="16">
        <f ca="1">'2.XDTD_S.Tr.T'!AE105</f>
        <v>0</v>
      </c>
      <c r="AD53" s="16">
        <f ca="1">'2.XDTD_S.Tr.T'!AF105</f>
        <v>0</v>
      </c>
      <c r="AE53" s="16">
        <f ca="1">'2.XDTD_S.Tr.T'!AG105</f>
        <v>0</v>
      </c>
      <c r="AF53" s="16">
        <f ca="1">'2.XDTD_S.Tr.T'!AH105</f>
        <v>0</v>
      </c>
      <c r="AG53" s="16">
        <f ca="1">'2.XDTD_S.Tr.T'!AI105</f>
        <v>0</v>
      </c>
      <c r="AH53" s="16">
        <f ca="1">'2.XDTD_S.Tr.T'!AJ105</f>
        <v>0</v>
      </c>
      <c r="AI53" s="16">
        <f ca="1">'2.XDTD_S.Tr.T'!AK105</f>
        <v>0</v>
      </c>
      <c r="AJ53" s="16">
        <f ca="1">'2.XDTD_S.Tr.T'!AL105</f>
        <v>0</v>
      </c>
      <c r="AK53" s="16">
        <f ca="1">'2.XDTD_S.Tr.T'!AM105</f>
        <v>0</v>
      </c>
      <c r="AL53" s="16">
        <f ca="1">'2.XDTD_S.Tr.T'!AN105</f>
        <v>0</v>
      </c>
      <c r="AM53" s="16">
        <f ca="1">'2.XDTD_S.Tr.T'!AO105</f>
        <v>0</v>
      </c>
      <c r="AN53" s="16">
        <f ca="1">'2.XDTD_S.Tr.T'!AP105</f>
        <v>0</v>
      </c>
      <c r="AO53" s="16">
        <f ca="1">'2.XDTD_S.Tr.T'!AP105</f>
        <v>0</v>
      </c>
      <c r="AP53" s="16">
        <f ca="1">'2.XDTD_S.Tr.T'!AR105</f>
        <v>0</v>
      </c>
      <c r="AQ53" s="16">
        <f ca="1">'2.XDTD_S.Tr.T'!AS105</f>
        <v>0</v>
      </c>
      <c r="AR53" s="16">
        <f ca="1">'2.XDTD_S.Tr.T'!AT105</f>
        <v>0</v>
      </c>
      <c r="AS53" s="16">
        <f ca="1">'2.XDTD_S.Tr.T'!AU105</f>
        <v>0</v>
      </c>
      <c r="AT53" s="16">
        <f ca="1">'2.XDTD_S.Tr.T'!AV105</f>
        <v>0</v>
      </c>
      <c r="AU53" s="16">
        <f ca="1">'2.XDTD_S.Tr.T'!AW105</f>
        <v>0</v>
      </c>
      <c r="AV53" s="16">
        <f ca="1">'2.XDTD_S.Tr.T'!AX105</f>
        <v>0</v>
      </c>
      <c r="AW53" s="16">
        <f ca="1">'2.XDTD_S.Tr.T'!AY105</f>
        <v>0</v>
      </c>
      <c r="AX53" s="16">
        <f ca="1">'2.XDTD_S.Tr.T'!AZ105</f>
        <v>0</v>
      </c>
      <c r="AY53" s="16">
        <f ca="1">'2.XDTD_S.Tr.T'!BA105</f>
        <v>0</v>
      </c>
      <c r="AZ53" s="16">
        <f ca="1">'2.XDTD_S.Tr.T'!BB105</f>
        <v>0</v>
      </c>
      <c r="BA53" s="16">
        <f ca="1">'2.XDTD_S.Tr.T'!BC105</f>
        <v>0</v>
      </c>
      <c r="BB53" s="16">
        <f ca="1">'2.XDTD_S.Tr.T'!BD105</f>
        <v>0</v>
      </c>
      <c r="BC53" s="16">
        <f ca="1">'2.XDTD_S.Tr.T'!BE105</f>
        <v>0</v>
      </c>
      <c r="BD53" s="16">
        <f ca="1">'2.XDTD_S.Tr.T'!BF105</f>
        <v>0</v>
      </c>
      <c r="BE53" s="16">
        <f ca="1">'2.XDTD_S.Tr.T'!BG105</f>
        <v>0</v>
      </c>
      <c r="BF53" s="16">
        <f ca="1">'2.XDTD_S.Tr.T'!BH105</f>
        <v>0</v>
      </c>
      <c r="BG53" s="16">
        <f ca="1">'2.XDTD_S.Tr.T'!BI105</f>
        <v>0</v>
      </c>
      <c r="BH53" s="16">
        <f ca="1">'2.XDTD_S.Tr.T'!BJ105</f>
        <v>0</v>
      </c>
      <c r="BI53" s="16">
        <f ca="1">'2.XDTD_S.Tr.T'!BK105</f>
        <v>0</v>
      </c>
      <c r="BJ53" s="16">
        <f ca="1">'2.XDTD_S.Tr.T'!BL105</f>
        <v>0</v>
      </c>
      <c r="BK53" s="16">
        <f ca="1">'2.XDTD_S.Tr.T'!BM105</f>
        <v>0</v>
      </c>
      <c r="BL53" s="16">
        <f ca="1">'2.XDTD_S.Tr.T'!BN105</f>
        <v>0</v>
      </c>
      <c r="BM53" s="16">
        <f ca="1">'2.XDTD_S.Tr.T'!BO105</f>
        <v>0</v>
      </c>
      <c r="BN53" s="16">
        <f ca="1">'2.XDTD_S.Tr.T'!BP105</f>
        <v>0</v>
      </c>
      <c r="BO53" s="16">
        <f ca="1">'2.XDTD_S.Tr.T'!BP105</f>
        <v>0</v>
      </c>
      <c r="BP53" s="16">
        <f ca="1">'2.XDTD_S.Tr.T'!BR105</f>
        <v>0</v>
      </c>
      <c r="BQ53" s="16">
        <f ca="1">'2.XDTD_S.Tr.T'!BS105</f>
        <v>0</v>
      </c>
      <c r="BR53" s="16">
        <f ca="1">'2.XDTD_S.Tr.T'!BT105</f>
        <v>0</v>
      </c>
      <c r="BS53" s="16">
        <f ca="1">'2.XDTD_S.Tr.T'!BU105</f>
        <v>0</v>
      </c>
      <c r="BT53" s="16">
        <f ca="1">'2.XDTD_S.Tr.T'!BV105</f>
        <v>0</v>
      </c>
      <c r="BU53" s="16">
        <f ca="1">'2.XDTD_S.Tr.T'!BW105</f>
        <v>0</v>
      </c>
      <c r="BV53" s="16">
        <f ca="1">'2.XDTD_S.Tr.T'!BX105</f>
        <v>0</v>
      </c>
      <c r="BW53" s="16">
        <f ca="1">'2.XDTD_S.Tr.T'!BY105</f>
        <v>0</v>
      </c>
      <c r="BX53" s="16">
        <f ca="1">'2.XDTD_S.Tr.T'!BZ105</f>
        <v>0</v>
      </c>
      <c r="BY53" s="16">
        <f ca="1">'2.XDTD_S.Tr.T'!CA105</f>
        <v>0</v>
      </c>
      <c r="BZ53" s="16">
        <f ca="1">'2.XDTD_S.Tr.T'!CB105</f>
        <v>0</v>
      </c>
      <c r="CA53" s="16">
        <f ca="1">'2.XDTD_S.Tr.T'!CC105</f>
        <v>0</v>
      </c>
      <c r="CB53" s="16">
        <f ca="1">'2.XDTD_S.Tr.T'!CD105</f>
        <v>0</v>
      </c>
      <c r="CC53" s="16">
        <f ca="1">'2.XDTD_S.Tr.T'!CE105</f>
        <v>0</v>
      </c>
      <c r="CD53" s="16">
        <f ca="1">'2.XDTD_S.Tr.T'!CF105</f>
        <v>0</v>
      </c>
      <c r="CE53" s="16">
        <f ca="1">'2.XDTD_S.Tr.T'!CG105</f>
        <v>0</v>
      </c>
      <c r="CF53" s="16">
        <f ca="1">'2.XDTD_S.Tr.T'!CH105</f>
        <v>0</v>
      </c>
      <c r="CG53" s="16">
        <f ca="1">'2.XDTD_S.Tr.T'!CI105</f>
        <v>0</v>
      </c>
      <c r="CH53" s="16">
        <f ca="1">'2.XDTD_S.Tr.T'!CJ105</f>
        <v>0</v>
      </c>
      <c r="CI53" s="16">
        <f ca="1">'2.XDTD_S.Tr.T'!CK105</f>
        <v>0</v>
      </c>
      <c r="CJ53" s="16">
        <f ca="1">'2.XDTD_S.Tr.T'!CL105</f>
        <v>0</v>
      </c>
      <c r="CK53" s="16">
        <f ca="1">'2.XDTD_S.Tr.T'!CM105</f>
        <v>0</v>
      </c>
      <c r="CL53" s="16">
        <f ca="1">'2.XDTD_S.Tr.T'!CN105</f>
        <v>0</v>
      </c>
      <c r="CM53" s="16">
        <f ca="1">'2.XDTD_S.Tr.T'!CO105</f>
        <v>0</v>
      </c>
      <c r="CN53" s="16">
        <f ca="1">'2.XDTD_S.Tr.T'!CP105</f>
        <v>0</v>
      </c>
      <c r="CO53" s="16">
        <f ca="1">'2.XDTD_S.Tr.T'!CP105</f>
        <v>0</v>
      </c>
    </row>
    <row r="54" spans="3:93" ht="19.95" hidden="1" customHeight="1">
      <c r="C54" s="5"/>
      <c r="D54" s="11">
        <f>'2.XDTD_S.Tr.T'!F106</f>
        <v>0</v>
      </c>
      <c r="E54" s="7">
        <f>'2.XDTD_S.Tr.T'!G106</f>
        <v>0</v>
      </c>
      <c r="F54" s="8">
        <f>'2.XDTD_S.Tr.T'!H106</f>
        <v>0</v>
      </c>
      <c r="G54" s="9">
        <f ca="1">'2.XDTD_S.Tr.T'!I106</f>
        <v>0</v>
      </c>
      <c r="H54" s="10">
        <f ca="1">'2.XDTD_S.Tr.T'!J106</f>
        <v>0</v>
      </c>
      <c r="I54" s="9">
        <f ca="1">'2.XDTD_S.Tr.T'!K106</f>
        <v>0</v>
      </c>
      <c r="J54" s="13">
        <f>'2.XDTD_S.Tr.T'!L106</f>
        <v>0</v>
      </c>
      <c r="K54" s="13">
        <f>'2.XDTD_S.Tr.T'!M106</f>
        <v>0</v>
      </c>
      <c r="L54" s="9">
        <f ca="1">'2.XDTD_S.Tr.T'!N106</f>
        <v>0</v>
      </c>
      <c r="M54" s="14">
        <f>'2.XDTD_S.Tr.T'!O106</f>
        <v>0</v>
      </c>
      <c r="N54" s="14">
        <f>'2.XDTD_S.Tr.T'!P106</f>
        <v>0</v>
      </c>
      <c r="O54" s="9">
        <f>'2.XDTD_S.Tr.T'!P106</f>
        <v>0</v>
      </c>
      <c r="P54" s="15">
        <f ca="1">'2.XDTD_S.Tr.T'!R106</f>
        <v>0</v>
      </c>
      <c r="Q54" s="16">
        <f ca="1">'2.XDTD_S.Tr.T'!S106</f>
        <v>0</v>
      </c>
      <c r="R54" s="16">
        <f ca="1">'2.XDTD_S.Tr.T'!T106</f>
        <v>0</v>
      </c>
      <c r="S54" s="16">
        <f ca="1">'2.XDTD_S.Tr.T'!U106</f>
        <v>0</v>
      </c>
      <c r="T54" s="16">
        <f ca="1">'2.XDTD_S.Tr.T'!V106</f>
        <v>0</v>
      </c>
      <c r="U54" s="16">
        <f ca="1">'2.XDTD_S.Tr.T'!W106</f>
        <v>0</v>
      </c>
      <c r="V54" s="16">
        <f ca="1">'2.XDTD_S.Tr.T'!X106</f>
        <v>0</v>
      </c>
      <c r="W54" s="16">
        <f ca="1">'2.XDTD_S.Tr.T'!Y106</f>
        <v>0</v>
      </c>
      <c r="X54" s="16">
        <f ca="1">'2.XDTD_S.Tr.T'!Z106</f>
        <v>0</v>
      </c>
      <c r="Y54" s="16">
        <f ca="1">'2.XDTD_S.Tr.T'!AA106</f>
        <v>0</v>
      </c>
      <c r="Z54" s="16">
        <f ca="1">'2.XDTD_S.Tr.T'!AB106</f>
        <v>0</v>
      </c>
      <c r="AA54" s="16">
        <f ca="1">'2.XDTD_S.Tr.T'!AC106</f>
        <v>0</v>
      </c>
      <c r="AB54" s="16">
        <f ca="1">'2.XDTD_S.Tr.T'!AD106</f>
        <v>0</v>
      </c>
      <c r="AC54" s="16">
        <f ca="1">'2.XDTD_S.Tr.T'!AE106</f>
        <v>0</v>
      </c>
      <c r="AD54" s="16">
        <f ca="1">'2.XDTD_S.Tr.T'!AF106</f>
        <v>0</v>
      </c>
      <c r="AE54" s="16">
        <f ca="1">'2.XDTD_S.Tr.T'!AG106</f>
        <v>0</v>
      </c>
      <c r="AF54" s="16">
        <f ca="1">'2.XDTD_S.Tr.T'!AH106</f>
        <v>0</v>
      </c>
      <c r="AG54" s="16">
        <f ca="1">'2.XDTD_S.Tr.T'!AI106</f>
        <v>0</v>
      </c>
      <c r="AH54" s="16">
        <f ca="1">'2.XDTD_S.Tr.T'!AJ106</f>
        <v>0</v>
      </c>
      <c r="AI54" s="16">
        <f ca="1">'2.XDTD_S.Tr.T'!AK106</f>
        <v>0</v>
      </c>
      <c r="AJ54" s="16">
        <f ca="1">'2.XDTD_S.Tr.T'!AL106</f>
        <v>0</v>
      </c>
      <c r="AK54" s="16">
        <f ca="1">'2.XDTD_S.Tr.T'!AM106</f>
        <v>0</v>
      </c>
      <c r="AL54" s="16">
        <f ca="1">'2.XDTD_S.Tr.T'!AN106</f>
        <v>0</v>
      </c>
      <c r="AM54" s="16">
        <f ca="1">'2.XDTD_S.Tr.T'!AO106</f>
        <v>0</v>
      </c>
      <c r="AN54" s="16">
        <f ca="1">'2.XDTD_S.Tr.T'!AP106</f>
        <v>0</v>
      </c>
      <c r="AO54" s="16">
        <f ca="1">'2.XDTD_S.Tr.T'!AP106</f>
        <v>0</v>
      </c>
      <c r="AP54" s="16">
        <f ca="1">'2.XDTD_S.Tr.T'!AR106</f>
        <v>0</v>
      </c>
      <c r="AQ54" s="16">
        <f ca="1">'2.XDTD_S.Tr.T'!AS106</f>
        <v>0</v>
      </c>
      <c r="AR54" s="16">
        <f ca="1">'2.XDTD_S.Tr.T'!AT106</f>
        <v>0</v>
      </c>
      <c r="AS54" s="16">
        <f ca="1">'2.XDTD_S.Tr.T'!AU106</f>
        <v>0</v>
      </c>
      <c r="AT54" s="16">
        <f ca="1">'2.XDTD_S.Tr.T'!AV106</f>
        <v>0</v>
      </c>
      <c r="AU54" s="16">
        <f ca="1">'2.XDTD_S.Tr.T'!AW106</f>
        <v>0</v>
      </c>
      <c r="AV54" s="16">
        <f ca="1">'2.XDTD_S.Tr.T'!AX106</f>
        <v>0</v>
      </c>
      <c r="AW54" s="16">
        <f ca="1">'2.XDTD_S.Tr.T'!AY106</f>
        <v>0</v>
      </c>
      <c r="AX54" s="16">
        <f ca="1">'2.XDTD_S.Tr.T'!AZ106</f>
        <v>0</v>
      </c>
      <c r="AY54" s="16">
        <f ca="1">'2.XDTD_S.Tr.T'!BA106</f>
        <v>0</v>
      </c>
      <c r="AZ54" s="16">
        <f ca="1">'2.XDTD_S.Tr.T'!BB106</f>
        <v>0</v>
      </c>
      <c r="BA54" s="16">
        <f ca="1">'2.XDTD_S.Tr.T'!BC106</f>
        <v>0</v>
      </c>
      <c r="BB54" s="16">
        <f ca="1">'2.XDTD_S.Tr.T'!BD106</f>
        <v>0</v>
      </c>
      <c r="BC54" s="16">
        <f ca="1">'2.XDTD_S.Tr.T'!BE106</f>
        <v>0</v>
      </c>
      <c r="BD54" s="16">
        <f ca="1">'2.XDTD_S.Tr.T'!BF106</f>
        <v>0</v>
      </c>
      <c r="BE54" s="16">
        <f ca="1">'2.XDTD_S.Tr.T'!BG106</f>
        <v>0</v>
      </c>
      <c r="BF54" s="16">
        <f ca="1">'2.XDTD_S.Tr.T'!BH106</f>
        <v>0</v>
      </c>
      <c r="BG54" s="16">
        <f ca="1">'2.XDTD_S.Tr.T'!BI106</f>
        <v>0</v>
      </c>
      <c r="BH54" s="16">
        <f ca="1">'2.XDTD_S.Tr.T'!BJ106</f>
        <v>0</v>
      </c>
      <c r="BI54" s="16">
        <f ca="1">'2.XDTD_S.Tr.T'!BK106</f>
        <v>0</v>
      </c>
      <c r="BJ54" s="16">
        <f ca="1">'2.XDTD_S.Tr.T'!BL106</f>
        <v>0</v>
      </c>
      <c r="BK54" s="16">
        <f ca="1">'2.XDTD_S.Tr.T'!BM106</f>
        <v>0</v>
      </c>
      <c r="BL54" s="16">
        <f ca="1">'2.XDTD_S.Tr.T'!BN106</f>
        <v>0</v>
      </c>
      <c r="BM54" s="16">
        <f ca="1">'2.XDTD_S.Tr.T'!BO106</f>
        <v>0</v>
      </c>
      <c r="BN54" s="16">
        <f ca="1">'2.XDTD_S.Tr.T'!BP106</f>
        <v>0</v>
      </c>
      <c r="BO54" s="16">
        <f ca="1">'2.XDTD_S.Tr.T'!BP106</f>
        <v>0</v>
      </c>
      <c r="BP54" s="16">
        <f ca="1">'2.XDTD_S.Tr.T'!BR106</f>
        <v>0</v>
      </c>
      <c r="BQ54" s="16">
        <f ca="1">'2.XDTD_S.Tr.T'!BS106</f>
        <v>0</v>
      </c>
      <c r="BR54" s="16">
        <f ca="1">'2.XDTD_S.Tr.T'!BT106</f>
        <v>0</v>
      </c>
      <c r="BS54" s="16">
        <f ca="1">'2.XDTD_S.Tr.T'!BU106</f>
        <v>0</v>
      </c>
      <c r="BT54" s="16">
        <f ca="1">'2.XDTD_S.Tr.T'!BV106</f>
        <v>0</v>
      </c>
      <c r="BU54" s="16">
        <f ca="1">'2.XDTD_S.Tr.T'!BW106</f>
        <v>0</v>
      </c>
      <c r="BV54" s="16">
        <f ca="1">'2.XDTD_S.Tr.T'!BX106</f>
        <v>0</v>
      </c>
      <c r="BW54" s="16">
        <f ca="1">'2.XDTD_S.Tr.T'!BY106</f>
        <v>0</v>
      </c>
      <c r="BX54" s="16">
        <f ca="1">'2.XDTD_S.Tr.T'!BZ106</f>
        <v>0</v>
      </c>
      <c r="BY54" s="16">
        <f ca="1">'2.XDTD_S.Tr.T'!CA106</f>
        <v>0</v>
      </c>
      <c r="BZ54" s="16">
        <f ca="1">'2.XDTD_S.Tr.T'!CB106</f>
        <v>0</v>
      </c>
      <c r="CA54" s="16">
        <f ca="1">'2.XDTD_S.Tr.T'!CC106</f>
        <v>0</v>
      </c>
      <c r="CB54" s="16">
        <f ca="1">'2.XDTD_S.Tr.T'!CD106</f>
        <v>0</v>
      </c>
      <c r="CC54" s="16">
        <f ca="1">'2.XDTD_S.Tr.T'!CE106</f>
        <v>0</v>
      </c>
      <c r="CD54" s="16">
        <f ca="1">'2.XDTD_S.Tr.T'!CF106</f>
        <v>0</v>
      </c>
      <c r="CE54" s="16">
        <f ca="1">'2.XDTD_S.Tr.T'!CG106</f>
        <v>0</v>
      </c>
      <c r="CF54" s="16">
        <f ca="1">'2.XDTD_S.Tr.T'!CH106</f>
        <v>0</v>
      </c>
      <c r="CG54" s="16">
        <f ca="1">'2.XDTD_S.Tr.T'!CI106</f>
        <v>0</v>
      </c>
      <c r="CH54" s="16">
        <f ca="1">'2.XDTD_S.Tr.T'!CJ106</f>
        <v>0</v>
      </c>
      <c r="CI54" s="16">
        <f ca="1">'2.XDTD_S.Tr.T'!CK106</f>
        <v>0</v>
      </c>
      <c r="CJ54" s="16">
        <f ca="1">'2.XDTD_S.Tr.T'!CL106</f>
        <v>0</v>
      </c>
      <c r="CK54" s="16">
        <f ca="1">'2.XDTD_S.Tr.T'!CM106</f>
        <v>0</v>
      </c>
      <c r="CL54" s="16">
        <f ca="1">'2.XDTD_S.Tr.T'!CN106</f>
        <v>0</v>
      </c>
      <c r="CM54" s="16">
        <f ca="1">'2.XDTD_S.Tr.T'!CO106</f>
        <v>0</v>
      </c>
      <c r="CN54" s="16">
        <f ca="1">'2.XDTD_S.Tr.T'!CP106</f>
        <v>0</v>
      </c>
      <c r="CO54" s="16">
        <f ca="1">'2.XDTD_S.Tr.T'!CP106</f>
        <v>0</v>
      </c>
    </row>
    <row r="55" spans="3:93" ht="19.95" customHeight="1">
      <c r="C55" s="5"/>
      <c r="D55" s="11" t="str">
        <f>'2.XDTD_S.Tr.T'!F107</f>
        <v>Rau rút</v>
      </c>
      <c r="E55" s="7" t="e">
        <f ca="1">'2.XDTD_S.Tr.T'!G107</f>
        <v>#NAME?</v>
      </c>
      <c r="F55" s="8">
        <f>'2.XDTD_S.Tr.T'!H107</f>
        <v>50</v>
      </c>
      <c r="G55" s="9">
        <f ca="1">'2.XDTD_S.Tr.T'!I107</f>
        <v>0</v>
      </c>
      <c r="H55" s="10">
        <f ca="1">'2.XDTD_S.Tr.T'!J107</f>
        <v>0</v>
      </c>
      <c r="I55" s="9">
        <f ca="1">'2.XDTD_S.Tr.T'!K107</f>
        <v>0</v>
      </c>
      <c r="J55" s="13" t="e">
        <f ca="1">'2.XDTD_S.Tr.T'!L107</f>
        <v>#NAME?</v>
      </c>
      <c r="K55" s="13" t="e">
        <f ca="1">'2.XDTD_S.Tr.T'!M107</f>
        <v>#NAME?</v>
      </c>
      <c r="L55" s="9">
        <f ca="1">'2.XDTD_S.Tr.T'!N107</f>
        <v>0</v>
      </c>
      <c r="M55" s="14" t="e">
        <f ca="1">'2.XDTD_S.Tr.T'!O107</f>
        <v>#NAME?</v>
      </c>
      <c r="N55" s="14" t="e">
        <f ca="1">'2.XDTD_S.Tr.T'!P107</f>
        <v>#NAME?</v>
      </c>
      <c r="O55" s="9" t="e">
        <f ca="1">'2.XDTD_S.Tr.T'!P107</f>
        <v>#NAME?</v>
      </c>
      <c r="P55" s="15">
        <f ca="1">'2.XDTD_S.Tr.T'!R107</f>
        <v>0</v>
      </c>
      <c r="Q55" s="16">
        <f ca="1">'2.XDTD_S.Tr.T'!S107</f>
        <v>0</v>
      </c>
      <c r="R55" s="16">
        <f ca="1">'2.XDTD_S.Tr.T'!T107</f>
        <v>0</v>
      </c>
      <c r="S55" s="16">
        <f ca="1">'2.XDTD_S.Tr.T'!U107</f>
        <v>0</v>
      </c>
      <c r="T55" s="16">
        <f ca="1">'2.XDTD_S.Tr.T'!V107</f>
        <v>0</v>
      </c>
      <c r="U55" s="16">
        <f ca="1">'2.XDTD_S.Tr.T'!W107</f>
        <v>0</v>
      </c>
      <c r="V55" s="16">
        <f ca="1">'2.XDTD_S.Tr.T'!X107</f>
        <v>0</v>
      </c>
      <c r="W55" s="16">
        <f ca="1">'2.XDTD_S.Tr.T'!Y107</f>
        <v>0</v>
      </c>
      <c r="X55" s="16">
        <f ca="1">'2.XDTD_S.Tr.T'!Z107</f>
        <v>0</v>
      </c>
      <c r="Y55" s="16">
        <f ca="1">'2.XDTD_S.Tr.T'!AA107</f>
        <v>0</v>
      </c>
      <c r="Z55" s="16">
        <f ca="1">'2.XDTD_S.Tr.T'!AB107</f>
        <v>0</v>
      </c>
      <c r="AA55" s="16">
        <f ca="1">'2.XDTD_S.Tr.T'!AC107</f>
        <v>0</v>
      </c>
      <c r="AB55" s="16">
        <f ca="1">'2.XDTD_S.Tr.T'!AD107</f>
        <v>0</v>
      </c>
      <c r="AC55" s="16">
        <f ca="1">'2.XDTD_S.Tr.T'!AE107</f>
        <v>0</v>
      </c>
      <c r="AD55" s="16">
        <f ca="1">'2.XDTD_S.Tr.T'!AF107</f>
        <v>0</v>
      </c>
      <c r="AE55" s="16">
        <f ca="1">'2.XDTD_S.Tr.T'!AG107</f>
        <v>0</v>
      </c>
      <c r="AF55" s="16">
        <f ca="1">'2.XDTD_S.Tr.T'!AH107</f>
        <v>0</v>
      </c>
      <c r="AG55" s="16">
        <f ca="1">'2.XDTD_S.Tr.T'!AI107</f>
        <v>0</v>
      </c>
      <c r="AH55" s="16">
        <f ca="1">'2.XDTD_S.Tr.T'!AJ107</f>
        <v>0</v>
      </c>
      <c r="AI55" s="16">
        <f ca="1">'2.XDTD_S.Tr.T'!AK107</f>
        <v>0</v>
      </c>
      <c r="AJ55" s="16">
        <f ca="1">'2.XDTD_S.Tr.T'!AL107</f>
        <v>0</v>
      </c>
      <c r="AK55" s="16">
        <f ca="1">'2.XDTD_S.Tr.T'!AM107</f>
        <v>0</v>
      </c>
      <c r="AL55" s="16">
        <f ca="1">'2.XDTD_S.Tr.T'!AN107</f>
        <v>0</v>
      </c>
      <c r="AM55" s="16">
        <f ca="1">'2.XDTD_S.Tr.T'!AO107</f>
        <v>0</v>
      </c>
      <c r="AN55" s="16">
        <f ca="1">'2.XDTD_S.Tr.T'!AP107</f>
        <v>0</v>
      </c>
      <c r="AO55" s="16">
        <f ca="1">'2.XDTD_S.Tr.T'!AP107</f>
        <v>0</v>
      </c>
      <c r="AP55" s="16">
        <f ca="1">'2.XDTD_S.Tr.T'!AR107</f>
        <v>0</v>
      </c>
      <c r="AQ55" s="16">
        <f ca="1">'2.XDTD_S.Tr.T'!AS107</f>
        <v>0</v>
      </c>
      <c r="AR55" s="16">
        <f ca="1">'2.XDTD_S.Tr.T'!AT107</f>
        <v>0</v>
      </c>
      <c r="AS55" s="16">
        <f ca="1">'2.XDTD_S.Tr.T'!AU107</f>
        <v>0</v>
      </c>
      <c r="AT55" s="16">
        <f ca="1">'2.XDTD_S.Tr.T'!AV107</f>
        <v>0</v>
      </c>
      <c r="AU55" s="16">
        <f ca="1">'2.XDTD_S.Tr.T'!AW107</f>
        <v>0</v>
      </c>
      <c r="AV55" s="16">
        <f ca="1">'2.XDTD_S.Tr.T'!AX107</f>
        <v>0</v>
      </c>
      <c r="AW55" s="16">
        <f ca="1">'2.XDTD_S.Tr.T'!AY107</f>
        <v>0</v>
      </c>
      <c r="AX55" s="16">
        <f ca="1">'2.XDTD_S.Tr.T'!AZ107</f>
        <v>0</v>
      </c>
      <c r="AY55" s="16">
        <f ca="1">'2.XDTD_S.Tr.T'!BA107</f>
        <v>0</v>
      </c>
      <c r="AZ55" s="16">
        <f ca="1">'2.XDTD_S.Tr.T'!BB107</f>
        <v>0</v>
      </c>
      <c r="BA55" s="16">
        <f ca="1">'2.XDTD_S.Tr.T'!BC107</f>
        <v>0</v>
      </c>
      <c r="BB55" s="16">
        <f ca="1">'2.XDTD_S.Tr.T'!BD107</f>
        <v>0</v>
      </c>
      <c r="BC55" s="16">
        <f ca="1">'2.XDTD_S.Tr.T'!BE107</f>
        <v>0</v>
      </c>
      <c r="BD55" s="16">
        <f ca="1">'2.XDTD_S.Tr.T'!BF107</f>
        <v>0</v>
      </c>
      <c r="BE55" s="16">
        <f ca="1">'2.XDTD_S.Tr.T'!BG107</f>
        <v>0</v>
      </c>
      <c r="BF55" s="16">
        <f ca="1">'2.XDTD_S.Tr.T'!BH107</f>
        <v>0</v>
      </c>
      <c r="BG55" s="16">
        <f ca="1">'2.XDTD_S.Tr.T'!BI107</f>
        <v>0</v>
      </c>
      <c r="BH55" s="16">
        <f ca="1">'2.XDTD_S.Tr.T'!BJ107</f>
        <v>0</v>
      </c>
      <c r="BI55" s="16">
        <f ca="1">'2.XDTD_S.Tr.T'!BK107</f>
        <v>0</v>
      </c>
      <c r="BJ55" s="16">
        <f ca="1">'2.XDTD_S.Tr.T'!BL107</f>
        <v>0</v>
      </c>
      <c r="BK55" s="16">
        <f ca="1">'2.XDTD_S.Tr.T'!BM107</f>
        <v>0</v>
      </c>
      <c r="BL55" s="16">
        <f ca="1">'2.XDTD_S.Tr.T'!BN107</f>
        <v>0</v>
      </c>
      <c r="BM55" s="16">
        <f ca="1">'2.XDTD_S.Tr.T'!BO107</f>
        <v>0</v>
      </c>
      <c r="BN55" s="16">
        <f ca="1">'2.XDTD_S.Tr.T'!BP107</f>
        <v>0</v>
      </c>
      <c r="BO55" s="16">
        <f ca="1">'2.XDTD_S.Tr.T'!BP107</f>
        <v>0</v>
      </c>
      <c r="BP55" s="16">
        <f ca="1">'2.XDTD_S.Tr.T'!BR107</f>
        <v>0</v>
      </c>
      <c r="BQ55" s="16">
        <f ca="1">'2.XDTD_S.Tr.T'!BS107</f>
        <v>0</v>
      </c>
      <c r="BR55" s="16">
        <f ca="1">'2.XDTD_S.Tr.T'!BT107</f>
        <v>0</v>
      </c>
      <c r="BS55" s="16">
        <f ca="1">'2.XDTD_S.Tr.T'!BU107</f>
        <v>0</v>
      </c>
      <c r="BT55" s="16">
        <f ca="1">'2.XDTD_S.Tr.T'!BV107</f>
        <v>0</v>
      </c>
      <c r="BU55" s="16">
        <f ca="1">'2.XDTD_S.Tr.T'!BW107</f>
        <v>0</v>
      </c>
      <c r="BV55" s="16">
        <f ca="1">'2.XDTD_S.Tr.T'!BX107</f>
        <v>0</v>
      </c>
      <c r="BW55" s="16">
        <f ca="1">'2.XDTD_S.Tr.T'!BY107</f>
        <v>0</v>
      </c>
      <c r="BX55" s="16">
        <f ca="1">'2.XDTD_S.Tr.T'!BZ107</f>
        <v>0</v>
      </c>
      <c r="BY55" s="16">
        <f ca="1">'2.XDTD_S.Tr.T'!CA107</f>
        <v>0</v>
      </c>
      <c r="BZ55" s="16">
        <f ca="1">'2.XDTD_S.Tr.T'!CB107</f>
        <v>0</v>
      </c>
      <c r="CA55" s="16">
        <f ca="1">'2.XDTD_S.Tr.T'!CC107</f>
        <v>0</v>
      </c>
      <c r="CB55" s="16">
        <f ca="1">'2.XDTD_S.Tr.T'!CD107</f>
        <v>0</v>
      </c>
      <c r="CC55" s="16">
        <f ca="1">'2.XDTD_S.Tr.T'!CE107</f>
        <v>0</v>
      </c>
      <c r="CD55" s="16">
        <f ca="1">'2.XDTD_S.Tr.T'!CF107</f>
        <v>0</v>
      </c>
      <c r="CE55" s="16">
        <f ca="1">'2.XDTD_S.Tr.T'!CG107</f>
        <v>0</v>
      </c>
      <c r="CF55" s="16">
        <f ca="1">'2.XDTD_S.Tr.T'!CH107</f>
        <v>0</v>
      </c>
      <c r="CG55" s="16">
        <f ca="1">'2.XDTD_S.Tr.T'!CI107</f>
        <v>0</v>
      </c>
      <c r="CH55" s="16">
        <f ca="1">'2.XDTD_S.Tr.T'!CJ107</f>
        <v>0</v>
      </c>
      <c r="CI55" s="16">
        <f ca="1">'2.XDTD_S.Tr.T'!CK107</f>
        <v>0</v>
      </c>
      <c r="CJ55" s="16">
        <f ca="1">'2.XDTD_S.Tr.T'!CL107</f>
        <v>0</v>
      </c>
      <c r="CK55" s="16">
        <f ca="1">'2.XDTD_S.Tr.T'!CM107</f>
        <v>0</v>
      </c>
      <c r="CL55" s="16">
        <f ca="1">'2.XDTD_S.Tr.T'!CN107</f>
        <v>0</v>
      </c>
      <c r="CM55" s="16">
        <f ca="1">'2.XDTD_S.Tr.T'!CO107</f>
        <v>0</v>
      </c>
      <c r="CN55" s="16">
        <f ca="1">'2.XDTD_S.Tr.T'!CP107</f>
        <v>0</v>
      </c>
      <c r="CO55" s="16">
        <f ca="1">'2.XDTD_S.Tr.T'!CP107</f>
        <v>0</v>
      </c>
    </row>
    <row r="56" spans="3:93" ht="19.95" customHeight="1">
      <c r="C56" s="5"/>
      <c r="D56" s="11" t="str">
        <f>'2.XDTD_S.Tr.T'!F108</f>
        <v>Sấu xanh</v>
      </c>
      <c r="E56" s="7" t="e">
        <f ca="1">'2.XDTD_S.Tr.T'!G108</f>
        <v>#NAME?</v>
      </c>
      <c r="F56" s="8">
        <f>'2.XDTD_S.Tr.T'!H108</f>
        <v>10</v>
      </c>
      <c r="G56" s="9">
        <f ca="1">'2.XDTD_S.Tr.T'!I108</f>
        <v>0</v>
      </c>
      <c r="H56" s="10">
        <f ca="1">'2.XDTD_S.Tr.T'!J108</f>
        <v>0</v>
      </c>
      <c r="I56" s="9">
        <f ca="1">'2.XDTD_S.Tr.T'!K108</f>
        <v>0</v>
      </c>
      <c r="J56" s="13" t="e">
        <f ca="1">'2.XDTD_S.Tr.T'!L108</f>
        <v>#NAME?</v>
      </c>
      <c r="K56" s="13" t="e">
        <f ca="1">'2.XDTD_S.Tr.T'!M108</f>
        <v>#NAME?</v>
      </c>
      <c r="L56" s="9">
        <f ca="1">'2.XDTD_S.Tr.T'!N108</f>
        <v>0</v>
      </c>
      <c r="M56" s="14" t="e">
        <f ca="1">'2.XDTD_S.Tr.T'!O108</f>
        <v>#NAME?</v>
      </c>
      <c r="N56" s="14" t="e">
        <f ca="1">'2.XDTD_S.Tr.T'!P108</f>
        <v>#NAME?</v>
      </c>
      <c r="O56" s="9" t="e">
        <f ca="1">'2.XDTD_S.Tr.T'!P108</f>
        <v>#NAME?</v>
      </c>
      <c r="P56" s="15">
        <f ca="1">'2.XDTD_S.Tr.T'!R108</f>
        <v>0</v>
      </c>
      <c r="Q56" s="16">
        <f ca="1">'2.XDTD_S.Tr.T'!S108</f>
        <v>0</v>
      </c>
      <c r="R56" s="16">
        <f ca="1">'2.XDTD_S.Tr.T'!T108</f>
        <v>0</v>
      </c>
      <c r="S56" s="16">
        <f ca="1">'2.XDTD_S.Tr.T'!U108</f>
        <v>0</v>
      </c>
      <c r="T56" s="16">
        <f ca="1">'2.XDTD_S.Tr.T'!V108</f>
        <v>0</v>
      </c>
      <c r="U56" s="16">
        <f ca="1">'2.XDTD_S.Tr.T'!W108</f>
        <v>0</v>
      </c>
      <c r="V56" s="16">
        <f ca="1">'2.XDTD_S.Tr.T'!X108</f>
        <v>0</v>
      </c>
      <c r="W56" s="16">
        <f ca="1">'2.XDTD_S.Tr.T'!Y108</f>
        <v>0</v>
      </c>
      <c r="X56" s="16">
        <f ca="1">'2.XDTD_S.Tr.T'!Z108</f>
        <v>0</v>
      </c>
      <c r="Y56" s="16">
        <f ca="1">'2.XDTD_S.Tr.T'!AA108</f>
        <v>0</v>
      </c>
      <c r="Z56" s="16">
        <f ca="1">'2.XDTD_S.Tr.T'!AB108</f>
        <v>0</v>
      </c>
      <c r="AA56" s="16">
        <f ca="1">'2.XDTD_S.Tr.T'!AC108</f>
        <v>0</v>
      </c>
      <c r="AB56" s="16">
        <f ca="1">'2.XDTD_S.Tr.T'!AD108</f>
        <v>0</v>
      </c>
      <c r="AC56" s="16">
        <f ca="1">'2.XDTD_S.Tr.T'!AE108</f>
        <v>0</v>
      </c>
      <c r="AD56" s="16">
        <f ca="1">'2.XDTD_S.Tr.T'!AF108</f>
        <v>0</v>
      </c>
      <c r="AE56" s="16">
        <f ca="1">'2.XDTD_S.Tr.T'!AG108</f>
        <v>0</v>
      </c>
      <c r="AF56" s="16">
        <f ca="1">'2.XDTD_S.Tr.T'!AH108</f>
        <v>0</v>
      </c>
      <c r="AG56" s="16">
        <f ca="1">'2.XDTD_S.Tr.T'!AI108</f>
        <v>0</v>
      </c>
      <c r="AH56" s="16">
        <f ca="1">'2.XDTD_S.Tr.T'!AJ108</f>
        <v>0</v>
      </c>
      <c r="AI56" s="16">
        <f ca="1">'2.XDTD_S.Tr.T'!AK108</f>
        <v>0</v>
      </c>
      <c r="AJ56" s="16">
        <f ca="1">'2.XDTD_S.Tr.T'!AL108</f>
        <v>0</v>
      </c>
      <c r="AK56" s="16">
        <f ca="1">'2.XDTD_S.Tr.T'!AM108</f>
        <v>0</v>
      </c>
      <c r="AL56" s="16">
        <f ca="1">'2.XDTD_S.Tr.T'!AN108</f>
        <v>0</v>
      </c>
      <c r="AM56" s="16">
        <f ca="1">'2.XDTD_S.Tr.T'!AO108</f>
        <v>0</v>
      </c>
      <c r="AN56" s="16">
        <f ca="1">'2.XDTD_S.Tr.T'!AP108</f>
        <v>0</v>
      </c>
      <c r="AO56" s="16">
        <f ca="1">'2.XDTD_S.Tr.T'!AP108</f>
        <v>0</v>
      </c>
      <c r="AP56" s="16">
        <f ca="1">'2.XDTD_S.Tr.T'!AR108</f>
        <v>0</v>
      </c>
      <c r="AQ56" s="16">
        <f ca="1">'2.XDTD_S.Tr.T'!AS108</f>
        <v>0</v>
      </c>
      <c r="AR56" s="16">
        <f ca="1">'2.XDTD_S.Tr.T'!AT108</f>
        <v>0</v>
      </c>
      <c r="AS56" s="16">
        <f ca="1">'2.XDTD_S.Tr.T'!AU108</f>
        <v>0</v>
      </c>
      <c r="AT56" s="16">
        <f ca="1">'2.XDTD_S.Tr.T'!AV108</f>
        <v>0</v>
      </c>
      <c r="AU56" s="16">
        <f ca="1">'2.XDTD_S.Tr.T'!AW108</f>
        <v>0</v>
      </c>
      <c r="AV56" s="16">
        <f ca="1">'2.XDTD_S.Tr.T'!AX108</f>
        <v>0</v>
      </c>
      <c r="AW56" s="16">
        <f ca="1">'2.XDTD_S.Tr.T'!AY108</f>
        <v>0</v>
      </c>
      <c r="AX56" s="16">
        <f ca="1">'2.XDTD_S.Tr.T'!AZ108</f>
        <v>0</v>
      </c>
      <c r="AY56" s="16">
        <f ca="1">'2.XDTD_S.Tr.T'!BA108</f>
        <v>0</v>
      </c>
      <c r="AZ56" s="16">
        <f ca="1">'2.XDTD_S.Tr.T'!BB108</f>
        <v>0</v>
      </c>
      <c r="BA56" s="16">
        <f ca="1">'2.XDTD_S.Tr.T'!BC108</f>
        <v>0</v>
      </c>
      <c r="BB56" s="16">
        <f ca="1">'2.XDTD_S.Tr.T'!BD108</f>
        <v>0</v>
      </c>
      <c r="BC56" s="16">
        <f ca="1">'2.XDTD_S.Tr.T'!BE108</f>
        <v>0</v>
      </c>
      <c r="BD56" s="16">
        <f ca="1">'2.XDTD_S.Tr.T'!BF108</f>
        <v>0</v>
      </c>
      <c r="BE56" s="16">
        <f ca="1">'2.XDTD_S.Tr.T'!BG108</f>
        <v>0</v>
      </c>
      <c r="BF56" s="16">
        <f ca="1">'2.XDTD_S.Tr.T'!BH108</f>
        <v>0</v>
      </c>
      <c r="BG56" s="16">
        <f ca="1">'2.XDTD_S.Tr.T'!BI108</f>
        <v>0</v>
      </c>
      <c r="BH56" s="16">
        <f ca="1">'2.XDTD_S.Tr.T'!BJ108</f>
        <v>0</v>
      </c>
      <c r="BI56" s="16">
        <f ca="1">'2.XDTD_S.Tr.T'!BK108</f>
        <v>0</v>
      </c>
      <c r="BJ56" s="16">
        <f ca="1">'2.XDTD_S.Tr.T'!BL108</f>
        <v>0</v>
      </c>
      <c r="BK56" s="16">
        <f ca="1">'2.XDTD_S.Tr.T'!BM108</f>
        <v>0</v>
      </c>
      <c r="BL56" s="16">
        <f ca="1">'2.XDTD_S.Tr.T'!BN108</f>
        <v>0</v>
      </c>
      <c r="BM56" s="16">
        <f ca="1">'2.XDTD_S.Tr.T'!BO108</f>
        <v>0</v>
      </c>
      <c r="BN56" s="16">
        <f ca="1">'2.XDTD_S.Tr.T'!BP108</f>
        <v>0</v>
      </c>
      <c r="BO56" s="16">
        <f ca="1">'2.XDTD_S.Tr.T'!BP108</f>
        <v>0</v>
      </c>
      <c r="BP56" s="16">
        <f ca="1">'2.XDTD_S.Tr.T'!BR108</f>
        <v>0</v>
      </c>
      <c r="BQ56" s="16">
        <f ca="1">'2.XDTD_S.Tr.T'!BS108</f>
        <v>0</v>
      </c>
      <c r="BR56" s="16">
        <f ca="1">'2.XDTD_S.Tr.T'!BT108</f>
        <v>0</v>
      </c>
      <c r="BS56" s="16">
        <f ca="1">'2.XDTD_S.Tr.T'!BU108</f>
        <v>0</v>
      </c>
      <c r="BT56" s="16">
        <f ca="1">'2.XDTD_S.Tr.T'!BV108</f>
        <v>0</v>
      </c>
      <c r="BU56" s="16">
        <f ca="1">'2.XDTD_S.Tr.T'!BW108</f>
        <v>0</v>
      </c>
      <c r="BV56" s="16">
        <f ca="1">'2.XDTD_S.Tr.T'!BX108</f>
        <v>0</v>
      </c>
      <c r="BW56" s="16">
        <f ca="1">'2.XDTD_S.Tr.T'!BY108</f>
        <v>0</v>
      </c>
      <c r="BX56" s="16">
        <f ca="1">'2.XDTD_S.Tr.T'!BZ108</f>
        <v>0</v>
      </c>
      <c r="BY56" s="16">
        <f ca="1">'2.XDTD_S.Tr.T'!CA108</f>
        <v>0</v>
      </c>
      <c r="BZ56" s="16">
        <f ca="1">'2.XDTD_S.Tr.T'!CB108</f>
        <v>0</v>
      </c>
      <c r="CA56" s="16">
        <f ca="1">'2.XDTD_S.Tr.T'!CC108</f>
        <v>0</v>
      </c>
      <c r="CB56" s="16">
        <f ca="1">'2.XDTD_S.Tr.T'!CD108</f>
        <v>0</v>
      </c>
      <c r="CC56" s="16">
        <f ca="1">'2.XDTD_S.Tr.T'!CE108</f>
        <v>0</v>
      </c>
      <c r="CD56" s="16">
        <f ca="1">'2.XDTD_S.Tr.T'!CF108</f>
        <v>0</v>
      </c>
      <c r="CE56" s="16">
        <f ca="1">'2.XDTD_S.Tr.T'!CG108</f>
        <v>0</v>
      </c>
      <c r="CF56" s="16">
        <f ca="1">'2.XDTD_S.Tr.T'!CH108</f>
        <v>0</v>
      </c>
      <c r="CG56" s="16">
        <f ca="1">'2.XDTD_S.Tr.T'!CI108</f>
        <v>0</v>
      </c>
      <c r="CH56" s="16">
        <f ca="1">'2.XDTD_S.Tr.T'!CJ108</f>
        <v>0</v>
      </c>
      <c r="CI56" s="16">
        <f ca="1">'2.XDTD_S.Tr.T'!CK108</f>
        <v>0</v>
      </c>
      <c r="CJ56" s="16">
        <f ca="1">'2.XDTD_S.Tr.T'!CL108</f>
        <v>0</v>
      </c>
      <c r="CK56" s="16">
        <f ca="1">'2.XDTD_S.Tr.T'!CM108</f>
        <v>0</v>
      </c>
      <c r="CL56" s="16">
        <f ca="1">'2.XDTD_S.Tr.T'!CN108</f>
        <v>0</v>
      </c>
      <c r="CM56" s="16">
        <f ca="1">'2.XDTD_S.Tr.T'!CO108</f>
        <v>0</v>
      </c>
      <c r="CN56" s="16">
        <f ca="1">'2.XDTD_S.Tr.T'!CP108</f>
        <v>0</v>
      </c>
      <c r="CO56" s="16">
        <f ca="1">'2.XDTD_S.Tr.T'!CP108</f>
        <v>0</v>
      </c>
    </row>
    <row r="57" spans="3:93" ht="19.95" customHeight="1">
      <c r="C57" s="5"/>
      <c r="D57" s="11" t="str">
        <f>'2.XDTD_S.Tr.T'!F109</f>
        <v>Cà chua</v>
      </c>
      <c r="E57" s="7" t="e">
        <f ca="1">'2.XDTD_S.Tr.T'!G109</f>
        <v>#NAME?</v>
      </c>
      <c r="F57" s="8">
        <f>'2.XDTD_S.Tr.T'!H109</f>
        <v>50</v>
      </c>
      <c r="G57" s="9">
        <f ca="1">'2.XDTD_S.Tr.T'!I109</f>
        <v>0</v>
      </c>
      <c r="H57" s="10">
        <f ca="1">'2.XDTD_S.Tr.T'!J109</f>
        <v>0</v>
      </c>
      <c r="I57" s="9">
        <f ca="1">'2.XDTD_S.Tr.T'!K109</f>
        <v>0</v>
      </c>
      <c r="J57" s="13" t="e">
        <f ca="1">'2.XDTD_S.Tr.T'!L109</f>
        <v>#NAME?</v>
      </c>
      <c r="K57" s="13" t="e">
        <f ca="1">'2.XDTD_S.Tr.T'!M109</f>
        <v>#NAME?</v>
      </c>
      <c r="L57" s="9">
        <f ca="1">'2.XDTD_S.Tr.T'!N109</f>
        <v>0</v>
      </c>
      <c r="M57" s="14" t="e">
        <f ca="1">'2.XDTD_S.Tr.T'!O109</f>
        <v>#NAME?</v>
      </c>
      <c r="N57" s="14" t="e">
        <f ca="1">'2.XDTD_S.Tr.T'!P109</f>
        <v>#NAME?</v>
      </c>
      <c r="O57" s="9" t="e">
        <f ca="1">'2.XDTD_S.Tr.T'!P109</f>
        <v>#NAME?</v>
      </c>
      <c r="P57" s="15">
        <f ca="1">'2.XDTD_S.Tr.T'!R109</f>
        <v>0</v>
      </c>
      <c r="Q57" s="16">
        <f ca="1">'2.XDTD_S.Tr.T'!S109</f>
        <v>0</v>
      </c>
      <c r="R57" s="16">
        <f ca="1">'2.XDTD_S.Tr.T'!T109</f>
        <v>0</v>
      </c>
      <c r="S57" s="16">
        <f ca="1">'2.XDTD_S.Tr.T'!U109</f>
        <v>0</v>
      </c>
      <c r="T57" s="16">
        <f ca="1">'2.XDTD_S.Tr.T'!V109</f>
        <v>0</v>
      </c>
      <c r="U57" s="16">
        <f ca="1">'2.XDTD_S.Tr.T'!W109</f>
        <v>0</v>
      </c>
      <c r="V57" s="16">
        <f ca="1">'2.XDTD_S.Tr.T'!X109</f>
        <v>0</v>
      </c>
      <c r="W57" s="16">
        <f ca="1">'2.XDTD_S.Tr.T'!Y109</f>
        <v>0</v>
      </c>
      <c r="X57" s="16">
        <f ca="1">'2.XDTD_S.Tr.T'!Z109</f>
        <v>0</v>
      </c>
      <c r="Y57" s="16">
        <f ca="1">'2.XDTD_S.Tr.T'!AA109</f>
        <v>0</v>
      </c>
      <c r="Z57" s="16">
        <f ca="1">'2.XDTD_S.Tr.T'!AB109</f>
        <v>0</v>
      </c>
      <c r="AA57" s="16">
        <f ca="1">'2.XDTD_S.Tr.T'!AC109</f>
        <v>0</v>
      </c>
      <c r="AB57" s="16">
        <f ca="1">'2.XDTD_S.Tr.T'!AD109</f>
        <v>0</v>
      </c>
      <c r="AC57" s="16">
        <f ca="1">'2.XDTD_S.Tr.T'!AE109</f>
        <v>0</v>
      </c>
      <c r="AD57" s="16">
        <f ca="1">'2.XDTD_S.Tr.T'!AF109</f>
        <v>0</v>
      </c>
      <c r="AE57" s="16">
        <f ca="1">'2.XDTD_S.Tr.T'!AG109</f>
        <v>0</v>
      </c>
      <c r="AF57" s="16">
        <f ca="1">'2.XDTD_S.Tr.T'!AH109</f>
        <v>0</v>
      </c>
      <c r="AG57" s="16">
        <f ca="1">'2.XDTD_S.Tr.T'!AI109</f>
        <v>0</v>
      </c>
      <c r="AH57" s="16">
        <f ca="1">'2.XDTD_S.Tr.T'!AJ109</f>
        <v>0</v>
      </c>
      <c r="AI57" s="16">
        <f ca="1">'2.XDTD_S.Tr.T'!AK109</f>
        <v>0</v>
      </c>
      <c r="AJ57" s="16">
        <f ca="1">'2.XDTD_S.Tr.T'!AL109</f>
        <v>0</v>
      </c>
      <c r="AK57" s="16">
        <f ca="1">'2.XDTD_S.Tr.T'!AM109</f>
        <v>0</v>
      </c>
      <c r="AL57" s="16">
        <f ca="1">'2.XDTD_S.Tr.T'!AN109</f>
        <v>0</v>
      </c>
      <c r="AM57" s="16">
        <f ca="1">'2.XDTD_S.Tr.T'!AO109</f>
        <v>0</v>
      </c>
      <c r="AN57" s="16">
        <f ca="1">'2.XDTD_S.Tr.T'!AP109</f>
        <v>0</v>
      </c>
      <c r="AO57" s="16">
        <f ca="1">'2.XDTD_S.Tr.T'!AP109</f>
        <v>0</v>
      </c>
      <c r="AP57" s="16">
        <f ca="1">'2.XDTD_S.Tr.T'!AR109</f>
        <v>0</v>
      </c>
      <c r="AQ57" s="16">
        <f ca="1">'2.XDTD_S.Tr.T'!AS109</f>
        <v>0</v>
      </c>
      <c r="AR57" s="16">
        <f ca="1">'2.XDTD_S.Tr.T'!AT109</f>
        <v>0</v>
      </c>
      <c r="AS57" s="16">
        <f ca="1">'2.XDTD_S.Tr.T'!AU109</f>
        <v>0</v>
      </c>
      <c r="AT57" s="16">
        <f ca="1">'2.XDTD_S.Tr.T'!AV109</f>
        <v>0</v>
      </c>
      <c r="AU57" s="16">
        <f ca="1">'2.XDTD_S.Tr.T'!AW109</f>
        <v>0</v>
      </c>
      <c r="AV57" s="16">
        <f ca="1">'2.XDTD_S.Tr.T'!AX109</f>
        <v>0</v>
      </c>
      <c r="AW57" s="16">
        <f ca="1">'2.XDTD_S.Tr.T'!AY109</f>
        <v>0</v>
      </c>
      <c r="AX57" s="16">
        <f ca="1">'2.XDTD_S.Tr.T'!AZ109</f>
        <v>0</v>
      </c>
      <c r="AY57" s="16">
        <f ca="1">'2.XDTD_S.Tr.T'!BA109</f>
        <v>0</v>
      </c>
      <c r="AZ57" s="16">
        <f ca="1">'2.XDTD_S.Tr.T'!BB109</f>
        <v>0</v>
      </c>
      <c r="BA57" s="16">
        <f ca="1">'2.XDTD_S.Tr.T'!BC109</f>
        <v>0</v>
      </c>
      <c r="BB57" s="16">
        <f ca="1">'2.XDTD_S.Tr.T'!BD109</f>
        <v>0</v>
      </c>
      <c r="BC57" s="16">
        <f ca="1">'2.XDTD_S.Tr.T'!BE109</f>
        <v>0</v>
      </c>
      <c r="BD57" s="16">
        <f ca="1">'2.XDTD_S.Tr.T'!BF109</f>
        <v>0</v>
      </c>
      <c r="BE57" s="16">
        <f ca="1">'2.XDTD_S.Tr.T'!BG109</f>
        <v>0</v>
      </c>
      <c r="BF57" s="16">
        <f ca="1">'2.XDTD_S.Tr.T'!BH109</f>
        <v>0</v>
      </c>
      <c r="BG57" s="16">
        <f ca="1">'2.XDTD_S.Tr.T'!BI109</f>
        <v>0</v>
      </c>
      <c r="BH57" s="16">
        <f ca="1">'2.XDTD_S.Tr.T'!BJ109</f>
        <v>0</v>
      </c>
      <c r="BI57" s="16">
        <f ca="1">'2.XDTD_S.Tr.T'!BK109</f>
        <v>0</v>
      </c>
      <c r="BJ57" s="16">
        <f ca="1">'2.XDTD_S.Tr.T'!BL109</f>
        <v>0</v>
      </c>
      <c r="BK57" s="16">
        <f ca="1">'2.XDTD_S.Tr.T'!BM109</f>
        <v>0</v>
      </c>
      <c r="BL57" s="16">
        <f ca="1">'2.XDTD_S.Tr.T'!BN109</f>
        <v>0</v>
      </c>
      <c r="BM57" s="16">
        <f ca="1">'2.XDTD_S.Tr.T'!BO109</f>
        <v>0</v>
      </c>
      <c r="BN57" s="16">
        <f ca="1">'2.XDTD_S.Tr.T'!BP109</f>
        <v>0</v>
      </c>
      <c r="BO57" s="16">
        <f ca="1">'2.XDTD_S.Tr.T'!BP109</f>
        <v>0</v>
      </c>
      <c r="BP57" s="16">
        <f ca="1">'2.XDTD_S.Tr.T'!BR109</f>
        <v>0</v>
      </c>
      <c r="BQ57" s="16">
        <f ca="1">'2.XDTD_S.Tr.T'!BS109</f>
        <v>0</v>
      </c>
      <c r="BR57" s="16">
        <f ca="1">'2.XDTD_S.Tr.T'!BT109</f>
        <v>0</v>
      </c>
      <c r="BS57" s="16">
        <f ca="1">'2.XDTD_S.Tr.T'!BU109</f>
        <v>0</v>
      </c>
      <c r="BT57" s="16">
        <f ca="1">'2.XDTD_S.Tr.T'!BV109</f>
        <v>0</v>
      </c>
      <c r="BU57" s="16">
        <f ca="1">'2.XDTD_S.Tr.T'!BW109</f>
        <v>0</v>
      </c>
      <c r="BV57" s="16">
        <f ca="1">'2.XDTD_S.Tr.T'!BX109</f>
        <v>0</v>
      </c>
      <c r="BW57" s="16">
        <f ca="1">'2.XDTD_S.Tr.T'!BY109</f>
        <v>0</v>
      </c>
      <c r="BX57" s="16">
        <f ca="1">'2.XDTD_S.Tr.T'!BZ109</f>
        <v>0</v>
      </c>
      <c r="BY57" s="16">
        <f ca="1">'2.XDTD_S.Tr.T'!CA109</f>
        <v>0</v>
      </c>
      <c r="BZ57" s="16">
        <f ca="1">'2.XDTD_S.Tr.T'!CB109</f>
        <v>0</v>
      </c>
      <c r="CA57" s="16">
        <f ca="1">'2.XDTD_S.Tr.T'!CC109</f>
        <v>0</v>
      </c>
      <c r="CB57" s="16">
        <f ca="1">'2.XDTD_S.Tr.T'!CD109</f>
        <v>0</v>
      </c>
      <c r="CC57" s="16">
        <f ca="1">'2.XDTD_S.Tr.T'!CE109</f>
        <v>0</v>
      </c>
      <c r="CD57" s="16">
        <f ca="1">'2.XDTD_S.Tr.T'!CF109</f>
        <v>0</v>
      </c>
      <c r="CE57" s="16">
        <f ca="1">'2.XDTD_S.Tr.T'!CG109</f>
        <v>0</v>
      </c>
      <c r="CF57" s="16">
        <f ca="1">'2.XDTD_S.Tr.T'!CH109</f>
        <v>0</v>
      </c>
      <c r="CG57" s="16">
        <f ca="1">'2.XDTD_S.Tr.T'!CI109</f>
        <v>0</v>
      </c>
      <c r="CH57" s="16">
        <f ca="1">'2.XDTD_S.Tr.T'!CJ109</f>
        <v>0</v>
      </c>
      <c r="CI57" s="16">
        <f ca="1">'2.XDTD_S.Tr.T'!CK109</f>
        <v>0</v>
      </c>
      <c r="CJ57" s="16">
        <f ca="1">'2.XDTD_S.Tr.T'!CL109</f>
        <v>0</v>
      </c>
      <c r="CK57" s="16">
        <f ca="1">'2.XDTD_S.Tr.T'!CM109</f>
        <v>0</v>
      </c>
      <c r="CL57" s="16">
        <f ca="1">'2.XDTD_S.Tr.T'!CN109</f>
        <v>0</v>
      </c>
      <c r="CM57" s="16">
        <f ca="1">'2.XDTD_S.Tr.T'!CO109</f>
        <v>0</v>
      </c>
      <c r="CN57" s="16">
        <f ca="1">'2.XDTD_S.Tr.T'!CP109</f>
        <v>0</v>
      </c>
      <c r="CO57" s="16">
        <f ca="1">'2.XDTD_S.Tr.T'!CP109</f>
        <v>0</v>
      </c>
    </row>
    <row r="58" spans="3:93" ht="19.95" customHeight="1">
      <c r="C58" s="5"/>
      <c r="D58" s="11" t="str">
        <f>'2.XDTD_S.Tr.T'!F110</f>
        <v>Mộc nhĩ</v>
      </c>
      <c r="E58" s="7" t="e">
        <f ca="1">'2.XDTD_S.Tr.T'!G110</f>
        <v>#NAME?</v>
      </c>
      <c r="F58" s="8">
        <f>'2.XDTD_S.Tr.T'!H110</f>
        <v>5</v>
      </c>
      <c r="G58" s="9">
        <f ca="1">'2.XDTD_S.Tr.T'!I110</f>
        <v>0</v>
      </c>
      <c r="H58" s="10">
        <f ca="1">'2.XDTD_S.Tr.T'!J110</f>
        <v>0</v>
      </c>
      <c r="I58" s="9">
        <f ca="1">'2.XDTD_S.Tr.T'!K110</f>
        <v>0</v>
      </c>
      <c r="J58" s="13" t="e">
        <f ca="1">'2.XDTD_S.Tr.T'!L110</f>
        <v>#NAME?</v>
      </c>
      <c r="K58" s="13" t="e">
        <f ca="1">'2.XDTD_S.Tr.T'!M110</f>
        <v>#NAME?</v>
      </c>
      <c r="L58" s="9">
        <f ca="1">'2.XDTD_S.Tr.T'!N110</f>
        <v>0</v>
      </c>
      <c r="M58" s="14" t="e">
        <f ca="1">'2.XDTD_S.Tr.T'!O110</f>
        <v>#NAME?</v>
      </c>
      <c r="N58" s="14" t="e">
        <f ca="1">'2.XDTD_S.Tr.T'!P110</f>
        <v>#NAME?</v>
      </c>
      <c r="O58" s="9" t="e">
        <f ca="1">'2.XDTD_S.Tr.T'!P110</f>
        <v>#NAME?</v>
      </c>
      <c r="P58" s="15">
        <f ca="1">'2.XDTD_S.Tr.T'!R110</f>
        <v>0</v>
      </c>
      <c r="Q58" s="16">
        <f ca="1">'2.XDTD_S.Tr.T'!S110</f>
        <v>0</v>
      </c>
      <c r="R58" s="16">
        <f ca="1">'2.XDTD_S.Tr.T'!T110</f>
        <v>0</v>
      </c>
      <c r="S58" s="16">
        <f ca="1">'2.XDTD_S.Tr.T'!U110</f>
        <v>0</v>
      </c>
      <c r="T58" s="16">
        <f ca="1">'2.XDTD_S.Tr.T'!V110</f>
        <v>0</v>
      </c>
      <c r="U58" s="16">
        <f ca="1">'2.XDTD_S.Tr.T'!W110</f>
        <v>0</v>
      </c>
      <c r="V58" s="16">
        <f ca="1">'2.XDTD_S.Tr.T'!X110</f>
        <v>0</v>
      </c>
      <c r="W58" s="16">
        <f ca="1">'2.XDTD_S.Tr.T'!Y110</f>
        <v>0</v>
      </c>
      <c r="X58" s="16">
        <f ca="1">'2.XDTD_S.Tr.T'!Z110</f>
        <v>0</v>
      </c>
      <c r="Y58" s="16">
        <f ca="1">'2.XDTD_S.Tr.T'!AA110</f>
        <v>0</v>
      </c>
      <c r="Z58" s="16">
        <f ca="1">'2.XDTD_S.Tr.T'!AB110</f>
        <v>0</v>
      </c>
      <c r="AA58" s="16">
        <f ca="1">'2.XDTD_S.Tr.T'!AC110</f>
        <v>0</v>
      </c>
      <c r="AB58" s="16">
        <f ca="1">'2.XDTD_S.Tr.T'!AD110</f>
        <v>0</v>
      </c>
      <c r="AC58" s="16">
        <f ca="1">'2.XDTD_S.Tr.T'!AE110</f>
        <v>0</v>
      </c>
      <c r="AD58" s="16">
        <f ca="1">'2.XDTD_S.Tr.T'!AF110</f>
        <v>0</v>
      </c>
      <c r="AE58" s="16">
        <f ca="1">'2.XDTD_S.Tr.T'!AG110</f>
        <v>0</v>
      </c>
      <c r="AF58" s="16">
        <f ca="1">'2.XDTD_S.Tr.T'!AH110</f>
        <v>0</v>
      </c>
      <c r="AG58" s="16">
        <f ca="1">'2.XDTD_S.Tr.T'!AI110</f>
        <v>0</v>
      </c>
      <c r="AH58" s="16">
        <f ca="1">'2.XDTD_S.Tr.T'!AJ110</f>
        <v>0</v>
      </c>
      <c r="AI58" s="16">
        <f ca="1">'2.XDTD_S.Tr.T'!AK110</f>
        <v>0</v>
      </c>
      <c r="AJ58" s="16">
        <f ca="1">'2.XDTD_S.Tr.T'!AL110</f>
        <v>0</v>
      </c>
      <c r="AK58" s="16">
        <f ca="1">'2.XDTD_S.Tr.T'!AM110</f>
        <v>0</v>
      </c>
      <c r="AL58" s="16">
        <f ca="1">'2.XDTD_S.Tr.T'!AN110</f>
        <v>0</v>
      </c>
      <c r="AM58" s="16">
        <f ca="1">'2.XDTD_S.Tr.T'!AO110</f>
        <v>0</v>
      </c>
      <c r="AN58" s="16">
        <f ca="1">'2.XDTD_S.Tr.T'!AP110</f>
        <v>0</v>
      </c>
      <c r="AO58" s="16">
        <f ca="1">'2.XDTD_S.Tr.T'!AP110</f>
        <v>0</v>
      </c>
      <c r="AP58" s="16">
        <f ca="1">'2.XDTD_S.Tr.T'!AR110</f>
        <v>0</v>
      </c>
      <c r="AQ58" s="16">
        <f ca="1">'2.XDTD_S.Tr.T'!AS110</f>
        <v>0</v>
      </c>
      <c r="AR58" s="16">
        <f ca="1">'2.XDTD_S.Tr.T'!AT110</f>
        <v>0</v>
      </c>
      <c r="AS58" s="16">
        <f ca="1">'2.XDTD_S.Tr.T'!AU110</f>
        <v>0</v>
      </c>
      <c r="AT58" s="16">
        <f ca="1">'2.XDTD_S.Tr.T'!AV110</f>
        <v>0</v>
      </c>
      <c r="AU58" s="16">
        <f ca="1">'2.XDTD_S.Tr.T'!AW110</f>
        <v>0</v>
      </c>
      <c r="AV58" s="16">
        <f ca="1">'2.XDTD_S.Tr.T'!AX110</f>
        <v>0</v>
      </c>
      <c r="AW58" s="16">
        <f ca="1">'2.XDTD_S.Tr.T'!AY110</f>
        <v>0</v>
      </c>
      <c r="AX58" s="16">
        <f ca="1">'2.XDTD_S.Tr.T'!AZ110</f>
        <v>0</v>
      </c>
      <c r="AY58" s="16">
        <f ca="1">'2.XDTD_S.Tr.T'!BA110</f>
        <v>0</v>
      </c>
      <c r="AZ58" s="16">
        <f ca="1">'2.XDTD_S.Tr.T'!BB110</f>
        <v>0</v>
      </c>
      <c r="BA58" s="16">
        <f ca="1">'2.XDTD_S.Tr.T'!BC110</f>
        <v>0</v>
      </c>
      <c r="BB58" s="16">
        <f ca="1">'2.XDTD_S.Tr.T'!BD110</f>
        <v>0</v>
      </c>
      <c r="BC58" s="16">
        <f ca="1">'2.XDTD_S.Tr.T'!BE110</f>
        <v>0</v>
      </c>
      <c r="BD58" s="16">
        <f ca="1">'2.XDTD_S.Tr.T'!BF110</f>
        <v>0</v>
      </c>
      <c r="BE58" s="16">
        <f ca="1">'2.XDTD_S.Tr.T'!BG110</f>
        <v>0</v>
      </c>
      <c r="BF58" s="16">
        <f ca="1">'2.XDTD_S.Tr.T'!BH110</f>
        <v>0</v>
      </c>
      <c r="BG58" s="16">
        <f ca="1">'2.XDTD_S.Tr.T'!BI110</f>
        <v>0</v>
      </c>
      <c r="BH58" s="16">
        <f ca="1">'2.XDTD_S.Tr.T'!BJ110</f>
        <v>0</v>
      </c>
      <c r="BI58" s="16">
        <f ca="1">'2.XDTD_S.Tr.T'!BK110</f>
        <v>0</v>
      </c>
      <c r="BJ58" s="16">
        <f ca="1">'2.XDTD_S.Tr.T'!BL110</f>
        <v>0</v>
      </c>
      <c r="BK58" s="16">
        <f ca="1">'2.XDTD_S.Tr.T'!BM110</f>
        <v>0</v>
      </c>
      <c r="BL58" s="16">
        <f ca="1">'2.XDTD_S.Tr.T'!BN110</f>
        <v>0</v>
      </c>
      <c r="BM58" s="16">
        <f ca="1">'2.XDTD_S.Tr.T'!BO110</f>
        <v>0</v>
      </c>
      <c r="BN58" s="16">
        <f ca="1">'2.XDTD_S.Tr.T'!BP110</f>
        <v>0</v>
      </c>
      <c r="BO58" s="16">
        <f ca="1">'2.XDTD_S.Tr.T'!BP110</f>
        <v>0</v>
      </c>
      <c r="BP58" s="16">
        <f ca="1">'2.XDTD_S.Tr.T'!BR110</f>
        <v>0</v>
      </c>
      <c r="BQ58" s="16">
        <f ca="1">'2.XDTD_S.Tr.T'!BS110</f>
        <v>0</v>
      </c>
      <c r="BR58" s="16">
        <f ca="1">'2.XDTD_S.Tr.T'!BT110</f>
        <v>0</v>
      </c>
      <c r="BS58" s="16">
        <f ca="1">'2.XDTD_S.Tr.T'!BU110</f>
        <v>0</v>
      </c>
      <c r="BT58" s="16">
        <f ca="1">'2.XDTD_S.Tr.T'!BV110</f>
        <v>0</v>
      </c>
      <c r="BU58" s="16">
        <f ca="1">'2.XDTD_S.Tr.T'!BW110</f>
        <v>0</v>
      </c>
      <c r="BV58" s="16">
        <f ca="1">'2.XDTD_S.Tr.T'!BX110</f>
        <v>0</v>
      </c>
      <c r="BW58" s="16">
        <f ca="1">'2.XDTD_S.Tr.T'!BY110</f>
        <v>0</v>
      </c>
      <c r="BX58" s="16">
        <f ca="1">'2.XDTD_S.Tr.T'!BZ110</f>
        <v>0</v>
      </c>
      <c r="BY58" s="16">
        <f ca="1">'2.XDTD_S.Tr.T'!CA110</f>
        <v>0</v>
      </c>
      <c r="BZ58" s="16">
        <f ca="1">'2.XDTD_S.Tr.T'!CB110</f>
        <v>0</v>
      </c>
      <c r="CA58" s="16">
        <f ca="1">'2.XDTD_S.Tr.T'!CC110</f>
        <v>0</v>
      </c>
      <c r="CB58" s="16">
        <f ca="1">'2.XDTD_S.Tr.T'!CD110</f>
        <v>0</v>
      </c>
      <c r="CC58" s="16">
        <f ca="1">'2.XDTD_S.Tr.T'!CE110</f>
        <v>0</v>
      </c>
      <c r="CD58" s="16">
        <f ca="1">'2.XDTD_S.Tr.T'!CF110</f>
        <v>0</v>
      </c>
      <c r="CE58" s="16">
        <f ca="1">'2.XDTD_S.Tr.T'!CG110</f>
        <v>0</v>
      </c>
      <c r="CF58" s="16">
        <f ca="1">'2.XDTD_S.Tr.T'!CH110</f>
        <v>0</v>
      </c>
      <c r="CG58" s="16">
        <f ca="1">'2.XDTD_S.Tr.T'!CI110</f>
        <v>0</v>
      </c>
      <c r="CH58" s="16">
        <f ca="1">'2.XDTD_S.Tr.T'!CJ110</f>
        <v>0</v>
      </c>
      <c r="CI58" s="16">
        <f ca="1">'2.XDTD_S.Tr.T'!CK110</f>
        <v>0</v>
      </c>
      <c r="CJ58" s="16">
        <f ca="1">'2.XDTD_S.Tr.T'!CL110</f>
        <v>0</v>
      </c>
      <c r="CK58" s="16">
        <f ca="1">'2.XDTD_S.Tr.T'!CM110</f>
        <v>0</v>
      </c>
      <c r="CL58" s="16">
        <f ca="1">'2.XDTD_S.Tr.T'!CN110</f>
        <v>0</v>
      </c>
      <c r="CM58" s="16">
        <f ca="1">'2.XDTD_S.Tr.T'!CO110</f>
        <v>0</v>
      </c>
      <c r="CN58" s="16">
        <f ca="1">'2.XDTD_S.Tr.T'!CP110</f>
        <v>0</v>
      </c>
      <c r="CO58" s="16">
        <f ca="1">'2.XDTD_S.Tr.T'!CP110</f>
        <v>0</v>
      </c>
    </row>
    <row r="59" spans="3:93" ht="19.95" customHeight="1">
      <c r="C59" s="5"/>
      <c r="D59" s="11" t="str">
        <f>'2.XDTD_S.Tr.T'!F111</f>
        <v>Nấm hương khô</v>
      </c>
      <c r="E59" s="7" t="e">
        <f ca="1">'2.XDTD_S.Tr.T'!G111</f>
        <v>#NAME?</v>
      </c>
      <c r="F59" s="8">
        <f>'2.XDTD_S.Tr.T'!H111</f>
        <v>5</v>
      </c>
      <c r="G59" s="9">
        <f ca="1">'2.XDTD_S.Tr.T'!I111</f>
        <v>0</v>
      </c>
      <c r="H59" s="10">
        <f ca="1">'2.XDTD_S.Tr.T'!J111</f>
        <v>0</v>
      </c>
      <c r="I59" s="9">
        <f ca="1">'2.XDTD_S.Tr.T'!K111</f>
        <v>0</v>
      </c>
      <c r="J59" s="13" t="e">
        <f ca="1">'2.XDTD_S.Tr.T'!L111</f>
        <v>#NAME?</v>
      </c>
      <c r="K59" s="13" t="e">
        <f ca="1">'2.XDTD_S.Tr.T'!M111</f>
        <v>#NAME?</v>
      </c>
      <c r="L59" s="9">
        <f ca="1">'2.XDTD_S.Tr.T'!N111</f>
        <v>0</v>
      </c>
      <c r="M59" s="14" t="e">
        <f ca="1">'2.XDTD_S.Tr.T'!O111</f>
        <v>#NAME?</v>
      </c>
      <c r="N59" s="14" t="e">
        <f ca="1">'2.XDTD_S.Tr.T'!P111</f>
        <v>#NAME?</v>
      </c>
      <c r="O59" s="9" t="e">
        <f ca="1">'2.XDTD_S.Tr.T'!P111</f>
        <v>#NAME?</v>
      </c>
      <c r="P59" s="15">
        <f ca="1">'2.XDTD_S.Tr.T'!R111</f>
        <v>0</v>
      </c>
      <c r="Q59" s="16">
        <f ca="1">'2.XDTD_S.Tr.T'!S111</f>
        <v>0</v>
      </c>
      <c r="R59" s="16">
        <f ca="1">'2.XDTD_S.Tr.T'!T111</f>
        <v>0</v>
      </c>
      <c r="S59" s="16">
        <f ca="1">'2.XDTD_S.Tr.T'!U111</f>
        <v>0</v>
      </c>
      <c r="T59" s="16">
        <f ca="1">'2.XDTD_S.Tr.T'!V111</f>
        <v>0</v>
      </c>
      <c r="U59" s="16">
        <f ca="1">'2.XDTD_S.Tr.T'!W111</f>
        <v>0</v>
      </c>
      <c r="V59" s="16">
        <f ca="1">'2.XDTD_S.Tr.T'!X111</f>
        <v>0</v>
      </c>
      <c r="W59" s="16">
        <f ca="1">'2.XDTD_S.Tr.T'!Y111</f>
        <v>0</v>
      </c>
      <c r="X59" s="16">
        <f ca="1">'2.XDTD_S.Tr.T'!Z111</f>
        <v>0</v>
      </c>
      <c r="Y59" s="16">
        <f ca="1">'2.XDTD_S.Tr.T'!AA111</f>
        <v>0</v>
      </c>
      <c r="Z59" s="16">
        <f ca="1">'2.XDTD_S.Tr.T'!AB111</f>
        <v>0</v>
      </c>
      <c r="AA59" s="16">
        <f ca="1">'2.XDTD_S.Tr.T'!AC111</f>
        <v>0</v>
      </c>
      <c r="AB59" s="16">
        <f ca="1">'2.XDTD_S.Tr.T'!AD111</f>
        <v>0</v>
      </c>
      <c r="AC59" s="16">
        <f ca="1">'2.XDTD_S.Tr.T'!AE111</f>
        <v>0</v>
      </c>
      <c r="AD59" s="16">
        <f ca="1">'2.XDTD_S.Tr.T'!AF111</f>
        <v>0</v>
      </c>
      <c r="AE59" s="16">
        <f ca="1">'2.XDTD_S.Tr.T'!AG111</f>
        <v>0</v>
      </c>
      <c r="AF59" s="16">
        <f ca="1">'2.XDTD_S.Tr.T'!AH111</f>
        <v>0</v>
      </c>
      <c r="AG59" s="16">
        <f ca="1">'2.XDTD_S.Tr.T'!AI111</f>
        <v>0</v>
      </c>
      <c r="AH59" s="16">
        <f ca="1">'2.XDTD_S.Tr.T'!AJ111</f>
        <v>0</v>
      </c>
      <c r="AI59" s="16">
        <f ca="1">'2.XDTD_S.Tr.T'!AK111</f>
        <v>0</v>
      </c>
      <c r="AJ59" s="16">
        <f ca="1">'2.XDTD_S.Tr.T'!AL111</f>
        <v>0</v>
      </c>
      <c r="AK59" s="16">
        <f ca="1">'2.XDTD_S.Tr.T'!AM111</f>
        <v>0</v>
      </c>
      <c r="AL59" s="16">
        <f ca="1">'2.XDTD_S.Tr.T'!AN111</f>
        <v>0</v>
      </c>
      <c r="AM59" s="16">
        <f ca="1">'2.XDTD_S.Tr.T'!AO111</f>
        <v>0</v>
      </c>
      <c r="AN59" s="16">
        <f ca="1">'2.XDTD_S.Tr.T'!AP111</f>
        <v>0</v>
      </c>
      <c r="AO59" s="16">
        <f ca="1">'2.XDTD_S.Tr.T'!AP111</f>
        <v>0</v>
      </c>
      <c r="AP59" s="16">
        <f ca="1">'2.XDTD_S.Tr.T'!AR111</f>
        <v>0</v>
      </c>
      <c r="AQ59" s="16">
        <f ca="1">'2.XDTD_S.Tr.T'!AS111</f>
        <v>0</v>
      </c>
      <c r="AR59" s="16">
        <f ca="1">'2.XDTD_S.Tr.T'!AT111</f>
        <v>0</v>
      </c>
      <c r="AS59" s="16">
        <f ca="1">'2.XDTD_S.Tr.T'!AU111</f>
        <v>0</v>
      </c>
      <c r="AT59" s="16">
        <f ca="1">'2.XDTD_S.Tr.T'!AV111</f>
        <v>0</v>
      </c>
      <c r="AU59" s="16">
        <f ca="1">'2.XDTD_S.Tr.T'!AW111</f>
        <v>0</v>
      </c>
      <c r="AV59" s="16">
        <f ca="1">'2.XDTD_S.Tr.T'!AX111</f>
        <v>0</v>
      </c>
      <c r="AW59" s="16">
        <f ca="1">'2.XDTD_S.Tr.T'!AY111</f>
        <v>0</v>
      </c>
      <c r="AX59" s="16">
        <f ca="1">'2.XDTD_S.Tr.T'!AZ111</f>
        <v>0</v>
      </c>
      <c r="AY59" s="16">
        <f ca="1">'2.XDTD_S.Tr.T'!BA111</f>
        <v>0</v>
      </c>
      <c r="AZ59" s="16">
        <f ca="1">'2.XDTD_S.Tr.T'!BB111</f>
        <v>0</v>
      </c>
      <c r="BA59" s="16">
        <f ca="1">'2.XDTD_S.Tr.T'!BC111</f>
        <v>0</v>
      </c>
      <c r="BB59" s="16">
        <f ca="1">'2.XDTD_S.Tr.T'!BD111</f>
        <v>0</v>
      </c>
      <c r="BC59" s="16">
        <f ca="1">'2.XDTD_S.Tr.T'!BE111</f>
        <v>0</v>
      </c>
      <c r="BD59" s="16">
        <f ca="1">'2.XDTD_S.Tr.T'!BF111</f>
        <v>0</v>
      </c>
      <c r="BE59" s="16">
        <f ca="1">'2.XDTD_S.Tr.T'!BG111</f>
        <v>0</v>
      </c>
      <c r="BF59" s="16">
        <f ca="1">'2.XDTD_S.Tr.T'!BH111</f>
        <v>0</v>
      </c>
      <c r="BG59" s="16">
        <f ca="1">'2.XDTD_S.Tr.T'!BI111</f>
        <v>0</v>
      </c>
      <c r="BH59" s="16">
        <f ca="1">'2.XDTD_S.Tr.T'!BJ111</f>
        <v>0</v>
      </c>
      <c r="BI59" s="16">
        <f ca="1">'2.XDTD_S.Tr.T'!BK111</f>
        <v>0</v>
      </c>
      <c r="BJ59" s="16">
        <f ca="1">'2.XDTD_S.Tr.T'!BL111</f>
        <v>0</v>
      </c>
      <c r="BK59" s="16">
        <f ca="1">'2.XDTD_S.Tr.T'!BM111</f>
        <v>0</v>
      </c>
      <c r="BL59" s="16">
        <f ca="1">'2.XDTD_S.Tr.T'!BN111</f>
        <v>0</v>
      </c>
      <c r="BM59" s="16">
        <f ca="1">'2.XDTD_S.Tr.T'!BO111</f>
        <v>0</v>
      </c>
      <c r="BN59" s="16">
        <f ca="1">'2.XDTD_S.Tr.T'!BP111</f>
        <v>0</v>
      </c>
      <c r="BO59" s="16">
        <f ca="1">'2.XDTD_S.Tr.T'!BP111</f>
        <v>0</v>
      </c>
      <c r="BP59" s="16">
        <f ca="1">'2.XDTD_S.Tr.T'!BR111</f>
        <v>0</v>
      </c>
      <c r="BQ59" s="16">
        <f ca="1">'2.XDTD_S.Tr.T'!BS111</f>
        <v>0</v>
      </c>
      <c r="BR59" s="16">
        <f ca="1">'2.XDTD_S.Tr.T'!BT111</f>
        <v>0</v>
      </c>
      <c r="BS59" s="16">
        <f ca="1">'2.XDTD_S.Tr.T'!BU111</f>
        <v>0</v>
      </c>
      <c r="BT59" s="16">
        <f ca="1">'2.XDTD_S.Tr.T'!BV111</f>
        <v>0</v>
      </c>
      <c r="BU59" s="16">
        <f ca="1">'2.XDTD_S.Tr.T'!BW111</f>
        <v>0</v>
      </c>
      <c r="BV59" s="16">
        <f ca="1">'2.XDTD_S.Tr.T'!BX111</f>
        <v>0</v>
      </c>
      <c r="BW59" s="16">
        <f ca="1">'2.XDTD_S.Tr.T'!BY111</f>
        <v>0</v>
      </c>
      <c r="BX59" s="16">
        <f ca="1">'2.XDTD_S.Tr.T'!BZ111</f>
        <v>0</v>
      </c>
      <c r="BY59" s="16">
        <f ca="1">'2.XDTD_S.Tr.T'!CA111</f>
        <v>0</v>
      </c>
      <c r="BZ59" s="16">
        <f ca="1">'2.XDTD_S.Tr.T'!CB111</f>
        <v>0</v>
      </c>
      <c r="CA59" s="16">
        <f ca="1">'2.XDTD_S.Tr.T'!CC111</f>
        <v>0</v>
      </c>
      <c r="CB59" s="16">
        <f ca="1">'2.XDTD_S.Tr.T'!CD111</f>
        <v>0</v>
      </c>
      <c r="CC59" s="16">
        <f ca="1">'2.XDTD_S.Tr.T'!CE111</f>
        <v>0</v>
      </c>
      <c r="CD59" s="16">
        <f ca="1">'2.XDTD_S.Tr.T'!CF111</f>
        <v>0</v>
      </c>
      <c r="CE59" s="16">
        <f ca="1">'2.XDTD_S.Tr.T'!CG111</f>
        <v>0</v>
      </c>
      <c r="CF59" s="16">
        <f ca="1">'2.XDTD_S.Tr.T'!CH111</f>
        <v>0</v>
      </c>
      <c r="CG59" s="16">
        <f ca="1">'2.XDTD_S.Tr.T'!CI111</f>
        <v>0</v>
      </c>
      <c r="CH59" s="16">
        <f ca="1">'2.XDTD_S.Tr.T'!CJ111</f>
        <v>0</v>
      </c>
      <c r="CI59" s="16">
        <f ca="1">'2.XDTD_S.Tr.T'!CK111</f>
        <v>0</v>
      </c>
      <c r="CJ59" s="16">
        <f ca="1">'2.XDTD_S.Tr.T'!CL111</f>
        <v>0</v>
      </c>
      <c r="CK59" s="16">
        <f ca="1">'2.XDTD_S.Tr.T'!CM111</f>
        <v>0</v>
      </c>
      <c r="CL59" s="16">
        <f ca="1">'2.XDTD_S.Tr.T'!CN111</f>
        <v>0</v>
      </c>
      <c r="CM59" s="16">
        <f ca="1">'2.XDTD_S.Tr.T'!CO111</f>
        <v>0</v>
      </c>
      <c r="CN59" s="16">
        <f ca="1">'2.XDTD_S.Tr.T'!CP111</f>
        <v>0</v>
      </c>
      <c r="CO59" s="16">
        <f ca="1">'2.XDTD_S.Tr.T'!CP111</f>
        <v>0</v>
      </c>
    </row>
    <row r="60" spans="3:93" ht="19.95" customHeight="1">
      <c r="C60" s="5"/>
      <c r="D60" s="11" t="str">
        <f>'2.XDTD_S.Tr.T'!F112</f>
        <v>Bưởi</v>
      </c>
      <c r="E60" s="7" t="e">
        <f ca="1">'2.XDTD_S.Tr.T'!G112</f>
        <v>#NAME?</v>
      </c>
      <c r="F60" s="8">
        <f>'2.XDTD_S.Tr.T'!H112</f>
        <v>100</v>
      </c>
      <c r="G60" s="9">
        <f ca="1">'2.XDTD_S.Tr.T'!I112</f>
        <v>0</v>
      </c>
      <c r="H60" s="10">
        <f ca="1">'2.XDTD_S.Tr.T'!J112</f>
        <v>0</v>
      </c>
      <c r="I60" s="9">
        <f ca="1">'2.XDTD_S.Tr.T'!K112</f>
        <v>0</v>
      </c>
      <c r="J60" s="13" t="e">
        <f ca="1">'2.XDTD_S.Tr.T'!L112</f>
        <v>#NAME?</v>
      </c>
      <c r="K60" s="13" t="e">
        <f ca="1">'2.XDTD_S.Tr.T'!M112</f>
        <v>#NAME?</v>
      </c>
      <c r="L60" s="9">
        <f ca="1">'2.XDTD_S.Tr.T'!N112</f>
        <v>0</v>
      </c>
      <c r="M60" s="14" t="e">
        <f ca="1">'2.XDTD_S.Tr.T'!O112</f>
        <v>#NAME?</v>
      </c>
      <c r="N60" s="14" t="e">
        <f ca="1">'2.XDTD_S.Tr.T'!P112</f>
        <v>#NAME?</v>
      </c>
      <c r="O60" s="9" t="e">
        <f ca="1">'2.XDTD_S.Tr.T'!P112</f>
        <v>#NAME?</v>
      </c>
      <c r="P60" s="15">
        <f ca="1">'2.XDTD_S.Tr.T'!R112</f>
        <v>0</v>
      </c>
      <c r="Q60" s="16">
        <f ca="1">'2.XDTD_S.Tr.T'!S112</f>
        <v>0</v>
      </c>
      <c r="R60" s="16">
        <f ca="1">'2.XDTD_S.Tr.T'!T112</f>
        <v>0</v>
      </c>
      <c r="S60" s="16">
        <f ca="1">'2.XDTD_S.Tr.T'!U112</f>
        <v>0</v>
      </c>
      <c r="T60" s="16">
        <f ca="1">'2.XDTD_S.Tr.T'!V112</f>
        <v>0</v>
      </c>
      <c r="U60" s="16">
        <f ca="1">'2.XDTD_S.Tr.T'!W112</f>
        <v>0</v>
      </c>
      <c r="V60" s="16">
        <f ca="1">'2.XDTD_S.Tr.T'!X112</f>
        <v>0</v>
      </c>
      <c r="W60" s="16">
        <f ca="1">'2.XDTD_S.Tr.T'!Y112</f>
        <v>0</v>
      </c>
      <c r="X60" s="16">
        <f ca="1">'2.XDTD_S.Tr.T'!Z112</f>
        <v>0</v>
      </c>
      <c r="Y60" s="16">
        <f ca="1">'2.XDTD_S.Tr.T'!AA112</f>
        <v>0</v>
      </c>
      <c r="Z60" s="16">
        <f ca="1">'2.XDTD_S.Tr.T'!AB112</f>
        <v>0</v>
      </c>
      <c r="AA60" s="16">
        <f ca="1">'2.XDTD_S.Tr.T'!AC112</f>
        <v>0</v>
      </c>
      <c r="AB60" s="16">
        <f ca="1">'2.XDTD_S.Tr.T'!AD112</f>
        <v>0</v>
      </c>
      <c r="AC60" s="16">
        <f ca="1">'2.XDTD_S.Tr.T'!AE112</f>
        <v>0</v>
      </c>
      <c r="AD60" s="16">
        <f ca="1">'2.XDTD_S.Tr.T'!AF112</f>
        <v>0</v>
      </c>
      <c r="AE60" s="16">
        <f ca="1">'2.XDTD_S.Tr.T'!AG112</f>
        <v>0</v>
      </c>
      <c r="AF60" s="16">
        <f ca="1">'2.XDTD_S.Tr.T'!AH112</f>
        <v>0</v>
      </c>
      <c r="AG60" s="16">
        <f ca="1">'2.XDTD_S.Tr.T'!AI112</f>
        <v>0</v>
      </c>
      <c r="AH60" s="16">
        <f ca="1">'2.XDTD_S.Tr.T'!AJ112</f>
        <v>0</v>
      </c>
      <c r="AI60" s="16">
        <f ca="1">'2.XDTD_S.Tr.T'!AK112</f>
        <v>0</v>
      </c>
      <c r="AJ60" s="16">
        <f ca="1">'2.XDTD_S.Tr.T'!AL112</f>
        <v>0</v>
      </c>
      <c r="AK60" s="16">
        <f ca="1">'2.XDTD_S.Tr.T'!AM112</f>
        <v>0</v>
      </c>
      <c r="AL60" s="16">
        <f ca="1">'2.XDTD_S.Tr.T'!AN112</f>
        <v>0</v>
      </c>
      <c r="AM60" s="16">
        <f ca="1">'2.XDTD_S.Tr.T'!AO112</f>
        <v>0</v>
      </c>
      <c r="AN60" s="16">
        <f ca="1">'2.XDTD_S.Tr.T'!AP112</f>
        <v>0</v>
      </c>
      <c r="AO60" s="16">
        <f ca="1">'2.XDTD_S.Tr.T'!AP112</f>
        <v>0</v>
      </c>
      <c r="AP60" s="16">
        <f ca="1">'2.XDTD_S.Tr.T'!AR112</f>
        <v>0</v>
      </c>
      <c r="AQ60" s="16">
        <f ca="1">'2.XDTD_S.Tr.T'!AS112</f>
        <v>0</v>
      </c>
      <c r="AR60" s="16">
        <f ca="1">'2.XDTD_S.Tr.T'!AT112</f>
        <v>0</v>
      </c>
      <c r="AS60" s="16">
        <f ca="1">'2.XDTD_S.Tr.T'!AU112</f>
        <v>0</v>
      </c>
      <c r="AT60" s="16">
        <f ca="1">'2.XDTD_S.Tr.T'!AV112</f>
        <v>0</v>
      </c>
      <c r="AU60" s="16">
        <f ca="1">'2.XDTD_S.Tr.T'!AW112</f>
        <v>0</v>
      </c>
      <c r="AV60" s="16">
        <f ca="1">'2.XDTD_S.Tr.T'!AX112</f>
        <v>0</v>
      </c>
      <c r="AW60" s="16">
        <f ca="1">'2.XDTD_S.Tr.T'!AY112</f>
        <v>0</v>
      </c>
      <c r="AX60" s="16">
        <f ca="1">'2.XDTD_S.Tr.T'!AZ112</f>
        <v>0</v>
      </c>
      <c r="AY60" s="16">
        <f ca="1">'2.XDTD_S.Tr.T'!BA112</f>
        <v>0</v>
      </c>
      <c r="AZ60" s="16">
        <f ca="1">'2.XDTD_S.Tr.T'!BB112</f>
        <v>0</v>
      </c>
      <c r="BA60" s="16">
        <f ca="1">'2.XDTD_S.Tr.T'!BC112</f>
        <v>0</v>
      </c>
      <c r="BB60" s="16">
        <f ca="1">'2.XDTD_S.Tr.T'!BD112</f>
        <v>0</v>
      </c>
      <c r="BC60" s="16">
        <f ca="1">'2.XDTD_S.Tr.T'!BE112</f>
        <v>0</v>
      </c>
      <c r="BD60" s="16">
        <f ca="1">'2.XDTD_S.Tr.T'!BF112</f>
        <v>0</v>
      </c>
      <c r="BE60" s="16">
        <f ca="1">'2.XDTD_S.Tr.T'!BG112</f>
        <v>0</v>
      </c>
      <c r="BF60" s="16">
        <f ca="1">'2.XDTD_S.Tr.T'!BH112</f>
        <v>0</v>
      </c>
      <c r="BG60" s="16">
        <f ca="1">'2.XDTD_S.Tr.T'!BI112</f>
        <v>0</v>
      </c>
      <c r="BH60" s="16">
        <f ca="1">'2.XDTD_S.Tr.T'!BJ112</f>
        <v>0</v>
      </c>
      <c r="BI60" s="16">
        <f ca="1">'2.XDTD_S.Tr.T'!BK112</f>
        <v>0</v>
      </c>
      <c r="BJ60" s="16">
        <f ca="1">'2.XDTD_S.Tr.T'!BL112</f>
        <v>0</v>
      </c>
      <c r="BK60" s="16">
        <f ca="1">'2.XDTD_S.Tr.T'!BM112</f>
        <v>0</v>
      </c>
      <c r="BL60" s="16">
        <f ca="1">'2.XDTD_S.Tr.T'!BN112</f>
        <v>0</v>
      </c>
      <c r="BM60" s="16">
        <f ca="1">'2.XDTD_S.Tr.T'!BO112</f>
        <v>0</v>
      </c>
      <c r="BN60" s="16">
        <f ca="1">'2.XDTD_S.Tr.T'!BP112</f>
        <v>0</v>
      </c>
      <c r="BO60" s="16">
        <f ca="1">'2.XDTD_S.Tr.T'!BP112</f>
        <v>0</v>
      </c>
      <c r="BP60" s="16">
        <f ca="1">'2.XDTD_S.Tr.T'!BR112</f>
        <v>0</v>
      </c>
      <c r="BQ60" s="16">
        <f ca="1">'2.XDTD_S.Tr.T'!BS112</f>
        <v>0</v>
      </c>
      <c r="BR60" s="16">
        <f ca="1">'2.XDTD_S.Tr.T'!BT112</f>
        <v>0</v>
      </c>
      <c r="BS60" s="16">
        <f ca="1">'2.XDTD_S.Tr.T'!BU112</f>
        <v>0</v>
      </c>
      <c r="BT60" s="16">
        <f ca="1">'2.XDTD_S.Tr.T'!BV112</f>
        <v>0</v>
      </c>
      <c r="BU60" s="16">
        <f ca="1">'2.XDTD_S.Tr.T'!BW112</f>
        <v>0</v>
      </c>
      <c r="BV60" s="16">
        <f ca="1">'2.XDTD_S.Tr.T'!BX112</f>
        <v>0</v>
      </c>
      <c r="BW60" s="16">
        <f ca="1">'2.XDTD_S.Tr.T'!BY112</f>
        <v>0</v>
      </c>
      <c r="BX60" s="16">
        <f ca="1">'2.XDTD_S.Tr.T'!BZ112</f>
        <v>0</v>
      </c>
      <c r="BY60" s="16">
        <f ca="1">'2.XDTD_S.Tr.T'!CA112</f>
        <v>0</v>
      </c>
      <c r="BZ60" s="16">
        <f ca="1">'2.XDTD_S.Tr.T'!CB112</f>
        <v>0</v>
      </c>
      <c r="CA60" s="16">
        <f ca="1">'2.XDTD_S.Tr.T'!CC112</f>
        <v>0</v>
      </c>
      <c r="CB60" s="16">
        <f ca="1">'2.XDTD_S.Tr.T'!CD112</f>
        <v>0</v>
      </c>
      <c r="CC60" s="16">
        <f ca="1">'2.XDTD_S.Tr.T'!CE112</f>
        <v>0</v>
      </c>
      <c r="CD60" s="16">
        <f ca="1">'2.XDTD_S.Tr.T'!CF112</f>
        <v>0</v>
      </c>
      <c r="CE60" s="16">
        <f ca="1">'2.XDTD_S.Tr.T'!CG112</f>
        <v>0</v>
      </c>
      <c r="CF60" s="16">
        <f ca="1">'2.XDTD_S.Tr.T'!CH112</f>
        <v>0</v>
      </c>
      <c r="CG60" s="16">
        <f ca="1">'2.XDTD_S.Tr.T'!CI112</f>
        <v>0</v>
      </c>
      <c r="CH60" s="16">
        <f ca="1">'2.XDTD_S.Tr.T'!CJ112</f>
        <v>0</v>
      </c>
      <c r="CI60" s="16">
        <f ca="1">'2.XDTD_S.Tr.T'!CK112</f>
        <v>0</v>
      </c>
      <c r="CJ60" s="16">
        <f ca="1">'2.XDTD_S.Tr.T'!CL112</f>
        <v>0</v>
      </c>
      <c r="CK60" s="16">
        <f ca="1">'2.XDTD_S.Tr.T'!CM112</f>
        <v>0</v>
      </c>
      <c r="CL60" s="16">
        <f ca="1">'2.XDTD_S.Tr.T'!CN112</f>
        <v>0</v>
      </c>
      <c r="CM60" s="16">
        <f ca="1">'2.XDTD_S.Tr.T'!CO112</f>
        <v>0</v>
      </c>
      <c r="CN60" s="16">
        <f ca="1">'2.XDTD_S.Tr.T'!CP112</f>
        <v>0</v>
      </c>
      <c r="CO60" s="16">
        <f ca="1">'2.XDTD_S.Tr.T'!CP112</f>
        <v>0</v>
      </c>
    </row>
    <row r="61" spans="3:93" ht="19.95" hidden="1" customHeight="1">
      <c r="C61" s="5"/>
      <c r="D61" s="11">
        <f>'2.XDTD_S.Tr.T'!F113</f>
        <v>0</v>
      </c>
      <c r="E61" s="7">
        <f>'2.XDTD_S.Tr.T'!G113</f>
        <v>0</v>
      </c>
      <c r="F61" s="8">
        <f>'2.XDTD_S.Tr.T'!H113</f>
        <v>0</v>
      </c>
      <c r="G61" s="9">
        <f ca="1">'2.XDTD_S.Tr.T'!I113</f>
        <v>0</v>
      </c>
      <c r="H61" s="10">
        <f ca="1">'2.XDTD_S.Tr.T'!J113</f>
        <v>0</v>
      </c>
      <c r="I61" s="9">
        <f ca="1">'2.XDTD_S.Tr.T'!K113</f>
        <v>0</v>
      </c>
      <c r="J61" s="13">
        <f>'2.XDTD_S.Tr.T'!L113</f>
        <v>0</v>
      </c>
      <c r="K61" s="13">
        <f>'2.XDTD_S.Tr.T'!M113</f>
        <v>0</v>
      </c>
      <c r="L61" s="9">
        <f ca="1">'2.XDTD_S.Tr.T'!N113</f>
        <v>0</v>
      </c>
      <c r="M61" s="14">
        <f>'2.XDTD_S.Tr.T'!O113</f>
        <v>0</v>
      </c>
      <c r="N61" s="14">
        <f>'2.XDTD_S.Tr.T'!P113</f>
        <v>0</v>
      </c>
      <c r="O61" s="9">
        <f>'2.XDTD_S.Tr.T'!P113</f>
        <v>0</v>
      </c>
      <c r="P61" s="15">
        <f ca="1">'2.XDTD_S.Tr.T'!R113</f>
        <v>0</v>
      </c>
      <c r="Q61" s="16">
        <f ca="1">'2.XDTD_S.Tr.T'!S113</f>
        <v>0</v>
      </c>
      <c r="R61" s="16">
        <f ca="1">'2.XDTD_S.Tr.T'!T113</f>
        <v>0</v>
      </c>
      <c r="S61" s="16">
        <f ca="1">'2.XDTD_S.Tr.T'!U113</f>
        <v>0</v>
      </c>
      <c r="T61" s="16">
        <f ca="1">'2.XDTD_S.Tr.T'!V113</f>
        <v>0</v>
      </c>
      <c r="U61" s="16">
        <f ca="1">'2.XDTD_S.Tr.T'!W113</f>
        <v>0</v>
      </c>
      <c r="V61" s="16">
        <f ca="1">'2.XDTD_S.Tr.T'!X113</f>
        <v>0</v>
      </c>
      <c r="W61" s="16">
        <f ca="1">'2.XDTD_S.Tr.T'!Y113</f>
        <v>0</v>
      </c>
      <c r="X61" s="16">
        <f ca="1">'2.XDTD_S.Tr.T'!Z113</f>
        <v>0</v>
      </c>
      <c r="Y61" s="16">
        <f ca="1">'2.XDTD_S.Tr.T'!AA113</f>
        <v>0</v>
      </c>
      <c r="Z61" s="16">
        <f ca="1">'2.XDTD_S.Tr.T'!AB113</f>
        <v>0</v>
      </c>
      <c r="AA61" s="16">
        <f ca="1">'2.XDTD_S.Tr.T'!AC113</f>
        <v>0</v>
      </c>
      <c r="AB61" s="16">
        <f ca="1">'2.XDTD_S.Tr.T'!AD113</f>
        <v>0</v>
      </c>
      <c r="AC61" s="16">
        <f ca="1">'2.XDTD_S.Tr.T'!AE113</f>
        <v>0</v>
      </c>
      <c r="AD61" s="16">
        <f ca="1">'2.XDTD_S.Tr.T'!AF113</f>
        <v>0</v>
      </c>
      <c r="AE61" s="16">
        <f ca="1">'2.XDTD_S.Tr.T'!AG113</f>
        <v>0</v>
      </c>
      <c r="AF61" s="16">
        <f ca="1">'2.XDTD_S.Tr.T'!AH113</f>
        <v>0</v>
      </c>
      <c r="AG61" s="16">
        <f ca="1">'2.XDTD_S.Tr.T'!AI113</f>
        <v>0</v>
      </c>
      <c r="AH61" s="16">
        <f ca="1">'2.XDTD_S.Tr.T'!AJ113</f>
        <v>0</v>
      </c>
      <c r="AI61" s="16">
        <f ca="1">'2.XDTD_S.Tr.T'!AK113</f>
        <v>0</v>
      </c>
      <c r="AJ61" s="16">
        <f ca="1">'2.XDTD_S.Tr.T'!AL113</f>
        <v>0</v>
      </c>
      <c r="AK61" s="16">
        <f ca="1">'2.XDTD_S.Tr.T'!AM113</f>
        <v>0</v>
      </c>
      <c r="AL61" s="16">
        <f ca="1">'2.XDTD_S.Tr.T'!AN113</f>
        <v>0</v>
      </c>
      <c r="AM61" s="16">
        <f ca="1">'2.XDTD_S.Tr.T'!AO113</f>
        <v>0</v>
      </c>
      <c r="AN61" s="16">
        <f ca="1">'2.XDTD_S.Tr.T'!AP113</f>
        <v>0</v>
      </c>
      <c r="AO61" s="16">
        <f ca="1">'2.XDTD_S.Tr.T'!AP113</f>
        <v>0</v>
      </c>
      <c r="AP61" s="16">
        <f ca="1">'2.XDTD_S.Tr.T'!AR113</f>
        <v>0</v>
      </c>
      <c r="AQ61" s="16">
        <f ca="1">'2.XDTD_S.Tr.T'!AS113</f>
        <v>0</v>
      </c>
      <c r="AR61" s="16">
        <f ca="1">'2.XDTD_S.Tr.T'!AT113</f>
        <v>0</v>
      </c>
      <c r="AS61" s="16">
        <f ca="1">'2.XDTD_S.Tr.T'!AU113</f>
        <v>0</v>
      </c>
      <c r="AT61" s="16">
        <f ca="1">'2.XDTD_S.Tr.T'!AV113</f>
        <v>0</v>
      </c>
      <c r="AU61" s="16">
        <f ca="1">'2.XDTD_S.Tr.T'!AW113</f>
        <v>0</v>
      </c>
      <c r="AV61" s="16">
        <f ca="1">'2.XDTD_S.Tr.T'!AX113</f>
        <v>0</v>
      </c>
      <c r="AW61" s="16">
        <f ca="1">'2.XDTD_S.Tr.T'!AY113</f>
        <v>0</v>
      </c>
      <c r="AX61" s="16">
        <f ca="1">'2.XDTD_S.Tr.T'!AZ113</f>
        <v>0</v>
      </c>
      <c r="AY61" s="16">
        <f ca="1">'2.XDTD_S.Tr.T'!BA113</f>
        <v>0</v>
      </c>
      <c r="AZ61" s="16">
        <f ca="1">'2.XDTD_S.Tr.T'!BB113</f>
        <v>0</v>
      </c>
      <c r="BA61" s="16">
        <f ca="1">'2.XDTD_S.Tr.T'!BC113</f>
        <v>0</v>
      </c>
      <c r="BB61" s="16">
        <f ca="1">'2.XDTD_S.Tr.T'!BD113</f>
        <v>0</v>
      </c>
      <c r="BC61" s="16">
        <f ca="1">'2.XDTD_S.Tr.T'!BE113</f>
        <v>0</v>
      </c>
      <c r="BD61" s="16">
        <f ca="1">'2.XDTD_S.Tr.T'!BF113</f>
        <v>0</v>
      </c>
      <c r="BE61" s="16">
        <f ca="1">'2.XDTD_S.Tr.T'!BG113</f>
        <v>0</v>
      </c>
      <c r="BF61" s="16">
        <f ca="1">'2.XDTD_S.Tr.T'!BH113</f>
        <v>0</v>
      </c>
      <c r="BG61" s="16">
        <f ca="1">'2.XDTD_S.Tr.T'!BI113</f>
        <v>0</v>
      </c>
      <c r="BH61" s="16">
        <f ca="1">'2.XDTD_S.Tr.T'!BJ113</f>
        <v>0</v>
      </c>
      <c r="BI61" s="16">
        <f ca="1">'2.XDTD_S.Tr.T'!BK113</f>
        <v>0</v>
      </c>
      <c r="BJ61" s="16">
        <f ca="1">'2.XDTD_S.Tr.T'!BL113</f>
        <v>0</v>
      </c>
      <c r="BK61" s="16">
        <f ca="1">'2.XDTD_S.Tr.T'!BM113</f>
        <v>0</v>
      </c>
      <c r="BL61" s="16">
        <f ca="1">'2.XDTD_S.Tr.T'!BN113</f>
        <v>0</v>
      </c>
      <c r="BM61" s="16">
        <f ca="1">'2.XDTD_S.Tr.T'!BO113</f>
        <v>0</v>
      </c>
      <c r="BN61" s="16">
        <f ca="1">'2.XDTD_S.Tr.T'!BP113</f>
        <v>0</v>
      </c>
      <c r="BO61" s="16">
        <f ca="1">'2.XDTD_S.Tr.T'!BP113</f>
        <v>0</v>
      </c>
      <c r="BP61" s="16">
        <f ca="1">'2.XDTD_S.Tr.T'!BR113</f>
        <v>0</v>
      </c>
      <c r="BQ61" s="16">
        <f ca="1">'2.XDTD_S.Tr.T'!BS113</f>
        <v>0</v>
      </c>
      <c r="BR61" s="16">
        <f ca="1">'2.XDTD_S.Tr.T'!BT113</f>
        <v>0</v>
      </c>
      <c r="BS61" s="16">
        <f ca="1">'2.XDTD_S.Tr.T'!BU113</f>
        <v>0</v>
      </c>
      <c r="BT61" s="16">
        <f ca="1">'2.XDTD_S.Tr.T'!BV113</f>
        <v>0</v>
      </c>
      <c r="BU61" s="16">
        <f ca="1">'2.XDTD_S.Tr.T'!BW113</f>
        <v>0</v>
      </c>
      <c r="BV61" s="16">
        <f ca="1">'2.XDTD_S.Tr.T'!BX113</f>
        <v>0</v>
      </c>
      <c r="BW61" s="16">
        <f ca="1">'2.XDTD_S.Tr.T'!BY113</f>
        <v>0</v>
      </c>
      <c r="BX61" s="16">
        <f ca="1">'2.XDTD_S.Tr.T'!BZ113</f>
        <v>0</v>
      </c>
      <c r="BY61" s="16">
        <f ca="1">'2.XDTD_S.Tr.T'!CA113</f>
        <v>0</v>
      </c>
      <c r="BZ61" s="16">
        <f ca="1">'2.XDTD_S.Tr.T'!CB113</f>
        <v>0</v>
      </c>
      <c r="CA61" s="16">
        <f ca="1">'2.XDTD_S.Tr.T'!CC113</f>
        <v>0</v>
      </c>
      <c r="CB61" s="16">
        <f ca="1">'2.XDTD_S.Tr.T'!CD113</f>
        <v>0</v>
      </c>
      <c r="CC61" s="16">
        <f ca="1">'2.XDTD_S.Tr.T'!CE113</f>
        <v>0</v>
      </c>
      <c r="CD61" s="16">
        <f ca="1">'2.XDTD_S.Tr.T'!CF113</f>
        <v>0</v>
      </c>
      <c r="CE61" s="16">
        <f ca="1">'2.XDTD_S.Tr.T'!CG113</f>
        <v>0</v>
      </c>
      <c r="CF61" s="16">
        <f ca="1">'2.XDTD_S.Tr.T'!CH113</f>
        <v>0</v>
      </c>
      <c r="CG61" s="16">
        <f ca="1">'2.XDTD_S.Tr.T'!CI113</f>
        <v>0</v>
      </c>
      <c r="CH61" s="16">
        <f ca="1">'2.XDTD_S.Tr.T'!CJ113</f>
        <v>0</v>
      </c>
      <c r="CI61" s="16">
        <f ca="1">'2.XDTD_S.Tr.T'!CK113</f>
        <v>0</v>
      </c>
      <c r="CJ61" s="16">
        <f ca="1">'2.XDTD_S.Tr.T'!CL113</f>
        <v>0</v>
      </c>
      <c r="CK61" s="16">
        <f ca="1">'2.XDTD_S.Tr.T'!CM113</f>
        <v>0</v>
      </c>
      <c r="CL61" s="16">
        <f ca="1">'2.XDTD_S.Tr.T'!CN113</f>
        <v>0</v>
      </c>
      <c r="CM61" s="16">
        <f ca="1">'2.XDTD_S.Tr.T'!CO113</f>
        <v>0</v>
      </c>
      <c r="CN61" s="16">
        <f ca="1">'2.XDTD_S.Tr.T'!CP113</f>
        <v>0</v>
      </c>
      <c r="CO61" s="16">
        <f ca="1">'2.XDTD_S.Tr.T'!CP113</f>
        <v>0</v>
      </c>
    </row>
    <row r="62" spans="3:93" ht="19.95" hidden="1" customHeight="1">
      <c r="C62" s="5"/>
      <c r="D62" s="11">
        <f>'2.XDTD_S.Tr.T'!F114</f>
        <v>0</v>
      </c>
      <c r="E62" s="7">
        <f>'2.XDTD_S.Tr.T'!G114</f>
        <v>0</v>
      </c>
      <c r="F62" s="8">
        <f>'2.XDTD_S.Tr.T'!H114</f>
        <v>0</v>
      </c>
      <c r="G62" s="9">
        <f ca="1">'2.XDTD_S.Tr.T'!I114</f>
        <v>0</v>
      </c>
      <c r="H62" s="10">
        <f ca="1">'2.XDTD_S.Tr.T'!J114</f>
        <v>0</v>
      </c>
      <c r="I62" s="9">
        <f ca="1">'2.XDTD_S.Tr.T'!K114</f>
        <v>0</v>
      </c>
      <c r="J62" s="13">
        <f>'2.XDTD_S.Tr.T'!L114</f>
        <v>0</v>
      </c>
      <c r="K62" s="13">
        <f>'2.XDTD_S.Tr.T'!M114</f>
        <v>0</v>
      </c>
      <c r="L62" s="9">
        <f ca="1">'2.XDTD_S.Tr.T'!N114</f>
        <v>0</v>
      </c>
      <c r="M62" s="14">
        <f>'2.XDTD_S.Tr.T'!O114</f>
        <v>0</v>
      </c>
      <c r="N62" s="14">
        <f>'2.XDTD_S.Tr.T'!P114</f>
        <v>0</v>
      </c>
      <c r="O62" s="9">
        <f>'2.XDTD_S.Tr.T'!P114</f>
        <v>0</v>
      </c>
      <c r="P62" s="15">
        <f ca="1">'2.XDTD_S.Tr.T'!R114</f>
        <v>0</v>
      </c>
      <c r="Q62" s="16">
        <f ca="1">'2.XDTD_S.Tr.T'!S114</f>
        <v>0</v>
      </c>
      <c r="R62" s="16">
        <f ca="1">'2.XDTD_S.Tr.T'!T114</f>
        <v>0</v>
      </c>
      <c r="S62" s="16">
        <f ca="1">'2.XDTD_S.Tr.T'!U114</f>
        <v>0</v>
      </c>
      <c r="T62" s="16">
        <f ca="1">'2.XDTD_S.Tr.T'!V114</f>
        <v>0</v>
      </c>
      <c r="U62" s="16">
        <f ca="1">'2.XDTD_S.Tr.T'!W114</f>
        <v>0</v>
      </c>
      <c r="V62" s="16">
        <f ca="1">'2.XDTD_S.Tr.T'!X114</f>
        <v>0</v>
      </c>
      <c r="W62" s="16">
        <f ca="1">'2.XDTD_S.Tr.T'!Y114</f>
        <v>0</v>
      </c>
      <c r="X62" s="16">
        <f ca="1">'2.XDTD_S.Tr.T'!Z114</f>
        <v>0</v>
      </c>
      <c r="Y62" s="16">
        <f ca="1">'2.XDTD_S.Tr.T'!AA114</f>
        <v>0</v>
      </c>
      <c r="Z62" s="16">
        <f ca="1">'2.XDTD_S.Tr.T'!AB114</f>
        <v>0</v>
      </c>
      <c r="AA62" s="16">
        <f ca="1">'2.XDTD_S.Tr.T'!AC114</f>
        <v>0</v>
      </c>
      <c r="AB62" s="16">
        <f ca="1">'2.XDTD_S.Tr.T'!AD114</f>
        <v>0</v>
      </c>
      <c r="AC62" s="16">
        <f ca="1">'2.XDTD_S.Tr.T'!AE114</f>
        <v>0</v>
      </c>
      <c r="AD62" s="16">
        <f ca="1">'2.XDTD_S.Tr.T'!AF114</f>
        <v>0</v>
      </c>
      <c r="AE62" s="16">
        <f ca="1">'2.XDTD_S.Tr.T'!AG114</f>
        <v>0</v>
      </c>
      <c r="AF62" s="16">
        <f ca="1">'2.XDTD_S.Tr.T'!AH114</f>
        <v>0</v>
      </c>
      <c r="AG62" s="16">
        <f ca="1">'2.XDTD_S.Tr.T'!AI114</f>
        <v>0</v>
      </c>
      <c r="AH62" s="16">
        <f ca="1">'2.XDTD_S.Tr.T'!AJ114</f>
        <v>0</v>
      </c>
      <c r="AI62" s="16">
        <f ca="1">'2.XDTD_S.Tr.T'!AK114</f>
        <v>0</v>
      </c>
      <c r="AJ62" s="16">
        <f ca="1">'2.XDTD_S.Tr.T'!AL114</f>
        <v>0</v>
      </c>
      <c r="AK62" s="16">
        <f ca="1">'2.XDTD_S.Tr.T'!AM114</f>
        <v>0</v>
      </c>
      <c r="AL62" s="16">
        <f ca="1">'2.XDTD_S.Tr.T'!AN114</f>
        <v>0</v>
      </c>
      <c r="AM62" s="16">
        <f ca="1">'2.XDTD_S.Tr.T'!AO114</f>
        <v>0</v>
      </c>
      <c r="AN62" s="16">
        <f ca="1">'2.XDTD_S.Tr.T'!AP114</f>
        <v>0</v>
      </c>
      <c r="AO62" s="16">
        <f ca="1">'2.XDTD_S.Tr.T'!AP114</f>
        <v>0</v>
      </c>
      <c r="AP62" s="16">
        <f ca="1">'2.XDTD_S.Tr.T'!AR114</f>
        <v>0</v>
      </c>
      <c r="AQ62" s="16">
        <f ca="1">'2.XDTD_S.Tr.T'!AS114</f>
        <v>0</v>
      </c>
      <c r="AR62" s="16">
        <f ca="1">'2.XDTD_S.Tr.T'!AT114</f>
        <v>0</v>
      </c>
      <c r="AS62" s="16">
        <f ca="1">'2.XDTD_S.Tr.T'!AU114</f>
        <v>0</v>
      </c>
      <c r="AT62" s="16">
        <f ca="1">'2.XDTD_S.Tr.T'!AV114</f>
        <v>0</v>
      </c>
      <c r="AU62" s="16">
        <f ca="1">'2.XDTD_S.Tr.T'!AW114</f>
        <v>0</v>
      </c>
      <c r="AV62" s="16">
        <f ca="1">'2.XDTD_S.Tr.T'!AX114</f>
        <v>0</v>
      </c>
      <c r="AW62" s="16">
        <f ca="1">'2.XDTD_S.Tr.T'!AY114</f>
        <v>0</v>
      </c>
      <c r="AX62" s="16">
        <f ca="1">'2.XDTD_S.Tr.T'!AZ114</f>
        <v>0</v>
      </c>
      <c r="AY62" s="16">
        <f ca="1">'2.XDTD_S.Tr.T'!BA114</f>
        <v>0</v>
      </c>
      <c r="AZ62" s="16">
        <f ca="1">'2.XDTD_S.Tr.T'!BB114</f>
        <v>0</v>
      </c>
      <c r="BA62" s="16">
        <f ca="1">'2.XDTD_S.Tr.T'!BC114</f>
        <v>0</v>
      </c>
      <c r="BB62" s="16">
        <f ca="1">'2.XDTD_S.Tr.T'!BD114</f>
        <v>0</v>
      </c>
      <c r="BC62" s="16">
        <f ca="1">'2.XDTD_S.Tr.T'!BE114</f>
        <v>0</v>
      </c>
      <c r="BD62" s="16">
        <f ca="1">'2.XDTD_S.Tr.T'!BF114</f>
        <v>0</v>
      </c>
      <c r="BE62" s="16">
        <f ca="1">'2.XDTD_S.Tr.T'!BG114</f>
        <v>0</v>
      </c>
      <c r="BF62" s="16">
        <f ca="1">'2.XDTD_S.Tr.T'!BH114</f>
        <v>0</v>
      </c>
      <c r="BG62" s="16">
        <f ca="1">'2.XDTD_S.Tr.T'!BI114</f>
        <v>0</v>
      </c>
      <c r="BH62" s="16">
        <f ca="1">'2.XDTD_S.Tr.T'!BJ114</f>
        <v>0</v>
      </c>
      <c r="BI62" s="16">
        <f ca="1">'2.XDTD_S.Tr.T'!BK114</f>
        <v>0</v>
      </c>
      <c r="BJ62" s="16">
        <f ca="1">'2.XDTD_S.Tr.T'!BL114</f>
        <v>0</v>
      </c>
      <c r="BK62" s="16">
        <f ca="1">'2.XDTD_S.Tr.T'!BM114</f>
        <v>0</v>
      </c>
      <c r="BL62" s="16">
        <f ca="1">'2.XDTD_S.Tr.T'!BN114</f>
        <v>0</v>
      </c>
      <c r="BM62" s="16">
        <f ca="1">'2.XDTD_S.Tr.T'!BO114</f>
        <v>0</v>
      </c>
      <c r="BN62" s="16">
        <f ca="1">'2.XDTD_S.Tr.T'!BP114</f>
        <v>0</v>
      </c>
      <c r="BO62" s="16">
        <f ca="1">'2.XDTD_S.Tr.T'!BP114</f>
        <v>0</v>
      </c>
      <c r="BP62" s="16">
        <f ca="1">'2.XDTD_S.Tr.T'!BR114</f>
        <v>0</v>
      </c>
      <c r="BQ62" s="16">
        <f ca="1">'2.XDTD_S.Tr.T'!BS114</f>
        <v>0</v>
      </c>
      <c r="BR62" s="16">
        <f ca="1">'2.XDTD_S.Tr.T'!BT114</f>
        <v>0</v>
      </c>
      <c r="BS62" s="16">
        <f ca="1">'2.XDTD_S.Tr.T'!BU114</f>
        <v>0</v>
      </c>
      <c r="BT62" s="16">
        <f ca="1">'2.XDTD_S.Tr.T'!BV114</f>
        <v>0</v>
      </c>
      <c r="BU62" s="16">
        <f ca="1">'2.XDTD_S.Tr.T'!BW114</f>
        <v>0</v>
      </c>
      <c r="BV62" s="16">
        <f ca="1">'2.XDTD_S.Tr.T'!BX114</f>
        <v>0</v>
      </c>
      <c r="BW62" s="16">
        <f ca="1">'2.XDTD_S.Tr.T'!BY114</f>
        <v>0</v>
      </c>
      <c r="BX62" s="16">
        <f ca="1">'2.XDTD_S.Tr.T'!BZ114</f>
        <v>0</v>
      </c>
      <c r="BY62" s="16">
        <f ca="1">'2.XDTD_S.Tr.T'!CA114</f>
        <v>0</v>
      </c>
      <c r="BZ62" s="16">
        <f ca="1">'2.XDTD_S.Tr.T'!CB114</f>
        <v>0</v>
      </c>
      <c r="CA62" s="16">
        <f ca="1">'2.XDTD_S.Tr.T'!CC114</f>
        <v>0</v>
      </c>
      <c r="CB62" s="16">
        <f ca="1">'2.XDTD_S.Tr.T'!CD114</f>
        <v>0</v>
      </c>
      <c r="CC62" s="16">
        <f ca="1">'2.XDTD_S.Tr.T'!CE114</f>
        <v>0</v>
      </c>
      <c r="CD62" s="16">
        <f ca="1">'2.XDTD_S.Tr.T'!CF114</f>
        <v>0</v>
      </c>
      <c r="CE62" s="16">
        <f ca="1">'2.XDTD_S.Tr.T'!CG114</f>
        <v>0</v>
      </c>
      <c r="CF62" s="16">
        <f ca="1">'2.XDTD_S.Tr.T'!CH114</f>
        <v>0</v>
      </c>
      <c r="CG62" s="16">
        <f ca="1">'2.XDTD_S.Tr.T'!CI114</f>
        <v>0</v>
      </c>
      <c r="CH62" s="16">
        <f ca="1">'2.XDTD_S.Tr.T'!CJ114</f>
        <v>0</v>
      </c>
      <c r="CI62" s="16">
        <f ca="1">'2.XDTD_S.Tr.T'!CK114</f>
        <v>0</v>
      </c>
      <c r="CJ62" s="16">
        <f ca="1">'2.XDTD_S.Tr.T'!CL114</f>
        <v>0</v>
      </c>
      <c r="CK62" s="16">
        <f ca="1">'2.XDTD_S.Tr.T'!CM114</f>
        <v>0</v>
      </c>
      <c r="CL62" s="16">
        <f ca="1">'2.XDTD_S.Tr.T'!CN114</f>
        <v>0</v>
      </c>
      <c r="CM62" s="16">
        <f ca="1">'2.XDTD_S.Tr.T'!CO114</f>
        <v>0</v>
      </c>
      <c r="CN62" s="16">
        <f ca="1">'2.XDTD_S.Tr.T'!CP114</f>
        <v>0</v>
      </c>
      <c r="CO62" s="16">
        <f ca="1">'2.XDTD_S.Tr.T'!CP114</f>
        <v>0</v>
      </c>
    </row>
    <row r="63" spans="3:93" ht="19.95" customHeight="1">
      <c r="C63" s="5"/>
      <c r="D63" s="11" t="str">
        <f>'2.XDTD_S.Tr.T'!F115</f>
        <v>Thịt vịt (cả con)</v>
      </c>
      <c r="E63" s="7" t="e">
        <f ca="1">'2.XDTD_S.Tr.T'!G115</f>
        <v>#NAME?</v>
      </c>
      <c r="F63" s="8">
        <f>'2.XDTD_S.Tr.T'!H115</f>
        <v>50</v>
      </c>
      <c r="G63" s="9">
        <f ca="1">'2.XDTD_S.Tr.T'!I115</f>
        <v>0</v>
      </c>
      <c r="H63" s="10">
        <f ca="1">'2.XDTD_S.Tr.T'!J115</f>
        <v>0</v>
      </c>
      <c r="I63" s="9">
        <f ca="1">'2.XDTD_S.Tr.T'!K115</f>
        <v>0</v>
      </c>
      <c r="J63" s="13" t="e">
        <f ca="1">'2.XDTD_S.Tr.T'!L115</f>
        <v>#NAME?</v>
      </c>
      <c r="K63" s="13" t="e">
        <f ca="1">'2.XDTD_S.Tr.T'!M115</f>
        <v>#NAME?</v>
      </c>
      <c r="L63" s="9">
        <f ca="1">'2.XDTD_S.Tr.T'!N115</f>
        <v>0</v>
      </c>
      <c r="M63" s="14" t="e">
        <f ca="1">'2.XDTD_S.Tr.T'!O115</f>
        <v>#NAME?</v>
      </c>
      <c r="N63" s="14" t="e">
        <f ca="1">'2.XDTD_S.Tr.T'!P115</f>
        <v>#NAME?</v>
      </c>
      <c r="O63" s="9" t="e">
        <f ca="1">'2.XDTD_S.Tr.T'!P115</f>
        <v>#NAME?</v>
      </c>
      <c r="P63" s="15">
        <f ca="1">'2.XDTD_S.Tr.T'!R115</f>
        <v>0</v>
      </c>
      <c r="Q63" s="16">
        <f ca="1">'2.XDTD_S.Tr.T'!S115</f>
        <v>0</v>
      </c>
      <c r="R63" s="16">
        <f ca="1">'2.XDTD_S.Tr.T'!T115</f>
        <v>0</v>
      </c>
      <c r="S63" s="16">
        <f ca="1">'2.XDTD_S.Tr.T'!U115</f>
        <v>0</v>
      </c>
      <c r="T63" s="16">
        <f ca="1">'2.XDTD_S.Tr.T'!V115</f>
        <v>0</v>
      </c>
      <c r="U63" s="16">
        <f ca="1">'2.XDTD_S.Tr.T'!W115</f>
        <v>0</v>
      </c>
      <c r="V63" s="16">
        <f ca="1">'2.XDTD_S.Tr.T'!X115</f>
        <v>0</v>
      </c>
      <c r="W63" s="16">
        <f ca="1">'2.XDTD_S.Tr.T'!Y115</f>
        <v>0</v>
      </c>
      <c r="X63" s="16">
        <f ca="1">'2.XDTD_S.Tr.T'!Z115</f>
        <v>0</v>
      </c>
      <c r="Y63" s="16">
        <f ca="1">'2.XDTD_S.Tr.T'!AA115</f>
        <v>0</v>
      </c>
      <c r="Z63" s="16">
        <f ca="1">'2.XDTD_S.Tr.T'!AB115</f>
        <v>0</v>
      </c>
      <c r="AA63" s="16">
        <f ca="1">'2.XDTD_S.Tr.T'!AC115</f>
        <v>0</v>
      </c>
      <c r="AB63" s="16">
        <f ca="1">'2.XDTD_S.Tr.T'!AD115</f>
        <v>0</v>
      </c>
      <c r="AC63" s="16">
        <f ca="1">'2.XDTD_S.Tr.T'!AE115</f>
        <v>0</v>
      </c>
      <c r="AD63" s="16">
        <f ca="1">'2.XDTD_S.Tr.T'!AF115</f>
        <v>0</v>
      </c>
      <c r="AE63" s="16">
        <f ca="1">'2.XDTD_S.Tr.T'!AG115</f>
        <v>0</v>
      </c>
      <c r="AF63" s="16">
        <f ca="1">'2.XDTD_S.Tr.T'!AH115</f>
        <v>0</v>
      </c>
      <c r="AG63" s="16">
        <f ca="1">'2.XDTD_S.Tr.T'!AI115</f>
        <v>0</v>
      </c>
      <c r="AH63" s="16">
        <f ca="1">'2.XDTD_S.Tr.T'!AJ115</f>
        <v>0</v>
      </c>
      <c r="AI63" s="16">
        <f ca="1">'2.XDTD_S.Tr.T'!AK115</f>
        <v>0</v>
      </c>
      <c r="AJ63" s="16">
        <f ca="1">'2.XDTD_S.Tr.T'!AL115</f>
        <v>0</v>
      </c>
      <c r="AK63" s="16">
        <f ca="1">'2.XDTD_S.Tr.T'!AM115</f>
        <v>0</v>
      </c>
      <c r="AL63" s="16">
        <f ca="1">'2.XDTD_S.Tr.T'!AN115</f>
        <v>0</v>
      </c>
      <c r="AM63" s="16">
        <f ca="1">'2.XDTD_S.Tr.T'!AO115</f>
        <v>0</v>
      </c>
      <c r="AN63" s="16">
        <f ca="1">'2.XDTD_S.Tr.T'!AP115</f>
        <v>0</v>
      </c>
      <c r="AO63" s="16">
        <f ca="1">'2.XDTD_S.Tr.T'!AP115</f>
        <v>0</v>
      </c>
      <c r="AP63" s="16">
        <f ca="1">'2.XDTD_S.Tr.T'!AR115</f>
        <v>0</v>
      </c>
      <c r="AQ63" s="16">
        <f ca="1">'2.XDTD_S.Tr.T'!AS115</f>
        <v>0</v>
      </c>
      <c r="AR63" s="16">
        <f ca="1">'2.XDTD_S.Tr.T'!AT115</f>
        <v>0</v>
      </c>
      <c r="AS63" s="16">
        <f ca="1">'2.XDTD_S.Tr.T'!AU115</f>
        <v>0</v>
      </c>
      <c r="AT63" s="16">
        <f ca="1">'2.XDTD_S.Tr.T'!AV115</f>
        <v>0</v>
      </c>
      <c r="AU63" s="16">
        <f ca="1">'2.XDTD_S.Tr.T'!AW115</f>
        <v>0</v>
      </c>
      <c r="AV63" s="16">
        <f ca="1">'2.XDTD_S.Tr.T'!AX115</f>
        <v>0</v>
      </c>
      <c r="AW63" s="16">
        <f ca="1">'2.XDTD_S.Tr.T'!AY115</f>
        <v>0</v>
      </c>
      <c r="AX63" s="16">
        <f ca="1">'2.XDTD_S.Tr.T'!AZ115</f>
        <v>0</v>
      </c>
      <c r="AY63" s="16">
        <f ca="1">'2.XDTD_S.Tr.T'!BA115</f>
        <v>0</v>
      </c>
      <c r="AZ63" s="16">
        <f ca="1">'2.XDTD_S.Tr.T'!BB115</f>
        <v>0</v>
      </c>
      <c r="BA63" s="16">
        <f ca="1">'2.XDTD_S.Tr.T'!BC115</f>
        <v>0</v>
      </c>
      <c r="BB63" s="16">
        <f ca="1">'2.XDTD_S.Tr.T'!BD115</f>
        <v>0</v>
      </c>
      <c r="BC63" s="16">
        <f ca="1">'2.XDTD_S.Tr.T'!BE115</f>
        <v>0</v>
      </c>
      <c r="BD63" s="16">
        <f ca="1">'2.XDTD_S.Tr.T'!BF115</f>
        <v>0</v>
      </c>
      <c r="BE63" s="16">
        <f ca="1">'2.XDTD_S.Tr.T'!BG115</f>
        <v>0</v>
      </c>
      <c r="BF63" s="16">
        <f ca="1">'2.XDTD_S.Tr.T'!BH115</f>
        <v>0</v>
      </c>
      <c r="BG63" s="16">
        <f ca="1">'2.XDTD_S.Tr.T'!BI115</f>
        <v>0</v>
      </c>
      <c r="BH63" s="16">
        <f ca="1">'2.XDTD_S.Tr.T'!BJ115</f>
        <v>0</v>
      </c>
      <c r="BI63" s="16">
        <f ca="1">'2.XDTD_S.Tr.T'!BK115</f>
        <v>0</v>
      </c>
      <c r="BJ63" s="16">
        <f ca="1">'2.XDTD_S.Tr.T'!BL115</f>
        <v>0</v>
      </c>
      <c r="BK63" s="16">
        <f ca="1">'2.XDTD_S.Tr.T'!BM115</f>
        <v>0</v>
      </c>
      <c r="BL63" s="16">
        <f ca="1">'2.XDTD_S.Tr.T'!BN115</f>
        <v>0</v>
      </c>
      <c r="BM63" s="16">
        <f ca="1">'2.XDTD_S.Tr.T'!BO115</f>
        <v>0</v>
      </c>
      <c r="BN63" s="16">
        <f ca="1">'2.XDTD_S.Tr.T'!BP115</f>
        <v>0</v>
      </c>
      <c r="BO63" s="16">
        <f ca="1">'2.XDTD_S.Tr.T'!BP115</f>
        <v>0</v>
      </c>
      <c r="BP63" s="16">
        <f ca="1">'2.XDTD_S.Tr.T'!BR115</f>
        <v>0</v>
      </c>
      <c r="BQ63" s="16">
        <f ca="1">'2.XDTD_S.Tr.T'!BS115</f>
        <v>0</v>
      </c>
      <c r="BR63" s="16">
        <f ca="1">'2.XDTD_S.Tr.T'!BT115</f>
        <v>0</v>
      </c>
      <c r="BS63" s="16">
        <f ca="1">'2.XDTD_S.Tr.T'!BU115</f>
        <v>0</v>
      </c>
      <c r="BT63" s="16">
        <f ca="1">'2.XDTD_S.Tr.T'!BV115</f>
        <v>0</v>
      </c>
      <c r="BU63" s="16">
        <f ca="1">'2.XDTD_S.Tr.T'!BW115</f>
        <v>0</v>
      </c>
      <c r="BV63" s="16">
        <f ca="1">'2.XDTD_S.Tr.T'!BX115</f>
        <v>0</v>
      </c>
      <c r="BW63" s="16">
        <f ca="1">'2.XDTD_S.Tr.T'!BY115</f>
        <v>0</v>
      </c>
      <c r="BX63" s="16">
        <f ca="1">'2.XDTD_S.Tr.T'!BZ115</f>
        <v>0</v>
      </c>
      <c r="BY63" s="16">
        <f ca="1">'2.XDTD_S.Tr.T'!CA115</f>
        <v>0</v>
      </c>
      <c r="BZ63" s="16">
        <f ca="1">'2.XDTD_S.Tr.T'!CB115</f>
        <v>0</v>
      </c>
      <c r="CA63" s="16">
        <f ca="1">'2.XDTD_S.Tr.T'!CC115</f>
        <v>0</v>
      </c>
      <c r="CB63" s="16">
        <f ca="1">'2.XDTD_S.Tr.T'!CD115</f>
        <v>0</v>
      </c>
      <c r="CC63" s="16">
        <f ca="1">'2.XDTD_S.Tr.T'!CE115</f>
        <v>0</v>
      </c>
      <c r="CD63" s="16">
        <f ca="1">'2.XDTD_S.Tr.T'!CF115</f>
        <v>0</v>
      </c>
      <c r="CE63" s="16">
        <f ca="1">'2.XDTD_S.Tr.T'!CG115</f>
        <v>0</v>
      </c>
      <c r="CF63" s="16">
        <f ca="1">'2.XDTD_S.Tr.T'!CH115</f>
        <v>0</v>
      </c>
      <c r="CG63" s="16">
        <f ca="1">'2.XDTD_S.Tr.T'!CI115</f>
        <v>0</v>
      </c>
      <c r="CH63" s="16">
        <f ca="1">'2.XDTD_S.Tr.T'!CJ115</f>
        <v>0</v>
      </c>
      <c r="CI63" s="16">
        <f ca="1">'2.XDTD_S.Tr.T'!CK115</f>
        <v>0</v>
      </c>
      <c r="CJ63" s="16">
        <f ca="1">'2.XDTD_S.Tr.T'!CL115</f>
        <v>0</v>
      </c>
      <c r="CK63" s="16">
        <f ca="1">'2.XDTD_S.Tr.T'!CM115</f>
        <v>0</v>
      </c>
      <c r="CL63" s="16">
        <f ca="1">'2.XDTD_S.Tr.T'!CN115</f>
        <v>0</v>
      </c>
      <c r="CM63" s="16">
        <f ca="1">'2.XDTD_S.Tr.T'!CO115</f>
        <v>0</v>
      </c>
      <c r="CN63" s="16">
        <f ca="1">'2.XDTD_S.Tr.T'!CP115</f>
        <v>0</v>
      </c>
      <c r="CO63" s="16">
        <f ca="1">'2.XDTD_S.Tr.T'!CP115</f>
        <v>0</v>
      </c>
    </row>
    <row r="64" spans="3:93" ht="19.95" hidden="1" customHeight="1">
      <c r="C64" s="5"/>
      <c r="D64" s="11">
        <f>'2.XDTD_S.Tr.T'!F116</f>
        <v>0</v>
      </c>
      <c r="E64" s="7">
        <f>'2.XDTD_S.Tr.T'!G116</f>
        <v>0</v>
      </c>
      <c r="F64" s="8">
        <f>'2.XDTD_S.Tr.T'!H116</f>
        <v>0</v>
      </c>
      <c r="G64" s="9">
        <f ca="1">'2.XDTD_S.Tr.T'!I116</f>
        <v>0</v>
      </c>
      <c r="H64" s="10">
        <f ca="1">'2.XDTD_S.Tr.T'!J116</f>
        <v>0</v>
      </c>
      <c r="I64" s="9">
        <f ca="1">'2.XDTD_S.Tr.T'!K116</f>
        <v>0</v>
      </c>
      <c r="J64" s="13">
        <f>'2.XDTD_S.Tr.T'!L116</f>
        <v>0</v>
      </c>
      <c r="K64" s="13">
        <f>'2.XDTD_S.Tr.T'!M116</f>
        <v>0</v>
      </c>
      <c r="L64" s="9">
        <f ca="1">'2.XDTD_S.Tr.T'!N116</f>
        <v>0</v>
      </c>
      <c r="M64" s="14">
        <f>'2.XDTD_S.Tr.T'!O116</f>
        <v>0</v>
      </c>
      <c r="N64" s="14">
        <f>'2.XDTD_S.Tr.T'!P116</f>
        <v>0</v>
      </c>
      <c r="O64" s="9">
        <f>'2.XDTD_S.Tr.T'!P116</f>
        <v>0</v>
      </c>
      <c r="P64" s="15">
        <f ca="1">'2.XDTD_S.Tr.T'!R116</f>
        <v>0</v>
      </c>
      <c r="Q64" s="16">
        <f ca="1">'2.XDTD_S.Tr.T'!S116</f>
        <v>0</v>
      </c>
      <c r="R64" s="16">
        <f ca="1">'2.XDTD_S.Tr.T'!T116</f>
        <v>0</v>
      </c>
      <c r="S64" s="16">
        <f ca="1">'2.XDTD_S.Tr.T'!U116</f>
        <v>0</v>
      </c>
      <c r="T64" s="16">
        <f ca="1">'2.XDTD_S.Tr.T'!V116</f>
        <v>0</v>
      </c>
      <c r="U64" s="16">
        <f ca="1">'2.XDTD_S.Tr.T'!W116</f>
        <v>0</v>
      </c>
      <c r="V64" s="16">
        <f ca="1">'2.XDTD_S.Tr.T'!X116</f>
        <v>0</v>
      </c>
      <c r="W64" s="16">
        <f ca="1">'2.XDTD_S.Tr.T'!Y116</f>
        <v>0</v>
      </c>
      <c r="X64" s="16">
        <f ca="1">'2.XDTD_S.Tr.T'!Z116</f>
        <v>0</v>
      </c>
      <c r="Y64" s="16">
        <f ca="1">'2.XDTD_S.Tr.T'!AA116</f>
        <v>0</v>
      </c>
      <c r="Z64" s="16">
        <f ca="1">'2.XDTD_S.Tr.T'!AB116</f>
        <v>0</v>
      </c>
      <c r="AA64" s="16">
        <f ca="1">'2.XDTD_S.Tr.T'!AC116</f>
        <v>0</v>
      </c>
      <c r="AB64" s="16">
        <f ca="1">'2.XDTD_S.Tr.T'!AD116</f>
        <v>0</v>
      </c>
      <c r="AC64" s="16">
        <f ca="1">'2.XDTD_S.Tr.T'!AE116</f>
        <v>0</v>
      </c>
      <c r="AD64" s="16">
        <f ca="1">'2.XDTD_S.Tr.T'!AF116</f>
        <v>0</v>
      </c>
      <c r="AE64" s="16">
        <f ca="1">'2.XDTD_S.Tr.T'!AG116</f>
        <v>0</v>
      </c>
      <c r="AF64" s="16">
        <f ca="1">'2.XDTD_S.Tr.T'!AH116</f>
        <v>0</v>
      </c>
      <c r="AG64" s="16">
        <f ca="1">'2.XDTD_S.Tr.T'!AI116</f>
        <v>0</v>
      </c>
      <c r="AH64" s="16">
        <f ca="1">'2.XDTD_S.Tr.T'!AJ116</f>
        <v>0</v>
      </c>
      <c r="AI64" s="16">
        <f ca="1">'2.XDTD_S.Tr.T'!AK116</f>
        <v>0</v>
      </c>
      <c r="AJ64" s="16">
        <f ca="1">'2.XDTD_S.Tr.T'!AL116</f>
        <v>0</v>
      </c>
      <c r="AK64" s="16">
        <f ca="1">'2.XDTD_S.Tr.T'!AM116</f>
        <v>0</v>
      </c>
      <c r="AL64" s="16">
        <f ca="1">'2.XDTD_S.Tr.T'!AN116</f>
        <v>0</v>
      </c>
      <c r="AM64" s="16">
        <f ca="1">'2.XDTD_S.Tr.T'!AO116</f>
        <v>0</v>
      </c>
      <c r="AN64" s="16">
        <f ca="1">'2.XDTD_S.Tr.T'!AP116</f>
        <v>0</v>
      </c>
      <c r="AO64" s="16">
        <f ca="1">'2.XDTD_S.Tr.T'!AP116</f>
        <v>0</v>
      </c>
      <c r="AP64" s="16">
        <f ca="1">'2.XDTD_S.Tr.T'!AR116</f>
        <v>0</v>
      </c>
      <c r="AQ64" s="16">
        <f ca="1">'2.XDTD_S.Tr.T'!AS116</f>
        <v>0</v>
      </c>
      <c r="AR64" s="16">
        <f ca="1">'2.XDTD_S.Tr.T'!AT116</f>
        <v>0</v>
      </c>
      <c r="AS64" s="16">
        <f ca="1">'2.XDTD_S.Tr.T'!AU116</f>
        <v>0</v>
      </c>
      <c r="AT64" s="16">
        <f ca="1">'2.XDTD_S.Tr.T'!AV116</f>
        <v>0</v>
      </c>
      <c r="AU64" s="16">
        <f ca="1">'2.XDTD_S.Tr.T'!AW116</f>
        <v>0</v>
      </c>
      <c r="AV64" s="16">
        <f ca="1">'2.XDTD_S.Tr.T'!AX116</f>
        <v>0</v>
      </c>
      <c r="AW64" s="16">
        <f ca="1">'2.XDTD_S.Tr.T'!AY116</f>
        <v>0</v>
      </c>
      <c r="AX64" s="16">
        <f ca="1">'2.XDTD_S.Tr.T'!AZ116</f>
        <v>0</v>
      </c>
      <c r="AY64" s="16">
        <f ca="1">'2.XDTD_S.Tr.T'!BA116</f>
        <v>0</v>
      </c>
      <c r="AZ64" s="16">
        <f ca="1">'2.XDTD_S.Tr.T'!BB116</f>
        <v>0</v>
      </c>
      <c r="BA64" s="16">
        <f ca="1">'2.XDTD_S.Tr.T'!BC116</f>
        <v>0</v>
      </c>
      <c r="BB64" s="16">
        <f ca="1">'2.XDTD_S.Tr.T'!BD116</f>
        <v>0</v>
      </c>
      <c r="BC64" s="16">
        <f ca="1">'2.XDTD_S.Tr.T'!BE116</f>
        <v>0</v>
      </c>
      <c r="BD64" s="16">
        <f ca="1">'2.XDTD_S.Tr.T'!BF116</f>
        <v>0</v>
      </c>
      <c r="BE64" s="16">
        <f ca="1">'2.XDTD_S.Tr.T'!BG116</f>
        <v>0</v>
      </c>
      <c r="BF64" s="16">
        <f ca="1">'2.XDTD_S.Tr.T'!BH116</f>
        <v>0</v>
      </c>
      <c r="BG64" s="16">
        <f ca="1">'2.XDTD_S.Tr.T'!BI116</f>
        <v>0</v>
      </c>
      <c r="BH64" s="16">
        <f ca="1">'2.XDTD_S.Tr.T'!BJ116</f>
        <v>0</v>
      </c>
      <c r="BI64" s="16">
        <f ca="1">'2.XDTD_S.Tr.T'!BK116</f>
        <v>0</v>
      </c>
      <c r="BJ64" s="16">
        <f ca="1">'2.XDTD_S.Tr.T'!BL116</f>
        <v>0</v>
      </c>
      <c r="BK64" s="16">
        <f ca="1">'2.XDTD_S.Tr.T'!BM116</f>
        <v>0</v>
      </c>
      <c r="BL64" s="16">
        <f ca="1">'2.XDTD_S.Tr.T'!BN116</f>
        <v>0</v>
      </c>
      <c r="BM64" s="16">
        <f ca="1">'2.XDTD_S.Tr.T'!BO116</f>
        <v>0</v>
      </c>
      <c r="BN64" s="16">
        <f ca="1">'2.XDTD_S.Tr.T'!BP116</f>
        <v>0</v>
      </c>
      <c r="BO64" s="16">
        <f ca="1">'2.XDTD_S.Tr.T'!BP116</f>
        <v>0</v>
      </c>
      <c r="BP64" s="16">
        <f ca="1">'2.XDTD_S.Tr.T'!BR116</f>
        <v>0</v>
      </c>
      <c r="BQ64" s="16">
        <f ca="1">'2.XDTD_S.Tr.T'!BS116</f>
        <v>0</v>
      </c>
      <c r="BR64" s="16">
        <f ca="1">'2.XDTD_S.Tr.T'!BT116</f>
        <v>0</v>
      </c>
      <c r="BS64" s="16">
        <f ca="1">'2.XDTD_S.Tr.T'!BU116</f>
        <v>0</v>
      </c>
      <c r="BT64" s="16">
        <f ca="1">'2.XDTD_S.Tr.T'!BV116</f>
        <v>0</v>
      </c>
      <c r="BU64" s="16">
        <f ca="1">'2.XDTD_S.Tr.T'!BW116</f>
        <v>0</v>
      </c>
      <c r="BV64" s="16">
        <f ca="1">'2.XDTD_S.Tr.T'!BX116</f>
        <v>0</v>
      </c>
      <c r="BW64" s="16">
        <f ca="1">'2.XDTD_S.Tr.T'!BY116</f>
        <v>0</v>
      </c>
      <c r="BX64" s="16">
        <f ca="1">'2.XDTD_S.Tr.T'!BZ116</f>
        <v>0</v>
      </c>
      <c r="BY64" s="16">
        <f ca="1">'2.XDTD_S.Tr.T'!CA116</f>
        <v>0</v>
      </c>
      <c r="BZ64" s="16">
        <f ca="1">'2.XDTD_S.Tr.T'!CB116</f>
        <v>0</v>
      </c>
      <c r="CA64" s="16">
        <f ca="1">'2.XDTD_S.Tr.T'!CC116</f>
        <v>0</v>
      </c>
      <c r="CB64" s="16">
        <f ca="1">'2.XDTD_S.Tr.T'!CD116</f>
        <v>0</v>
      </c>
      <c r="CC64" s="16">
        <f ca="1">'2.XDTD_S.Tr.T'!CE116</f>
        <v>0</v>
      </c>
      <c r="CD64" s="16">
        <f ca="1">'2.XDTD_S.Tr.T'!CF116</f>
        <v>0</v>
      </c>
      <c r="CE64" s="16">
        <f ca="1">'2.XDTD_S.Tr.T'!CG116</f>
        <v>0</v>
      </c>
      <c r="CF64" s="16">
        <f ca="1">'2.XDTD_S.Tr.T'!CH116</f>
        <v>0</v>
      </c>
      <c r="CG64" s="16">
        <f ca="1">'2.XDTD_S.Tr.T'!CI116</f>
        <v>0</v>
      </c>
      <c r="CH64" s="16">
        <f ca="1">'2.XDTD_S.Tr.T'!CJ116</f>
        <v>0</v>
      </c>
      <c r="CI64" s="16">
        <f ca="1">'2.XDTD_S.Tr.T'!CK116</f>
        <v>0</v>
      </c>
      <c r="CJ64" s="16">
        <f ca="1">'2.XDTD_S.Tr.T'!CL116</f>
        <v>0</v>
      </c>
      <c r="CK64" s="16">
        <f ca="1">'2.XDTD_S.Tr.T'!CM116</f>
        <v>0</v>
      </c>
      <c r="CL64" s="16">
        <f ca="1">'2.XDTD_S.Tr.T'!CN116</f>
        <v>0</v>
      </c>
      <c r="CM64" s="16">
        <f ca="1">'2.XDTD_S.Tr.T'!CO116</f>
        <v>0</v>
      </c>
      <c r="CN64" s="16">
        <f ca="1">'2.XDTD_S.Tr.T'!CP116</f>
        <v>0</v>
      </c>
      <c r="CO64" s="16">
        <f ca="1">'2.XDTD_S.Tr.T'!CP116</f>
        <v>0</v>
      </c>
    </row>
    <row r="65" spans="3:93" ht="19.95" hidden="1" customHeight="1">
      <c r="C65" s="5"/>
      <c r="D65" s="11">
        <f>'2.XDTD_S.Tr.T'!F117</f>
        <v>0</v>
      </c>
      <c r="E65" s="7">
        <f>'2.XDTD_S.Tr.T'!G117</f>
        <v>0</v>
      </c>
      <c r="F65" s="8">
        <f>'2.XDTD_S.Tr.T'!H117</f>
        <v>0</v>
      </c>
      <c r="G65" s="9">
        <f ca="1">'2.XDTD_S.Tr.T'!I117</f>
        <v>0</v>
      </c>
      <c r="H65" s="10">
        <f ca="1">'2.XDTD_S.Tr.T'!J117</f>
        <v>0</v>
      </c>
      <c r="I65" s="9">
        <f ca="1">'2.XDTD_S.Tr.T'!K117</f>
        <v>0</v>
      </c>
      <c r="J65" s="13">
        <f>'2.XDTD_S.Tr.T'!L117</f>
        <v>0</v>
      </c>
      <c r="K65" s="13">
        <f>'2.XDTD_S.Tr.T'!M117</f>
        <v>0</v>
      </c>
      <c r="L65" s="9">
        <f ca="1">'2.XDTD_S.Tr.T'!N117</f>
        <v>0</v>
      </c>
      <c r="M65" s="14">
        <f>'2.XDTD_S.Tr.T'!O117</f>
        <v>0</v>
      </c>
      <c r="N65" s="14">
        <f>'2.XDTD_S.Tr.T'!P117</f>
        <v>0</v>
      </c>
      <c r="O65" s="9">
        <f>'2.XDTD_S.Tr.T'!P117</f>
        <v>0</v>
      </c>
      <c r="P65" s="15">
        <f ca="1">'2.XDTD_S.Tr.T'!R117</f>
        <v>0</v>
      </c>
      <c r="Q65" s="16">
        <f ca="1">'2.XDTD_S.Tr.T'!S117</f>
        <v>0</v>
      </c>
      <c r="R65" s="16">
        <f ca="1">'2.XDTD_S.Tr.T'!T117</f>
        <v>0</v>
      </c>
      <c r="S65" s="16">
        <f ca="1">'2.XDTD_S.Tr.T'!U117</f>
        <v>0</v>
      </c>
      <c r="T65" s="16">
        <f ca="1">'2.XDTD_S.Tr.T'!V117</f>
        <v>0</v>
      </c>
      <c r="U65" s="16">
        <f ca="1">'2.XDTD_S.Tr.T'!W117</f>
        <v>0</v>
      </c>
      <c r="V65" s="16">
        <f ca="1">'2.XDTD_S.Tr.T'!X117</f>
        <v>0</v>
      </c>
      <c r="W65" s="16">
        <f ca="1">'2.XDTD_S.Tr.T'!Y117</f>
        <v>0</v>
      </c>
      <c r="X65" s="16">
        <f ca="1">'2.XDTD_S.Tr.T'!Z117</f>
        <v>0</v>
      </c>
      <c r="Y65" s="16">
        <f ca="1">'2.XDTD_S.Tr.T'!AA117</f>
        <v>0</v>
      </c>
      <c r="Z65" s="16">
        <f ca="1">'2.XDTD_S.Tr.T'!AB117</f>
        <v>0</v>
      </c>
      <c r="AA65" s="16">
        <f ca="1">'2.XDTD_S.Tr.T'!AC117</f>
        <v>0</v>
      </c>
      <c r="AB65" s="16">
        <f ca="1">'2.XDTD_S.Tr.T'!AD117</f>
        <v>0</v>
      </c>
      <c r="AC65" s="16">
        <f ca="1">'2.XDTD_S.Tr.T'!AE117</f>
        <v>0</v>
      </c>
      <c r="AD65" s="16">
        <f ca="1">'2.XDTD_S.Tr.T'!AF117</f>
        <v>0</v>
      </c>
      <c r="AE65" s="16">
        <f ca="1">'2.XDTD_S.Tr.T'!AG117</f>
        <v>0</v>
      </c>
      <c r="AF65" s="16">
        <f ca="1">'2.XDTD_S.Tr.T'!AH117</f>
        <v>0</v>
      </c>
      <c r="AG65" s="16">
        <f ca="1">'2.XDTD_S.Tr.T'!AI117</f>
        <v>0</v>
      </c>
      <c r="AH65" s="16">
        <f ca="1">'2.XDTD_S.Tr.T'!AJ117</f>
        <v>0</v>
      </c>
      <c r="AI65" s="16">
        <f ca="1">'2.XDTD_S.Tr.T'!AK117</f>
        <v>0</v>
      </c>
      <c r="AJ65" s="16">
        <f ca="1">'2.XDTD_S.Tr.T'!AL117</f>
        <v>0</v>
      </c>
      <c r="AK65" s="16">
        <f ca="1">'2.XDTD_S.Tr.T'!AM117</f>
        <v>0</v>
      </c>
      <c r="AL65" s="16">
        <f ca="1">'2.XDTD_S.Tr.T'!AN117</f>
        <v>0</v>
      </c>
      <c r="AM65" s="16">
        <f ca="1">'2.XDTD_S.Tr.T'!AO117</f>
        <v>0</v>
      </c>
      <c r="AN65" s="16">
        <f ca="1">'2.XDTD_S.Tr.T'!AP117</f>
        <v>0</v>
      </c>
      <c r="AO65" s="16">
        <f ca="1">'2.XDTD_S.Tr.T'!AP117</f>
        <v>0</v>
      </c>
      <c r="AP65" s="16">
        <f ca="1">'2.XDTD_S.Tr.T'!AR117</f>
        <v>0</v>
      </c>
      <c r="AQ65" s="16">
        <f ca="1">'2.XDTD_S.Tr.T'!AS117</f>
        <v>0</v>
      </c>
      <c r="AR65" s="16">
        <f ca="1">'2.XDTD_S.Tr.T'!AT117</f>
        <v>0</v>
      </c>
      <c r="AS65" s="16">
        <f ca="1">'2.XDTD_S.Tr.T'!AU117</f>
        <v>0</v>
      </c>
      <c r="AT65" s="16">
        <f ca="1">'2.XDTD_S.Tr.T'!AV117</f>
        <v>0</v>
      </c>
      <c r="AU65" s="16">
        <f ca="1">'2.XDTD_S.Tr.T'!AW117</f>
        <v>0</v>
      </c>
      <c r="AV65" s="16">
        <f ca="1">'2.XDTD_S.Tr.T'!AX117</f>
        <v>0</v>
      </c>
      <c r="AW65" s="16">
        <f ca="1">'2.XDTD_S.Tr.T'!AY117</f>
        <v>0</v>
      </c>
      <c r="AX65" s="16">
        <f ca="1">'2.XDTD_S.Tr.T'!AZ117</f>
        <v>0</v>
      </c>
      <c r="AY65" s="16">
        <f ca="1">'2.XDTD_S.Tr.T'!BA117</f>
        <v>0</v>
      </c>
      <c r="AZ65" s="16">
        <f ca="1">'2.XDTD_S.Tr.T'!BB117</f>
        <v>0</v>
      </c>
      <c r="BA65" s="16">
        <f ca="1">'2.XDTD_S.Tr.T'!BC117</f>
        <v>0</v>
      </c>
      <c r="BB65" s="16">
        <f ca="1">'2.XDTD_S.Tr.T'!BD117</f>
        <v>0</v>
      </c>
      <c r="BC65" s="16">
        <f ca="1">'2.XDTD_S.Tr.T'!BE117</f>
        <v>0</v>
      </c>
      <c r="BD65" s="16">
        <f ca="1">'2.XDTD_S.Tr.T'!BF117</f>
        <v>0</v>
      </c>
      <c r="BE65" s="16">
        <f ca="1">'2.XDTD_S.Tr.T'!BG117</f>
        <v>0</v>
      </c>
      <c r="BF65" s="16">
        <f ca="1">'2.XDTD_S.Tr.T'!BH117</f>
        <v>0</v>
      </c>
      <c r="BG65" s="16">
        <f ca="1">'2.XDTD_S.Tr.T'!BI117</f>
        <v>0</v>
      </c>
      <c r="BH65" s="16">
        <f ca="1">'2.XDTD_S.Tr.T'!BJ117</f>
        <v>0</v>
      </c>
      <c r="BI65" s="16">
        <f ca="1">'2.XDTD_S.Tr.T'!BK117</f>
        <v>0</v>
      </c>
      <c r="BJ65" s="16">
        <f ca="1">'2.XDTD_S.Tr.T'!BL117</f>
        <v>0</v>
      </c>
      <c r="BK65" s="16">
        <f ca="1">'2.XDTD_S.Tr.T'!BM117</f>
        <v>0</v>
      </c>
      <c r="BL65" s="16">
        <f ca="1">'2.XDTD_S.Tr.T'!BN117</f>
        <v>0</v>
      </c>
      <c r="BM65" s="16">
        <f ca="1">'2.XDTD_S.Tr.T'!BO117</f>
        <v>0</v>
      </c>
      <c r="BN65" s="16">
        <f ca="1">'2.XDTD_S.Tr.T'!BP117</f>
        <v>0</v>
      </c>
      <c r="BO65" s="16">
        <f ca="1">'2.XDTD_S.Tr.T'!BP117</f>
        <v>0</v>
      </c>
      <c r="BP65" s="16">
        <f ca="1">'2.XDTD_S.Tr.T'!BR117</f>
        <v>0</v>
      </c>
      <c r="BQ65" s="16">
        <f ca="1">'2.XDTD_S.Tr.T'!BS117</f>
        <v>0</v>
      </c>
      <c r="BR65" s="16">
        <f ca="1">'2.XDTD_S.Tr.T'!BT117</f>
        <v>0</v>
      </c>
      <c r="BS65" s="16">
        <f ca="1">'2.XDTD_S.Tr.T'!BU117</f>
        <v>0</v>
      </c>
      <c r="BT65" s="16">
        <f ca="1">'2.XDTD_S.Tr.T'!BV117</f>
        <v>0</v>
      </c>
      <c r="BU65" s="16">
        <f ca="1">'2.XDTD_S.Tr.T'!BW117</f>
        <v>0</v>
      </c>
      <c r="BV65" s="16">
        <f ca="1">'2.XDTD_S.Tr.T'!BX117</f>
        <v>0</v>
      </c>
      <c r="BW65" s="16">
        <f ca="1">'2.XDTD_S.Tr.T'!BY117</f>
        <v>0</v>
      </c>
      <c r="BX65" s="16">
        <f ca="1">'2.XDTD_S.Tr.T'!BZ117</f>
        <v>0</v>
      </c>
      <c r="BY65" s="16">
        <f ca="1">'2.XDTD_S.Tr.T'!CA117</f>
        <v>0</v>
      </c>
      <c r="BZ65" s="16">
        <f ca="1">'2.XDTD_S.Tr.T'!CB117</f>
        <v>0</v>
      </c>
      <c r="CA65" s="16">
        <f ca="1">'2.XDTD_S.Tr.T'!CC117</f>
        <v>0</v>
      </c>
      <c r="CB65" s="16">
        <f ca="1">'2.XDTD_S.Tr.T'!CD117</f>
        <v>0</v>
      </c>
      <c r="CC65" s="16">
        <f ca="1">'2.XDTD_S.Tr.T'!CE117</f>
        <v>0</v>
      </c>
      <c r="CD65" s="16">
        <f ca="1">'2.XDTD_S.Tr.T'!CF117</f>
        <v>0</v>
      </c>
      <c r="CE65" s="16">
        <f ca="1">'2.XDTD_S.Tr.T'!CG117</f>
        <v>0</v>
      </c>
      <c r="CF65" s="16">
        <f ca="1">'2.XDTD_S.Tr.T'!CH117</f>
        <v>0</v>
      </c>
      <c r="CG65" s="16">
        <f ca="1">'2.XDTD_S.Tr.T'!CI117</f>
        <v>0</v>
      </c>
      <c r="CH65" s="16">
        <f ca="1">'2.XDTD_S.Tr.T'!CJ117</f>
        <v>0</v>
      </c>
      <c r="CI65" s="16">
        <f ca="1">'2.XDTD_S.Tr.T'!CK117</f>
        <v>0</v>
      </c>
      <c r="CJ65" s="16">
        <f ca="1">'2.XDTD_S.Tr.T'!CL117</f>
        <v>0</v>
      </c>
      <c r="CK65" s="16">
        <f ca="1">'2.XDTD_S.Tr.T'!CM117</f>
        <v>0</v>
      </c>
      <c r="CL65" s="16">
        <f ca="1">'2.XDTD_S.Tr.T'!CN117</f>
        <v>0</v>
      </c>
      <c r="CM65" s="16">
        <f ca="1">'2.XDTD_S.Tr.T'!CO117</f>
        <v>0</v>
      </c>
      <c r="CN65" s="16">
        <f ca="1">'2.XDTD_S.Tr.T'!CP117</f>
        <v>0</v>
      </c>
      <c r="CO65" s="16">
        <f ca="1">'2.XDTD_S.Tr.T'!CP117</f>
        <v>0</v>
      </c>
    </row>
    <row r="66" spans="3:93" ht="19.95" hidden="1" customHeight="1">
      <c r="C66" s="5"/>
      <c r="D66" s="11">
        <f>'2.XDTD_S.Tr.T'!F118</f>
        <v>0</v>
      </c>
      <c r="E66" s="7">
        <f>'2.XDTD_S.Tr.T'!G118</f>
        <v>0</v>
      </c>
      <c r="F66" s="8">
        <f>'2.XDTD_S.Tr.T'!H118</f>
        <v>0</v>
      </c>
      <c r="G66" s="9">
        <f ca="1">'2.XDTD_S.Tr.T'!I118</f>
        <v>0</v>
      </c>
      <c r="H66" s="10">
        <f ca="1">'2.XDTD_S.Tr.T'!J118</f>
        <v>0</v>
      </c>
      <c r="I66" s="9">
        <f ca="1">'2.XDTD_S.Tr.T'!K118</f>
        <v>0</v>
      </c>
      <c r="J66" s="13">
        <f>'2.XDTD_S.Tr.T'!L118</f>
        <v>0</v>
      </c>
      <c r="K66" s="13">
        <f>'2.XDTD_S.Tr.T'!M118</f>
        <v>0</v>
      </c>
      <c r="L66" s="9">
        <f ca="1">'2.XDTD_S.Tr.T'!N118</f>
        <v>0</v>
      </c>
      <c r="M66" s="14">
        <f>'2.XDTD_S.Tr.T'!O118</f>
        <v>0</v>
      </c>
      <c r="N66" s="14">
        <f>'2.XDTD_S.Tr.T'!P118</f>
        <v>0</v>
      </c>
      <c r="O66" s="9">
        <f>'2.XDTD_S.Tr.T'!P118</f>
        <v>0</v>
      </c>
      <c r="P66" s="15">
        <f ca="1">'2.XDTD_S.Tr.T'!R118</f>
        <v>0</v>
      </c>
      <c r="Q66" s="16">
        <f ca="1">'2.XDTD_S.Tr.T'!S118</f>
        <v>0</v>
      </c>
      <c r="R66" s="16">
        <f ca="1">'2.XDTD_S.Tr.T'!T118</f>
        <v>0</v>
      </c>
      <c r="S66" s="16">
        <f ca="1">'2.XDTD_S.Tr.T'!U118</f>
        <v>0</v>
      </c>
      <c r="T66" s="16">
        <f ca="1">'2.XDTD_S.Tr.T'!V118</f>
        <v>0</v>
      </c>
      <c r="U66" s="16">
        <f ca="1">'2.XDTD_S.Tr.T'!W118</f>
        <v>0</v>
      </c>
      <c r="V66" s="16">
        <f ca="1">'2.XDTD_S.Tr.T'!X118</f>
        <v>0</v>
      </c>
      <c r="W66" s="16">
        <f ca="1">'2.XDTD_S.Tr.T'!Y118</f>
        <v>0</v>
      </c>
      <c r="X66" s="16">
        <f ca="1">'2.XDTD_S.Tr.T'!Z118</f>
        <v>0</v>
      </c>
      <c r="Y66" s="16">
        <f ca="1">'2.XDTD_S.Tr.T'!AA118</f>
        <v>0</v>
      </c>
      <c r="Z66" s="16">
        <f ca="1">'2.XDTD_S.Tr.T'!AB118</f>
        <v>0</v>
      </c>
      <c r="AA66" s="16">
        <f ca="1">'2.XDTD_S.Tr.T'!AC118</f>
        <v>0</v>
      </c>
      <c r="AB66" s="16">
        <f ca="1">'2.XDTD_S.Tr.T'!AD118</f>
        <v>0</v>
      </c>
      <c r="AC66" s="16">
        <f ca="1">'2.XDTD_S.Tr.T'!AE118</f>
        <v>0</v>
      </c>
      <c r="AD66" s="16">
        <f ca="1">'2.XDTD_S.Tr.T'!AF118</f>
        <v>0</v>
      </c>
      <c r="AE66" s="16">
        <f ca="1">'2.XDTD_S.Tr.T'!AG118</f>
        <v>0</v>
      </c>
      <c r="AF66" s="16">
        <f ca="1">'2.XDTD_S.Tr.T'!AH118</f>
        <v>0</v>
      </c>
      <c r="AG66" s="16">
        <f ca="1">'2.XDTD_S.Tr.T'!AI118</f>
        <v>0</v>
      </c>
      <c r="AH66" s="16">
        <f ca="1">'2.XDTD_S.Tr.T'!AJ118</f>
        <v>0</v>
      </c>
      <c r="AI66" s="16">
        <f ca="1">'2.XDTD_S.Tr.T'!AK118</f>
        <v>0</v>
      </c>
      <c r="AJ66" s="16">
        <f ca="1">'2.XDTD_S.Tr.T'!AL118</f>
        <v>0</v>
      </c>
      <c r="AK66" s="16">
        <f ca="1">'2.XDTD_S.Tr.T'!AM118</f>
        <v>0</v>
      </c>
      <c r="AL66" s="16">
        <f ca="1">'2.XDTD_S.Tr.T'!AN118</f>
        <v>0</v>
      </c>
      <c r="AM66" s="16">
        <f ca="1">'2.XDTD_S.Tr.T'!AO118</f>
        <v>0</v>
      </c>
      <c r="AN66" s="16">
        <f ca="1">'2.XDTD_S.Tr.T'!AP118</f>
        <v>0</v>
      </c>
      <c r="AO66" s="16">
        <f ca="1">'2.XDTD_S.Tr.T'!AP118</f>
        <v>0</v>
      </c>
      <c r="AP66" s="16">
        <f ca="1">'2.XDTD_S.Tr.T'!AR118</f>
        <v>0</v>
      </c>
      <c r="AQ66" s="16">
        <f ca="1">'2.XDTD_S.Tr.T'!AS118</f>
        <v>0</v>
      </c>
      <c r="AR66" s="16">
        <f ca="1">'2.XDTD_S.Tr.T'!AT118</f>
        <v>0</v>
      </c>
      <c r="AS66" s="16">
        <f ca="1">'2.XDTD_S.Tr.T'!AU118</f>
        <v>0</v>
      </c>
      <c r="AT66" s="16">
        <f ca="1">'2.XDTD_S.Tr.T'!AV118</f>
        <v>0</v>
      </c>
      <c r="AU66" s="16">
        <f ca="1">'2.XDTD_S.Tr.T'!AW118</f>
        <v>0</v>
      </c>
      <c r="AV66" s="16">
        <f ca="1">'2.XDTD_S.Tr.T'!AX118</f>
        <v>0</v>
      </c>
      <c r="AW66" s="16">
        <f ca="1">'2.XDTD_S.Tr.T'!AY118</f>
        <v>0</v>
      </c>
      <c r="AX66" s="16">
        <f ca="1">'2.XDTD_S.Tr.T'!AZ118</f>
        <v>0</v>
      </c>
      <c r="AY66" s="16">
        <f ca="1">'2.XDTD_S.Tr.T'!BA118</f>
        <v>0</v>
      </c>
      <c r="AZ66" s="16">
        <f ca="1">'2.XDTD_S.Tr.T'!BB118</f>
        <v>0</v>
      </c>
      <c r="BA66" s="16">
        <f ca="1">'2.XDTD_S.Tr.T'!BC118</f>
        <v>0</v>
      </c>
      <c r="BB66" s="16">
        <f ca="1">'2.XDTD_S.Tr.T'!BD118</f>
        <v>0</v>
      </c>
      <c r="BC66" s="16">
        <f ca="1">'2.XDTD_S.Tr.T'!BE118</f>
        <v>0</v>
      </c>
      <c r="BD66" s="16">
        <f ca="1">'2.XDTD_S.Tr.T'!BF118</f>
        <v>0</v>
      </c>
      <c r="BE66" s="16">
        <f ca="1">'2.XDTD_S.Tr.T'!BG118</f>
        <v>0</v>
      </c>
      <c r="BF66" s="16">
        <f ca="1">'2.XDTD_S.Tr.T'!BH118</f>
        <v>0</v>
      </c>
      <c r="BG66" s="16">
        <f ca="1">'2.XDTD_S.Tr.T'!BI118</f>
        <v>0</v>
      </c>
      <c r="BH66" s="16">
        <f ca="1">'2.XDTD_S.Tr.T'!BJ118</f>
        <v>0</v>
      </c>
      <c r="BI66" s="16">
        <f ca="1">'2.XDTD_S.Tr.T'!BK118</f>
        <v>0</v>
      </c>
      <c r="BJ66" s="16">
        <f ca="1">'2.XDTD_S.Tr.T'!BL118</f>
        <v>0</v>
      </c>
      <c r="BK66" s="16">
        <f ca="1">'2.XDTD_S.Tr.T'!BM118</f>
        <v>0</v>
      </c>
      <c r="BL66" s="16">
        <f ca="1">'2.XDTD_S.Tr.T'!BN118</f>
        <v>0</v>
      </c>
      <c r="BM66" s="16">
        <f ca="1">'2.XDTD_S.Tr.T'!BO118</f>
        <v>0</v>
      </c>
      <c r="BN66" s="16">
        <f ca="1">'2.XDTD_S.Tr.T'!BP118</f>
        <v>0</v>
      </c>
      <c r="BO66" s="16">
        <f ca="1">'2.XDTD_S.Tr.T'!BP118</f>
        <v>0</v>
      </c>
      <c r="BP66" s="16">
        <f ca="1">'2.XDTD_S.Tr.T'!BR118</f>
        <v>0</v>
      </c>
      <c r="BQ66" s="16">
        <f ca="1">'2.XDTD_S.Tr.T'!BS118</f>
        <v>0</v>
      </c>
      <c r="BR66" s="16">
        <f ca="1">'2.XDTD_S.Tr.T'!BT118</f>
        <v>0</v>
      </c>
      <c r="BS66" s="16">
        <f ca="1">'2.XDTD_S.Tr.T'!BU118</f>
        <v>0</v>
      </c>
      <c r="BT66" s="16">
        <f ca="1">'2.XDTD_S.Tr.T'!BV118</f>
        <v>0</v>
      </c>
      <c r="BU66" s="16">
        <f ca="1">'2.XDTD_S.Tr.T'!BW118</f>
        <v>0</v>
      </c>
      <c r="BV66" s="16">
        <f ca="1">'2.XDTD_S.Tr.T'!BX118</f>
        <v>0</v>
      </c>
      <c r="BW66" s="16">
        <f ca="1">'2.XDTD_S.Tr.T'!BY118</f>
        <v>0</v>
      </c>
      <c r="BX66" s="16">
        <f ca="1">'2.XDTD_S.Tr.T'!BZ118</f>
        <v>0</v>
      </c>
      <c r="BY66" s="16">
        <f ca="1">'2.XDTD_S.Tr.T'!CA118</f>
        <v>0</v>
      </c>
      <c r="BZ66" s="16">
        <f ca="1">'2.XDTD_S.Tr.T'!CB118</f>
        <v>0</v>
      </c>
      <c r="CA66" s="16">
        <f ca="1">'2.XDTD_S.Tr.T'!CC118</f>
        <v>0</v>
      </c>
      <c r="CB66" s="16">
        <f ca="1">'2.XDTD_S.Tr.T'!CD118</f>
        <v>0</v>
      </c>
      <c r="CC66" s="16">
        <f ca="1">'2.XDTD_S.Tr.T'!CE118</f>
        <v>0</v>
      </c>
      <c r="CD66" s="16">
        <f ca="1">'2.XDTD_S.Tr.T'!CF118</f>
        <v>0</v>
      </c>
      <c r="CE66" s="16">
        <f ca="1">'2.XDTD_S.Tr.T'!CG118</f>
        <v>0</v>
      </c>
      <c r="CF66" s="16">
        <f ca="1">'2.XDTD_S.Tr.T'!CH118</f>
        <v>0</v>
      </c>
      <c r="CG66" s="16">
        <f ca="1">'2.XDTD_S.Tr.T'!CI118</f>
        <v>0</v>
      </c>
      <c r="CH66" s="16">
        <f ca="1">'2.XDTD_S.Tr.T'!CJ118</f>
        <v>0</v>
      </c>
      <c r="CI66" s="16">
        <f ca="1">'2.XDTD_S.Tr.T'!CK118</f>
        <v>0</v>
      </c>
      <c r="CJ66" s="16">
        <f ca="1">'2.XDTD_S.Tr.T'!CL118</f>
        <v>0</v>
      </c>
      <c r="CK66" s="16">
        <f ca="1">'2.XDTD_S.Tr.T'!CM118</f>
        <v>0</v>
      </c>
      <c r="CL66" s="16">
        <f ca="1">'2.XDTD_S.Tr.T'!CN118</f>
        <v>0</v>
      </c>
      <c r="CM66" s="16">
        <f ca="1">'2.XDTD_S.Tr.T'!CO118</f>
        <v>0</v>
      </c>
      <c r="CN66" s="16">
        <f ca="1">'2.XDTD_S.Tr.T'!CP118</f>
        <v>0</v>
      </c>
      <c r="CO66" s="16">
        <f ca="1">'2.XDTD_S.Tr.T'!CP118</f>
        <v>0</v>
      </c>
    </row>
    <row r="67" spans="3:93" ht="19.95" hidden="1" customHeight="1">
      <c r="C67" s="5"/>
      <c r="D67" s="11">
        <f>'2.XDTD_S.Tr.T'!F119</f>
        <v>0</v>
      </c>
      <c r="E67" s="7">
        <f>'2.XDTD_S.Tr.T'!G119</f>
        <v>0</v>
      </c>
      <c r="F67" s="8">
        <f>'2.XDTD_S.Tr.T'!H119</f>
        <v>0</v>
      </c>
      <c r="G67" s="9">
        <f ca="1">'2.XDTD_S.Tr.T'!I119</f>
        <v>0</v>
      </c>
      <c r="H67" s="10">
        <f ca="1">'2.XDTD_S.Tr.T'!J119</f>
        <v>0</v>
      </c>
      <c r="I67" s="9">
        <f ca="1">'2.XDTD_S.Tr.T'!K119</f>
        <v>0</v>
      </c>
      <c r="J67" s="13">
        <f>'2.XDTD_S.Tr.T'!L119</f>
        <v>0</v>
      </c>
      <c r="K67" s="13">
        <f>'2.XDTD_S.Tr.T'!M119</f>
        <v>0</v>
      </c>
      <c r="L67" s="9">
        <f ca="1">'2.XDTD_S.Tr.T'!N119</f>
        <v>0</v>
      </c>
      <c r="M67" s="14">
        <f>'2.XDTD_S.Tr.T'!O119</f>
        <v>0</v>
      </c>
      <c r="N67" s="14">
        <f>'2.XDTD_S.Tr.T'!P119</f>
        <v>0</v>
      </c>
      <c r="O67" s="9">
        <f>'2.XDTD_S.Tr.T'!P119</f>
        <v>0</v>
      </c>
      <c r="P67" s="15">
        <f ca="1">'2.XDTD_S.Tr.T'!R119</f>
        <v>0</v>
      </c>
      <c r="Q67" s="16">
        <f ca="1">'2.XDTD_S.Tr.T'!S119</f>
        <v>0</v>
      </c>
      <c r="R67" s="16">
        <f ca="1">'2.XDTD_S.Tr.T'!T119</f>
        <v>0</v>
      </c>
      <c r="S67" s="16">
        <f ca="1">'2.XDTD_S.Tr.T'!U119</f>
        <v>0</v>
      </c>
      <c r="T67" s="16">
        <f ca="1">'2.XDTD_S.Tr.T'!V119</f>
        <v>0</v>
      </c>
      <c r="U67" s="16">
        <f ca="1">'2.XDTD_S.Tr.T'!W119</f>
        <v>0</v>
      </c>
      <c r="V67" s="16">
        <f ca="1">'2.XDTD_S.Tr.T'!X119</f>
        <v>0</v>
      </c>
      <c r="W67" s="16">
        <f ca="1">'2.XDTD_S.Tr.T'!Y119</f>
        <v>0</v>
      </c>
      <c r="X67" s="16">
        <f ca="1">'2.XDTD_S.Tr.T'!Z119</f>
        <v>0</v>
      </c>
      <c r="Y67" s="16">
        <f ca="1">'2.XDTD_S.Tr.T'!AA119</f>
        <v>0</v>
      </c>
      <c r="Z67" s="16">
        <f ca="1">'2.XDTD_S.Tr.T'!AB119</f>
        <v>0</v>
      </c>
      <c r="AA67" s="16">
        <f ca="1">'2.XDTD_S.Tr.T'!AC119</f>
        <v>0</v>
      </c>
      <c r="AB67" s="16">
        <f ca="1">'2.XDTD_S.Tr.T'!AD119</f>
        <v>0</v>
      </c>
      <c r="AC67" s="16">
        <f ca="1">'2.XDTD_S.Tr.T'!AE119</f>
        <v>0</v>
      </c>
      <c r="AD67" s="16">
        <f ca="1">'2.XDTD_S.Tr.T'!AF119</f>
        <v>0</v>
      </c>
      <c r="AE67" s="16">
        <f ca="1">'2.XDTD_S.Tr.T'!AG119</f>
        <v>0</v>
      </c>
      <c r="AF67" s="16">
        <f ca="1">'2.XDTD_S.Tr.T'!AH119</f>
        <v>0</v>
      </c>
      <c r="AG67" s="16">
        <f ca="1">'2.XDTD_S.Tr.T'!AI119</f>
        <v>0</v>
      </c>
      <c r="AH67" s="16">
        <f ca="1">'2.XDTD_S.Tr.T'!AJ119</f>
        <v>0</v>
      </c>
      <c r="AI67" s="16">
        <f ca="1">'2.XDTD_S.Tr.T'!AK119</f>
        <v>0</v>
      </c>
      <c r="AJ67" s="16">
        <f ca="1">'2.XDTD_S.Tr.T'!AL119</f>
        <v>0</v>
      </c>
      <c r="AK67" s="16">
        <f ca="1">'2.XDTD_S.Tr.T'!AM119</f>
        <v>0</v>
      </c>
      <c r="AL67" s="16">
        <f ca="1">'2.XDTD_S.Tr.T'!AN119</f>
        <v>0</v>
      </c>
      <c r="AM67" s="16">
        <f ca="1">'2.XDTD_S.Tr.T'!AO119</f>
        <v>0</v>
      </c>
      <c r="AN67" s="16">
        <f ca="1">'2.XDTD_S.Tr.T'!AP119</f>
        <v>0</v>
      </c>
      <c r="AO67" s="16">
        <f ca="1">'2.XDTD_S.Tr.T'!AP119</f>
        <v>0</v>
      </c>
      <c r="AP67" s="16">
        <f ca="1">'2.XDTD_S.Tr.T'!AR119</f>
        <v>0</v>
      </c>
      <c r="AQ67" s="16">
        <f ca="1">'2.XDTD_S.Tr.T'!AS119</f>
        <v>0</v>
      </c>
      <c r="AR67" s="16">
        <f ca="1">'2.XDTD_S.Tr.T'!AT119</f>
        <v>0</v>
      </c>
      <c r="AS67" s="16">
        <f ca="1">'2.XDTD_S.Tr.T'!AU119</f>
        <v>0</v>
      </c>
      <c r="AT67" s="16">
        <f ca="1">'2.XDTD_S.Tr.T'!AV119</f>
        <v>0</v>
      </c>
      <c r="AU67" s="16">
        <f ca="1">'2.XDTD_S.Tr.T'!AW119</f>
        <v>0</v>
      </c>
      <c r="AV67" s="16">
        <f ca="1">'2.XDTD_S.Tr.T'!AX119</f>
        <v>0</v>
      </c>
      <c r="AW67" s="16">
        <f ca="1">'2.XDTD_S.Tr.T'!AY119</f>
        <v>0</v>
      </c>
      <c r="AX67" s="16">
        <f ca="1">'2.XDTD_S.Tr.T'!AZ119</f>
        <v>0</v>
      </c>
      <c r="AY67" s="16">
        <f ca="1">'2.XDTD_S.Tr.T'!BA119</f>
        <v>0</v>
      </c>
      <c r="AZ67" s="16">
        <f ca="1">'2.XDTD_S.Tr.T'!BB119</f>
        <v>0</v>
      </c>
      <c r="BA67" s="16">
        <f ca="1">'2.XDTD_S.Tr.T'!BC119</f>
        <v>0</v>
      </c>
      <c r="BB67" s="16">
        <f ca="1">'2.XDTD_S.Tr.T'!BD119</f>
        <v>0</v>
      </c>
      <c r="BC67" s="16">
        <f ca="1">'2.XDTD_S.Tr.T'!BE119</f>
        <v>0</v>
      </c>
      <c r="BD67" s="16">
        <f ca="1">'2.XDTD_S.Tr.T'!BF119</f>
        <v>0</v>
      </c>
      <c r="BE67" s="16">
        <f ca="1">'2.XDTD_S.Tr.T'!BG119</f>
        <v>0</v>
      </c>
      <c r="BF67" s="16">
        <f ca="1">'2.XDTD_S.Tr.T'!BH119</f>
        <v>0</v>
      </c>
      <c r="BG67" s="16">
        <f ca="1">'2.XDTD_S.Tr.T'!BI119</f>
        <v>0</v>
      </c>
      <c r="BH67" s="16">
        <f ca="1">'2.XDTD_S.Tr.T'!BJ119</f>
        <v>0</v>
      </c>
      <c r="BI67" s="16">
        <f ca="1">'2.XDTD_S.Tr.T'!BK119</f>
        <v>0</v>
      </c>
      <c r="BJ67" s="16">
        <f ca="1">'2.XDTD_S.Tr.T'!BL119</f>
        <v>0</v>
      </c>
      <c r="BK67" s="16">
        <f ca="1">'2.XDTD_S.Tr.T'!BM119</f>
        <v>0</v>
      </c>
      <c r="BL67" s="16">
        <f ca="1">'2.XDTD_S.Tr.T'!BN119</f>
        <v>0</v>
      </c>
      <c r="BM67" s="16">
        <f ca="1">'2.XDTD_S.Tr.T'!BO119</f>
        <v>0</v>
      </c>
      <c r="BN67" s="16">
        <f ca="1">'2.XDTD_S.Tr.T'!BP119</f>
        <v>0</v>
      </c>
      <c r="BO67" s="16">
        <f ca="1">'2.XDTD_S.Tr.T'!BP119</f>
        <v>0</v>
      </c>
      <c r="BP67" s="16">
        <f ca="1">'2.XDTD_S.Tr.T'!BR119</f>
        <v>0</v>
      </c>
      <c r="BQ67" s="16">
        <f ca="1">'2.XDTD_S.Tr.T'!BS119</f>
        <v>0</v>
      </c>
      <c r="BR67" s="16">
        <f ca="1">'2.XDTD_S.Tr.T'!BT119</f>
        <v>0</v>
      </c>
      <c r="BS67" s="16">
        <f ca="1">'2.XDTD_S.Tr.T'!BU119</f>
        <v>0</v>
      </c>
      <c r="BT67" s="16">
        <f ca="1">'2.XDTD_S.Tr.T'!BV119</f>
        <v>0</v>
      </c>
      <c r="BU67" s="16">
        <f ca="1">'2.XDTD_S.Tr.T'!BW119</f>
        <v>0</v>
      </c>
      <c r="BV67" s="16">
        <f ca="1">'2.XDTD_S.Tr.T'!BX119</f>
        <v>0</v>
      </c>
      <c r="BW67" s="16">
        <f ca="1">'2.XDTD_S.Tr.T'!BY119</f>
        <v>0</v>
      </c>
      <c r="BX67" s="16">
        <f ca="1">'2.XDTD_S.Tr.T'!BZ119</f>
        <v>0</v>
      </c>
      <c r="BY67" s="16">
        <f ca="1">'2.XDTD_S.Tr.T'!CA119</f>
        <v>0</v>
      </c>
      <c r="BZ67" s="16">
        <f ca="1">'2.XDTD_S.Tr.T'!CB119</f>
        <v>0</v>
      </c>
      <c r="CA67" s="16">
        <f ca="1">'2.XDTD_S.Tr.T'!CC119</f>
        <v>0</v>
      </c>
      <c r="CB67" s="16">
        <f ca="1">'2.XDTD_S.Tr.T'!CD119</f>
        <v>0</v>
      </c>
      <c r="CC67" s="16">
        <f ca="1">'2.XDTD_S.Tr.T'!CE119</f>
        <v>0</v>
      </c>
      <c r="CD67" s="16">
        <f ca="1">'2.XDTD_S.Tr.T'!CF119</f>
        <v>0</v>
      </c>
      <c r="CE67" s="16">
        <f ca="1">'2.XDTD_S.Tr.T'!CG119</f>
        <v>0</v>
      </c>
      <c r="CF67" s="16">
        <f ca="1">'2.XDTD_S.Tr.T'!CH119</f>
        <v>0</v>
      </c>
      <c r="CG67" s="16">
        <f ca="1">'2.XDTD_S.Tr.T'!CI119</f>
        <v>0</v>
      </c>
      <c r="CH67" s="16">
        <f ca="1">'2.XDTD_S.Tr.T'!CJ119</f>
        <v>0</v>
      </c>
      <c r="CI67" s="16">
        <f ca="1">'2.XDTD_S.Tr.T'!CK119</f>
        <v>0</v>
      </c>
      <c r="CJ67" s="16">
        <f ca="1">'2.XDTD_S.Tr.T'!CL119</f>
        <v>0</v>
      </c>
      <c r="CK67" s="16">
        <f ca="1">'2.XDTD_S.Tr.T'!CM119</f>
        <v>0</v>
      </c>
      <c r="CL67" s="16">
        <f ca="1">'2.XDTD_S.Tr.T'!CN119</f>
        <v>0</v>
      </c>
      <c r="CM67" s="16">
        <f ca="1">'2.XDTD_S.Tr.T'!CO119</f>
        <v>0</v>
      </c>
      <c r="CN67" s="16">
        <f ca="1">'2.XDTD_S.Tr.T'!CP119</f>
        <v>0</v>
      </c>
      <c r="CO67" s="16">
        <f ca="1">'2.XDTD_S.Tr.T'!CP119</f>
        <v>0</v>
      </c>
    </row>
    <row r="68" spans="3:93" ht="19.95" hidden="1" customHeight="1">
      <c r="C68" s="5"/>
      <c r="D68" s="11">
        <f>'2.XDTD_S.Tr.T'!F120</f>
        <v>0</v>
      </c>
      <c r="E68" s="7">
        <f>'2.XDTD_S.Tr.T'!G120</f>
        <v>0</v>
      </c>
      <c r="F68" s="8">
        <f>'2.XDTD_S.Tr.T'!H120</f>
        <v>0</v>
      </c>
      <c r="G68" s="9">
        <f ca="1">'2.XDTD_S.Tr.T'!I120</f>
        <v>0</v>
      </c>
      <c r="H68" s="10">
        <f ca="1">'2.XDTD_S.Tr.T'!J120</f>
        <v>0</v>
      </c>
      <c r="I68" s="9">
        <f ca="1">'2.XDTD_S.Tr.T'!K120</f>
        <v>0</v>
      </c>
      <c r="J68" s="13">
        <f>'2.XDTD_S.Tr.T'!L120</f>
        <v>0</v>
      </c>
      <c r="K68" s="13">
        <f>'2.XDTD_S.Tr.T'!M120</f>
        <v>0</v>
      </c>
      <c r="L68" s="9">
        <f ca="1">'2.XDTD_S.Tr.T'!N120</f>
        <v>0</v>
      </c>
      <c r="M68" s="14">
        <f>'2.XDTD_S.Tr.T'!O120</f>
        <v>0</v>
      </c>
      <c r="N68" s="14">
        <f>'2.XDTD_S.Tr.T'!P120</f>
        <v>0</v>
      </c>
      <c r="O68" s="9">
        <f>'2.XDTD_S.Tr.T'!P120</f>
        <v>0</v>
      </c>
      <c r="P68" s="15">
        <f ca="1">'2.XDTD_S.Tr.T'!R120</f>
        <v>0</v>
      </c>
      <c r="Q68" s="16">
        <f ca="1">'2.XDTD_S.Tr.T'!S120</f>
        <v>0</v>
      </c>
      <c r="R68" s="16">
        <f ca="1">'2.XDTD_S.Tr.T'!T120</f>
        <v>0</v>
      </c>
      <c r="S68" s="16">
        <f ca="1">'2.XDTD_S.Tr.T'!U120</f>
        <v>0</v>
      </c>
      <c r="T68" s="16">
        <f ca="1">'2.XDTD_S.Tr.T'!V120</f>
        <v>0</v>
      </c>
      <c r="U68" s="16">
        <f ca="1">'2.XDTD_S.Tr.T'!W120</f>
        <v>0</v>
      </c>
      <c r="V68" s="16">
        <f ca="1">'2.XDTD_S.Tr.T'!X120</f>
        <v>0</v>
      </c>
      <c r="W68" s="16">
        <f ca="1">'2.XDTD_S.Tr.T'!Y120</f>
        <v>0</v>
      </c>
      <c r="X68" s="16">
        <f ca="1">'2.XDTD_S.Tr.T'!Z120</f>
        <v>0</v>
      </c>
      <c r="Y68" s="16">
        <f ca="1">'2.XDTD_S.Tr.T'!AA120</f>
        <v>0</v>
      </c>
      <c r="Z68" s="16">
        <f ca="1">'2.XDTD_S.Tr.T'!AB120</f>
        <v>0</v>
      </c>
      <c r="AA68" s="16">
        <f ca="1">'2.XDTD_S.Tr.T'!AC120</f>
        <v>0</v>
      </c>
      <c r="AB68" s="16">
        <f ca="1">'2.XDTD_S.Tr.T'!AD120</f>
        <v>0</v>
      </c>
      <c r="AC68" s="16">
        <f ca="1">'2.XDTD_S.Tr.T'!AE120</f>
        <v>0</v>
      </c>
      <c r="AD68" s="16">
        <f ca="1">'2.XDTD_S.Tr.T'!AF120</f>
        <v>0</v>
      </c>
      <c r="AE68" s="16">
        <f ca="1">'2.XDTD_S.Tr.T'!AG120</f>
        <v>0</v>
      </c>
      <c r="AF68" s="16">
        <f ca="1">'2.XDTD_S.Tr.T'!AH120</f>
        <v>0</v>
      </c>
      <c r="AG68" s="16">
        <f ca="1">'2.XDTD_S.Tr.T'!AI120</f>
        <v>0</v>
      </c>
      <c r="AH68" s="16">
        <f ca="1">'2.XDTD_S.Tr.T'!AJ120</f>
        <v>0</v>
      </c>
      <c r="AI68" s="16">
        <f ca="1">'2.XDTD_S.Tr.T'!AK120</f>
        <v>0</v>
      </c>
      <c r="AJ68" s="16">
        <f ca="1">'2.XDTD_S.Tr.T'!AL120</f>
        <v>0</v>
      </c>
      <c r="AK68" s="16">
        <f ca="1">'2.XDTD_S.Tr.T'!AM120</f>
        <v>0</v>
      </c>
      <c r="AL68" s="16">
        <f ca="1">'2.XDTD_S.Tr.T'!AN120</f>
        <v>0</v>
      </c>
      <c r="AM68" s="16">
        <f ca="1">'2.XDTD_S.Tr.T'!AO120</f>
        <v>0</v>
      </c>
      <c r="AN68" s="16">
        <f ca="1">'2.XDTD_S.Tr.T'!AP120</f>
        <v>0</v>
      </c>
      <c r="AO68" s="16">
        <f ca="1">'2.XDTD_S.Tr.T'!AP120</f>
        <v>0</v>
      </c>
      <c r="AP68" s="16">
        <f ca="1">'2.XDTD_S.Tr.T'!AR120</f>
        <v>0</v>
      </c>
      <c r="AQ68" s="16">
        <f ca="1">'2.XDTD_S.Tr.T'!AS120</f>
        <v>0</v>
      </c>
      <c r="AR68" s="16">
        <f ca="1">'2.XDTD_S.Tr.T'!AT120</f>
        <v>0</v>
      </c>
      <c r="AS68" s="16">
        <f ca="1">'2.XDTD_S.Tr.T'!AU120</f>
        <v>0</v>
      </c>
      <c r="AT68" s="16">
        <f ca="1">'2.XDTD_S.Tr.T'!AV120</f>
        <v>0</v>
      </c>
      <c r="AU68" s="16">
        <f ca="1">'2.XDTD_S.Tr.T'!AW120</f>
        <v>0</v>
      </c>
      <c r="AV68" s="16">
        <f ca="1">'2.XDTD_S.Tr.T'!AX120</f>
        <v>0</v>
      </c>
      <c r="AW68" s="16">
        <f ca="1">'2.XDTD_S.Tr.T'!AY120</f>
        <v>0</v>
      </c>
      <c r="AX68" s="16">
        <f ca="1">'2.XDTD_S.Tr.T'!AZ120</f>
        <v>0</v>
      </c>
      <c r="AY68" s="16">
        <f ca="1">'2.XDTD_S.Tr.T'!BA120</f>
        <v>0</v>
      </c>
      <c r="AZ68" s="16">
        <f ca="1">'2.XDTD_S.Tr.T'!BB120</f>
        <v>0</v>
      </c>
      <c r="BA68" s="16">
        <f ca="1">'2.XDTD_S.Tr.T'!BC120</f>
        <v>0</v>
      </c>
      <c r="BB68" s="16">
        <f ca="1">'2.XDTD_S.Tr.T'!BD120</f>
        <v>0</v>
      </c>
      <c r="BC68" s="16">
        <f ca="1">'2.XDTD_S.Tr.T'!BE120</f>
        <v>0</v>
      </c>
      <c r="BD68" s="16">
        <f ca="1">'2.XDTD_S.Tr.T'!BF120</f>
        <v>0</v>
      </c>
      <c r="BE68" s="16">
        <f ca="1">'2.XDTD_S.Tr.T'!BG120</f>
        <v>0</v>
      </c>
      <c r="BF68" s="16">
        <f ca="1">'2.XDTD_S.Tr.T'!BH120</f>
        <v>0</v>
      </c>
      <c r="BG68" s="16">
        <f ca="1">'2.XDTD_S.Tr.T'!BI120</f>
        <v>0</v>
      </c>
      <c r="BH68" s="16">
        <f ca="1">'2.XDTD_S.Tr.T'!BJ120</f>
        <v>0</v>
      </c>
      <c r="BI68" s="16">
        <f ca="1">'2.XDTD_S.Tr.T'!BK120</f>
        <v>0</v>
      </c>
      <c r="BJ68" s="16">
        <f ca="1">'2.XDTD_S.Tr.T'!BL120</f>
        <v>0</v>
      </c>
      <c r="BK68" s="16">
        <f ca="1">'2.XDTD_S.Tr.T'!BM120</f>
        <v>0</v>
      </c>
      <c r="BL68" s="16">
        <f ca="1">'2.XDTD_S.Tr.T'!BN120</f>
        <v>0</v>
      </c>
      <c r="BM68" s="16">
        <f ca="1">'2.XDTD_S.Tr.T'!BO120</f>
        <v>0</v>
      </c>
      <c r="BN68" s="16">
        <f ca="1">'2.XDTD_S.Tr.T'!BP120</f>
        <v>0</v>
      </c>
      <c r="BO68" s="16">
        <f ca="1">'2.XDTD_S.Tr.T'!BP120</f>
        <v>0</v>
      </c>
      <c r="BP68" s="16">
        <f ca="1">'2.XDTD_S.Tr.T'!BR120</f>
        <v>0</v>
      </c>
      <c r="BQ68" s="16">
        <f ca="1">'2.XDTD_S.Tr.T'!BS120</f>
        <v>0</v>
      </c>
      <c r="BR68" s="16">
        <f ca="1">'2.XDTD_S.Tr.T'!BT120</f>
        <v>0</v>
      </c>
      <c r="BS68" s="16">
        <f ca="1">'2.XDTD_S.Tr.T'!BU120</f>
        <v>0</v>
      </c>
      <c r="BT68" s="16">
        <f ca="1">'2.XDTD_S.Tr.T'!BV120</f>
        <v>0</v>
      </c>
      <c r="BU68" s="16">
        <f ca="1">'2.XDTD_S.Tr.T'!BW120</f>
        <v>0</v>
      </c>
      <c r="BV68" s="16">
        <f ca="1">'2.XDTD_S.Tr.T'!BX120</f>
        <v>0</v>
      </c>
      <c r="BW68" s="16">
        <f ca="1">'2.XDTD_S.Tr.T'!BY120</f>
        <v>0</v>
      </c>
      <c r="BX68" s="16">
        <f ca="1">'2.XDTD_S.Tr.T'!BZ120</f>
        <v>0</v>
      </c>
      <c r="BY68" s="16">
        <f ca="1">'2.XDTD_S.Tr.T'!CA120</f>
        <v>0</v>
      </c>
      <c r="BZ68" s="16">
        <f ca="1">'2.XDTD_S.Tr.T'!CB120</f>
        <v>0</v>
      </c>
      <c r="CA68" s="16">
        <f ca="1">'2.XDTD_S.Tr.T'!CC120</f>
        <v>0</v>
      </c>
      <c r="CB68" s="16">
        <f ca="1">'2.XDTD_S.Tr.T'!CD120</f>
        <v>0</v>
      </c>
      <c r="CC68" s="16">
        <f ca="1">'2.XDTD_S.Tr.T'!CE120</f>
        <v>0</v>
      </c>
      <c r="CD68" s="16">
        <f ca="1">'2.XDTD_S.Tr.T'!CF120</f>
        <v>0</v>
      </c>
      <c r="CE68" s="16">
        <f ca="1">'2.XDTD_S.Tr.T'!CG120</f>
        <v>0</v>
      </c>
      <c r="CF68" s="16">
        <f ca="1">'2.XDTD_S.Tr.T'!CH120</f>
        <v>0</v>
      </c>
      <c r="CG68" s="16">
        <f ca="1">'2.XDTD_S.Tr.T'!CI120</f>
        <v>0</v>
      </c>
      <c r="CH68" s="16">
        <f ca="1">'2.XDTD_S.Tr.T'!CJ120</f>
        <v>0</v>
      </c>
      <c r="CI68" s="16">
        <f ca="1">'2.XDTD_S.Tr.T'!CK120</f>
        <v>0</v>
      </c>
      <c r="CJ68" s="16">
        <f ca="1">'2.XDTD_S.Tr.T'!CL120</f>
        <v>0</v>
      </c>
      <c r="CK68" s="16">
        <f ca="1">'2.XDTD_S.Tr.T'!CM120</f>
        <v>0</v>
      </c>
      <c r="CL68" s="16">
        <f ca="1">'2.XDTD_S.Tr.T'!CN120</f>
        <v>0</v>
      </c>
      <c r="CM68" s="16">
        <f ca="1">'2.XDTD_S.Tr.T'!CO120</f>
        <v>0</v>
      </c>
      <c r="CN68" s="16">
        <f ca="1">'2.XDTD_S.Tr.T'!CP120</f>
        <v>0</v>
      </c>
      <c r="CO68" s="16">
        <f ca="1">'2.XDTD_S.Tr.T'!CP120</f>
        <v>0</v>
      </c>
    </row>
    <row r="69" spans="3:93" ht="19.95" customHeight="1">
      <c r="C69" s="5"/>
      <c r="D69" s="11" t="str">
        <f>'2.XDTD_S.Tr.T'!F121</f>
        <v>Đậu phụ</v>
      </c>
      <c r="E69" s="7" t="e">
        <f ca="1">'2.XDTD_S.Tr.T'!G121</f>
        <v>#NAME?</v>
      </c>
      <c r="F69" s="8">
        <f>'2.XDTD_S.Tr.T'!H121</f>
        <v>80</v>
      </c>
      <c r="G69" s="9">
        <f ca="1">'2.XDTD_S.Tr.T'!I121</f>
        <v>0</v>
      </c>
      <c r="H69" s="10">
        <f ca="1">'2.XDTD_S.Tr.T'!J121</f>
        <v>0</v>
      </c>
      <c r="I69" s="9">
        <f ca="1">'2.XDTD_S.Tr.T'!K121</f>
        <v>0</v>
      </c>
      <c r="J69" s="13" t="e">
        <f ca="1">'2.XDTD_S.Tr.T'!L121</f>
        <v>#NAME?</v>
      </c>
      <c r="K69" s="13" t="e">
        <f ca="1">'2.XDTD_S.Tr.T'!M121</f>
        <v>#NAME?</v>
      </c>
      <c r="L69" s="9">
        <f ca="1">'2.XDTD_S.Tr.T'!N121</f>
        <v>0</v>
      </c>
      <c r="M69" s="14" t="e">
        <f ca="1">'2.XDTD_S.Tr.T'!O121</f>
        <v>#NAME?</v>
      </c>
      <c r="N69" s="14" t="e">
        <f ca="1">'2.XDTD_S.Tr.T'!P121</f>
        <v>#NAME?</v>
      </c>
      <c r="O69" s="9" t="e">
        <f ca="1">'2.XDTD_S.Tr.T'!P121</f>
        <v>#NAME?</v>
      </c>
      <c r="P69" s="15">
        <f ca="1">'2.XDTD_S.Tr.T'!R121</f>
        <v>0</v>
      </c>
      <c r="Q69" s="16">
        <f ca="1">'2.XDTD_S.Tr.T'!S121</f>
        <v>0</v>
      </c>
      <c r="R69" s="16">
        <f ca="1">'2.XDTD_S.Tr.T'!T121</f>
        <v>0</v>
      </c>
      <c r="S69" s="16">
        <f ca="1">'2.XDTD_S.Tr.T'!U121</f>
        <v>0</v>
      </c>
      <c r="T69" s="16">
        <f ca="1">'2.XDTD_S.Tr.T'!V121</f>
        <v>0</v>
      </c>
      <c r="U69" s="16">
        <f ca="1">'2.XDTD_S.Tr.T'!W121</f>
        <v>0</v>
      </c>
      <c r="V69" s="16">
        <f ca="1">'2.XDTD_S.Tr.T'!X121</f>
        <v>0</v>
      </c>
      <c r="W69" s="16">
        <f ca="1">'2.XDTD_S.Tr.T'!Y121</f>
        <v>0</v>
      </c>
      <c r="X69" s="16">
        <f ca="1">'2.XDTD_S.Tr.T'!Z121</f>
        <v>0</v>
      </c>
      <c r="Y69" s="16">
        <f ca="1">'2.XDTD_S.Tr.T'!AA121</f>
        <v>0</v>
      </c>
      <c r="Z69" s="16">
        <f ca="1">'2.XDTD_S.Tr.T'!AB121</f>
        <v>0</v>
      </c>
      <c r="AA69" s="16">
        <f ca="1">'2.XDTD_S.Tr.T'!AC121</f>
        <v>0</v>
      </c>
      <c r="AB69" s="16">
        <f ca="1">'2.XDTD_S.Tr.T'!AD121</f>
        <v>0</v>
      </c>
      <c r="AC69" s="16">
        <f ca="1">'2.XDTD_S.Tr.T'!AE121</f>
        <v>0</v>
      </c>
      <c r="AD69" s="16">
        <f ca="1">'2.XDTD_S.Tr.T'!AF121</f>
        <v>0</v>
      </c>
      <c r="AE69" s="16">
        <f ca="1">'2.XDTD_S.Tr.T'!AG121</f>
        <v>0</v>
      </c>
      <c r="AF69" s="16">
        <f ca="1">'2.XDTD_S.Tr.T'!AH121</f>
        <v>0</v>
      </c>
      <c r="AG69" s="16">
        <f ca="1">'2.XDTD_S.Tr.T'!AI121</f>
        <v>0</v>
      </c>
      <c r="AH69" s="16">
        <f ca="1">'2.XDTD_S.Tr.T'!AJ121</f>
        <v>0</v>
      </c>
      <c r="AI69" s="16">
        <f ca="1">'2.XDTD_S.Tr.T'!AK121</f>
        <v>0</v>
      </c>
      <c r="AJ69" s="16">
        <f ca="1">'2.XDTD_S.Tr.T'!AL121</f>
        <v>0</v>
      </c>
      <c r="AK69" s="16">
        <f ca="1">'2.XDTD_S.Tr.T'!AM121</f>
        <v>0</v>
      </c>
      <c r="AL69" s="16">
        <f ca="1">'2.XDTD_S.Tr.T'!AN121</f>
        <v>0</v>
      </c>
      <c r="AM69" s="16">
        <f ca="1">'2.XDTD_S.Tr.T'!AO121</f>
        <v>0</v>
      </c>
      <c r="AN69" s="16">
        <f ca="1">'2.XDTD_S.Tr.T'!AP121</f>
        <v>0</v>
      </c>
      <c r="AO69" s="16">
        <f ca="1">'2.XDTD_S.Tr.T'!AP121</f>
        <v>0</v>
      </c>
      <c r="AP69" s="16">
        <f ca="1">'2.XDTD_S.Tr.T'!AR121</f>
        <v>0</v>
      </c>
      <c r="AQ69" s="16">
        <f ca="1">'2.XDTD_S.Tr.T'!AS121</f>
        <v>0</v>
      </c>
      <c r="AR69" s="16">
        <f ca="1">'2.XDTD_S.Tr.T'!AT121</f>
        <v>0</v>
      </c>
      <c r="AS69" s="16">
        <f ca="1">'2.XDTD_S.Tr.T'!AU121</f>
        <v>0</v>
      </c>
      <c r="AT69" s="16">
        <f ca="1">'2.XDTD_S.Tr.T'!AV121</f>
        <v>0</v>
      </c>
      <c r="AU69" s="16">
        <f ca="1">'2.XDTD_S.Tr.T'!AW121</f>
        <v>0</v>
      </c>
      <c r="AV69" s="16">
        <f ca="1">'2.XDTD_S.Tr.T'!AX121</f>
        <v>0</v>
      </c>
      <c r="AW69" s="16">
        <f ca="1">'2.XDTD_S.Tr.T'!AY121</f>
        <v>0</v>
      </c>
      <c r="AX69" s="16">
        <f ca="1">'2.XDTD_S.Tr.T'!AZ121</f>
        <v>0</v>
      </c>
      <c r="AY69" s="16">
        <f ca="1">'2.XDTD_S.Tr.T'!BA121</f>
        <v>0</v>
      </c>
      <c r="AZ69" s="16">
        <f ca="1">'2.XDTD_S.Tr.T'!BB121</f>
        <v>0</v>
      </c>
      <c r="BA69" s="16">
        <f ca="1">'2.XDTD_S.Tr.T'!BC121</f>
        <v>0</v>
      </c>
      <c r="BB69" s="16">
        <f ca="1">'2.XDTD_S.Tr.T'!BD121</f>
        <v>0</v>
      </c>
      <c r="BC69" s="16">
        <f ca="1">'2.XDTD_S.Tr.T'!BE121</f>
        <v>0</v>
      </c>
      <c r="BD69" s="16">
        <f ca="1">'2.XDTD_S.Tr.T'!BF121</f>
        <v>0</v>
      </c>
      <c r="BE69" s="16">
        <f ca="1">'2.XDTD_S.Tr.T'!BG121</f>
        <v>0</v>
      </c>
      <c r="BF69" s="16">
        <f ca="1">'2.XDTD_S.Tr.T'!BH121</f>
        <v>0</v>
      </c>
      <c r="BG69" s="16">
        <f ca="1">'2.XDTD_S.Tr.T'!BI121</f>
        <v>0</v>
      </c>
      <c r="BH69" s="16">
        <f ca="1">'2.XDTD_S.Tr.T'!BJ121</f>
        <v>0</v>
      </c>
      <c r="BI69" s="16">
        <f ca="1">'2.XDTD_S.Tr.T'!BK121</f>
        <v>0</v>
      </c>
      <c r="BJ69" s="16">
        <f ca="1">'2.XDTD_S.Tr.T'!BL121</f>
        <v>0</v>
      </c>
      <c r="BK69" s="16">
        <f ca="1">'2.XDTD_S.Tr.T'!BM121</f>
        <v>0</v>
      </c>
      <c r="BL69" s="16">
        <f ca="1">'2.XDTD_S.Tr.T'!BN121</f>
        <v>0</v>
      </c>
      <c r="BM69" s="16">
        <f ca="1">'2.XDTD_S.Tr.T'!BO121</f>
        <v>0</v>
      </c>
      <c r="BN69" s="16">
        <f ca="1">'2.XDTD_S.Tr.T'!BP121</f>
        <v>0</v>
      </c>
      <c r="BO69" s="16">
        <f ca="1">'2.XDTD_S.Tr.T'!BP121</f>
        <v>0</v>
      </c>
      <c r="BP69" s="16">
        <f ca="1">'2.XDTD_S.Tr.T'!BR121</f>
        <v>0</v>
      </c>
      <c r="BQ69" s="16">
        <f ca="1">'2.XDTD_S.Tr.T'!BS121</f>
        <v>0</v>
      </c>
      <c r="BR69" s="16">
        <f ca="1">'2.XDTD_S.Tr.T'!BT121</f>
        <v>0</v>
      </c>
      <c r="BS69" s="16">
        <f ca="1">'2.XDTD_S.Tr.T'!BU121</f>
        <v>0</v>
      </c>
      <c r="BT69" s="16">
        <f ca="1">'2.XDTD_S.Tr.T'!BV121</f>
        <v>0</v>
      </c>
      <c r="BU69" s="16">
        <f ca="1">'2.XDTD_S.Tr.T'!BW121</f>
        <v>0</v>
      </c>
      <c r="BV69" s="16">
        <f ca="1">'2.XDTD_S.Tr.T'!BX121</f>
        <v>0</v>
      </c>
      <c r="BW69" s="16">
        <f ca="1">'2.XDTD_S.Tr.T'!BY121</f>
        <v>0</v>
      </c>
      <c r="BX69" s="16">
        <f ca="1">'2.XDTD_S.Tr.T'!BZ121</f>
        <v>0</v>
      </c>
      <c r="BY69" s="16">
        <f ca="1">'2.XDTD_S.Tr.T'!CA121</f>
        <v>0</v>
      </c>
      <c r="BZ69" s="16">
        <f ca="1">'2.XDTD_S.Tr.T'!CB121</f>
        <v>0</v>
      </c>
      <c r="CA69" s="16">
        <f ca="1">'2.XDTD_S.Tr.T'!CC121</f>
        <v>0</v>
      </c>
      <c r="CB69" s="16">
        <f ca="1">'2.XDTD_S.Tr.T'!CD121</f>
        <v>0</v>
      </c>
      <c r="CC69" s="16">
        <f ca="1">'2.XDTD_S.Tr.T'!CE121</f>
        <v>0</v>
      </c>
      <c r="CD69" s="16">
        <f ca="1">'2.XDTD_S.Tr.T'!CF121</f>
        <v>0</v>
      </c>
      <c r="CE69" s="16">
        <f ca="1">'2.XDTD_S.Tr.T'!CG121</f>
        <v>0</v>
      </c>
      <c r="CF69" s="16">
        <f ca="1">'2.XDTD_S.Tr.T'!CH121</f>
        <v>0</v>
      </c>
      <c r="CG69" s="16">
        <f ca="1">'2.XDTD_S.Tr.T'!CI121</f>
        <v>0</v>
      </c>
      <c r="CH69" s="16">
        <f ca="1">'2.XDTD_S.Tr.T'!CJ121</f>
        <v>0</v>
      </c>
      <c r="CI69" s="16">
        <f ca="1">'2.XDTD_S.Tr.T'!CK121</f>
        <v>0</v>
      </c>
      <c r="CJ69" s="16">
        <f ca="1">'2.XDTD_S.Tr.T'!CL121</f>
        <v>0</v>
      </c>
      <c r="CK69" s="16">
        <f ca="1">'2.XDTD_S.Tr.T'!CM121</f>
        <v>0</v>
      </c>
      <c r="CL69" s="16">
        <f ca="1">'2.XDTD_S.Tr.T'!CN121</f>
        <v>0</v>
      </c>
      <c r="CM69" s="16">
        <f ca="1">'2.XDTD_S.Tr.T'!CO121</f>
        <v>0</v>
      </c>
      <c r="CN69" s="16">
        <f ca="1">'2.XDTD_S.Tr.T'!CP121</f>
        <v>0</v>
      </c>
      <c r="CO69" s="16">
        <f ca="1">'2.XDTD_S.Tr.T'!CP121</f>
        <v>0</v>
      </c>
    </row>
    <row r="70" spans="3:93" ht="19.95" hidden="1" customHeight="1">
      <c r="C70" s="5"/>
      <c r="D70" s="11">
        <f>'2.XDTD_S.Tr.T'!F122</f>
        <v>0</v>
      </c>
      <c r="E70" s="7">
        <f>'2.XDTD_S.Tr.T'!G122</f>
        <v>0</v>
      </c>
      <c r="F70" s="8">
        <f>'2.XDTD_S.Tr.T'!H122</f>
        <v>0</v>
      </c>
      <c r="G70" s="9">
        <f ca="1">'2.XDTD_S.Tr.T'!I122</f>
        <v>0</v>
      </c>
      <c r="H70" s="10">
        <f ca="1">'2.XDTD_S.Tr.T'!J122</f>
        <v>0</v>
      </c>
      <c r="I70" s="9">
        <f ca="1">'2.XDTD_S.Tr.T'!K122</f>
        <v>0</v>
      </c>
      <c r="J70" s="13">
        <f>'2.XDTD_S.Tr.T'!L122</f>
        <v>0</v>
      </c>
      <c r="K70" s="13">
        <f>'2.XDTD_S.Tr.T'!M122</f>
        <v>0</v>
      </c>
      <c r="L70" s="9">
        <f ca="1">'2.XDTD_S.Tr.T'!N122</f>
        <v>0</v>
      </c>
      <c r="M70" s="14">
        <f>'2.XDTD_S.Tr.T'!O122</f>
        <v>0</v>
      </c>
      <c r="N70" s="14">
        <f>'2.XDTD_S.Tr.T'!P122</f>
        <v>0</v>
      </c>
      <c r="O70" s="9">
        <f>'2.XDTD_S.Tr.T'!P122</f>
        <v>0</v>
      </c>
      <c r="P70" s="15">
        <f ca="1">'2.XDTD_S.Tr.T'!R122</f>
        <v>0</v>
      </c>
      <c r="Q70" s="16">
        <f ca="1">'2.XDTD_S.Tr.T'!S122</f>
        <v>0</v>
      </c>
      <c r="R70" s="16">
        <f ca="1">'2.XDTD_S.Tr.T'!T122</f>
        <v>0</v>
      </c>
      <c r="S70" s="16">
        <f ca="1">'2.XDTD_S.Tr.T'!U122</f>
        <v>0</v>
      </c>
      <c r="T70" s="16">
        <f ca="1">'2.XDTD_S.Tr.T'!V122</f>
        <v>0</v>
      </c>
      <c r="U70" s="16">
        <f ca="1">'2.XDTD_S.Tr.T'!W122</f>
        <v>0</v>
      </c>
      <c r="V70" s="16">
        <f ca="1">'2.XDTD_S.Tr.T'!X122</f>
        <v>0</v>
      </c>
      <c r="W70" s="16">
        <f ca="1">'2.XDTD_S.Tr.T'!Y122</f>
        <v>0</v>
      </c>
      <c r="X70" s="16">
        <f ca="1">'2.XDTD_S.Tr.T'!Z122</f>
        <v>0</v>
      </c>
      <c r="Y70" s="16">
        <f ca="1">'2.XDTD_S.Tr.T'!AA122</f>
        <v>0</v>
      </c>
      <c r="Z70" s="16">
        <f ca="1">'2.XDTD_S.Tr.T'!AB122</f>
        <v>0</v>
      </c>
      <c r="AA70" s="16">
        <f ca="1">'2.XDTD_S.Tr.T'!AC122</f>
        <v>0</v>
      </c>
      <c r="AB70" s="16">
        <f ca="1">'2.XDTD_S.Tr.T'!AD122</f>
        <v>0</v>
      </c>
      <c r="AC70" s="16">
        <f ca="1">'2.XDTD_S.Tr.T'!AE122</f>
        <v>0</v>
      </c>
      <c r="AD70" s="16">
        <f ca="1">'2.XDTD_S.Tr.T'!AF122</f>
        <v>0</v>
      </c>
      <c r="AE70" s="16">
        <f ca="1">'2.XDTD_S.Tr.T'!AG122</f>
        <v>0</v>
      </c>
      <c r="AF70" s="16">
        <f ca="1">'2.XDTD_S.Tr.T'!AH122</f>
        <v>0</v>
      </c>
      <c r="AG70" s="16">
        <f ca="1">'2.XDTD_S.Tr.T'!AI122</f>
        <v>0</v>
      </c>
      <c r="AH70" s="16">
        <f ca="1">'2.XDTD_S.Tr.T'!AJ122</f>
        <v>0</v>
      </c>
      <c r="AI70" s="16">
        <f ca="1">'2.XDTD_S.Tr.T'!AK122</f>
        <v>0</v>
      </c>
      <c r="AJ70" s="16">
        <f ca="1">'2.XDTD_S.Tr.T'!AL122</f>
        <v>0</v>
      </c>
      <c r="AK70" s="16">
        <f ca="1">'2.XDTD_S.Tr.T'!AM122</f>
        <v>0</v>
      </c>
      <c r="AL70" s="16">
        <f ca="1">'2.XDTD_S.Tr.T'!AN122</f>
        <v>0</v>
      </c>
      <c r="AM70" s="16">
        <f ca="1">'2.XDTD_S.Tr.T'!AO122</f>
        <v>0</v>
      </c>
      <c r="AN70" s="16">
        <f ca="1">'2.XDTD_S.Tr.T'!AP122</f>
        <v>0</v>
      </c>
      <c r="AO70" s="16">
        <f ca="1">'2.XDTD_S.Tr.T'!AP122</f>
        <v>0</v>
      </c>
      <c r="AP70" s="16">
        <f ca="1">'2.XDTD_S.Tr.T'!AR122</f>
        <v>0</v>
      </c>
      <c r="AQ70" s="16">
        <f ca="1">'2.XDTD_S.Tr.T'!AS122</f>
        <v>0</v>
      </c>
      <c r="AR70" s="16">
        <f ca="1">'2.XDTD_S.Tr.T'!AT122</f>
        <v>0</v>
      </c>
      <c r="AS70" s="16">
        <f ca="1">'2.XDTD_S.Tr.T'!AU122</f>
        <v>0</v>
      </c>
      <c r="AT70" s="16">
        <f ca="1">'2.XDTD_S.Tr.T'!AV122</f>
        <v>0</v>
      </c>
      <c r="AU70" s="16">
        <f ca="1">'2.XDTD_S.Tr.T'!AW122</f>
        <v>0</v>
      </c>
      <c r="AV70" s="16">
        <f ca="1">'2.XDTD_S.Tr.T'!AX122</f>
        <v>0</v>
      </c>
      <c r="AW70" s="16">
        <f ca="1">'2.XDTD_S.Tr.T'!AY122</f>
        <v>0</v>
      </c>
      <c r="AX70" s="16">
        <f ca="1">'2.XDTD_S.Tr.T'!AZ122</f>
        <v>0</v>
      </c>
      <c r="AY70" s="16">
        <f ca="1">'2.XDTD_S.Tr.T'!BA122</f>
        <v>0</v>
      </c>
      <c r="AZ70" s="16">
        <f ca="1">'2.XDTD_S.Tr.T'!BB122</f>
        <v>0</v>
      </c>
      <c r="BA70" s="16">
        <f ca="1">'2.XDTD_S.Tr.T'!BC122</f>
        <v>0</v>
      </c>
      <c r="BB70" s="16">
        <f ca="1">'2.XDTD_S.Tr.T'!BD122</f>
        <v>0</v>
      </c>
      <c r="BC70" s="16">
        <f ca="1">'2.XDTD_S.Tr.T'!BE122</f>
        <v>0</v>
      </c>
      <c r="BD70" s="16">
        <f ca="1">'2.XDTD_S.Tr.T'!BF122</f>
        <v>0</v>
      </c>
      <c r="BE70" s="16">
        <f ca="1">'2.XDTD_S.Tr.T'!BG122</f>
        <v>0</v>
      </c>
      <c r="BF70" s="16">
        <f ca="1">'2.XDTD_S.Tr.T'!BH122</f>
        <v>0</v>
      </c>
      <c r="BG70" s="16">
        <f ca="1">'2.XDTD_S.Tr.T'!BI122</f>
        <v>0</v>
      </c>
      <c r="BH70" s="16">
        <f ca="1">'2.XDTD_S.Tr.T'!BJ122</f>
        <v>0</v>
      </c>
      <c r="BI70" s="16">
        <f ca="1">'2.XDTD_S.Tr.T'!BK122</f>
        <v>0</v>
      </c>
      <c r="BJ70" s="16">
        <f ca="1">'2.XDTD_S.Tr.T'!BL122</f>
        <v>0</v>
      </c>
      <c r="BK70" s="16">
        <f ca="1">'2.XDTD_S.Tr.T'!BM122</f>
        <v>0</v>
      </c>
      <c r="BL70" s="16">
        <f ca="1">'2.XDTD_S.Tr.T'!BN122</f>
        <v>0</v>
      </c>
      <c r="BM70" s="16">
        <f ca="1">'2.XDTD_S.Tr.T'!BO122</f>
        <v>0</v>
      </c>
      <c r="BN70" s="16">
        <f ca="1">'2.XDTD_S.Tr.T'!BP122</f>
        <v>0</v>
      </c>
      <c r="BO70" s="16">
        <f ca="1">'2.XDTD_S.Tr.T'!BP122</f>
        <v>0</v>
      </c>
      <c r="BP70" s="16">
        <f ca="1">'2.XDTD_S.Tr.T'!BR122</f>
        <v>0</v>
      </c>
      <c r="BQ70" s="16">
        <f ca="1">'2.XDTD_S.Tr.T'!BS122</f>
        <v>0</v>
      </c>
      <c r="BR70" s="16">
        <f ca="1">'2.XDTD_S.Tr.T'!BT122</f>
        <v>0</v>
      </c>
      <c r="BS70" s="16">
        <f ca="1">'2.XDTD_S.Tr.T'!BU122</f>
        <v>0</v>
      </c>
      <c r="BT70" s="16">
        <f ca="1">'2.XDTD_S.Tr.T'!BV122</f>
        <v>0</v>
      </c>
      <c r="BU70" s="16">
        <f ca="1">'2.XDTD_S.Tr.T'!BW122</f>
        <v>0</v>
      </c>
      <c r="BV70" s="16">
        <f ca="1">'2.XDTD_S.Tr.T'!BX122</f>
        <v>0</v>
      </c>
      <c r="BW70" s="16">
        <f ca="1">'2.XDTD_S.Tr.T'!BY122</f>
        <v>0</v>
      </c>
      <c r="BX70" s="16">
        <f ca="1">'2.XDTD_S.Tr.T'!BZ122</f>
        <v>0</v>
      </c>
      <c r="BY70" s="16">
        <f ca="1">'2.XDTD_S.Tr.T'!CA122</f>
        <v>0</v>
      </c>
      <c r="BZ70" s="16">
        <f ca="1">'2.XDTD_S.Tr.T'!CB122</f>
        <v>0</v>
      </c>
      <c r="CA70" s="16">
        <f ca="1">'2.XDTD_S.Tr.T'!CC122</f>
        <v>0</v>
      </c>
      <c r="CB70" s="16">
        <f ca="1">'2.XDTD_S.Tr.T'!CD122</f>
        <v>0</v>
      </c>
      <c r="CC70" s="16">
        <f ca="1">'2.XDTD_S.Tr.T'!CE122</f>
        <v>0</v>
      </c>
      <c r="CD70" s="16">
        <f ca="1">'2.XDTD_S.Tr.T'!CF122</f>
        <v>0</v>
      </c>
      <c r="CE70" s="16">
        <f ca="1">'2.XDTD_S.Tr.T'!CG122</f>
        <v>0</v>
      </c>
      <c r="CF70" s="16">
        <f ca="1">'2.XDTD_S.Tr.T'!CH122</f>
        <v>0</v>
      </c>
      <c r="CG70" s="16">
        <f ca="1">'2.XDTD_S.Tr.T'!CI122</f>
        <v>0</v>
      </c>
      <c r="CH70" s="16">
        <f ca="1">'2.XDTD_S.Tr.T'!CJ122</f>
        <v>0</v>
      </c>
      <c r="CI70" s="16">
        <f ca="1">'2.XDTD_S.Tr.T'!CK122</f>
        <v>0</v>
      </c>
      <c r="CJ70" s="16">
        <f ca="1">'2.XDTD_S.Tr.T'!CL122</f>
        <v>0</v>
      </c>
      <c r="CK70" s="16">
        <f ca="1">'2.XDTD_S.Tr.T'!CM122</f>
        <v>0</v>
      </c>
      <c r="CL70" s="16">
        <f ca="1">'2.XDTD_S.Tr.T'!CN122</f>
        <v>0</v>
      </c>
      <c r="CM70" s="16">
        <f ca="1">'2.XDTD_S.Tr.T'!CO122</f>
        <v>0</v>
      </c>
      <c r="CN70" s="16">
        <f ca="1">'2.XDTD_S.Tr.T'!CP122</f>
        <v>0</v>
      </c>
      <c r="CO70" s="16">
        <f ca="1">'2.XDTD_S.Tr.T'!CP122</f>
        <v>0</v>
      </c>
    </row>
    <row r="71" spans="3:93" ht="19.95" hidden="1" customHeight="1">
      <c r="C71" s="5"/>
      <c r="D71" s="11">
        <f>'2.XDTD_S.Tr.T'!F123</f>
        <v>0</v>
      </c>
      <c r="E71" s="7">
        <f>'2.XDTD_S.Tr.T'!G123</f>
        <v>0</v>
      </c>
      <c r="F71" s="8">
        <f>'2.XDTD_S.Tr.T'!H123</f>
        <v>0</v>
      </c>
      <c r="G71" s="9">
        <f ca="1">'2.XDTD_S.Tr.T'!I123</f>
        <v>0</v>
      </c>
      <c r="H71" s="10">
        <f ca="1">'2.XDTD_S.Tr.T'!J123</f>
        <v>0</v>
      </c>
      <c r="I71" s="9">
        <f ca="1">'2.XDTD_S.Tr.T'!K123</f>
        <v>0</v>
      </c>
      <c r="J71" s="13">
        <f>'2.XDTD_S.Tr.T'!L123</f>
        <v>0</v>
      </c>
      <c r="K71" s="13">
        <f>'2.XDTD_S.Tr.T'!M123</f>
        <v>0</v>
      </c>
      <c r="L71" s="9">
        <f ca="1">'2.XDTD_S.Tr.T'!N123</f>
        <v>0</v>
      </c>
      <c r="M71" s="14">
        <f>'2.XDTD_S.Tr.T'!O123</f>
        <v>0</v>
      </c>
      <c r="N71" s="14">
        <f>'2.XDTD_S.Tr.T'!P123</f>
        <v>0</v>
      </c>
      <c r="O71" s="9">
        <f>'2.XDTD_S.Tr.T'!P123</f>
        <v>0</v>
      </c>
      <c r="P71" s="15">
        <f ca="1">'2.XDTD_S.Tr.T'!R123</f>
        <v>0</v>
      </c>
      <c r="Q71" s="16">
        <f ca="1">'2.XDTD_S.Tr.T'!S123</f>
        <v>0</v>
      </c>
      <c r="R71" s="16">
        <f ca="1">'2.XDTD_S.Tr.T'!T123</f>
        <v>0</v>
      </c>
      <c r="S71" s="16">
        <f ca="1">'2.XDTD_S.Tr.T'!U123</f>
        <v>0</v>
      </c>
      <c r="T71" s="16">
        <f ca="1">'2.XDTD_S.Tr.T'!V123</f>
        <v>0</v>
      </c>
      <c r="U71" s="16">
        <f ca="1">'2.XDTD_S.Tr.T'!W123</f>
        <v>0</v>
      </c>
      <c r="V71" s="16">
        <f ca="1">'2.XDTD_S.Tr.T'!X123</f>
        <v>0</v>
      </c>
      <c r="W71" s="16">
        <f ca="1">'2.XDTD_S.Tr.T'!Y123</f>
        <v>0</v>
      </c>
      <c r="X71" s="16">
        <f ca="1">'2.XDTD_S.Tr.T'!Z123</f>
        <v>0</v>
      </c>
      <c r="Y71" s="16">
        <f ca="1">'2.XDTD_S.Tr.T'!AA123</f>
        <v>0</v>
      </c>
      <c r="Z71" s="16">
        <f ca="1">'2.XDTD_S.Tr.T'!AB123</f>
        <v>0</v>
      </c>
      <c r="AA71" s="16">
        <f ca="1">'2.XDTD_S.Tr.T'!AC123</f>
        <v>0</v>
      </c>
      <c r="AB71" s="16">
        <f ca="1">'2.XDTD_S.Tr.T'!AD123</f>
        <v>0</v>
      </c>
      <c r="AC71" s="16">
        <f ca="1">'2.XDTD_S.Tr.T'!AE123</f>
        <v>0</v>
      </c>
      <c r="AD71" s="16">
        <f ca="1">'2.XDTD_S.Tr.T'!AF123</f>
        <v>0</v>
      </c>
      <c r="AE71" s="16">
        <f ca="1">'2.XDTD_S.Tr.T'!AG123</f>
        <v>0</v>
      </c>
      <c r="AF71" s="16">
        <f ca="1">'2.XDTD_S.Tr.T'!AH123</f>
        <v>0</v>
      </c>
      <c r="AG71" s="16">
        <f ca="1">'2.XDTD_S.Tr.T'!AI123</f>
        <v>0</v>
      </c>
      <c r="AH71" s="16">
        <f ca="1">'2.XDTD_S.Tr.T'!AJ123</f>
        <v>0</v>
      </c>
      <c r="AI71" s="16">
        <f ca="1">'2.XDTD_S.Tr.T'!AK123</f>
        <v>0</v>
      </c>
      <c r="AJ71" s="16">
        <f ca="1">'2.XDTD_S.Tr.T'!AL123</f>
        <v>0</v>
      </c>
      <c r="AK71" s="16">
        <f ca="1">'2.XDTD_S.Tr.T'!AM123</f>
        <v>0</v>
      </c>
      <c r="AL71" s="16">
        <f ca="1">'2.XDTD_S.Tr.T'!AN123</f>
        <v>0</v>
      </c>
      <c r="AM71" s="16">
        <f ca="1">'2.XDTD_S.Tr.T'!AO123</f>
        <v>0</v>
      </c>
      <c r="AN71" s="16">
        <f ca="1">'2.XDTD_S.Tr.T'!AP123</f>
        <v>0</v>
      </c>
      <c r="AO71" s="16">
        <f ca="1">'2.XDTD_S.Tr.T'!AP123</f>
        <v>0</v>
      </c>
      <c r="AP71" s="16">
        <f ca="1">'2.XDTD_S.Tr.T'!AR123</f>
        <v>0</v>
      </c>
      <c r="AQ71" s="16">
        <f ca="1">'2.XDTD_S.Tr.T'!AS123</f>
        <v>0</v>
      </c>
      <c r="AR71" s="16">
        <f ca="1">'2.XDTD_S.Tr.T'!AT123</f>
        <v>0</v>
      </c>
      <c r="AS71" s="16">
        <f ca="1">'2.XDTD_S.Tr.T'!AU123</f>
        <v>0</v>
      </c>
      <c r="AT71" s="16">
        <f ca="1">'2.XDTD_S.Tr.T'!AV123</f>
        <v>0</v>
      </c>
      <c r="AU71" s="16">
        <f ca="1">'2.XDTD_S.Tr.T'!AW123</f>
        <v>0</v>
      </c>
      <c r="AV71" s="16">
        <f ca="1">'2.XDTD_S.Tr.T'!AX123</f>
        <v>0</v>
      </c>
      <c r="AW71" s="16">
        <f ca="1">'2.XDTD_S.Tr.T'!AY123</f>
        <v>0</v>
      </c>
      <c r="AX71" s="16">
        <f ca="1">'2.XDTD_S.Tr.T'!AZ123</f>
        <v>0</v>
      </c>
      <c r="AY71" s="16">
        <f ca="1">'2.XDTD_S.Tr.T'!BA123</f>
        <v>0</v>
      </c>
      <c r="AZ71" s="16">
        <f ca="1">'2.XDTD_S.Tr.T'!BB123</f>
        <v>0</v>
      </c>
      <c r="BA71" s="16">
        <f ca="1">'2.XDTD_S.Tr.T'!BC123</f>
        <v>0</v>
      </c>
      <c r="BB71" s="16">
        <f ca="1">'2.XDTD_S.Tr.T'!BD123</f>
        <v>0</v>
      </c>
      <c r="BC71" s="16">
        <f ca="1">'2.XDTD_S.Tr.T'!BE123</f>
        <v>0</v>
      </c>
      <c r="BD71" s="16">
        <f ca="1">'2.XDTD_S.Tr.T'!BF123</f>
        <v>0</v>
      </c>
      <c r="BE71" s="16">
        <f ca="1">'2.XDTD_S.Tr.T'!BG123</f>
        <v>0</v>
      </c>
      <c r="BF71" s="16">
        <f ca="1">'2.XDTD_S.Tr.T'!BH123</f>
        <v>0</v>
      </c>
      <c r="BG71" s="16">
        <f ca="1">'2.XDTD_S.Tr.T'!BI123</f>
        <v>0</v>
      </c>
      <c r="BH71" s="16">
        <f ca="1">'2.XDTD_S.Tr.T'!BJ123</f>
        <v>0</v>
      </c>
      <c r="BI71" s="16">
        <f ca="1">'2.XDTD_S.Tr.T'!BK123</f>
        <v>0</v>
      </c>
      <c r="BJ71" s="16">
        <f ca="1">'2.XDTD_S.Tr.T'!BL123</f>
        <v>0</v>
      </c>
      <c r="BK71" s="16">
        <f ca="1">'2.XDTD_S.Tr.T'!BM123</f>
        <v>0</v>
      </c>
      <c r="BL71" s="16">
        <f ca="1">'2.XDTD_S.Tr.T'!BN123</f>
        <v>0</v>
      </c>
      <c r="BM71" s="16">
        <f ca="1">'2.XDTD_S.Tr.T'!BO123</f>
        <v>0</v>
      </c>
      <c r="BN71" s="16">
        <f ca="1">'2.XDTD_S.Tr.T'!BP123</f>
        <v>0</v>
      </c>
      <c r="BO71" s="16">
        <f ca="1">'2.XDTD_S.Tr.T'!BP123</f>
        <v>0</v>
      </c>
      <c r="BP71" s="16">
        <f ca="1">'2.XDTD_S.Tr.T'!BR123</f>
        <v>0</v>
      </c>
      <c r="BQ71" s="16">
        <f ca="1">'2.XDTD_S.Tr.T'!BS123</f>
        <v>0</v>
      </c>
      <c r="BR71" s="16">
        <f ca="1">'2.XDTD_S.Tr.T'!BT123</f>
        <v>0</v>
      </c>
      <c r="BS71" s="16">
        <f ca="1">'2.XDTD_S.Tr.T'!BU123</f>
        <v>0</v>
      </c>
      <c r="BT71" s="16">
        <f ca="1">'2.XDTD_S.Tr.T'!BV123</f>
        <v>0</v>
      </c>
      <c r="BU71" s="16">
        <f ca="1">'2.XDTD_S.Tr.T'!BW123</f>
        <v>0</v>
      </c>
      <c r="BV71" s="16">
        <f ca="1">'2.XDTD_S.Tr.T'!BX123</f>
        <v>0</v>
      </c>
      <c r="BW71" s="16">
        <f ca="1">'2.XDTD_S.Tr.T'!BY123</f>
        <v>0</v>
      </c>
      <c r="BX71" s="16">
        <f ca="1">'2.XDTD_S.Tr.T'!BZ123</f>
        <v>0</v>
      </c>
      <c r="BY71" s="16">
        <f ca="1">'2.XDTD_S.Tr.T'!CA123</f>
        <v>0</v>
      </c>
      <c r="BZ71" s="16">
        <f ca="1">'2.XDTD_S.Tr.T'!CB123</f>
        <v>0</v>
      </c>
      <c r="CA71" s="16">
        <f ca="1">'2.XDTD_S.Tr.T'!CC123</f>
        <v>0</v>
      </c>
      <c r="CB71" s="16">
        <f ca="1">'2.XDTD_S.Tr.T'!CD123</f>
        <v>0</v>
      </c>
      <c r="CC71" s="16">
        <f ca="1">'2.XDTD_S.Tr.T'!CE123</f>
        <v>0</v>
      </c>
      <c r="CD71" s="16">
        <f ca="1">'2.XDTD_S.Tr.T'!CF123</f>
        <v>0</v>
      </c>
      <c r="CE71" s="16">
        <f ca="1">'2.XDTD_S.Tr.T'!CG123</f>
        <v>0</v>
      </c>
      <c r="CF71" s="16">
        <f ca="1">'2.XDTD_S.Tr.T'!CH123</f>
        <v>0</v>
      </c>
      <c r="CG71" s="16">
        <f ca="1">'2.XDTD_S.Tr.T'!CI123</f>
        <v>0</v>
      </c>
      <c r="CH71" s="16">
        <f ca="1">'2.XDTD_S.Tr.T'!CJ123</f>
        <v>0</v>
      </c>
      <c r="CI71" s="16">
        <f ca="1">'2.XDTD_S.Tr.T'!CK123</f>
        <v>0</v>
      </c>
      <c r="CJ71" s="16">
        <f ca="1">'2.XDTD_S.Tr.T'!CL123</f>
        <v>0</v>
      </c>
      <c r="CK71" s="16">
        <f ca="1">'2.XDTD_S.Tr.T'!CM123</f>
        <v>0</v>
      </c>
      <c r="CL71" s="16">
        <f ca="1">'2.XDTD_S.Tr.T'!CN123</f>
        <v>0</v>
      </c>
      <c r="CM71" s="16">
        <f ca="1">'2.XDTD_S.Tr.T'!CO123</f>
        <v>0</v>
      </c>
      <c r="CN71" s="16">
        <f ca="1">'2.XDTD_S.Tr.T'!CP123</f>
        <v>0</v>
      </c>
      <c r="CO71" s="16">
        <f ca="1">'2.XDTD_S.Tr.T'!CP123</f>
        <v>0</v>
      </c>
    </row>
    <row r="72" spans="3:93" ht="19.95" hidden="1" customHeight="1">
      <c r="C72" s="5"/>
      <c r="D72" s="11">
        <f>'2.XDTD_S.Tr.T'!F124</f>
        <v>0</v>
      </c>
      <c r="E72" s="7">
        <f>'2.XDTD_S.Tr.T'!G124</f>
        <v>0</v>
      </c>
      <c r="F72" s="8">
        <f>'2.XDTD_S.Tr.T'!H124</f>
        <v>0</v>
      </c>
      <c r="G72" s="9">
        <f ca="1">'2.XDTD_S.Tr.T'!I124</f>
        <v>0</v>
      </c>
      <c r="H72" s="10">
        <f ca="1">'2.XDTD_S.Tr.T'!J124</f>
        <v>0</v>
      </c>
      <c r="I72" s="9">
        <f ca="1">'2.XDTD_S.Tr.T'!K124</f>
        <v>0</v>
      </c>
      <c r="J72" s="13">
        <f>'2.XDTD_S.Tr.T'!L124</f>
        <v>0</v>
      </c>
      <c r="K72" s="13">
        <f>'2.XDTD_S.Tr.T'!M124</f>
        <v>0</v>
      </c>
      <c r="L72" s="9">
        <f ca="1">'2.XDTD_S.Tr.T'!N124</f>
        <v>0</v>
      </c>
      <c r="M72" s="14">
        <f>'2.XDTD_S.Tr.T'!O124</f>
        <v>0</v>
      </c>
      <c r="N72" s="14">
        <f>'2.XDTD_S.Tr.T'!P124</f>
        <v>0</v>
      </c>
      <c r="O72" s="9">
        <f>'2.XDTD_S.Tr.T'!P124</f>
        <v>0</v>
      </c>
      <c r="P72" s="15">
        <f ca="1">'2.XDTD_S.Tr.T'!R124</f>
        <v>0</v>
      </c>
      <c r="Q72" s="16">
        <f ca="1">'2.XDTD_S.Tr.T'!S124</f>
        <v>0</v>
      </c>
      <c r="R72" s="16">
        <f ca="1">'2.XDTD_S.Tr.T'!T124</f>
        <v>0</v>
      </c>
      <c r="S72" s="16">
        <f ca="1">'2.XDTD_S.Tr.T'!U124</f>
        <v>0</v>
      </c>
      <c r="T72" s="16">
        <f ca="1">'2.XDTD_S.Tr.T'!V124</f>
        <v>0</v>
      </c>
      <c r="U72" s="16">
        <f ca="1">'2.XDTD_S.Tr.T'!W124</f>
        <v>0</v>
      </c>
      <c r="V72" s="16">
        <f ca="1">'2.XDTD_S.Tr.T'!X124</f>
        <v>0</v>
      </c>
      <c r="W72" s="16">
        <f ca="1">'2.XDTD_S.Tr.T'!Y124</f>
        <v>0</v>
      </c>
      <c r="X72" s="16">
        <f ca="1">'2.XDTD_S.Tr.T'!Z124</f>
        <v>0</v>
      </c>
      <c r="Y72" s="16">
        <f ca="1">'2.XDTD_S.Tr.T'!AA124</f>
        <v>0</v>
      </c>
      <c r="Z72" s="16">
        <f ca="1">'2.XDTD_S.Tr.T'!AB124</f>
        <v>0</v>
      </c>
      <c r="AA72" s="16">
        <f ca="1">'2.XDTD_S.Tr.T'!AC124</f>
        <v>0</v>
      </c>
      <c r="AB72" s="16">
        <f ca="1">'2.XDTD_S.Tr.T'!AD124</f>
        <v>0</v>
      </c>
      <c r="AC72" s="16">
        <f ca="1">'2.XDTD_S.Tr.T'!AE124</f>
        <v>0</v>
      </c>
      <c r="AD72" s="16">
        <f ca="1">'2.XDTD_S.Tr.T'!AF124</f>
        <v>0</v>
      </c>
      <c r="AE72" s="16">
        <f ca="1">'2.XDTD_S.Tr.T'!AG124</f>
        <v>0</v>
      </c>
      <c r="AF72" s="16">
        <f ca="1">'2.XDTD_S.Tr.T'!AH124</f>
        <v>0</v>
      </c>
      <c r="AG72" s="16">
        <f ca="1">'2.XDTD_S.Tr.T'!AI124</f>
        <v>0</v>
      </c>
      <c r="AH72" s="16">
        <f ca="1">'2.XDTD_S.Tr.T'!AJ124</f>
        <v>0</v>
      </c>
      <c r="AI72" s="16">
        <f ca="1">'2.XDTD_S.Tr.T'!AK124</f>
        <v>0</v>
      </c>
      <c r="AJ72" s="16">
        <f ca="1">'2.XDTD_S.Tr.T'!AL124</f>
        <v>0</v>
      </c>
      <c r="AK72" s="16">
        <f ca="1">'2.XDTD_S.Tr.T'!AM124</f>
        <v>0</v>
      </c>
      <c r="AL72" s="16">
        <f ca="1">'2.XDTD_S.Tr.T'!AN124</f>
        <v>0</v>
      </c>
      <c r="AM72" s="16">
        <f ca="1">'2.XDTD_S.Tr.T'!AO124</f>
        <v>0</v>
      </c>
      <c r="AN72" s="16">
        <f ca="1">'2.XDTD_S.Tr.T'!AP124</f>
        <v>0</v>
      </c>
      <c r="AO72" s="16">
        <f ca="1">'2.XDTD_S.Tr.T'!AP124</f>
        <v>0</v>
      </c>
      <c r="AP72" s="16">
        <f ca="1">'2.XDTD_S.Tr.T'!AR124</f>
        <v>0</v>
      </c>
      <c r="AQ72" s="16">
        <f ca="1">'2.XDTD_S.Tr.T'!AS124</f>
        <v>0</v>
      </c>
      <c r="AR72" s="16">
        <f ca="1">'2.XDTD_S.Tr.T'!AT124</f>
        <v>0</v>
      </c>
      <c r="AS72" s="16">
        <f ca="1">'2.XDTD_S.Tr.T'!AU124</f>
        <v>0</v>
      </c>
      <c r="AT72" s="16">
        <f ca="1">'2.XDTD_S.Tr.T'!AV124</f>
        <v>0</v>
      </c>
      <c r="AU72" s="16">
        <f ca="1">'2.XDTD_S.Tr.T'!AW124</f>
        <v>0</v>
      </c>
      <c r="AV72" s="16">
        <f ca="1">'2.XDTD_S.Tr.T'!AX124</f>
        <v>0</v>
      </c>
      <c r="AW72" s="16">
        <f ca="1">'2.XDTD_S.Tr.T'!AY124</f>
        <v>0</v>
      </c>
      <c r="AX72" s="16">
        <f ca="1">'2.XDTD_S.Tr.T'!AZ124</f>
        <v>0</v>
      </c>
      <c r="AY72" s="16">
        <f ca="1">'2.XDTD_S.Tr.T'!BA124</f>
        <v>0</v>
      </c>
      <c r="AZ72" s="16">
        <f ca="1">'2.XDTD_S.Tr.T'!BB124</f>
        <v>0</v>
      </c>
      <c r="BA72" s="16">
        <f ca="1">'2.XDTD_S.Tr.T'!BC124</f>
        <v>0</v>
      </c>
      <c r="BB72" s="16">
        <f ca="1">'2.XDTD_S.Tr.T'!BD124</f>
        <v>0</v>
      </c>
      <c r="BC72" s="16">
        <f ca="1">'2.XDTD_S.Tr.T'!BE124</f>
        <v>0</v>
      </c>
      <c r="BD72" s="16">
        <f ca="1">'2.XDTD_S.Tr.T'!BF124</f>
        <v>0</v>
      </c>
      <c r="BE72" s="16">
        <f ca="1">'2.XDTD_S.Tr.T'!BG124</f>
        <v>0</v>
      </c>
      <c r="BF72" s="16">
        <f ca="1">'2.XDTD_S.Tr.T'!BH124</f>
        <v>0</v>
      </c>
      <c r="BG72" s="16">
        <f ca="1">'2.XDTD_S.Tr.T'!BI124</f>
        <v>0</v>
      </c>
      <c r="BH72" s="16">
        <f ca="1">'2.XDTD_S.Tr.T'!BJ124</f>
        <v>0</v>
      </c>
      <c r="BI72" s="16">
        <f ca="1">'2.XDTD_S.Tr.T'!BK124</f>
        <v>0</v>
      </c>
      <c r="BJ72" s="16">
        <f ca="1">'2.XDTD_S.Tr.T'!BL124</f>
        <v>0</v>
      </c>
      <c r="BK72" s="16">
        <f ca="1">'2.XDTD_S.Tr.T'!BM124</f>
        <v>0</v>
      </c>
      <c r="BL72" s="16">
        <f ca="1">'2.XDTD_S.Tr.T'!BN124</f>
        <v>0</v>
      </c>
      <c r="BM72" s="16">
        <f ca="1">'2.XDTD_S.Tr.T'!BO124</f>
        <v>0</v>
      </c>
      <c r="BN72" s="16">
        <f ca="1">'2.XDTD_S.Tr.T'!BP124</f>
        <v>0</v>
      </c>
      <c r="BO72" s="16">
        <f ca="1">'2.XDTD_S.Tr.T'!BP124</f>
        <v>0</v>
      </c>
      <c r="BP72" s="16">
        <f ca="1">'2.XDTD_S.Tr.T'!BR124</f>
        <v>0</v>
      </c>
      <c r="BQ72" s="16">
        <f ca="1">'2.XDTD_S.Tr.T'!BS124</f>
        <v>0</v>
      </c>
      <c r="BR72" s="16">
        <f ca="1">'2.XDTD_S.Tr.T'!BT124</f>
        <v>0</v>
      </c>
      <c r="BS72" s="16">
        <f ca="1">'2.XDTD_S.Tr.T'!BU124</f>
        <v>0</v>
      </c>
      <c r="BT72" s="16">
        <f ca="1">'2.XDTD_S.Tr.T'!BV124</f>
        <v>0</v>
      </c>
      <c r="BU72" s="16">
        <f ca="1">'2.XDTD_S.Tr.T'!BW124</f>
        <v>0</v>
      </c>
      <c r="BV72" s="16">
        <f ca="1">'2.XDTD_S.Tr.T'!BX124</f>
        <v>0</v>
      </c>
      <c r="BW72" s="16">
        <f ca="1">'2.XDTD_S.Tr.T'!BY124</f>
        <v>0</v>
      </c>
      <c r="BX72" s="16">
        <f ca="1">'2.XDTD_S.Tr.T'!BZ124</f>
        <v>0</v>
      </c>
      <c r="BY72" s="16">
        <f ca="1">'2.XDTD_S.Tr.T'!CA124</f>
        <v>0</v>
      </c>
      <c r="BZ72" s="16">
        <f ca="1">'2.XDTD_S.Tr.T'!CB124</f>
        <v>0</v>
      </c>
      <c r="CA72" s="16">
        <f ca="1">'2.XDTD_S.Tr.T'!CC124</f>
        <v>0</v>
      </c>
      <c r="CB72" s="16">
        <f ca="1">'2.XDTD_S.Tr.T'!CD124</f>
        <v>0</v>
      </c>
      <c r="CC72" s="16">
        <f ca="1">'2.XDTD_S.Tr.T'!CE124</f>
        <v>0</v>
      </c>
      <c r="CD72" s="16">
        <f ca="1">'2.XDTD_S.Tr.T'!CF124</f>
        <v>0</v>
      </c>
      <c r="CE72" s="16">
        <f ca="1">'2.XDTD_S.Tr.T'!CG124</f>
        <v>0</v>
      </c>
      <c r="CF72" s="16">
        <f ca="1">'2.XDTD_S.Tr.T'!CH124</f>
        <v>0</v>
      </c>
      <c r="CG72" s="16">
        <f ca="1">'2.XDTD_S.Tr.T'!CI124</f>
        <v>0</v>
      </c>
      <c r="CH72" s="16">
        <f ca="1">'2.XDTD_S.Tr.T'!CJ124</f>
        <v>0</v>
      </c>
      <c r="CI72" s="16">
        <f ca="1">'2.XDTD_S.Tr.T'!CK124</f>
        <v>0</v>
      </c>
      <c r="CJ72" s="16">
        <f ca="1">'2.XDTD_S.Tr.T'!CL124</f>
        <v>0</v>
      </c>
      <c r="CK72" s="16">
        <f ca="1">'2.XDTD_S.Tr.T'!CM124</f>
        <v>0</v>
      </c>
      <c r="CL72" s="16">
        <f ca="1">'2.XDTD_S.Tr.T'!CN124</f>
        <v>0</v>
      </c>
      <c r="CM72" s="16">
        <f ca="1">'2.XDTD_S.Tr.T'!CO124</f>
        <v>0</v>
      </c>
      <c r="CN72" s="16">
        <f ca="1">'2.XDTD_S.Tr.T'!CP124</f>
        <v>0</v>
      </c>
      <c r="CO72" s="16">
        <f ca="1">'2.XDTD_S.Tr.T'!CP124</f>
        <v>0</v>
      </c>
    </row>
    <row r="73" spans="3:93" ht="19.95" hidden="1" customHeight="1">
      <c r="C73" s="5"/>
      <c r="D73" s="11">
        <f>'2.XDTD_S.Tr.T'!F125</f>
        <v>0</v>
      </c>
      <c r="E73" s="7">
        <f>'2.XDTD_S.Tr.T'!G125</f>
        <v>0</v>
      </c>
      <c r="F73" s="8">
        <f>'2.XDTD_S.Tr.T'!H125</f>
        <v>0</v>
      </c>
      <c r="G73" s="9">
        <f ca="1">'2.XDTD_S.Tr.T'!I125</f>
        <v>0</v>
      </c>
      <c r="H73" s="10">
        <f ca="1">'2.XDTD_S.Tr.T'!J125</f>
        <v>0</v>
      </c>
      <c r="I73" s="9">
        <f ca="1">'2.XDTD_S.Tr.T'!K125</f>
        <v>0</v>
      </c>
      <c r="J73" s="13">
        <f>'2.XDTD_S.Tr.T'!L125</f>
        <v>0</v>
      </c>
      <c r="K73" s="13">
        <f>'2.XDTD_S.Tr.T'!M125</f>
        <v>0</v>
      </c>
      <c r="L73" s="9">
        <f ca="1">'2.XDTD_S.Tr.T'!N125</f>
        <v>0</v>
      </c>
      <c r="M73" s="14">
        <f>'2.XDTD_S.Tr.T'!O125</f>
        <v>0</v>
      </c>
      <c r="N73" s="14">
        <f>'2.XDTD_S.Tr.T'!P125</f>
        <v>0</v>
      </c>
      <c r="O73" s="9">
        <f>'2.XDTD_S.Tr.T'!P125</f>
        <v>0</v>
      </c>
      <c r="P73" s="15">
        <f ca="1">'2.XDTD_S.Tr.T'!R125</f>
        <v>0</v>
      </c>
      <c r="Q73" s="16">
        <f ca="1">'2.XDTD_S.Tr.T'!S125</f>
        <v>0</v>
      </c>
      <c r="R73" s="16">
        <f ca="1">'2.XDTD_S.Tr.T'!T125</f>
        <v>0</v>
      </c>
      <c r="S73" s="16">
        <f ca="1">'2.XDTD_S.Tr.T'!U125</f>
        <v>0</v>
      </c>
      <c r="T73" s="16">
        <f ca="1">'2.XDTD_S.Tr.T'!V125</f>
        <v>0</v>
      </c>
      <c r="U73" s="16">
        <f ca="1">'2.XDTD_S.Tr.T'!W125</f>
        <v>0</v>
      </c>
      <c r="V73" s="16">
        <f ca="1">'2.XDTD_S.Tr.T'!X125</f>
        <v>0</v>
      </c>
      <c r="W73" s="16">
        <f ca="1">'2.XDTD_S.Tr.T'!Y125</f>
        <v>0</v>
      </c>
      <c r="X73" s="16">
        <f ca="1">'2.XDTD_S.Tr.T'!Z125</f>
        <v>0</v>
      </c>
      <c r="Y73" s="16">
        <f ca="1">'2.XDTD_S.Tr.T'!AA125</f>
        <v>0</v>
      </c>
      <c r="Z73" s="16">
        <f ca="1">'2.XDTD_S.Tr.T'!AB125</f>
        <v>0</v>
      </c>
      <c r="AA73" s="16">
        <f ca="1">'2.XDTD_S.Tr.T'!AC125</f>
        <v>0</v>
      </c>
      <c r="AB73" s="16">
        <f ca="1">'2.XDTD_S.Tr.T'!AD125</f>
        <v>0</v>
      </c>
      <c r="AC73" s="16">
        <f ca="1">'2.XDTD_S.Tr.T'!AE125</f>
        <v>0</v>
      </c>
      <c r="AD73" s="16">
        <f ca="1">'2.XDTD_S.Tr.T'!AF125</f>
        <v>0</v>
      </c>
      <c r="AE73" s="16">
        <f ca="1">'2.XDTD_S.Tr.T'!AG125</f>
        <v>0</v>
      </c>
      <c r="AF73" s="16">
        <f ca="1">'2.XDTD_S.Tr.T'!AH125</f>
        <v>0</v>
      </c>
      <c r="AG73" s="16">
        <f ca="1">'2.XDTD_S.Tr.T'!AI125</f>
        <v>0</v>
      </c>
      <c r="AH73" s="16">
        <f ca="1">'2.XDTD_S.Tr.T'!AJ125</f>
        <v>0</v>
      </c>
      <c r="AI73" s="16">
        <f ca="1">'2.XDTD_S.Tr.T'!AK125</f>
        <v>0</v>
      </c>
      <c r="AJ73" s="16">
        <f ca="1">'2.XDTD_S.Tr.T'!AL125</f>
        <v>0</v>
      </c>
      <c r="AK73" s="16">
        <f ca="1">'2.XDTD_S.Tr.T'!AM125</f>
        <v>0</v>
      </c>
      <c r="AL73" s="16">
        <f ca="1">'2.XDTD_S.Tr.T'!AN125</f>
        <v>0</v>
      </c>
      <c r="AM73" s="16">
        <f ca="1">'2.XDTD_S.Tr.T'!AO125</f>
        <v>0</v>
      </c>
      <c r="AN73" s="16">
        <f ca="1">'2.XDTD_S.Tr.T'!AP125</f>
        <v>0</v>
      </c>
      <c r="AO73" s="16">
        <f ca="1">'2.XDTD_S.Tr.T'!AP125</f>
        <v>0</v>
      </c>
      <c r="AP73" s="16">
        <f ca="1">'2.XDTD_S.Tr.T'!AR125</f>
        <v>0</v>
      </c>
      <c r="AQ73" s="16">
        <f ca="1">'2.XDTD_S.Tr.T'!AS125</f>
        <v>0</v>
      </c>
      <c r="AR73" s="16">
        <f ca="1">'2.XDTD_S.Tr.T'!AT125</f>
        <v>0</v>
      </c>
      <c r="AS73" s="16">
        <f ca="1">'2.XDTD_S.Tr.T'!AU125</f>
        <v>0</v>
      </c>
      <c r="AT73" s="16">
        <f ca="1">'2.XDTD_S.Tr.T'!AV125</f>
        <v>0</v>
      </c>
      <c r="AU73" s="16">
        <f ca="1">'2.XDTD_S.Tr.T'!AW125</f>
        <v>0</v>
      </c>
      <c r="AV73" s="16">
        <f ca="1">'2.XDTD_S.Tr.T'!AX125</f>
        <v>0</v>
      </c>
      <c r="AW73" s="16">
        <f ca="1">'2.XDTD_S.Tr.T'!AY125</f>
        <v>0</v>
      </c>
      <c r="AX73" s="16">
        <f ca="1">'2.XDTD_S.Tr.T'!AZ125</f>
        <v>0</v>
      </c>
      <c r="AY73" s="16">
        <f ca="1">'2.XDTD_S.Tr.T'!BA125</f>
        <v>0</v>
      </c>
      <c r="AZ73" s="16">
        <f ca="1">'2.XDTD_S.Tr.T'!BB125</f>
        <v>0</v>
      </c>
      <c r="BA73" s="16">
        <f ca="1">'2.XDTD_S.Tr.T'!BC125</f>
        <v>0</v>
      </c>
      <c r="BB73" s="16">
        <f ca="1">'2.XDTD_S.Tr.T'!BD125</f>
        <v>0</v>
      </c>
      <c r="BC73" s="16">
        <f ca="1">'2.XDTD_S.Tr.T'!BE125</f>
        <v>0</v>
      </c>
      <c r="BD73" s="16">
        <f ca="1">'2.XDTD_S.Tr.T'!BF125</f>
        <v>0</v>
      </c>
      <c r="BE73" s="16">
        <f ca="1">'2.XDTD_S.Tr.T'!BG125</f>
        <v>0</v>
      </c>
      <c r="BF73" s="16">
        <f ca="1">'2.XDTD_S.Tr.T'!BH125</f>
        <v>0</v>
      </c>
      <c r="BG73" s="16">
        <f ca="1">'2.XDTD_S.Tr.T'!BI125</f>
        <v>0</v>
      </c>
      <c r="BH73" s="16">
        <f ca="1">'2.XDTD_S.Tr.T'!BJ125</f>
        <v>0</v>
      </c>
      <c r="BI73" s="16">
        <f ca="1">'2.XDTD_S.Tr.T'!BK125</f>
        <v>0</v>
      </c>
      <c r="BJ73" s="16">
        <f ca="1">'2.XDTD_S.Tr.T'!BL125</f>
        <v>0</v>
      </c>
      <c r="BK73" s="16">
        <f ca="1">'2.XDTD_S.Tr.T'!BM125</f>
        <v>0</v>
      </c>
      <c r="BL73" s="16">
        <f ca="1">'2.XDTD_S.Tr.T'!BN125</f>
        <v>0</v>
      </c>
      <c r="BM73" s="16">
        <f ca="1">'2.XDTD_S.Tr.T'!BO125</f>
        <v>0</v>
      </c>
      <c r="BN73" s="16">
        <f ca="1">'2.XDTD_S.Tr.T'!BP125</f>
        <v>0</v>
      </c>
      <c r="BO73" s="16">
        <f ca="1">'2.XDTD_S.Tr.T'!BP125</f>
        <v>0</v>
      </c>
      <c r="BP73" s="16">
        <f ca="1">'2.XDTD_S.Tr.T'!BR125</f>
        <v>0</v>
      </c>
      <c r="BQ73" s="16">
        <f ca="1">'2.XDTD_S.Tr.T'!BS125</f>
        <v>0</v>
      </c>
      <c r="BR73" s="16">
        <f ca="1">'2.XDTD_S.Tr.T'!BT125</f>
        <v>0</v>
      </c>
      <c r="BS73" s="16">
        <f ca="1">'2.XDTD_S.Tr.T'!BU125</f>
        <v>0</v>
      </c>
      <c r="BT73" s="16">
        <f ca="1">'2.XDTD_S.Tr.T'!BV125</f>
        <v>0</v>
      </c>
      <c r="BU73" s="16">
        <f ca="1">'2.XDTD_S.Tr.T'!BW125</f>
        <v>0</v>
      </c>
      <c r="BV73" s="16">
        <f ca="1">'2.XDTD_S.Tr.T'!BX125</f>
        <v>0</v>
      </c>
      <c r="BW73" s="16">
        <f ca="1">'2.XDTD_S.Tr.T'!BY125</f>
        <v>0</v>
      </c>
      <c r="BX73" s="16">
        <f ca="1">'2.XDTD_S.Tr.T'!BZ125</f>
        <v>0</v>
      </c>
      <c r="BY73" s="16">
        <f ca="1">'2.XDTD_S.Tr.T'!CA125</f>
        <v>0</v>
      </c>
      <c r="BZ73" s="16">
        <f ca="1">'2.XDTD_S.Tr.T'!CB125</f>
        <v>0</v>
      </c>
      <c r="CA73" s="16">
        <f ca="1">'2.XDTD_S.Tr.T'!CC125</f>
        <v>0</v>
      </c>
      <c r="CB73" s="16">
        <f ca="1">'2.XDTD_S.Tr.T'!CD125</f>
        <v>0</v>
      </c>
      <c r="CC73" s="16">
        <f ca="1">'2.XDTD_S.Tr.T'!CE125</f>
        <v>0</v>
      </c>
      <c r="CD73" s="16">
        <f ca="1">'2.XDTD_S.Tr.T'!CF125</f>
        <v>0</v>
      </c>
      <c r="CE73" s="16">
        <f ca="1">'2.XDTD_S.Tr.T'!CG125</f>
        <v>0</v>
      </c>
      <c r="CF73" s="16">
        <f ca="1">'2.XDTD_S.Tr.T'!CH125</f>
        <v>0</v>
      </c>
      <c r="CG73" s="16">
        <f ca="1">'2.XDTD_S.Tr.T'!CI125</f>
        <v>0</v>
      </c>
      <c r="CH73" s="16">
        <f ca="1">'2.XDTD_S.Tr.T'!CJ125</f>
        <v>0</v>
      </c>
      <c r="CI73" s="16">
        <f ca="1">'2.XDTD_S.Tr.T'!CK125</f>
        <v>0</v>
      </c>
      <c r="CJ73" s="16">
        <f ca="1">'2.XDTD_S.Tr.T'!CL125</f>
        <v>0</v>
      </c>
      <c r="CK73" s="16">
        <f ca="1">'2.XDTD_S.Tr.T'!CM125</f>
        <v>0</v>
      </c>
      <c r="CL73" s="16">
        <f ca="1">'2.XDTD_S.Tr.T'!CN125</f>
        <v>0</v>
      </c>
      <c r="CM73" s="16">
        <f ca="1">'2.XDTD_S.Tr.T'!CO125</f>
        <v>0</v>
      </c>
      <c r="CN73" s="16">
        <f ca="1">'2.XDTD_S.Tr.T'!CP125</f>
        <v>0</v>
      </c>
      <c r="CO73" s="16">
        <f ca="1">'2.XDTD_S.Tr.T'!CP125</f>
        <v>0</v>
      </c>
    </row>
    <row r="74" spans="3:93" ht="19.95" customHeight="1">
      <c r="C74" s="5"/>
      <c r="D74" s="6" t="str">
        <f>'2.XDTD_S.Tr.T'!F146</f>
        <v>Ngô nếp luộc</v>
      </c>
      <c r="E74" s="7" t="e">
        <f ca="1">'2.XDTD_S.Tr.T'!G146</f>
        <v>#NAME?</v>
      </c>
      <c r="F74" s="8">
        <f>'2.XDTD_S.Tr.T'!H146</f>
        <v>68</v>
      </c>
      <c r="G74" s="9">
        <f ca="1">'2.XDTD_S.Tr.T'!I146</f>
        <v>0</v>
      </c>
      <c r="H74" s="10">
        <f ca="1">'2.XDTD_S.Tr.T'!J146</f>
        <v>0</v>
      </c>
      <c r="I74" s="9">
        <f ca="1">'2.XDTD_S.Tr.T'!K146</f>
        <v>0</v>
      </c>
      <c r="J74" s="13" t="e">
        <f ca="1">'2.XDTD_S.Tr.T'!L146</f>
        <v>#NAME?</v>
      </c>
      <c r="K74" s="13" t="e">
        <f ca="1">'2.XDTD_S.Tr.T'!M146</f>
        <v>#NAME?</v>
      </c>
      <c r="L74" s="9">
        <f ca="1">'2.XDTD_S.Tr.T'!N146</f>
        <v>0</v>
      </c>
      <c r="M74" s="14" t="e">
        <f ca="1">'2.XDTD_S.Tr.T'!O146</f>
        <v>#NAME?</v>
      </c>
      <c r="N74" s="14" t="e">
        <f ca="1">'2.XDTD_S.Tr.T'!P146</f>
        <v>#NAME?</v>
      </c>
      <c r="O74" s="9" t="e">
        <f ca="1">'2.XDTD_S.Tr.T'!P146</f>
        <v>#NAME?</v>
      </c>
      <c r="P74" s="15">
        <f ca="1">'2.XDTD_S.Tr.T'!R146</f>
        <v>0</v>
      </c>
      <c r="Q74" s="16">
        <f ca="1">'2.XDTD_S.Tr.T'!S146</f>
        <v>0</v>
      </c>
      <c r="R74" s="16">
        <f ca="1">'2.XDTD_S.Tr.T'!T146</f>
        <v>0</v>
      </c>
      <c r="S74" s="16">
        <f ca="1">'2.XDTD_S.Tr.T'!U146</f>
        <v>0</v>
      </c>
      <c r="T74" s="16">
        <f ca="1">'2.XDTD_S.Tr.T'!V146</f>
        <v>0</v>
      </c>
      <c r="U74" s="16">
        <f ca="1">'2.XDTD_S.Tr.T'!W146</f>
        <v>0</v>
      </c>
      <c r="V74" s="16">
        <f ca="1">'2.XDTD_S.Tr.T'!X146</f>
        <v>0</v>
      </c>
      <c r="W74" s="16">
        <f ca="1">'2.XDTD_S.Tr.T'!Y146</f>
        <v>0</v>
      </c>
      <c r="X74" s="16">
        <f ca="1">'2.XDTD_S.Tr.T'!Z146</f>
        <v>0</v>
      </c>
      <c r="Y74" s="16">
        <f ca="1">'2.XDTD_S.Tr.T'!AA146</f>
        <v>0</v>
      </c>
      <c r="Z74" s="16">
        <f ca="1">'2.XDTD_S.Tr.T'!AB146</f>
        <v>0</v>
      </c>
      <c r="AA74" s="16">
        <f ca="1">'2.XDTD_S.Tr.T'!AC146</f>
        <v>0</v>
      </c>
      <c r="AB74" s="16">
        <f ca="1">'2.XDTD_S.Tr.T'!AD146</f>
        <v>0</v>
      </c>
      <c r="AC74" s="16">
        <f ca="1">'2.XDTD_S.Tr.T'!AE146</f>
        <v>0</v>
      </c>
      <c r="AD74" s="16">
        <f ca="1">'2.XDTD_S.Tr.T'!AF146</f>
        <v>0</v>
      </c>
      <c r="AE74" s="16">
        <f ca="1">'2.XDTD_S.Tr.T'!AG146</f>
        <v>0</v>
      </c>
      <c r="AF74" s="16">
        <f ca="1">'2.XDTD_S.Tr.T'!AH146</f>
        <v>0</v>
      </c>
      <c r="AG74" s="16">
        <f ca="1">'2.XDTD_S.Tr.T'!AI146</f>
        <v>0</v>
      </c>
      <c r="AH74" s="16">
        <f ca="1">'2.XDTD_S.Tr.T'!AJ146</f>
        <v>0</v>
      </c>
      <c r="AI74" s="16">
        <f ca="1">'2.XDTD_S.Tr.T'!AK146</f>
        <v>0</v>
      </c>
      <c r="AJ74" s="16">
        <f ca="1">'2.XDTD_S.Tr.T'!AL146</f>
        <v>0</v>
      </c>
      <c r="AK74" s="16">
        <f ca="1">'2.XDTD_S.Tr.T'!AM146</f>
        <v>0</v>
      </c>
      <c r="AL74" s="16">
        <f ca="1">'2.XDTD_S.Tr.T'!AN146</f>
        <v>0</v>
      </c>
      <c r="AM74" s="16">
        <f ca="1">'2.XDTD_S.Tr.T'!AO146</f>
        <v>0</v>
      </c>
      <c r="AN74" s="16">
        <f ca="1">'2.XDTD_S.Tr.T'!AP146</f>
        <v>0</v>
      </c>
      <c r="AO74" s="16">
        <f ca="1">'2.XDTD_S.Tr.T'!AP146</f>
        <v>0</v>
      </c>
      <c r="AP74" s="16">
        <f ca="1">'2.XDTD_S.Tr.T'!AR146</f>
        <v>0</v>
      </c>
      <c r="AQ74" s="16">
        <f ca="1">'2.XDTD_S.Tr.T'!AS146</f>
        <v>0</v>
      </c>
      <c r="AR74" s="16">
        <f ca="1">'2.XDTD_S.Tr.T'!AT146</f>
        <v>0</v>
      </c>
      <c r="AS74" s="16">
        <f ca="1">'2.XDTD_S.Tr.T'!AU146</f>
        <v>0</v>
      </c>
      <c r="AT74" s="16">
        <f ca="1">'2.XDTD_S.Tr.T'!AV146</f>
        <v>0</v>
      </c>
      <c r="AU74" s="16">
        <f ca="1">'2.XDTD_S.Tr.T'!AW146</f>
        <v>0</v>
      </c>
      <c r="AV74" s="16">
        <f ca="1">'2.XDTD_S.Tr.T'!AX146</f>
        <v>0</v>
      </c>
      <c r="AW74" s="16">
        <f ca="1">'2.XDTD_S.Tr.T'!AY146</f>
        <v>0</v>
      </c>
      <c r="AX74" s="16">
        <f ca="1">'2.XDTD_S.Tr.T'!AZ146</f>
        <v>0</v>
      </c>
      <c r="AY74" s="16">
        <f ca="1">'2.XDTD_S.Tr.T'!BA146</f>
        <v>0</v>
      </c>
      <c r="AZ74" s="16">
        <f ca="1">'2.XDTD_S.Tr.T'!BB146</f>
        <v>0</v>
      </c>
      <c r="BA74" s="16">
        <f ca="1">'2.XDTD_S.Tr.T'!BC146</f>
        <v>0</v>
      </c>
      <c r="BB74" s="16">
        <f ca="1">'2.XDTD_S.Tr.T'!BD146</f>
        <v>0</v>
      </c>
      <c r="BC74" s="16">
        <f ca="1">'2.XDTD_S.Tr.T'!BE146</f>
        <v>0</v>
      </c>
      <c r="BD74" s="16">
        <f ca="1">'2.XDTD_S.Tr.T'!BF146</f>
        <v>0</v>
      </c>
      <c r="BE74" s="16">
        <f ca="1">'2.XDTD_S.Tr.T'!BG146</f>
        <v>0</v>
      </c>
      <c r="BF74" s="16">
        <f ca="1">'2.XDTD_S.Tr.T'!BH146</f>
        <v>0</v>
      </c>
      <c r="BG74" s="16">
        <f ca="1">'2.XDTD_S.Tr.T'!BI146</f>
        <v>0</v>
      </c>
      <c r="BH74" s="16">
        <f ca="1">'2.XDTD_S.Tr.T'!BJ146</f>
        <v>0</v>
      </c>
      <c r="BI74" s="16">
        <f ca="1">'2.XDTD_S.Tr.T'!BK146</f>
        <v>0</v>
      </c>
      <c r="BJ74" s="16">
        <f ca="1">'2.XDTD_S.Tr.T'!BL146</f>
        <v>0</v>
      </c>
      <c r="BK74" s="16">
        <f ca="1">'2.XDTD_S.Tr.T'!BM146</f>
        <v>0</v>
      </c>
      <c r="BL74" s="16">
        <f ca="1">'2.XDTD_S.Tr.T'!BN146</f>
        <v>0</v>
      </c>
      <c r="BM74" s="16">
        <f ca="1">'2.XDTD_S.Tr.T'!BO146</f>
        <v>0</v>
      </c>
      <c r="BN74" s="16">
        <f ca="1">'2.XDTD_S.Tr.T'!BP146</f>
        <v>0</v>
      </c>
      <c r="BO74" s="16">
        <f ca="1">'2.XDTD_S.Tr.T'!BP146</f>
        <v>0</v>
      </c>
      <c r="BP74" s="16">
        <f ca="1">'2.XDTD_S.Tr.T'!BR146</f>
        <v>0</v>
      </c>
      <c r="BQ74" s="16">
        <f ca="1">'2.XDTD_S.Tr.T'!BS146</f>
        <v>0</v>
      </c>
      <c r="BR74" s="16">
        <f ca="1">'2.XDTD_S.Tr.T'!BT146</f>
        <v>0</v>
      </c>
      <c r="BS74" s="16">
        <f ca="1">'2.XDTD_S.Tr.T'!BU146</f>
        <v>0</v>
      </c>
      <c r="BT74" s="16">
        <f ca="1">'2.XDTD_S.Tr.T'!BV146</f>
        <v>0</v>
      </c>
      <c r="BU74" s="16">
        <f ca="1">'2.XDTD_S.Tr.T'!BW146</f>
        <v>0</v>
      </c>
      <c r="BV74" s="16">
        <f ca="1">'2.XDTD_S.Tr.T'!BX146</f>
        <v>0</v>
      </c>
      <c r="BW74" s="16">
        <f ca="1">'2.XDTD_S.Tr.T'!BY146</f>
        <v>0</v>
      </c>
      <c r="BX74" s="16">
        <f ca="1">'2.XDTD_S.Tr.T'!BZ146</f>
        <v>0</v>
      </c>
      <c r="BY74" s="16">
        <f ca="1">'2.XDTD_S.Tr.T'!CA146</f>
        <v>0</v>
      </c>
      <c r="BZ74" s="16">
        <f ca="1">'2.XDTD_S.Tr.T'!CB146</f>
        <v>0</v>
      </c>
      <c r="CA74" s="16">
        <f ca="1">'2.XDTD_S.Tr.T'!CC146</f>
        <v>0</v>
      </c>
      <c r="CB74" s="16">
        <f ca="1">'2.XDTD_S.Tr.T'!CD146</f>
        <v>0</v>
      </c>
      <c r="CC74" s="16">
        <f ca="1">'2.XDTD_S.Tr.T'!CE146</f>
        <v>0</v>
      </c>
      <c r="CD74" s="16">
        <f ca="1">'2.XDTD_S.Tr.T'!CF146</f>
        <v>0</v>
      </c>
      <c r="CE74" s="16">
        <f ca="1">'2.XDTD_S.Tr.T'!CG146</f>
        <v>0</v>
      </c>
      <c r="CF74" s="16">
        <f ca="1">'2.XDTD_S.Tr.T'!CH146</f>
        <v>0</v>
      </c>
      <c r="CG74" s="16">
        <f ca="1">'2.XDTD_S.Tr.T'!CI146</f>
        <v>0</v>
      </c>
      <c r="CH74" s="16">
        <f ca="1">'2.XDTD_S.Tr.T'!CJ146</f>
        <v>0</v>
      </c>
      <c r="CI74" s="16">
        <f ca="1">'2.XDTD_S.Tr.T'!CK146</f>
        <v>0</v>
      </c>
      <c r="CJ74" s="16">
        <f ca="1">'2.XDTD_S.Tr.T'!CL146</f>
        <v>0</v>
      </c>
      <c r="CK74" s="16">
        <f ca="1">'2.XDTD_S.Tr.T'!CM146</f>
        <v>0</v>
      </c>
      <c r="CL74" s="16">
        <f ca="1">'2.XDTD_S.Tr.T'!CN146</f>
        <v>0</v>
      </c>
      <c r="CM74" s="16">
        <f ca="1">'2.XDTD_S.Tr.T'!CO146</f>
        <v>0</v>
      </c>
      <c r="CN74" s="16">
        <f ca="1">'2.XDTD_S.Tr.T'!CP146</f>
        <v>0</v>
      </c>
      <c r="CO74" s="16">
        <f ca="1">'2.XDTD_S.Tr.T'!CP146</f>
        <v>0</v>
      </c>
    </row>
    <row r="75" spans="3:93" ht="19.95" hidden="1" customHeight="1">
      <c r="C75" s="5"/>
      <c r="D75" s="11">
        <f>'2.XDTD_S.Tr.T'!F147</f>
        <v>0</v>
      </c>
      <c r="E75" s="7">
        <f>'2.XDTD_S.Tr.T'!G147</f>
        <v>0</v>
      </c>
      <c r="F75" s="8">
        <f>'2.XDTD_S.Tr.T'!H147</f>
        <v>0</v>
      </c>
      <c r="G75" s="9">
        <f ca="1">'2.XDTD_S.Tr.T'!I147</f>
        <v>0</v>
      </c>
      <c r="H75" s="10">
        <f ca="1">'2.XDTD_S.Tr.T'!J147</f>
        <v>0</v>
      </c>
      <c r="I75" s="9">
        <f ca="1">'2.XDTD_S.Tr.T'!K147</f>
        <v>0</v>
      </c>
      <c r="J75" s="13">
        <f>'2.XDTD_S.Tr.T'!L147</f>
        <v>0</v>
      </c>
      <c r="K75" s="13">
        <f>'2.XDTD_S.Tr.T'!M147</f>
        <v>0</v>
      </c>
      <c r="L75" s="9">
        <f ca="1">'2.XDTD_S.Tr.T'!N147</f>
        <v>0</v>
      </c>
      <c r="M75" s="14">
        <f>'2.XDTD_S.Tr.T'!O147</f>
        <v>0</v>
      </c>
      <c r="N75" s="14">
        <f>'2.XDTD_S.Tr.T'!P147</f>
        <v>0</v>
      </c>
      <c r="O75" s="9">
        <f>'2.XDTD_S.Tr.T'!P147</f>
        <v>0</v>
      </c>
      <c r="P75" s="15">
        <f ca="1">'2.XDTD_S.Tr.T'!R147</f>
        <v>0</v>
      </c>
      <c r="Q75" s="16">
        <f ca="1">'2.XDTD_S.Tr.T'!S147</f>
        <v>0</v>
      </c>
      <c r="R75" s="16">
        <f ca="1">'2.XDTD_S.Tr.T'!T147</f>
        <v>0</v>
      </c>
      <c r="S75" s="16">
        <f ca="1">'2.XDTD_S.Tr.T'!U147</f>
        <v>0</v>
      </c>
      <c r="T75" s="16">
        <f ca="1">'2.XDTD_S.Tr.T'!V147</f>
        <v>0</v>
      </c>
      <c r="U75" s="16">
        <f ca="1">'2.XDTD_S.Tr.T'!W147</f>
        <v>0</v>
      </c>
      <c r="V75" s="16">
        <f ca="1">'2.XDTD_S.Tr.T'!X147</f>
        <v>0</v>
      </c>
      <c r="W75" s="16">
        <f ca="1">'2.XDTD_S.Tr.T'!Y147</f>
        <v>0</v>
      </c>
      <c r="X75" s="16">
        <f ca="1">'2.XDTD_S.Tr.T'!Z147</f>
        <v>0</v>
      </c>
      <c r="Y75" s="16">
        <f ca="1">'2.XDTD_S.Tr.T'!AA147</f>
        <v>0</v>
      </c>
      <c r="Z75" s="16">
        <f ca="1">'2.XDTD_S.Tr.T'!AB147</f>
        <v>0</v>
      </c>
      <c r="AA75" s="16">
        <f ca="1">'2.XDTD_S.Tr.T'!AC147</f>
        <v>0</v>
      </c>
      <c r="AB75" s="16">
        <f ca="1">'2.XDTD_S.Tr.T'!AD147</f>
        <v>0</v>
      </c>
      <c r="AC75" s="16">
        <f ca="1">'2.XDTD_S.Tr.T'!AE147</f>
        <v>0</v>
      </c>
      <c r="AD75" s="16">
        <f ca="1">'2.XDTD_S.Tr.T'!AF147</f>
        <v>0</v>
      </c>
      <c r="AE75" s="16">
        <f ca="1">'2.XDTD_S.Tr.T'!AG147</f>
        <v>0</v>
      </c>
      <c r="AF75" s="16">
        <f ca="1">'2.XDTD_S.Tr.T'!AH147</f>
        <v>0</v>
      </c>
      <c r="AG75" s="16">
        <f ca="1">'2.XDTD_S.Tr.T'!AI147</f>
        <v>0</v>
      </c>
      <c r="AH75" s="16">
        <f ca="1">'2.XDTD_S.Tr.T'!AJ147</f>
        <v>0</v>
      </c>
      <c r="AI75" s="16">
        <f ca="1">'2.XDTD_S.Tr.T'!AK147</f>
        <v>0</v>
      </c>
      <c r="AJ75" s="16">
        <f ca="1">'2.XDTD_S.Tr.T'!AL147</f>
        <v>0</v>
      </c>
      <c r="AK75" s="16">
        <f ca="1">'2.XDTD_S.Tr.T'!AM147</f>
        <v>0</v>
      </c>
      <c r="AL75" s="16">
        <f ca="1">'2.XDTD_S.Tr.T'!AN147</f>
        <v>0</v>
      </c>
      <c r="AM75" s="16">
        <f ca="1">'2.XDTD_S.Tr.T'!AO147</f>
        <v>0</v>
      </c>
      <c r="AN75" s="16">
        <f ca="1">'2.XDTD_S.Tr.T'!AP147</f>
        <v>0</v>
      </c>
      <c r="AO75" s="16">
        <f ca="1">'2.XDTD_S.Tr.T'!AP147</f>
        <v>0</v>
      </c>
      <c r="AP75" s="16">
        <f ca="1">'2.XDTD_S.Tr.T'!AR147</f>
        <v>0</v>
      </c>
      <c r="AQ75" s="16">
        <f ca="1">'2.XDTD_S.Tr.T'!AS147</f>
        <v>0</v>
      </c>
      <c r="AR75" s="16">
        <f ca="1">'2.XDTD_S.Tr.T'!AT147</f>
        <v>0</v>
      </c>
      <c r="AS75" s="16">
        <f ca="1">'2.XDTD_S.Tr.T'!AU147</f>
        <v>0</v>
      </c>
      <c r="AT75" s="16">
        <f ca="1">'2.XDTD_S.Tr.T'!AV147</f>
        <v>0</v>
      </c>
      <c r="AU75" s="16">
        <f ca="1">'2.XDTD_S.Tr.T'!AW147</f>
        <v>0</v>
      </c>
      <c r="AV75" s="16">
        <f ca="1">'2.XDTD_S.Tr.T'!AX147</f>
        <v>0</v>
      </c>
      <c r="AW75" s="16">
        <f ca="1">'2.XDTD_S.Tr.T'!AY147</f>
        <v>0</v>
      </c>
      <c r="AX75" s="16">
        <f ca="1">'2.XDTD_S.Tr.T'!AZ147</f>
        <v>0</v>
      </c>
      <c r="AY75" s="16">
        <f ca="1">'2.XDTD_S.Tr.T'!BA147</f>
        <v>0</v>
      </c>
      <c r="AZ75" s="16">
        <f ca="1">'2.XDTD_S.Tr.T'!BB147</f>
        <v>0</v>
      </c>
      <c r="BA75" s="16">
        <f ca="1">'2.XDTD_S.Tr.T'!BC147</f>
        <v>0</v>
      </c>
      <c r="BB75" s="16">
        <f ca="1">'2.XDTD_S.Tr.T'!BD147</f>
        <v>0</v>
      </c>
      <c r="BC75" s="16">
        <f ca="1">'2.XDTD_S.Tr.T'!BE147</f>
        <v>0</v>
      </c>
      <c r="BD75" s="16">
        <f ca="1">'2.XDTD_S.Tr.T'!BF147</f>
        <v>0</v>
      </c>
      <c r="BE75" s="16">
        <f ca="1">'2.XDTD_S.Tr.T'!BG147</f>
        <v>0</v>
      </c>
      <c r="BF75" s="16">
        <f ca="1">'2.XDTD_S.Tr.T'!BH147</f>
        <v>0</v>
      </c>
      <c r="BG75" s="16">
        <f ca="1">'2.XDTD_S.Tr.T'!BI147</f>
        <v>0</v>
      </c>
      <c r="BH75" s="16">
        <f ca="1">'2.XDTD_S.Tr.T'!BJ147</f>
        <v>0</v>
      </c>
      <c r="BI75" s="16">
        <f ca="1">'2.XDTD_S.Tr.T'!BK147</f>
        <v>0</v>
      </c>
      <c r="BJ75" s="16">
        <f ca="1">'2.XDTD_S.Tr.T'!BL147</f>
        <v>0</v>
      </c>
      <c r="BK75" s="16">
        <f ca="1">'2.XDTD_S.Tr.T'!BM147</f>
        <v>0</v>
      </c>
      <c r="BL75" s="16">
        <f ca="1">'2.XDTD_S.Tr.T'!BN147</f>
        <v>0</v>
      </c>
      <c r="BM75" s="16">
        <f ca="1">'2.XDTD_S.Tr.T'!BO147</f>
        <v>0</v>
      </c>
      <c r="BN75" s="16">
        <f ca="1">'2.XDTD_S.Tr.T'!BP147</f>
        <v>0</v>
      </c>
      <c r="BO75" s="16">
        <f ca="1">'2.XDTD_S.Tr.T'!BP147</f>
        <v>0</v>
      </c>
      <c r="BP75" s="16">
        <f ca="1">'2.XDTD_S.Tr.T'!BR147</f>
        <v>0</v>
      </c>
      <c r="BQ75" s="16">
        <f ca="1">'2.XDTD_S.Tr.T'!BS147</f>
        <v>0</v>
      </c>
      <c r="BR75" s="16">
        <f ca="1">'2.XDTD_S.Tr.T'!BT147</f>
        <v>0</v>
      </c>
      <c r="BS75" s="16">
        <f ca="1">'2.XDTD_S.Tr.T'!BU147</f>
        <v>0</v>
      </c>
      <c r="BT75" s="16">
        <f ca="1">'2.XDTD_S.Tr.T'!BV147</f>
        <v>0</v>
      </c>
      <c r="BU75" s="16">
        <f ca="1">'2.XDTD_S.Tr.T'!BW147</f>
        <v>0</v>
      </c>
      <c r="BV75" s="16">
        <f ca="1">'2.XDTD_S.Tr.T'!BX147</f>
        <v>0</v>
      </c>
      <c r="BW75" s="16">
        <f ca="1">'2.XDTD_S.Tr.T'!BY147</f>
        <v>0</v>
      </c>
      <c r="BX75" s="16">
        <f ca="1">'2.XDTD_S.Tr.T'!BZ147</f>
        <v>0</v>
      </c>
      <c r="BY75" s="16">
        <f ca="1">'2.XDTD_S.Tr.T'!CA147</f>
        <v>0</v>
      </c>
      <c r="BZ75" s="16">
        <f ca="1">'2.XDTD_S.Tr.T'!CB147</f>
        <v>0</v>
      </c>
      <c r="CA75" s="16">
        <f ca="1">'2.XDTD_S.Tr.T'!CC147</f>
        <v>0</v>
      </c>
      <c r="CB75" s="16">
        <f ca="1">'2.XDTD_S.Tr.T'!CD147</f>
        <v>0</v>
      </c>
      <c r="CC75" s="16">
        <f ca="1">'2.XDTD_S.Tr.T'!CE147</f>
        <v>0</v>
      </c>
      <c r="CD75" s="16">
        <f ca="1">'2.XDTD_S.Tr.T'!CF147</f>
        <v>0</v>
      </c>
      <c r="CE75" s="16">
        <f ca="1">'2.XDTD_S.Tr.T'!CG147</f>
        <v>0</v>
      </c>
      <c r="CF75" s="16">
        <f ca="1">'2.XDTD_S.Tr.T'!CH147</f>
        <v>0</v>
      </c>
      <c r="CG75" s="16">
        <f ca="1">'2.XDTD_S.Tr.T'!CI147</f>
        <v>0</v>
      </c>
      <c r="CH75" s="16">
        <f ca="1">'2.XDTD_S.Tr.T'!CJ147</f>
        <v>0</v>
      </c>
      <c r="CI75" s="16">
        <f ca="1">'2.XDTD_S.Tr.T'!CK147</f>
        <v>0</v>
      </c>
      <c r="CJ75" s="16">
        <f ca="1">'2.XDTD_S.Tr.T'!CL147</f>
        <v>0</v>
      </c>
      <c r="CK75" s="16">
        <f ca="1">'2.XDTD_S.Tr.T'!CM147</f>
        <v>0</v>
      </c>
      <c r="CL75" s="16">
        <f ca="1">'2.XDTD_S.Tr.T'!CN147</f>
        <v>0</v>
      </c>
      <c r="CM75" s="16">
        <f ca="1">'2.XDTD_S.Tr.T'!CO147</f>
        <v>0</v>
      </c>
      <c r="CN75" s="16">
        <f ca="1">'2.XDTD_S.Tr.T'!CP147</f>
        <v>0</v>
      </c>
      <c r="CO75" s="16">
        <f ca="1">'2.XDTD_S.Tr.T'!CP147</f>
        <v>0</v>
      </c>
    </row>
    <row r="76" spans="3:93" ht="19.95" hidden="1" customHeight="1">
      <c r="C76" s="5"/>
      <c r="D76" s="11">
        <f>'2.XDTD_S.Tr.T'!F148</f>
        <v>0</v>
      </c>
      <c r="E76" s="7">
        <f>'2.XDTD_S.Tr.T'!G148</f>
        <v>0</v>
      </c>
      <c r="F76" s="8">
        <f>'2.XDTD_S.Tr.T'!H148</f>
        <v>0</v>
      </c>
      <c r="G76" s="9">
        <f ca="1">'2.XDTD_S.Tr.T'!I148</f>
        <v>0</v>
      </c>
      <c r="H76" s="10">
        <f ca="1">'2.XDTD_S.Tr.T'!J148</f>
        <v>0</v>
      </c>
      <c r="I76" s="9">
        <f ca="1">'2.XDTD_S.Tr.T'!K148</f>
        <v>0</v>
      </c>
      <c r="J76" s="13">
        <f>'2.XDTD_S.Tr.T'!L148</f>
        <v>0</v>
      </c>
      <c r="K76" s="13">
        <f>'2.XDTD_S.Tr.T'!M148</f>
        <v>0</v>
      </c>
      <c r="L76" s="9">
        <f ca="1">'2.XDTD_S.Tr.T'!N148</f>
        <v>0</v>
      </c>
      <c r="M76" s="14">
        <f>'2.XDTD_S.Tr.T'!O148</f>
        <v>0</v>
      </c>
      <c r="N76" s="14">
        <f>'2.XDTD_S.Tr.T'!P148</f>
        <v>0</v>
      </c>
      <c r="O76" s="9">
        <f>'2.XDTD_S.Tr.T'!P148</f>
        <v>0</v>
      </c>
      <c r="P76" s="15">
        <f ca="1">'2.XDTD_S.Tr.T'!R148</f>
        <v>0</v>
      </c>
      <c r="Q76" s="16">
        <f ca="1">'2.XDTD_S.Tr.T'!S148</f>
        <v>0</v>
      </c>
      <c r="R76" s="16">
        <f ca="1">'2.XDTD_S.Tr.T'!T148</f>
        <v>0</v>
      </c>
      <c r="S76" s="16">
        <f ca="1">'2.XDTD_S.Tr.T'!U148</f>
        <v>0</v>
      </c>
      <c r="T76" s="16">
        <f ca="1">'2.XDTD_S.Tr.T'!V148</f>
        <v>0</v>
      </c>
      <c r="U76" s="16">
        <f ca="1">'2.XDTD_S.Tr.T'!W148</f>
        <v>0</v>
      </c>
      <c r="V76" s="16">
        <f ca="1">'2.XDTD_S.Tr.T'!X148</f>
        <v>0</v>
      </c>
      <c r="W76" s="16">
        <f ca="1">'2.XDTD_S.Tr.T'!Y148</f>
        <v>0</v>
      </c>
      <c r="X76" s="16">
        <f ca="1">'2.XDTD_S.Tr.T'!Z148</f>
        <v>0</v>
      </c>
      <c r="Y76" s="16">
        <f ca="1">'2.XDTD_S.Tr.T'!AA148</f>
        <v>0</v>
      </c>
      <c r="Z76" s="16">
        <f ca="1">'2.XDTD_S.Tr.T'!AB148</f>
        <v>0</v>
      </c>
      <c r="AA76" s="16">
        <f ca="1">'2.XDTD_S.Tr.T'!AC148</f>
        <v>0</v>
      </c>
      <c r="AB76" s="16">
        <f ca="1">'2.XDTD_S.Tr.T'!AD148</f>
        <v>0</v>
      </c>
      <c r="AC76" s="16">
        <f ca="1">'2.XDTD_S.Tr.T'!AE148</f>
        <v>0</v>
      </c>
      <c r="AD76" s="16">
        <f ca="1">'2.XDTD_S.Tr.T'!AF148</f>
        <v>0</v>
      </c>
      <c r="AE76" s="16">
        <f ca="1">'2.XDTD_S.Tr.T'!AG148</f>
        <v>0</v>
      </c>
      <c r="AF76" s="16">
        <f ca="1">'2.XDTD_S.Tr.T'!AH148</f>
        <v>0</v>
      </c>
      <c r="AG76" s="16">
        <f ca="1">'2.XDTD_S.Tr.T'!AI148</f>
        <v>0</v>
      </c>
      <c r="AH76" s="16">
        <f ca="1">'2.XDTD_S.Tr.T'!AJ148</f>
        <v>0</v>
      </c>
      <c r="AI76" s="16">
        <f ca="1">'2.XDTD_S.Tr.T'!AK148</f>
        <v>0</v>
      </c>
      <c r="AJ76" s="16">
        <f ca="1">'2.XDTD_S.Tr.T'!AL148</f>
        <v>0</v>
      </c>
      <c r="AK76" s="16">
        <f ca="1">'2.XDTD_S.Tr.T'!AM148</f>
        <v>0</v>
      </c>
      <c r="AL76" s="16">
        <f ca="1">'2.XDTD_S.Tr.T'!AN148</f>
        <v>0</v>
      </c>
      <c r="AM76" s="16">
        <f ca="1">'2.XDTD_S.Tr.T'!AO148</f>
        <v>0</v>
      </c>
      <c r="AN76" s="16">
        <f ca="1">'2.XDTD_S.Tr.T'!AP148</f>
        <v>0</v>
      </c>
      <c r="AO76" s="16">
        <f ca="1">'2.XDTD_S.Tr.T'!AP148</f>
        <v>0</v>
      </c>
      <c r="AP76" s="16">
        <f ca="1">'2.XDTD_S.Tr.T'!AR148</f>
        <v>0</v>
      </c>
      <c r="AQ76" s="16">
        <f ca="1">'2.XDTD_S.Tr.T'!AS148</f>
        <v>0</v>
      </c>
      <c r="AR76" s="16">
        <f ca="1">'2.XDTD_S.Tr.T'!AT148</f>
        <v>0</v>
      </c>
      <c r="AS76" s="16">
        <f ca="1">'2.XDTD_S.Tr.T'!AU148</f>
        <v>0</v>
      </c>
      <c r="AT76" s="16">
        <f ca="1">'2.XDTD_S.Tr.T'!AV148</f>
        <v>0</v>
      </c>
      <c r="AU76" s="16">
        <f ca="1">'2.XDTD_S.Tr.T'!AW148</f>
        <v>0</v>
      </c>
      <c r="AV76" s="16">
        <f ca="1">'2.XDTD_S.Tr.T'!AX148</f>
        <v>0</v>
      </c>
      <c r="AW76" s="16">
        <f ca="1">'2.XDTD_S.Tr.T'!AY148</f>
        <v>0</v>
      </c>
      <c r="AX76" s="16">
        <f ca="1">'2.XDTD_S.Tr.T'!AZ148</f>
        <v>0</v>
      </c>
      <c r="AY76" s="16">
        <f ca="1">'2.XDTD_S.Tr.T'!BA148</f>
        <v>0</v>
      </c>
      <c r="AZ76" s="16">
        <f ca="1">'2.XDTD_S.Tr.T'!BB148</f>
        <v>0</v>
      </c>
      <c r="BA76" s="16">
        <f ca="1">'2.XDTD_S.Tr.T'!BC148</f>
        <v>0</v>
      </c>
      <c r="BB76" s="16">
        <f ca="1">'2.XDTD_S.Tr.T'!BD148</f>
        <v>0</v>
      </c>
      <c r="BC76" s="16">
        <f ca="1">'2.XDTD_S.Tr.T'!BE148</f>
        <v>0</v>
      </c>
      <c r="BD76" s="16">
        <f ca="1">'2.XDTD_S.Tr.T'!BF148</f>
        <v>0</v>
      </c>
      <c r="BE76" s="16">
        <f ca="1">'2.XDTD_S.Tr.T'!BG148</f>
        <v>0</v>
      </c>
      <c r="BF76" s="16">
        <f ca="1">'2.XDTD_S.Tr.T'!BH148</f>
        <v>0</v>
      </c>
      <c r="BG76" s="16">
        <f ca="1">'2.XDTD_S.Tr.T'!BI148</f>
        <v>0</v>
      </c>
      <c r="BH76" s="16">
        <f ca="1">'2.XDTD_S.Tr.T'!BJ148</f>
        <v>0</v>
      </c>
      <c r="BI76" s="16">
        <f ca="1">'2.XDTD_S.Tr.T'!BK148</f>
        <v>0</v>
      </c>
      <c r="BJ76" s="16">
        <f ca="1">'2.XDTD_S.Tr.T'!BL148</f>
        <v>0</v>
      </c>
      <c r="BK76" s="16">
        <f ca="1">'2.XDTD_S.Tr.T'!BM148</f>
        <v>0</v>
      </c>
      <c r="BL76" s="16">
        <f ca="1">'2.XDTD_S.Tr.T'!BN148</f>
        <v>0</v>
      </c>
      <c r="BM76" s="16">
        <f ca="1">'2.XDTD_S.Tr.T'!BO148</f>
        <v>0</v>
      </c>
      <c r="BN76" s="16">
        <f ca="1">'2.XDTD_S.Tr.T'!BP148</f>
        <v>0</v>
      </c>
      <c r="BO76" s="16">
        <f ca="1">'2.XDTD_S.Tr.T'!BP148</f>
        <v>0</v>
      </c>
      <c r="BP76" s="16">
        <f ca="1">'2.XDTD_S.Tr.T'!BR148</f>
        <v>0</v>
      </c>
      <c r="BQ76" s="16">
        <f ca="1">'2.XDTD_S.Tr.T'!BS148</f>
        <v>0</v>
      </c>
      <c r="BR76" s="16">
        <f ca="1">'2.XDTD_S.Tr.T'!BT148</f>
        <v>0</v>
      </c>
      <c r="BS76" s="16">
        <f ca="1">'2.XDTD_S.Tr.T'!BU148</f>
        <v>0</v>
      </c>
      <c r="BT76" s="16">
        <f ca="1">'2.XDTD_S.Tr.T'!BV148</f>
        <v>0</v>
      </c>
      <c r="BU76" s="16">
        <f ca="1">'2.XDTD_S.Tr.T'!BW148</f>
        <v>0</v>
      </c>
      <c r="BV76" s="16">
        <f ca="1">'2.XDTD_S.Tr.T'!BX148</f>
        <v>0</v>
      </c>
      <c r="BW76" s="16">
        <f ca="1">'2.XDTD_S.Tr.T'!BY148</f>
        <v>0</v>
      </c>
      <c r="BX76" s="16">
        <f ca="1">'2.XDTD_S.Tr.T'!BZ148</f>
        <v>0</v>
      </c>
      <c r="BY76" s="16">
        <f ca="1">'2.XDTD_S.Tr.T'!CA148</f>
        <v>0</v>
      </c>
      <c r="BZ76" s="16">
        <f ca="1">'2.XDTD_S.Tr.T'!CB148</f>
        <v>0</v>
      </c>
      <c r="CA76" s="16">
        <f ca="1">'2.XDTD_S.Tr.T'!CC148</f>
        <v>0</v>
      </c>
      <c r="CB76" s="16">
        <f ca="1">'2.XDTD_S.Tr.T'!CD148</f>
        <v>0</v>
      </c>
      <c r="CC76" s="16">
        <f ca="1">'2.XDTD_S.Tr.T'!CE148</f>
        <v>0</v>
      </c>
      <c r="CD76" s="16">
        <f ca="1">'2.XDTD_S.Tr.T'!CF148</f>
        <v>0</v>
      </c>
      <c r="CE76" s="16">
        <f ca="1">'2.XDTD_S.Tr.T'!CG148</f>
        <v>0</v>
      </c>
      <c r="CF76" s="16">
        <f ca="1">'2.XDTD_S.Tr.T'!CH148</f>
        <v>0</v>
      </c>
      <c r="CG76" s="16">
        <f ca="1">'2.XDTD_S.Tr.T'!CI148</f>
        <v>0</v>
      </c>
      <c r="CH76" s="16">
        <f ca="1">'2.XDTD_S.Tr.T'!CJ148</f>
        <v>0</v>
      </c>
      <c r="CI76" s="16">
        <f ca="1">'2.XDTD_S.Tr.T'!CK148</f>
        <v>0</v>
      </c>
      <c r="CJ76" s="16">
        <f ca="1">'2.XDTD_S.Tr.T'!CL148</f>
        <v>0</v>
      </c>
      <c r="CK76" s="16">
        <f ca="1">'2.XDTD_S.Tr.T'!CM148</f>
        <v>0</v>
      </c>
      <c r="CL76" s="16">
        <f ca="1">'2.XDTD_S.Tr.T'!CN148</f>
        <v>0</v>
      </c>
      <c r="CM76" s="16">
        <f ca="1">'2.XDTD_S.Tr.T'!CO148</f>
        <v>0</v>
      </c>
      <c r="CN76" s="16">
        <f ca="1">'2.XDTD_S.Tr.T'!CP148</f>
        <v>0</v>
      </c>
      <c r="CO76" s="16">
        <f ca="1">'2.XDTD_S.Tr.T'!CP148</f>
        <v>0</v>
      </c>
    </row>
    <row r="77" spans="3:93" ht="19.95" hidden="1" customHeight="1">
      <c r="C77" s="5"/>
      <c r="D77" s="11">
        <f>'2.XDTD_S.Tr.T'!F149</f>
        <v>0</v>
      </c>
      <c r="E77" s="7">
        <f>'2.XDTD_S.Tr.T'!G149</f>
        <v>0</v>
      </c>
      <c r="F77" s="8">
        <f>'2.XDTD_S.Tr.T'!H149</f>
        <v>0</v>
      </c>
      <c r="G77" s="9">
        <f ca="1">'2.XDTD_S.Tr.T'!I149</f>
        <v>0</v>
      </c>
      <c r="H77" s="10">
        <f ca="1">'2.XDTD_S.Tr.T'!J149</f>
        <v>0</v>
      </c>
      <c r="I77" s="9">
        <f ca="1">'2.XDTD_S.Tr.T'!K149</f>
        <v>0</v>
      </c>
      <c r="J77" s="13">
        <f>'2.XDTD_S.Tr.T'!L149</f>
        <v>0</v>
      </c>
      <c r="K77" s="13">
        <f>'2.XDTD_S.Tr.T'!M149</f>
        <v>0</v>
      </c>
      <c r="L77" s="9">
        <f ca="1">'2.XDTD_S.Tr.T'!N149</f>
        <v>0</v>
      </c>
      <c r="M77" s="14">
        <f>'2.XDTD_S.Tr.T'!O149</f>
        <v>0</v>
      </c>
      <c r="N77" s="14">
        <f>'2.XDTD_S.Tr.T'!P149</f>
        <v>0</v>
      </c>
      <c r="O77" s="9">
        <f>'2.XDTD_S.Tr.T'!P149</f>
        <v>0</v>
      </c>
      <c r="P77" s="15">
        <f ca="1">'2.XDTD_S.Tr.T'!R149</f>
        <v>0</v>
      </c>
      <c r="Q77" s="16">
        <f ca="1">'2.XDTD_S.Tr.T'!S149</f>
        <v>0</v>
      </c>
      <c r="R77" s="16">
        <f ca="1">'2.XDTD_S.Tr.T'!T149</f>
        <v>0</v>
      </c>
      <c r="S77" s="16">
        <f ca="1">'2.XDTD_S.Tr.T'!U149</f>
        <v>0</v>
      </c>
      <c r="T77" s="16">
        <f ca="1">'2.XDTD_S.Tr.T'!V149</f>
        <v>0</v>
      </c>
      <c r="U77" s="16">
        <f ca="1">'2.XDTD_S.Tr.T'!W149</f>
        <v>0</v>
      </c>
      <c r="V77" s="16">
        <f ca="1">'2.XDTD_S.Tr.T'!X149</f>
        <v>0</v>
      </c>
      <c r="W77" s="16">
        <f ca="1">'2.XDTD_S.Tr.T'!Y149</f>
        <v>0</v>
      </c>
      <c r="X77" s="16">
        <f ca="1">'2.XDTD_S.Tr.T'!Z149</f>
        <v>0</v>
      </c>
      <c r="Y77" s="16">
        <f ca="1">'2.XDTD_S.Tr.T'!AA149</f>
        <v>0</v>
      </c>
      <c r="Z77" s="16">
        <f ca="1">'2.XDTD_S.Tr.T'!AB149</f>
        <v>0</v>
      </c>
      <c r="AA77" s="16">
        <f ca="1">'2.XDTD_S.Tr.T'!AC149</f>
        <v>0</v>
      </c>
      <c r="AB77" s="16">
        <f ca="1">'2.XDTD_S.Tr.T'!AD149</f>
        <v>0</v>
      </c>
      <c r="AC77" s="16">
        <f ca="1">'2.XDTD_S.Tr.T'!AE149</f>
        <v>0</v>
      </c>
      <c r="AD77" s="16">
        <f ca="1">'2.XDTD_S.Tr.T'!AF149</f>
        <v>0</v>
      </c>
      <c r="AE77" s="16">
        <f ca="1">'2.XDTD_S.Tr.T'!AG149</f>
        <v>0</v>
      </c>
      <c r="AF77" s="16">
        <f ca="1">'2.XDTD_S.Tr.T'!AH149</f>
        <v>0</v>
      </c>
      <c r="AG77" s="16">
        <f ca="1">'2.XDTD_S.Tr.T'!AI149</f>
        <v>0</v>
      </c>
      <c r="AH77" s="16">
        <f ca="1">'2.XDTD_S.Tr.T'!AJ149</f>
        <v>0</v>
      </c>
      <c r="AI77" s="16">
        <f ca="1">'2.XDTD_S.Tr.T'!AK149</f>
        <v>0</v>
      </c>
      <c r="AJ77" s="16">
        <f ca="1">'2.XDTD_S.Tr.T'!AL149</f>
        <v>0</v>
      </c>
      <c r="AK77" s="16">
        <f ca="1">'2.XDTD_S.Tr.T'!AM149</f>
        <v>0</v>
      </c>
      <c r="AL77" s="16">
        <f ca="1">'2.XDTD_S.Tr.T'!AN149</f>
        <v>0</v>
      </c>
      <c r="AM77" s="16">
        <f ca="1">'2.XDTD_S.Tr.T'!AO149</f>
        <v>0</v>
      </c>
      <c r="AN77" s="16">
        <f ca="1">'2.XDTD_S.Tr.T'!AP149</f>
        <v>0</v>
      </c>
      <c r="AO77" s="16">
        <f ca="1">'2.XDTD_S.Tr.T'!AP149</f>
        <v>0</v>
      </c>
      <c r="AP77" s="16">
        <f ca="1">'2.XDTD_S.Tr.T'!AR149</f>
        <v>0</v>
      </c>
      <c r="AQ77" s="16">
        <f ca="1">'2.XDTD_S.Tr.T'!AS149</f>
        <v>0</v>
      </c>
      <c r="AR77" s="16">
        <f ca="1">'2.XDTD_S.Tr.T'!AT149</f>
        <v>0</v>
      </c>
      <c r="AS77" s="16">
        <f ca="1">'2.XDTD_S.Tr.T'!AU149</f>
        <v>0</v>
      </c>
      <c r="AT77" s="16">
        <f ca="1">'2.XDTD_S.Tr.T'!AV149</f>
        <v>0</v>
      </c>
      <c r="AU77" s="16">
        <f ca="1">'2.XDTD_S.Tr.T'!AW149</f>
        <v>0</v>
      </c>
      <c r="AV77" s="16">
        <f ca="1">'2.XDTD_S.Tr.T'!AX149</f>
        <v>0</v>
      </c>
      <c r="AW77" s="16">
        <f ca="1">'2.XDTD_S.Tr.T'!AY149</f>
        <v>0</v>
      </c>
      <c r="AX77" s="16">
        <f ca="1">'2.XDTD_S.Tr.T'!AZ149</f>
        <v>0</v>
      </c>
      <c r="AY77" s="16">
        <f ca="1">'2.XDTD_S.Tr.T'!BA149</f>
        <v>0</v>
      </c>
      <c r="AZ77" s="16">
        <f ca="1">'2.XDTD_S.Tr.T'!BB149</f>
        <v>0</v>
      </c>
      <c r="BA77" s="16">
        <f ca="1">'2.XDTD_S.Tr.T'!BC149</f>
        <v>0</v>
      </c>
      <c r="BB77" s="16">
        <f ca="1">'2.XDTD_S.Tr.T'!BD149</f>
        <v>0</v>
      </c>
      <c r="BC77" s="16">
        <f ca="1">'2.XDTD_S.Tr.T'!BE149</f>
        <v>0</v>
      </c>
      <c r="BD77" s="16">
        <f ca="1">'2.XDTD_S.Tr.T'!BF149</f>
        <v>0</v>
      </c>
      <c r="BE77" s="16">
        <f ca="1">'2.XDTD_S.Tr.T'!BG149</f>
        <v>0</v>
      </c>
      <c r="BF77" s="16">
        <f ca="1">'2.XDTD_S.Tr.T'!BH149</f>
        <v>0</v>
      </c>
      <c r="BG77" s="16">
        <f ca="1">'2.XDTD_S.Tr.T'!BI149</f>
        <v>0</v>
      </c>
      <c r="BH77" s="16">
        <f ca="1">'2.XDTD_S.Tr.T'!BJ149</f>
        <v>0</v>
      </c>
      <c r="BI77" s="16">
        <f ca="1">'2.XDTD_S.Tr.T'!BK149</f>
        <v>0</v>
      </c>
      <c r="BJ77" s="16">
        <f ca="1">'2.XDTD_S.Tr.T'!BL149</f>
        <v>0</v>
      </c>
      <c r="BK77" s="16">
        <f ca="1">'2.XDTD_S.Tr.T'!BM149</f>
        <v>0</v>
      </c>
      <c r="BL77" s="16">
        <f ca="1">'2.XDTD_S.Tr.T'!BN149</f>
        <v>0</v>
      </c>
      <c r="BM77" s="16">
        <f ca="1">'2.XDTD_S.Tr.T'!BO149</f>
        <v>0</v>
      </c>
      <c r="BN77" s="16">
        <f ca="1">'2.XDTD_S.Tr.T'!BP149</f>
        <v>0</v>
      </c>
      <c r="BO77" s="16">
        <f ca="1">'2.XDTD_S.Tr.T'!BP149</f>
        <v>0</v>
      </c>
      <c r="BP77" s="16">
        <f ca="1">'2.XDTD_S.Tr.T'!BR149</f>
        <v>0</v>
      </c>
      <c r="BQ77" s="16">
        <f ca="1">'2.XDTD_S.Tr.T'!BS149</f>
        <v>0</v>
      </c>
      <c r="BR77" s="16">
        <f ca="1">'2.XDTD_S.Tr.T'!BT149</f>
        <v>0</v>
      </c>
      <c r="BS77" s="16">
        <f ca="1">'2.XDTD_S.Tr.T'!BU149</f>
        <v>0</v>
      </c>
      <c r="BT77" s="16">
        <f ca="1">'2.XDTD_S.Tr.T'!BV149</f>
        <v>0</v>
      </c>
      <c r="BU77" s="16">
        <f ca="1">'2.XDTD_S.Tr.T'!BW149</f>
        <v>0</v>
      </c>
      <c r="BV77" s="16">
        <f ca="1">'2.XDTD_S.Tr.T'!BX149</f>
        <v>0</v>
      </c>
      <c r="BW77" s="16">
        <f ca="1">'2.XDTD_S.Tr.T'!BY149</f>
        <v>0</v>
      </c>
      <c r="BX77" s="16">
        <f ca="1">'2.XDTD_S.Tr.T'!BZ149</f>
        <v>0</v>
      </c>
      <c r="BY77" s="16">
        <f ca="1">'2.XDTD_S.Tr.T'!CA149</f>
        <v>0</v>
      </c>
      <c r="BZ77" s="16">
        <f ca="1">'2.XDTD_S.Tr.T'!CB149</f>
        <v>0</v>
      </c>
      <c r="CA77" s="16">
        <f ca="1">'2.XDTD_S.Tr.T'!CC149</f>
        <v>0</v>
      </c>
      <c r="CB77" s="16">
        <f ca="1">'2.XDTD_S.Tr.T'!CD149</f>
        <v>0</v>
      </c>
      <c r="CC77" s="16">
        <f ca="1">'2.XDTD_S.Tr.T'!CE149</f>
        <v>0</v>
      </c>
      <c r="CD77" s="16">
        <f ca="1">'2.XDTD_S.Tr.T'!CF149</f>
        <v>0</v>
      </c>
      <c r="CE77" s="16">
        <f ca="1">'2.XDTD_S.Tr.T'!CG149</f>
        <v>0</v>
      </c>
      <c r="CF77" s="16">
        <f ca="1">'2.XDTD_S.Tr.T'!CH149</f>
        <v>0</v>
      </c>
      <c r="CG77" s="16">
        <f ca="1">'2.XDTD_S.Tr.T'!CI149</f>
        <v>0</v>
      </c>
      <c r="CH77" s="16">
        <f ca="1">'2.XDTD_S.Tr.T'!CJ149</f>
        <v>0</v>
      </c>
      <c r="CI77" s="16">
        <f ca="1">'2.XDTD_S.Tr.T'!CK149</f>
        <v>0</v>
      </c>
      <c r="CJ77" s="16">
        <f ca="1">'2.XDTD_S.Tr.T'!CL149</f>
        <v>0</v>
      </c>
      <c r="CK77" s="16">
        <f ca="1">'2.XDTD_S.Tr.T'!CM149</f>
        <v>0</v>
      </c>
      <c r="CL77" s="16">
        <f ca="1">'2.XDTD_S.Tr.T'!CN149</f>
        <v>0</v>
      </c>
      <c r="CM77" s="16">
        <f ca="1">'2.XDTD_S.Tr.T'!CO149</f>
        <v>0</v>
      </c>
      <c r="CN77" s="16">
        <f ca="1">'2.XDTD_S.Tr.T'!CP149</f>
        <v>0</v>
      </c>
      <c r="CO77" s="16">
        <f ca="1">'2.XDTD_S.Tr.T'!CP149</f>
        <v>0</v>
      </c>
    </row>
    <row r="78" spans="3:93" ht="19.95" hidden="1" customHeight="1">
      <c r="C78" s="5"/>
      <c r="D78" s="11">
        <f>'2.XDTD_S.Tr.T'!F150</f>
        <v>0</v>
      </c>
      <c r="E78" s="7">
        <f>'2.XDTD_S.Tr.T'!G150</f>
        <v>0</v>
      </c>
      <c r="F78" s="8">
        <f>'2.XDTD_S.Tr.T'!H150</f>
        <v>0</v>
      </c>
      <c r="G78" s="9">
        <f ca="1">'2.XDTD_S.Tr.T'!I150</f>
        <v>0</v>
      </c>
      <c r="H78" s="10">
        <f ca="1">'2.XDTD_S.Tr.T'!J150</f>
        <v>0</v>
      </c>
      <c r="I78" s="9">
        <f ca="1">'2.XDTD_S.Tr.T'!K150</f>
        <v>0</v>
      </c>
      <c r="J78" s="13">
        <f>'2.XDTD_S.Tr.T'!L150</f>
        <v>0</v>
      </c>
      <c r="K78" s="13">
        <f>'2.XDTD_S.Tr.T'!M150</f>
        <v>0</v>
      </c>
      <c r="L78" s="9">
        <f ca="1">'2.XDTD_S.Tr.T'!N150</f>
        <v>0</v>
      </c>
      <c r="M78" s="14">
        <f>'2.XDTD_S.Tr.T'!O150</f>
        <v>0</v>
      </c>
      <c r="N78" s="14">
        <f>'2.XDTD_S.Tr.T'!P150</f>
        <v>0</v>
      </c>
      <c r="O78" s="9">
        <f>'2.XDTD_S.Tr.T'!P150</f>
        <v>0</v>
      </c>
      <c r="P78" s="15">
        <f ca="1">'2.XDTD_S.Tr.T'!R150</f>
        <v>0</v>
      </c>
      <c r="Q78" s="16">
        <f ca="1">'2.XDTD_S.Tr.T'!S150</f>
        <v>0</v>
      </c>
      <c r="R78" s="16">
        <f ca="1">'2.XDTD_S.Tr.T'!T150</f>
        <v>0</v>
      </c>
      <c r="S78" s="16">
        <f ca="1">'2.XDTD_S.Tr.T'!U150</f>
        <v>0</v>
      </c>
      <c r="T78" s="16">
        <f ca="1">'2.XDTD_S.Tr.T'!V150</f>
        <v>0</v>
      </c>
      <c r="U78" s="16">
        <f ca="1">'2.XDTD_S.Tr.T'!W150</f>
        <v>0</v>
      </c>
      <c r="V78" s="16">
        <f ca="1">'2.XDTD_S.Tr.T'!X150</f>
        <v>0</v>
      </c>
      <c r="W78" s="16">
        <f ca="1">'2.XDTD_S.Tr.T'!Y150</f>
        <v>0</v>
      </c>
      <c r="X78" s="16">
        <f ca="1">'2.XDTD_S.Tr.T'!Z150</f>
        <v>0</v>
      </c>
      <c r="Y78" s="16">
        <f ca="1">'2.XDTD_S.Tr.T'!AA150</f>
        <v>0</v>
      </c>
      <c r="Z78" s="16">
        <f ca="1">'2.XDTD_S.Tr.T'!AB150</f>
        <v>0</v>
      </c>
      <c r="AA78" s="16">
        <f ca="1">'2.XDTD_S.Tr.T'!AC150</f>
        <v>0</v>
      </c>
      <c r="AB78" s="16">
        <f ca="1">'2.XDTD_S.Tr.T'!AD150</f>
        <v>0</v>
      </c>
      <c r="AC78" s="16">
        <f ca="1">'2.XDTD_S.Tr.T'!AE150</f>
        <v>0</v>
      </c>
      <c r="AD78" s="16">
        <f ca="1">'2.XDTD_S.Tr.T'!AF150</f>
        <v>0</v>
      </c>
      <c r="AE78" s="16">
        <f ca="1">'2.XDTD_S.Tr.T'!AG150</f>
        <v>0</v>
      </c>
      <c r="AF78" s="16">
        <f ca="1">'2.XDTD_S.Tr.T'!AH150</f>
        <v>0</v>
      </c>
      <c r="AG78" s="16">
        <f ca="1">'2.XDTD_S.Tr.T'!AI150</f>
        <v>0</v>
      </c>
      <c r="AH78" s="16">
        <f ca="1">'2.XDTD_S.Tr.T'!AJ150</f>
        <v>0</v>
      </c>
      <c r="AI78" s="16">
        <f ca="1">'2.XDTD_S.Tr.T'!AK150</f>
        <v>0</v>
      </c>
      <c r="AJ78" s="16">
        <f ca="1">'2.XDTD_S.Tr.T'!AL150</f>
        <v>0</v>
      </c>
      <c r="AK78" s="16">
        <f ca="1">'2.XDTD_S.Tr.T'!AM150</f>
        <v>0</v>
      </c>
      <c r="AL78" s="16">
        <f ca="1">'2.XDTD_S.Tr.T'!AN150</f>
        <v>0</v>
      </c>
      <c r="AM78" s="16">
        <f ca="1">'2.XDTD_S.Tr.T'!AO150</f>
        <v>0</v>
      </c>
      <c r="AN78" s="16">
        <f ca="1">'2.XDTD_S.Tr.T'!AP150</f>
        <v>0</v>
      </c>
      <c r="AO78" s="16">
        <f ca="1">'2.XDTD_S.Tr.T'!AP150</f>
        <v>0</v>
      </c>
      <c r="AP78" s="16">
        <f ca="1">'2.XDTD_S.Tr.T'!AR150</f>
        <v>0</v>
      </c>
      <c r="AQ78" s="16">
        <f ca="1">'2.XDTD_S.Tr.T'!AS150</f>
        <v>0</v>
      </c>
      <c r="AR78" s="16">
        <f ca="1">'2.XDTD_S.Tr.T'!AT150</f>
        <v>0</v>
      </c>
      <c r="AS78" s="16">
        <f ca="1">'2.XDTD_S.Tr.T'!AU150</f>
        <v>0</v>
      </c>
      <c r="AT78" s="16">
        <f ca="1">'2.XDTD_S.Tr.T'!AV150</f>
        <v>0</v>
      </c>
      <c r="AU78" s="16">
        <f ca="1">'2.XDTD_S.Tr.T'!AW150</f>
        <v>0</v>
      </c>
      <c r="AV78" s="16">
        <f ca="1">'2.XDTD_S.Tr.T'!AX150</f>
        <v>0</v>
      </c>
      <c r="AW78" s="16">
        <f ca="1">'2.XDTD_S.Tr.T'!AY150</f>
        <v>0</v>
      </c>
      <c r="AX78" s="16">
        <f ca="1">'2.XDTD_S.Tr.T'!AZ150</f>
        <v>0</v>
      </c>
      <c r="AY78" s="16">
        <f ca="1">'2.XDTD_S.Tr.T'!BA150</f>
        <v>0</v>
      </c>
      <c r="AZ78" s="16">
        <f ca="1">'2.XDTD_S.Tr.T'!BB150</f>
        <v>0</v>
      </c>
      <c r="BA78" s="16">
        <f ca="1">'2.XDTD_S.Tr.T'!BC150</f>
        <v>0</v>
      </c>
      <c r="BB78" s="16">
        <f ca="1">'2.XDTD_S.Tr.T'!BD150</f>
        <v>0</v>
      </c>
      <c r="BC78" s="16">
        <f ca="1">'2.XDTD_S.Tr.T'!BE150</f>
        <v>0</v>
      </c>
      <c r="BD78" s="16">
        <f ca="1">'2.XDTD_S.Tr.T'!BF150</f>
        <v>0</v>
      </c>
      <c r="BE78" s="16">
        <f ca="1">'2.XDTD_S.Tr.T'!BG150</f>
        <v>0</v>
      </c>
      <c r="BF78" s="16">
        <f ca="1">'2.XDTD_S.Tr.T'!BH150</f>
        <v>0</v>
      </c>
      <c r="BG78" s="16">
        <f ca="1">'2.XDTD_S.Tr.T'!BI150</f>
        <v>0</v>
      </c>
      <c r="BH78" s="16">
        <f ca="1">'2.XDTD_S.Tr.T'!BJ150</f>
        <v>0</v>
      </c>
      <c r="BI78" s="16">
        <f ca="1">'2.XDTD_S.Tr.T'!BK150</f>
        <v>0</v>
      </c>
      <c r="BJ78" s="16">
        <f ca="1">'2.XDTD_S.Tr.T'!BL150</f>
        <v>0</v>
      </c>
      <c r="BK78" s="16">
        <f ca="1">'2.XDTD_S.Tr.T'!BM150</f>
        <v>0</v>
      </c>
      <c r="BL78" s="16">
        <f ca="1">'2.XDTD_S.Tr.T'!BN150</f>
        <v>0</v>
      </c>
      <c r="BM78" s="16">
        <f ca="1">'2.XDTD_S.Tr.T'!BO150</f>
        <v>0</v>
      </c>
      <c r="BN78" s="16">
        <f ca="1">'2.XDTD_S.Tr.T'!BP150</f>
        <v>0</v>
      </c>
      <c r="BO78" s="16">
        <f ca="1">'2.XDTD_S.Tr.T'!BP150</f>
        <v>0</v>
      </c>
      <c r="BP78" s="16">
        <f ca="1">'2.XDTD_S.Tr.T'!BR150</f>
        <v>0</v>
      </c>
      <c r="BQ78" s="16">
        <f ca="1">'2.XDTD_S.Tr.T'!BS150</f>
        <v>0</v>
      </c>
      <c r="BR78" s="16">
        <f ca="1">'2.XDTD_S.Tr.T'!BT150</f>
        <v>0</v>
      </c>
      <c r="BS78" s="16">
        <f ca="1">'2.XDTD_S.Tr.T'!BU150</f>
        <v>0</v>
      </c>
      <c r="BT78" s="16">
        <f ca="1">'2.XDTD_S.Tr.T'!BV150</f>
        <v>0</v>
      </c>
      <c r="BU78" s="16">
        <f ca="1">'2.XDTD_S.Tr.T'!BW150</f>
        <v>0</v>
      </c>
      <c r="BV78" s="16">
        <f ca="1">'2.XDTD_S.Tr.T'!BX150</f>
        <v>0</v>
      </c>
      <c r="BW78" s="16">
        <f ca="1">'2.XDTD_S.Tr.T'!BY150</f>
        <v>0</v>
      </c>
      <c r="BX78" s="16">
        <f ca="1">'2.XDTD_S.Tr.T'!BZ150</f>
        <v>0</v>
      </c>
      <c r="BY78" s="16">
        <f ca="1">'2.XDTD_S.Tr.T'!CA150</f>
        <v>0</v>
      </c>
      <c r="BZ78" s="16">
        <f ca="1">'2.XDTD_S.Tr.T'!CB150</f>
        <v>0</v>
      </c>
      <c r="CA78" s="16">
        <f ca="1">'2.XDTD_S.Tr.T'!CC150</f>
        <v>0</v>
      </c>
      <c r="CB78" s="16">
        <f ca="1">'2.XDTD_S.Tr.T'!CD150</f>
        <v>0</v>
      </c>
      <c r="CC78" s="16">
        <f ca="1">'2.XDTD_S.Tr.T'!CE150</f>
        <v>0</v>
      </c>
      <c r="CD78" s="16">
        <f ca="1">'2.XDTD_S.Tr.T'!CF150</f>
        <v>0</v>
      </c>
      <c r="CE78" s="16">
        <f ca="1">'2.XDTD_S.Tr.T'!CG150</f>
        <v>0</v>
      </c>
      <c r="CF78" s="16">
        <f ca="1">'2.XDTD_S.Tr.T'!CH150</f>
        <v>0</v>
      </c>
      <c r="CG78" s="16">
        <f ca="1">'2.XDTD_S.Tr.T'!CI150</f>
        <v>0</v>
      </c>
      <c r="CH78" s="16">
        <f ca="1">'2.XDTD_S.Tr.T'!CJ150</f>
        <v>0</v>
      </c>
      <c r="CI78" s="16">
        <f ca="1">'2.XDTD_S.Tr.T'!CK150</f>
        <v>0</v>
      </c>
      <c r="CJ78" s="16">
        <f ca="1">'2.XDTD_S.Tr.T'!CL150</f>
        <v>0</v>
      </c>
      <c r="CK78" s="16">
        <f ca="1">'2.XDTD_S.Tr.T'!CM150</f>
        <v>0</v>
      </c>
      <c r="CL78" s="16">
        <f ca="1">'2.XDTD_S.Tr.T'!CN150</f>
        <v>0</v>
      </c>
      <c r="CM78" s="16">
        <f ca="1">'2.XDTD_S.Tr.T'!CO150</f>
        <v>0</v>
      </c>
      <c r="CN78" s="16">
        <f ca="1">'2.XDTD_S.Tr.T'!CP150</f>
        <v>0</v>
      </c>
      <c r="CO78" s="16">
        <f ca="1">'2.XDTD_S.Tr.T'!CP150</f>
        <v>0</v>
      </c>
    </row>
    <row r="79" spans="3:93" ht="19.95" hidden="1" customHeight="1">
      <c r="C79" s="5"/>
      <c r="D79" s="11">
        <f>'2.XDTD_S.Tr.T'!F151</f>
        <v>0</v>
      </c>
      <c r="E79" s="7">
        <f>'2.XDTD_S.Tr.T'!G151</f>
        <v>0</v>
      </c>
      <c r="F79" s="8">
        <f>'2.XDTD_S.Tr.T'!H151</f>
        <v>0</v>
      </c>
      <c r="G79" s="9">
        <f ca="1">'2.XDTD_S.Tr.T'!I151</f>
        <v>0</v>
      </c>
      <c r="H79" s="10">
        <f ca="1">'2.XDTD_S.Tr.T'!J151</f>
        <v>0</v>
      </c>
      <c r="I79" s="9">
        <f ca="1">'2.XDTD_S.Tr.T'!K151</f>
        <v>0</v>
      </c>
      <c r="J79" s="13">
        <f>'2.XDTD_S.Tr.T'!L151</f>
        <v>0</v>
      </c>
      <c r="K79" s="13">
        <f>'2.XDTD_S.Tr.T'!M151</f>
        <v>0</v>
      </c>
      <c r="L79" s="9">
        <f ca="1">'2.XDTD_S.Tr.T'!N151</f>
        <v>0</v>
      </c>
      <c r="M79" s="14">
        <f>'2.XDTD_S.Tr.T'!O151</f>
        <v>0</v>
      </c>
      <c r="N79" s="14">
        <f>'2.XDTD_S.Tr.T'!P151</f>
        <v>0</v>
      </c>
      <c r="O79" s="9">
        <f>'2.XDTD_S.Tr.T'!P151</f>
        <v>0</v>
      </c>
      <c r="P79" s="15">
        <f ca="1">'2.XDTD_S.Tr.T'!R151</f>
        <v>0</v>
      </c>
      <c r="Q79" s="16">
        <f ca="1">'2.XDTD_S.Tr.T'!S151</f>
        <v>0</v>
      </c>
      <c r="R79" s="16">
        <f ca="1">'2.XDTD_S.Tr.T'!T151</f>
        <v>0</v>
      </c>
      <c r="S79" s="16">
        <f ca="1">'2.XDTD_S.Tr.T'!U151</f>
        <v>0</v>
      </c>
      <c r="T79" s="16">
        <f ca="1">'2.XDTD_S.Tr.T'!V151</f>
        <v>0</v>
      </c>
      <c r="U79" s="16">
        <f ca="1">'2.XDTD_S.Tr.T'!W151</f>
        <v>0</v>
      </c>
      <c r="V79" s="16">
        <f ca="1">'2.XDTD_S.Tr.T'!X151</f>
        <v>0</v>
      </c>
      <c r="W79" s="16">
        <f ca="1">'2.XDTD_S.Tr.T'!Y151</f>
        <v>0</v>
      </c>
      <c r="X79" s="16">
        <f ca="1">'2.XDTD_S.Tr.T'!Z151</f>
        <v>0</v>
      </c>
      <c r="Y79" s="16">
        <f ca="1">'2.XDTD_S.Tr.T'!AA151</f>
        <v>0</v>
      </c>
      <c r="Z79" s="16">
        <f ca="1">'2.XDTD_S.Tr.T'!AB151</f>
        <v>0</v>
      </c>
      <c r="AA79" s="16">
        <f ca="1">'2.XDTD_S.Tr.T'!AC151</f>
        <v>0</v>
      </c>
      <c r="AB79" s="16">
        <f ca="1">'2.XDTD_S.Tr.T'!AD151</f>
        <v>0</v>
      </c>
      <c r="AC79" s="16">
        <f ca="1">'2.XDTD_S.Tr.T'!AE151</f>
        <v>0</v>
      </c>
      <c r="AD79" s="16">
        <f ca="1">'2.XDTD_S.Tr.T'!AF151</f>
        <v>0</v>
      </c>
      <c r="AE79" s="16">
        <f ca="1">'2.XDTD_S.Tr.T'!AG151</f>
        <v>0</v>
      </c>
      <c r="AF79" s="16">
        <f ca="1">'2.XDTD_S.Tr.T'!AH151</f>
        <v>0</v>
      </c>
      <c r="AG79" s="16">
        <f ca="1">'2.XDTD_S.Tr.T'!AI151</f>
        <v>0</v>
      </c>
      <c r="AH79" s="16">
        <f ca="1">'2.XDTD_S.Tr.T'!AJ151</f>
        <v>0</v>
      </c>
      <c r="AI79" s="16">
        <f ca="1">'2.XDTD_S.Tr.T'!AK151</f>
        <v>0</v>
      </c>
      <c r="AJ79" s="16">
        <f ca="1">'2.XDTD_S.Tr.T'!AL151</f>
        <v>0</v>
      </c>
      <c r="AK79" s="16">
        <f ca="1">'2.XDTD_S.Tr.T'!AM151</f>
        <v>0</v>
      </c>
      <c r="AL79" s="16">
        <f ca="1">'2.XDTD_S.Tr.T'!AN151</f>
        <v>0</v>
      </c>
      <c r="AM79" s="16">
        <f ca="1">'2.XDTD_S.Tr.T'!AO151</f>
        <v>0</v>
      </c>
      <c r="AN79" s="16">
        <f ca="1">'2.XDTD_S.Tr.T'!AP151</f>
        <v>0</v>
      </c>
      <c r="AO79" s="16">
        <f ca="1">'2.XDTD_S.Tr.T'!AP151</f>
        <v>0</v>
      </c>
      <c r="AP79" s="16">
        <f ca="1">'2.XDTD_S.Tr.T'!AR151</f>
        <v>0</v>
      </c>
      <c r="AQ79" s="16">
        <f ca="1">'2.XDTD_S.Tr.T'!AS151</f>
        <v>0</v>
      </c>
      <c r="AR79" s="16">
        <f ca="1">'2.XDTD_S.Tr.T'!AT151</f>
        <v>0</v>
      </c>
      <c r="AS79" s="16">
        <f ca="1">'2.XDTD_S.Tr.T'!AU151</f>
        <v>0</v>
      </c>
      <c r="AT79" s="16">
        <f ca="1">'2.XDTD_S.Tr.T'!AV151</f>
        <v>0</v>
      </c>
      <c r="AU79" s="16">
        <f ca="1">'2.XDTD_S.Tr.T'!AW151</f>
        <v>0</v>
      </c>
      <c r="AV79" s="16">
        <f ca="1">'2.XDTD_S.Tr.T'!AX151</f>
        <v>0</v>
      </c>
      <c r="AW79" s="16">
        <f ca="1">'2.XDTD_S.Tr.T'!AY151</f>
        <v>0</v>
      </c>
      <c r="AX79" s="16">
        <f ca="1">'2.XDTD_S.Tr.T'!AZ151</f>
        <v>0</v>
      </c>
      <c r="AY79" s="16">
        <f ca="1">'2.XDTD_S.Tr.T'!BA151</f>
        <v>0</v>
      </c>
      <c r="AZ79" s="16">
        <f ca="1">'2.XDTD_S.Tr.T'!BB151</f>
        <v>0</v>
      </c>
      <c r="BA79" s="16">
        <f ca="1">'2.XDTD_S.Tr.T'!BC151</f>
        <v>0</v>
      </c>
      <c r="BB79" s="16">
        <f ca="1">'2.XDTD_S.Tr.T'!BD151</f>
        <v>0</v>
      </c>
      <c r="BC79" s="16">
        <f ca="1">'2.XDTD_S.Tr.T'!BE151</f>
        <v>0</v>
      </c>
      <c r="BD79" s="16">
        <f ca="1">'2.XDTD_S.Tr.T'!BF151</f>
        <v>0</v>
      </c>
      <c r="BE79" s="16">
        <f ca="1">'2.XDTD_S.Tr.T'!BG151</f>
        <v>0</v>
      </c>
      <c r="BF79" s="16">
        <f ca="1">'2.XDTD_S.Tr.T'!BH151</f>
        <v>0</v>
      </c>
      <c r="BG79" s="16">
        <f ca="1">'2.XDTD_S.Tr.T'!BI151</f>
        <v>0</v>
      </c>
      <c r="BH79" s="16">
        <f ca="1">'2.XDTD_S.Tr.T'!BJ151</f>
        <v>0</v>
      </c>
      <c r="BI79" s="16">
        <f ca="1">'2.XDTD_S.Tr.T'!BK151</f>
        <v>0</v>
      </c>
      <c r="BJ79" s="16">
        <f ca="1">'2.XDTD_S.Tr.T'!BL151</f>
        <v>0</v>
      </c>
      <c r="BK79" s="16">
        <f ca="1">'2.XDTD_S.Tr.T'!BM151</f>
        <v>0</v>
      </c>
      <c r="BL79" s="16">
        <f ca="1">'2.XDTD_S.Tr.T'!BN151</f>
        <v>0</v>
      </c>
      <c r="BM79" s="16">
        <f ca="1">'2.XDTD_S.Tr.T'!BO151</f>
        <v>0</v>
      </c>
      <c r="BN79" s="16">
        <f ca="1">'2.XDTD_S.Tr.T'!BP151</f>
        <v>0</v>
      </c>
      <c r="BO79" s="16">
        <f ca="1">'2.XDTD_S.Tr.T'!BP151</f>
        <v>0</v>
      </c>
      <c r="BP79" s="16">
        <f ca="1">'2.XDTD_S.Tr.T'!BR151</f>
        <v>0</v>
      </c>
      <c r="BQ79" s="16">
        <f ca="1">'2.XDTD_S.Tr.T'!BS151</f>
        <v>0</v>
      </c>
      <c r="BR79" s="16">
        <f ca="1">'2.XDTD_S.Tr.T'!BT151</f>
        <v>0</v>
      </c>
      <c r="BS79" s="16">
        <f ca="1">'2.XDTD_S.Tr.T'!BU151</f>
        <v>0</v>
      </c>
      <c r="BT79" s="16">
        <f ca="1">'2.XDTD_S.Tr.T'!BV151</f>
        <v>0</v>
      </c>
      <c r="BU79" s="16">
        <f ca="1">'2.XDTD_S.Tr.T'!BW151</f>
        <v>0</v>
      </c>
      <c r="BV79" s="16">
        <f ca="1">'2.XDTD_S.Tr.T'!BX151</f>
        <v>0</v>
      </c>
      <c r="BW79" s="16">
        <f ca="1">'2.XDTD_S.Tr.T'!BY151</f>
        <v>0</v>
      </c>
      <c r="BX79" s="16">
        <f ca="1">'2.XDTD_S.Tr.T'!BZ151</f>
        <v>0</v>
      </c>
      <c r="BY79" s="16">
        <f ca="1">'2.XDTD_S.Tr.T'!CA151</f>
        <v>0</v>
      </c>
      <c r="BZ79" s="16">
        <f ca="1">'2.XDTD_S.Tr.T'!CB151</f>
        <v>0</v>
      </c>
      <c r="CA79" s="16">
        <f ca="1">'2.XDTD_S.Tr.T'!CC151</f>
        <v>0</v>
      </c>
      <c r="CB79" s="16">
        <f ca="1">'2.XDTD_S.Tr.T'!CD151</f>
        <v>0</v>
      </c>
      <c r="CC79" s="16">
        <f ca="1">'2.XDTD_S.Tr.T'!CE151</f>
        <v>0</v>
      </c>
      <c r="CD79" s="16">
        <f ca="1">'2.XDTD_S.Tr.T'!CF151</f>
        <v>0</v>
      </c>
      <c r="CE79" s="16">
        <f ca="1">'2.XDTD_S.Tr.T'!CG151</f>
        <v>0</v>
      </c>
      <c r="CF79" s="16">
        <f ca="1">'2.XDTD_S.Tr.T'!CH151</f>
        <v>0</v>
      </c>
      <c r="CG79" s="16">
        <f ca="1">'2.XDTD_S.Tr.T'!CI151</f>
        <v>0</v>
      </c>
      <c r="CH79" s="16">
        <f ca="1">'2.XDTD_S.Tr.T'!CJ151</f>
        <v>0</v>
      </c>
      <c r="CI79" s="16">
        <f ca="1">'2.XDTD_S.Tr.T'!CK151</f>
        <v>0</v>
      </c>
      <c r="CJ79" s="16">
        <f ca="1">'2.XDTD_S.Tr.T'!CL151</f>
        <v>0</v>
      </c>
      <c r="CK79" s="16">
        <f ca="1">'2.XDTD_S.Tr.T'!CM151</f>
        <v>0</v>
      </c>
      <c r="CL79" s="16">
        <f ca="1">'2.XDTD_S.Tr.T'!CN151</f>
        <v>0</v>
      </c>
      <c r="CM79" s="16">
        <f ca="1">'2.XDTD_S.Tr.T'!CO151</f>
        <v>0</v>
      </c>
      <c r="CN79" s="16">
        <f ca="1">'2.XDTD_S.Tr.T'!CP151</f>
        <v>0</v>
      </c>
      <c r="CO79" s="16">
        <f ca="1">'2.XDTD_S.Tr.T'!CP151</f>
        <v>0</v>
      </c>
    </row>
    <row r="80" spans="3:93" ht="19.95" hidden="1" customHeight="1">
      <c r="C80" s="5"/>
      <c r="D80" s="11">
        <f>'2.XDTD_S.Tr.T'!F152</f>
        <v>0</v>
      </c>
      <c r="E80" s="7">
        <f>'2.XDTD_S.Tr.T'!G152</f>
        <v>0</v>
      </c>
      <c r="F80" s="8">
        <f>'2.XDTD_S.Tr.T'!H152</f>
        <v>0</v>
      </c>
      <c r="G80" s="9">
        <f ca="1">'2.XDTD_S.Tr.T'!I152</f>
        <v>0</v>
      </c>
      <c r="H80" s="10">
        <f ca="1">'2.XDTD_S.Tr.T'!J152</f>
        <v>0</v>
      </c>
      <c r="I80" s="9">
        <f ca="1">'2.XDTD_S.Tr.T'!K152</f>
        <v>0</v>
      </c>
      <c r="J80" s="13">
        <f>'2.XDTD_S.Tr.T'!L152</f>
        <v>0</v>
      </c>
      <c r="K80" s="13">
        <f>'2.XDTD_S.Tr.T'!M152</f>
        <v>0</v>
      </c>
      <c r="L80" s="9">
        <f ca="1">'2.XDTD_S.Tr.T'!N152</f>
        <v>0</v>
      </c>
      <c r="M80" s="14">
        <f>'2.XDTD_S.Tr.T'!O152</f>
        <v>0</v>
      </c>
      <c r="N80" s="14">
        <f>'2.XDTD_S.Tr.T'!P152</f>
        <v>0</v>
      </c>
      <c r="O80" s="9">
        <f>'2.XDTD_S.Tr.T'!P152</f>
        <v>0</v>
      </c>
      <c r="P80" s="15">
        <f ca="1">'2.XDTD_S.Tr.T'!R152</f>
        <v>0</v>
      </c>
      <c r="Q80" s="16">
        <f ca="1">'2.XDTD_S.Tr.T'!S152</f>
        <v>0</v>
      </c>
      <c r="R80" s="16">
        <f ca="1">'2.XDTD_S.Tr.T'!T152</f>
        <v>0</v>
      </c>
      <c r="S80" s="16">
        <f ca="1">'2.XDTD_S.Tr.T'!U152</f>
        <v>0</v>
      </c>
      <c r="T80" s="16">
        <f ca="1">'2.XDTD_S.Tr.T'!V152</f>
        <v>0</v>
      </c>
      <c r="U80" s="16">
        <f ca="1">'2.XDTD_S.Tr.T'!W152</f>
        <v>0</v>
      </c>
      <c r="V80" s="16">
        <f ca="1">'2.XDTD_S.Tr.T'!X152</f>
        <v>0</v>
      </c>
      <c r="W80" s="16">
        <f ca="1">'2.XDTD_S.Tr.T'!Y152</f>
        <v>0</v>
      </c>
      <c r="X80" s="16">
        <f ca="1">'2.XDTD_S.Tr.T'!Z152</f>
        <v>0</v>
      </c>
      <c r="Y80" s="16">
        <f ca="1">'2.XDTD_S.Tr.T'!AA152</f>
        <v>0</v>
      </c>
      <c r="Z80" s="16">
        <f ca="1">'2.XDTD_S.Tr.T'!AB152</f>
        <v>0</v>
      </c>
      <c r="AA80" s="16">
        <f ca="1">'2.XDTD_S.Tr.T'!AC152</f>
        <v>0</v>
      </c>
      <c r="AB80" s="16">
        <f ca="1">'2.XDTD_S.Tr.T'!AD152</f>
        <v>0</v>
      </c>
      <c r="AC80" s="16">
        <f ca="1">'2.XDTD_S.Tr.T'!AE152</f>
        <v>0</v>
      </c>
      <c r="AD80" s="16">
        <f ca="1">'2.XDTD_S.Tr.T'!AF152</f>
        <v>0</v>
      </c>
      <c r="AE80" s="16">
        <f ca="1">'2.XDTD_S.Tr.T'!AG152</f>
        <v>0</v>
      </c>
      <c r="AF80" s="16">
        <f ca="1">'2.XDTD_S.Tr.T'!AH152</f>
        <v>0</v>
      </c>
      <c r="AG80" s="16">
        <f ca="1">'2.XDTD_S.Tr.T'!AI152</f>
        <v>0</v>
      </c>
      <c r="AH80" s="16">
        <f ca="1">'2.XDTD_S.Tr.T'!AJ152</f>
        <v>0</v>
      </c>
      <c r="AI80" s="16">
        <f ca="1">'2.XDTD_S.Tr.T'!AK152</f>
        <v>0</v>
      </c>
      <c r="AJ80" s="16">
        <f ca="1">'2.XDTD_S.Tr.T'!AL152</f>
        <v>0</v>
      </c>
      <c r="AK80" s="16">
        <f ca="1">'2.XDTD_S.Tr.T'!AM152</f>
        <v>0</v>
      </c>
      <c r="AL80" s="16">
        <f ca="1">'2.XDTD_S.Tr.T'!AN152</f>
        <v>0</v>
      </c>
      <c r="AM80" s="16">
        <f ca="1">'2.XDTD_S.Tr.T'!AO152</f>
        <v>0</v>
      </c>
      <c r="AN80" s="16">
        <f ca="1">'2.XDTD_S.Tr.T'!AP152</f>
        <v>0</v>
      </c>
      <c r="AO80" s="16">
        <f ca="1">'2.XDTD_S.Tr.T'!AP152</f>
        <v>0</v>
      </c>
      <c r="AP80" s="16">
        <f ca="1">'2.XDTD_S.Tr.T'!AR152</f>
        <v>0</v>
      </c>
      <c r="AQ80" s="16">
        <f ca="1">'2.XDTD_S.Tr.T'!AS152</f>
        <v>0</v>
      </c>
      <c r="AR80" s="16">
        <f ca="1">'2.XDTD_S.Tr.T'!AT152</f>
        <v>0</v>
      </c>
      <c r="AS80" s="16">
        <f ca="1">'2.XDTD_S.Tr.T'!AU152</f>
        <v>0</v>
      </c>
      <c r="AT80" s="16">
        <f ca="1">'2.XDTD_S.Tr.T'!AV152</f>
        <v>0</v>
      </c>
      <c r="AU80" s="16">
        <f ca="1">'2.XDTD_S.Tr.T'!AW152</f>
        <v>0</v>
      </c>
      <c r="AV80" s="16">
        <f ca="1">'2.XDTD_S.Tr.T'!AX152</f>
        <v>0</v>
      </c>
      <c r="AW80" s="16">
        <f ca="1">'2.XDTD_S.Tr.T'!AY152</f>
        <v>0</v>
      </c>
      <c r="AX80" s="16">
        <f ca="1">'2.XDTD_S.Tr.T'!AZ152</f>
        <v>0</v>
      </c>
      <c r="AY80" s="16">
        <f ca="1">'2.XDTD_S.Tr.T'!BA152</f>
        <v>0</v>
      </c>
      <c r="AZ80" s="16">
        <f ca="1">'2.XDTD_S.Tr.T'!BB152</f>
        <v>0</v>
      </c>
      <c r="BA80" s="16">
        <f ca="1">'2.XDTD_S.Tr.T'!BC152</f>
        <v>0</v>
      </c>
      <c r="BB80" s="16">
        <f ca="1">'2.XDTD_S.Tr.T'!BD152</f>
        <v>0</v>
      </c>
      <c r="BC80" s="16">
        <f ca="1">'2.XDTD_S.Tr.T'!BE152</f>
        <v>0</v>
      </c>
      <c r="BD80" s="16">
        <f ca="1">'2.XDTD_S.Tr.T'!BF152</f>
        <v>0</v>
      </c>
      <c r="BE80" s="16">
        <f ca="1">'2.XDTD_S.Tr.T'!BG152</f>
        <v>0</v>
      </c>
      <c r="BF80" s="16">
        <f ca="1">'2.XDTD_S.Tr.T'!BH152</f>
        <v>0</v>
      </c>
      <c r="BG80" s="16">
        <f ca="1">'2.XDTD_S.Tr.T'!BI152</f>
        <v>0</v>
      </c>
      <c r="BH80" s="16">
        <f ca="1">'2.XDTD_S.Tr.T'!BJ152</f>
        <v>0</v>
      </c>
      <c r="BI80" s="16">
        <f ca="1">'2.XDTD_S.Tr.T'!BK152</f>
        <v>0</v>
      </c>
      <c r="BJ80" s="16">
        <f ca="1">'2.XDTD_S.Tr.T'!BL152</f>
        <v>0</v>
      </c>
      <c r="BK80" s="16">
        <f ca="1">'2.XDTD_S.Tr.T'!BM152</f>
        <v>0</v>
      </c>
      <c r="BL80" s="16">
        <f ca="1">'2.XDTD_S.Tr.T'!BN152</f>
        <v>0</v>
      </c>
      <c r="BM80" s="16">
        <f ca="1">'2.XDTD_S.Tr.T'!BO152</f>
        <v>0</v>
      </c>
      <c r="BN80" s="16">
        <f ca="1">'2.XDTD_S.Tr.T'!BP152</f>
        <v>0</v>
      </c>
      <c r="BO80" s="16">
        <f ca="1">'2.XDTD_S.Tr.T'!BP152</f>
        <v>0</v>
      </c>
      <c r="BP80" s="16">
        <f ca="1">'2.XDTD_S.Tr.T'!BR152</f>
        <v>0</v>
      </c>
      <c r="BQ80" s="16">
        <f ca="1">'2.XDTD_S.Tr.T'!BS152</f>
        <v>0</v>
      </c>
      <c r="BR80" s="16">
        <f ca="1">'2.XDTD_S.Tr.T'!BT152</f>
        <v>0</v>
      </c>
      <c r="BS80" s="16">
        <f ca="1">'2.XDTD_S.Tr.T'!BU152</f>
        <v>0</v>
      </c>
      <c r="BT80" s="16">
        <f ca="1">'2.XDTD_S.Tr.T'!BV152</f>
        <v>0</v>
      </c>
      <c r="BU80" s="16">
        <f ca="1">'2.XDTD_S.Tr.T'!BW152</f>
        <v>0</v>
      </c>
      <c r="BV80" s="16">
        <f ca="1">'2.XDTD_S.Tr.T'!BX152</f>
        <v>0</v>
      </c>
      <c r="BW80" s="16">
        <f ca="1">'2.XDTD_S.Tr.T'!BY152</f>
        <v>0</v>
      </c>
      <c r="BX80" s="16">
        <f ca="1">'2.XDTD_S.Tr.T'!BZ152</f>
        <v>0</v>
      </c>
      <c r="BY80" s="16">
        <f ca="1">'2.XDTD_S.Tr.T'!CA152</f>
        <v>0</v>
      </c>
      <c r="BZ80" s="16">
        <f ca="1">'2.XDTD_S.Tr.T'!CB152</f>
        <v>0</v>
      </c>
      <c r="CA80" s="16">
        <f ca="1">'2.XDTD_S.Tr.T'!CC152</f>
        <v>0</v>
      </c>
      <c r="CB80" s="16">
        <f ca="1">'2.XDTD_S.Tr.T'!CD152</f>
        <v>0</v>
      </c>
      <c r="CC80" s="16">
        <f ca="1">'2.XDTD_S.Tr.T'!CE152</f>
        <v>0</v>
      </c>
      <c r="CD80" s="16">
        <f ca="1">'2.XDTD_S.Tr.T'!CF152</f>
        <v>0</v>
      </c>
      <c r="CE80" s="16">
        <f ca="1">'2.XDTD_S.Tr.T'!CG152</f>
        <v>0</v>
      </c>
      <c r="CF80" s="16">
        <f ca="1">'2.XDTD_S.Tr.T'!CH152</f>
        <v>0</v>
      </c>
      <c r="CG80" s="16">
        <f ca="1">'2.XDTD_S.Tr.T'!CI152</f>
        <v>0</v>
      </c>
      <c r="CH80" s="16">
        <f ca="1">'2.XDTD_S.Tr.T'!CJ152</f>
        <v>0</v>
      </c>
      <c r="CI80" s="16">
        <f ca="1">'2.XDTD_S.Tr.T'!CK152</f>
        <v>0</v>
      </c>
      <c r="CJ80" s="16">
        <f ca="1">'2.XDTD_S.Tr.T'!CL152</f>
        <v>0</v>
      </c>
      <c r="CK80" s="16">
        <f ca="1">'2.XDTD_S.Tr.T'!CM152</f>
        <v>0</v>
      </c>
      <c r="CL80" s="16">
        <f ca="1">'2.XDTD_S.Tr.T'!CN152</f>
        <v>0</v>
      </c>
      <c r="CM80" s="16">
        <f ca="1">'2.XDTD_S.Tr.T'!CO152</f>
        <v>0</v>
      </c>
      <c r="CN80" s="16">
        <f ca="1">'2.XDTD_S.Tr.T'!CP152</f>
        <v>0</v>
      </c>
      <c r="CO80" s="16">
        <f ca="1">'2.XDTD_S.Tr.T'!CP152</f>
        <v>0</v>
      </c>
    </row>
    <row r="81" spans="3:93" ht="19.95" hidden="1" customHeight="1">
      <c r="C81" s="5"/>
      <c r="D81" s="11">
        <f>'2.XDTD_S.Tr.T'!F153</f>
        <v>0</v>
      </c>
      <c r="E81" s="7">
        <f>'2.XDTD_S.Tr.T'!G153</f>
        <v>0</v>
      </c>
      <c r="F81" s="8">
        <f>'2.XDTD_S.Tr.T'!H153</f>
        <v>0</v>
      </c>
      <c r="G81" s="9">
        <f ca="1">'2.XDTD_S.Tr.T'!I153</f>
        <v>0</v>
      </c>
      <c r="H81" s="10">
        <f ca="1">'2.XDTD_S.Tr.T'!J153</f>
        <v>0</v>
      </c>
      <c r="I81" s="9">
        <f ca="1">'2.XDTD_S.Tr.T'!K153</f>
        <v>0</v>
      </c>
      <c r="J81" s="13">
        <f>'2.XDTD_S.Tr.T'!L153</f>
        <v>0</v>
      </c>
      <c r="K81" s="13">
        <f>'2.XDTD_S.Tr.T'!M153</f>
        <v>0</v>
      </c>
      <c r="L81" s="9">
        <f ca="1">'2.XDTD_S.Tr.T'!N153</f>
        <v>0</v>
      </c>
      <c r="M81" s="14">
        <f>'2.XDTD_S.Tr.T'!O153</f>
        <v>0</v>
      </c>
      <c r="N81" s="14">
        <f>'2.XDTD_S.Tr.T'!P153</f>
        <v>0</v>
      </c>
      <c r="O81" s="9">
        <f>'2.XDTD_S.Tr.T'!P153</f>
        <v>0</v>
      </c>
      <c r="P81" s="15">
        <f ca="1">'2.XDTD_S.Tr.T'!R153</f>
        <v>0</v>
      </c>
      <c r="Q81" s="16">
        <f ca="1">'2.XDTD_S.Tr.T'!S153</f>
        <v>0</v>
      </c>
      <c r="R81" s="16">
        <f ca="1">'2.XDTD_S.Tr.T'!T153</f>
        <v>0</v>
      </c>
      <c r="S81" s="16">
        <f ca="1">'2.XDTD_S.Tr.T'!U153</f>
        <v>0</v>
      </c>
      <c r="T81" s="16">
        <f ca="1">'2.XDTD_S.Tr.T'!V153</f>
        <v>0</v>
      </c>
      <c r="U81" s="16">
        <f ca="1">'2.XDTD_S.Tr.T'!W153</f>
        <v>0</v>
      </c>
      <c r="V81" s="16">
        <f ca="1">'2.XDTD_S.Tr.T'!X153</f>
        <v>0</v>
      </c>
      <c r="W81" s="16">
        <f ca="1">'2.XDTD_S.Tr.T'!Y153</f>
        <v>0</v>
      </c>
      <c r="X81" s="16">
        <f ca="1">'2.XDTD_S.Tr.T'!Z153</f>
        <v>0</v>
      </c>
      <c r="Y81" s="16">
        <f ca="1">'2.XDTD_S.Tr.T'!AA153</f>
        <v>0</v>
      </c>
      <c r="Z81" s="16">
        <f ca="1">'2.XDTD_S.Tr.T'!AB153</f>
        <v>0</v>
      </c>
      <c r="AA81" s="16">
        <f ca="1">'2.XDTD_S.Tr.T'!AC153</f>
        <v>0</v>
      </c>
      <c r="AB81" s="16">
        <f ca="1">'2.XDTD_S.Tr.T'!AD153</f>
        <v>0</v>
      </c>
      <c r="AC81" s="16">
        <f ca="1">'2.XDTD_S.Tr.T'!AE153</f>
        <v>0</v>
      </c>
      <c r="AD81" s="16">
        <f ca="1">'2.XDTD_S.Tr.T'!AF153</f>
        <v>0</v>
      </c>
      <c r="AE81" s="16">
        <f ca="1">'2.XDTD_S.Tr.T'!AG153</f>
        <v>0</v>
      </c>
      <c r="AF81" s="16">
        <f ca="1">'2.XDTD_S.Tr.T'!AH153</f>
        <v>0</v>
      </c>
      <c r="AG81" s="16">
        <f ca="1">'2.XDTD_S.Tr.T'!AI153</f>
        <v>0</v>
      </c>
      <c r="AH81" s="16">
        <f ca="1">'2.XDTD_S.Tr.T'!AJ153</f>
        <v>0</v>
      </c>
      <c r="AI81" s="16">
        <f ca="1">'2.XDTD_S.Tr.T'!AK153</f>
        <v>0</v>
      </c>
      <c r="AJ81" s="16">
        <f ca="1">'2.XDTD_S.Tr.T'!AL153</f>
        <v>0</v>
      </c>
      <c r="AK81" s="16">
        <f ca="1">'2.XDTD_S.Tr.T'!AM153</f>
        <v>0</v>
      </c>
      <c r="AL81" s="16">
        <f ca="1">'2.XDTD_S.Tr.T'!AN153</f>
        <v>0</v>
      </c>
      <c r="AM81" s="16">
        <f ca="1">'2.XDTD_S.Tr.T'!AO153</f>
        <v>0</v>
      </c>
      <c r="AN81" s="16">
        <f ca="1">'2.XDTD_S.Tr.T'!AP153</f>
        <v>0</v>
      </c>
      <c r="AO81" s="16">
        <f ca="1">'2.XDTD_S.Tr.T'!AP153</f>
        <v>0</v>
      </c>
      <c r="AP81" s="16">
        <f ca="1">'2.XDTD_S.Tr.T'!AR153</f>
        <v>0</v>
      </c>
      <c r="AQ81" s="16">
        <f ca="1">'2.XDTD_S.Tr.T'!AS153</f>
        <v>0</v>
      </c>
      <c r="AR81" s="16">
        <f ca="1">'2.XDTD_S.Tr.T'!AT153</f>
        <v>0</v>
      </c>
      <c r="AS81" s="16">
        <f ca="1">'2.XDTD_S.Tr.T'!AU153</f>
        <v>0</v>
      </c>
      <c r="AT81" s="16">
        <f ca="1">'2.XDTD_S.Tr.T'!AV153</f>
        <v>0</v>
      </c>
      <c r="AU81" s="16">
        <f ca="1">'2.XDTD_S.Tr.T'!AW153</f>
        <v>0</v>
      </c>
      <c r="AV81" s="16">
        <f ca="1">'2.XDTD_S.Tr.T'!AX153</f>
        <v>0</v>
      </c>
      <c r="AW81" s="16">
        <f ca="1">'2.XDTD_S.Tr.T'!AY153</f>
        <v>0</v>
      </c>
      <c r="AX81" s="16">
        <f ca="1">'2.XDTD_S.Tr.T'!AZ153</f>
        <v>0</v>
      </c>
      <c r="AY81" s="16">
        <f ca="1">'2.XDTD_S.Tr.T'!BA153</f>
        <v>0</v>
      </c>
      <c r="AZ81" s="16">
        <f ca="1">'2.XDTD_S.Tr.T'!BB153</f>
        <v>0</v>
      </c>
      <c r="BA81" s="16">
        <f ca="1">'2.XDTD_S.Tr.T'!BC153</f>
        <v>0</v>
      </c>
      <c r="BB81" s="16">
        <f ca="1">'2.XDTD_S.Tr.T'!BD153</f>
        <v>0</v>
      </c>
      <c r="BC81" s="16">
        <f ca="1">'2.XDTD_S.Tr.T'!BE153</f>
        <v>0</v>
      </c>
      <c r="BD81" s="16">
        <f ca="1">'2.XDTD_S.Tr.T'!BF153</f>
        <v>0</v>
      </c>
      <c r="BE81" s="16">
        <f ca="1">'2.XDTD_S.Tr.T'!BG153</f>
        <v>0</v>
      </c>
      <c r="BF81" s="16">
        <f ca="1">'2.XDTD_S.Tr.T'!BH153</f>
        <v>0</v>
      </c>
      <c r="BG81" s="16">
        <f ca="1">'2.XDTD_S.Tr.T'!BI153</f>
        <v>0</v>
      </c>
      <c r="BH81" s="16">
        <f ca="1">'2.XDTD_S.Tr.T'!BJ153</f>
        <v>0</v>
      </c>
      <c r="BI81" s="16">
        <f ca="1">'2.XDTD_S.Tr.T'!BK153</f>
        <v>0</v>
      </c>
      <c r="BJ81" s="16">
        <f ca="1">'2.XDTD_S.Tr.T'!BL153</f>
        <v>0</v>
      </c>
      <c r="BK81" s="16">
        <f ca="1">'2.XDTD_S.Tr.T'!BM153</f>
        <v>0</v>
      </c>
      <c r="BL81" s="16">
        <f ca="1">'2.XDTD_S.Tr.T'!BN153</f>
        <v>0</v>
      </c>
      <c r="BM81" s="16">
        <f ca="1">'2.XDTD_S.Tr.T'!BO153</f>
        <v>0</v>
      </c>
      <c r="BN81" s="16">
        <f ca="1">'2.XDTD_S.Tr.T'!BP153</f>
        <v>0</v>
      </c>
      <c r="BO81" s="16">
        <f ca="1">'2.XDTD_S.Tr.T'!BP153</f>
        <v>0</v>
      </c>
      <c r="BP81" s="16">
        <f ca="1">'2.XDTD_S.Tr.T'!BR153</f>
        <v>0</v>
      </c>
      <c r="BQ81" s="16">
        <f ca="1">'2.XDTD_S.Tr.T'!BS153</f>
        <v>0</v>
      </c>
      <c r="BR81" s="16">
        <f ca="1">'2.XDTD_S.Tr.T'!BT153</f>
        <v>0</v>
      </c>
      <c r="BS81" s="16">
        <f ca="1">'2.XDTD_S.Tr.T'!BU153</f>
        <v>0</v>
      </c>
      <c r="BT81" s="16">
        <f ca="1">'2.XDTD_S.Tr.T'!BV153</f>
        <v>0</v>
      </c>
      <c r="BU81" s="16">
        <f ca="1">'2.XDTD_S.Tr.T'!BW153</f>
        <v>0</v>
      </c>
      <c r="BV81" s="16">
        <f ca="1">'2.XDTD_S.Tr.T'!BX153</f>
        <v>0</v>
      </c>
      <c r="BW81" s="16">
        <f ca="1">'2.XDTD_S.Tr.T'!BY153</f>
        <v>0</v>
      </c>
      <c r="BX81" s="16">
        <f ca="1">'2.XDTD_S.Tr.T'!BZ153</f>
        <v>0</v>
      </c>
      <c r="BY81" s="16">
        <f ca="1">'2.XDTD_S.Tr.T'!CA153</f>
        <v>0</v>
      </c>
      <c r="BZ81" s="16">
        <f ca="1">'2.XDTD_S.Tr.T'!CB153</f>
        <v>0</v>
      </c>
      <c r="CA81" s="16">
        <f ca="1">'2.XDTD_S.Tr.T'!CC153</f>
        <v>0</v>
      </c>
      <c r="CB81" s="16">
        <f ca="1">'2.XDTD_S.Tr.T'!CD153</f>
        <v>0</v>
      </c>
      <c r="CC81" s="16">
        <f ca="1">'2.XDTD_S.Tr.T'!CE153</f>
        <v>0</v>
      </c>
      <c r="CD81" s="16">
        <f ca="1">'2.XDTD_S.Tr.T'!CF153</f>
        <v>0</v>
      </c>
      <c r="CE81" s="16">
        <f ca="1">'2.XDTD_S.Tr.T'!CG153</f>
        <v>0</v>
      </c>
      <c r="CF81" s="16">
        <f ca="1">'2.XDTD_S.Tr.T'!CH153</f>
        <v>0</v>
      </c>
      <c r="CG81" s="16">
        <f ca="1">'2.XDTD_S.Tr.T'!CI153</f>
        <v>0</v>
      </c>
      <c r="CH81" s="16">
        <f ca="1">'2.XDTD_S.Tr.T'!CJ153</f>
        <v>0</v>
      </c>
      <c r="CI81" s="16">
        <f ca="1">'2.XDTD_S.Tr.T'!CK153</f>
        <v>0</v>
      </c>
      <c r="CJ81" s="16">
        <f ca="1">'2.XDTD_S.Tr.T'!CL153</f>
        <v>0</v>
      </c>
      <c r="CK81" s="16">
        <f ca="1">'2.XDTD_S.Tr.T'!CM153</f>
        <v>0</v>
      </c>
      <c r="CL81" s="16">
        <f ca="1">'2.XDTD_S.Tr.T'!CN153</f>
        <v>0</v>
      </c>
      <c r="CM81" s="16">
        <f ca="1">'2.XDTD_S.Tr.T'!CO153</f>
        <v>0</v>
      </c>
      <c r="CN81" s="16">
        <f ca="1">'2.XDTD_S.Tr.T'!CP153</f>
        <v>0</v>
      </c>
      <c r="CO81" s="16">
        <f ca="1">'2.XDTD_S.Tr.T'!CP153</f>
        <v>0</v>
      </c>
    </row>
    <row r="82" spans="3:93" ht="19.95" hidden="1" customHeight="1">
      <c r="C82" s="5"/>
      <c r="D82" s="11">
        <f>'2.XDTD_S.Tr.T'!F154</f>
        <v>0</v>
      </c>
      <c r="E82" s="7">
        <f>'2.XDTD_S.Tr.T'!G154</f>
        <v>0</v>
      </c>
      <c r="F82" s="8">
        <f>'2.XDTD_S.Tr.T'!H154</f>
        <v>0</v>
      </c>
      <c r="G82" s="9">
        <f ca="1">'2.XDTD_S.Tr.T'!I154</f>
        <v>0</v>
      </c>
      <c r="H82" s="10">
        <f ca="1">'2.XDTD_S.Tr.T'!J154</f>
        <v>0</v>
      </c>
      <c r="I82" s="9">
        <f ca="1">'2.XDTD_S.Tr.T'!K154</f>
        <v>0</v>
      </c>
      <c r="J82" s="13">
        <f>'2.XDTD_S.Tr.T'!L154</f>
        <v>0</v>
      </c>
      <c r="K82" s="13">
        <f>'2.XDTD_S.Tr.T'!M154</f>
        <v>0</v>
      </c>
      <c r="L82" s="9">
        <f ca="1">'2.XDTD_S.Tr.T'!N154</f>
        <v>0</v>
      </c>
      <c r="M82" s="14">
        <f>'2.XDTD_S.Tr.T'!O154</f>
        <v>0</v>
      </c>
      <c r="N82" s="14">
        <f>'2.XDTD_S.Tr.T'!P154</f>
        <v>0</v>
      </c>
      <c r="O82" s="9">
        <f>'2.XDTD_S.Tr.T'!P154</f>
        <v>0</v>
      </c>
      <c r="P82" s="15">
        <f ca="1">'2.XDTD_S.Tr.T'!R154</f>
        <v>0</v>
      </c>
      <c r="Q82" s="16">
        <f ca="1">'2.XDTD_S.Tr.T'!S154</f>
        <v>0</v>
      </c>
      <c r="R82" s="16">
        <f ca="1">'2.XDTD_S.Tr.T'!T154</f>
        <v>0</v>
      </c>
      <c r="S82" s="16">
        <f ca="1">'2.XDTD_S.Tr.T'!U154</f>
        <v>0</v>
      </c>
      <c r="T82" s="16">
        <f ca="1">'2.XDTD_S.Tr.T'!V154</f>
        <v>0</v>
      </c>
      <c r="U82" s="16">
        <f ca="1">'2.XDTD_S.Tr.T'!W154</f>
        <v>0</v>
      </c>
      <c r="V82" s="16">
        <f ca="1">'2.XDTD_S.Tr.T'!X154</f>
        <v>0</v>
      </c>
      <c r="W82" s="16">
        <f ca="1">'2.XDTD_S.Tr.T'!Y154</f>
        <v>0</v>
      </c>
      <c r="X82" s="16">
        <f ca="1">'2.XDTD_S.Tr.T'!Z154</f>
        <v>0</v>
      </c>
      <c r="Y82" s="16">
        <f ca="1">'2.XDTD_S.Tr.T'!AA154</f>
        <v>0</v>
      </c>
      <c r="Z82" s="16">
        <f ca="1">'2.XDTD_S.Tr.T'!AB154</f>
        <v>0</v>
      </c>
      <c r="AA82" s="16">
        <f ca="1">'2.XDTD_S.Tr.T'!AC154</f>
        <v>0</v>
      </c>
      <c r="AB82" s="16">
        <f ca="1">'2.XDTD_S.Tr.T'!AD154</f>
        <v>0</v>
      </c>
      <c r="AC82" s="16">
        <f ca="1">'2.XDTD_S.Tr.T'!AE154</f>
        <v>0</v>
      </c>
      <c r="AD82" s="16">
        <f ca="1">'2.XDTD_S.Tr.T'!AF154</f>
        <v>0</v>
      </c>
      <c r="AE82" s="16">
        <f ca="1">'2.XDTD_S.Tr.T'!AG154</f>
        <v>0</v>
      </c>
      <c r="AF82" s="16">
        <f ca="1">'2.XDTD_S.Tr.T'!AH154</f>
        <v>0</v>
      </c>
      <c r="AG82" s="16">
        <f ca="1">'2.XDTD_S.Tr.T'!AI154</f>
        <v>0</v>
      </c>
      <c r="AH82" s="16">
        <f ca="1">'2.XDTD_S.Tr.T'!AJ154</f>
        <v>0</v>
      </c>
      <c r="AI82" s="16">
        <f ca="1">'2.XDTD_S.Tr.T'!AK154</f>
        <v>0</v>
      </c>
      <c r="AJ82" s="16">
        <f ca="1">'2.XDTD_S.Tr.T'!AL154</f>
        <v>0</v>
      </c>
      <c r="AK82" s="16">
        <f ca="1">'2.XDTD_S.Tr.T'!AM154</f>
        <v>0</v>
      </c>
      <c r="AL82" s="16">
        <f ca="1">'2.XDTD_S.Tr.T'!AN154</f>
        <v>0</v>
      </c>
      <c r="AM82" s="16">
        <f ca="1">'2.XDTD_S.Tr.T'!AO154</f>
        <v>0</v>
      </c>
      <c r="AN82" s="16">
        <f ca="1">'2.XDTD_S.Tr.T'!AP154</f>
        <v>0</v>
      </c>
      <c r="AO82" s="16">
        <f ca="1">'2.XDTD_S.Tr.T'!AP154</f>
        <v>0</v>
      </c>
      <c r="AP82" s="16">
        <f ca="1">'2.XDTD_S.Tr.T'!AR154</f>
        <v>0</v>
      </c>
      <c r="AQ82" s="16">
        <f ca="1">'2.XDTD_S.Tr.T'!AS154</f>
        <v>0</v>
      </c>
      <c r="AR82" s="16">
        <f ca="1">'2.XDTD_S.Tr.T'!AT154</f>
        <v>0</v>
      </c>
      <c r="AS82" s="16">
        <f ca="1">'2.XDTD_S.Tr.T'!AU154</f>
        <v>0</v>
      </c>
      <c r="AT82" s="16">
        <f ca="1">'2.XDTD_S.Tr.T'!AV154</f>
        <v>0</v>
      </c>
      <c r="AU82" s="16">
        <f ca="1">'2.XDTD_S.Tr.T'!AW154</f>
        <v>0</v>
      </c>
      <c r="AV82" s="16">
        <f ca="1">'2.XDTD_S.Tr.T'!AX154</f>
        <v>0</v>
      </c>
      <c r="AW82" s="16">
        <f ca="1">'2.XDTD_S.Tr.T'!AY154</f>
        <v>0</v>
      </c>
      <c r="AX82" s="16">
        <f ca="1">'2.XDTD_S.Tr.T'!AZ154</f>
        <v>0</v>
      </c>
      <c r="AY82" s="16">
        <f ca="1">'2.XDTD_S.Tr.T'!BA154</f>
        <v>0</v>
      </c>
      <c r="AZ82" s="16">
        <f ca="1">'2.XDTD_S.Tr.T'!BB154</f>
        <v>0</v>
      </c>
      <c r="BA82" s="16">
        <f ca="1">'2.XDTD_S.Tr.T'!BC154</f>
        <v>0</v>
      </c>
      <c r="BB82" s="16">
        <f ca="1">'2.XDTD_S.Tr.T'!BD154</f>
        <v>0</v>
      </c>
      <c r="BC82" s="16">
        <f ca="1">'2.XDTD_S.Tr.T'!BE154</f>
        <v>0</v>
      </c>
      <c r="BD82" s="16">
        <f ca="1">'2.XDTD_S.Tr.T'!BF154</f>
        <v>0</v>
      </c>
      <c r="BE82" s="16">
        <f ca="1">'2.XDTD_S.Tr.T'!BG154</f>
        <v>0</v>
      </c>
      <c r="BF82" s="16">
        <f ca="1">'2.XDTD_S.Tr.T'!BH154</f>
        <v>0</v>
      </c>
      <c r="BG82" s="16">
        <f ca="1">'2.XDTD_S.Tr.T'!BI154</f>
        <v>0</v>
      </c>
      <c r="BH82" s="16">
        <f ca="1">'2.XDTD_S.Tr.T'!BJ154</f>
        <v>0</v>
      </c>
      <c r="BI82" s="16">
        <f ca="1">'2.XDTD_S.Tr.T'!BK154</f>
        <v>0</v>
      </c>
      <c r="BJ82" s="16">
        <f ca="1">'2.XDTD_S.Tr.T'!BL154</f>
        <v>0</v>
      </c>
      <c r="BK82" s="16">
        <f ca="1">'2.XDTD_S.Tr.T'!BM154</f>
        <v>0</v>
      </c>
      <c r="BL82" s="16">
        <f ca="1">'2.XDTD_S.Tr.T'!BN154</f>
        <v>0</v>
      </c>
      <c r="BM82" s="16">
        <f ca="1">'2.XDTD_S.Tr.T'!BO154</f>
        <v>0</v>
      </c>
      <c r="BN82" s="16">
        <f ca="1">'2.XDTD_S.Tr.T'!BP154</f>
        <v>0</v>
      </c>
      <c r="BO82" s="16">
        <f ca="1">'2.XDTD_S.Tr.T'!BP154</f>
        <v>0</v>
      </c>
      <c r="BP82" s="16">
        <f ca="1">'2.XDTD_S.Tr.T'!BR154</f>
        <v>0</v>
      </c>
      <c r="BQ82" s="16">
        <f ca="1">'2.XDTD_S.Tr.T'!BS154</f>
        <v>0</v>
      </c>
      <c r="BR82" s="16">
        <f ca="1">'2.XDTD_S.Tr.T'!BT154</f>
        <v>0</v>
      </c>
      <c r="BS82" s="16">
        <f ca="1">'2.XDTD_S.Tr.T'!BU154</f>
        <v>0</v>
      </c>
      <c r="BT82" s="16">
        <f ca="1">'2.XDTD_S.Tr.T'!BV154</f>
        <v>0</v>
      </c>
      <c r="BU82" s="16">
        <f ca="1">'2.XDTD_S.Tr.T'!BW154</f>
        <v>0</v>
      </c>
      <c r="BV82" s="16">
        <f ca="1">'2.XDTD_S.Tr.T'!BX154</f>
        <v>0</v>
      </c>
      <c r="BW82" s="16">
        <f ca="1">'2.XDTD_S.Tr.T'!BY154</f>
        <v>0</v>
      </c>
      <c r="BX82" s="16">
        <f ca="1">'2.XDTD_S.Tr.T'!BZ154</f>
        <v>0</v>
      </c>
      <c r="BY82" s="16">
        <f ca="1">'2.XDTD_S.Tr.T'!CA154</f>
        <v>0</v>
      </c>
      <c r="BZ82" s="16">
        <f ca="1">'2.XDTD_S.Tr.T'!CB154</f>
        <v>0</v>
      </c>
      <c r="CA82" s="16">
        <f ca="1">'2.XDTD_S.Tr.T'!CC154</f>
        <v>0</v>
      </c>
      <c r="CB82" s="16">
        <f ca="1">'2.XDTD_S.Tr.T'!CD154</f>
        <v>0</v>
      </c>
      <c r="CC82" s="16">
        <f ca="1">'2.XDTD_S.Tr.T'!CE154</f>
        <v>0</v>
      </c>
      <c r="CD82" s="16">
        <f ca="1">'2.XDTD_S.Tr.T'!CF154</f>
        <v>0</v>
      </c>
      <c r="CE82" s="16">
        <f ca="1">'2.XDTD_S.Tr.T'!CG154</f>
        <v>0</v>
      </c>
      <c r="CF82" s="16">
        <f ca="1">'2.XDTD_S.Tr.T'!CH154</f>
        <v>0</v>
      </c>
      <c r="CG82" s="16">
        <f ca="1">'2.XDTD_S.Tr.T'!CI154</f>
        <v>0</v>
      </c>
      <c r="CH82" s="16">
        <f ca="1">'2.XDTD_S.Tr.T'!CJ154</f>
        <v>0</v>
      </c>
      <c r="CI82" s="16">
        <f ca="1">'2.XDTD_S.Tr.T'!CK154</f>
        <v>0</v>
      </c>
      <c r="CJ82" s="16">
        <f ca="1">'2.XDTD_S.Tr.T'!CL154</f>
        <v>0</v>
      </c>
      <c r="CK82" s="16">
        <f ca="1">'2.XDTD_S.Tr.T'!CM154</f>
        <v>0</v>
      </c>
      <c r="CL82" s="16">
        <f ca="1">'2.XDTD_S.Tr.T'!CN154</f>
        <v>0</v>
      </c>
      <c r="CM82" s="16">
        <f ca="1">'2.XDTD_S.Tr.T'!CO154</f>
        <v>0</v>
      </c>
      <c r="CN82" s="16">
        <f ca="1">'2.XDTD_S.Tr.T'!CP154</f>
        <v>0</v>
      </c>
      <c r="CO82" s="16">
        <f ca="1">'2.XDTD_S.Tr.T'!CP154</f>
        <v>0</v>
      </c>
    </row>
    <row r="83" spans="3:93" ht="19.95" hidden="1" customHeight="1">
      <c r="C83" s="5"/>
      <c r="D83" s="11">
        <f>'2.XDTD_S.Tr.T'!F155</f>
        <v>0</v>
      </c>
      <c r="E83" s="7">
        <f>'2.XDTD_S.Tr.T'!G155</f>
        <v>0</v>
      </c>
      <c r="F83" s="8">
        <f>'2.XDTD_S.Tr.T'!H155</f>
        <v>0</v>
      </c>
      <c r="G83" s="9">
        <f ca="1">'2.XDTD_S.Tr.T'!I155</f>
        <v>0</v>
      </c>
      <c r="H83" s="10">
        <f ca="1">'2.XDTD_S.Tr.T'!J155</f>
        <v>0</v>
      </c>
      <c r="I83" s="9">
        <f ca="1">'2.XDTD_S.Tr.T'!K155</f>
        <v>0</v>
      </c>
      <c r="J83" s="13">
        <f>'2.XDTD_S.Tr.T'!L155</f>
        <v>0</v>
      </c>
      <c r="K83" s="13">
        <f>'2.XDTD_S.Tr.T'!M155</f>
        <v>0</v>
      </c>
      <c r="L83" s="9">
        <f ca="1">'2.XDTD_S.Tr.T'!N155</f>
        <v>0</v>
      </c>
      <c r="M83" s="14">
        <f>'2.XDTD_S.Tr.T'!O155</f>
        <v>0</v>
      </c>
      <c r="N83" s="14">
        <f>'2.XDTD_S.Tr.T'!P155</f>
        <v>0</v>
      </c>
      <c r="O83" s="9">
        <f>'2.XDTD_S.Tr.T'!P155</f>
        <v>0</v>
      </c>
      <c r="P83" s="15">
        <f ca="1">'2.XDTD_S.Tr.T'!R155</f>
        <v>0</v>
      </c>
      <c r="Q83" s="16">
        <f ca="1">'2.XDTD_S.Tr.T'!S155</f>
        <v>0</v>
      </c>
      <c r="R83" s="16">
        <f ca="1">'2.XDTD_S.Tr.T'!T155</f>
        <v>0</v>
      </c>
      <c r="S83" s="16">
        <f ca="1">'2.XDTD_S.Tr.T'!U155</f>
        <v>0</v>
      </c>
      <c r="T83" s="16">
        <f ca="1">'2.XDTD_S.Tr.T'!V155</f>
        <v>0</v>
      </c>
      <c r="U83" s="16">
        <f ca="1">'2.XDTD_S.Tr.T'!W155</f>
        <v>0</v>
      </c>
      <c r="V83" s="16">
        <f ca="1">'2.XDTD_S.Tr.T'!X155</f>
        <v>0</v>
      </c>
      <c r="W83" s="16">
        <f ca="1">'2.XDTD_S.Tr.T'!Y155</f>
        <v>0</v>
      </c>
      <c r="X83" s="16">
        <f ca="1">'2.XDTD_S.Tr.T'!Z155</f>
        <v>0</v>
      </c>
      <c r="Y83" s="16">
        <f ca="1">'2.XDTD_S.Tr.T'!AA155</f>
        <v>0</v>
      </c>
      <c r="Z83" s="16">
        <f ca="1">'2.XDTD_S.Tr.T'!AB155</f>
        <v>0</v>
      </c>
      <c r="AA83" s="16">
        <f ca="1">'2.XDTD_S.Tr.T'!AC155</f>
        <v>0</v>
      </c>
      <c r="AB83" s="16">
        <f ca="1">'2.XDTD_S.Tr.T'!AD155</f>
        <v>0</v>
      </c>
      <c r="AC83" s="16">
        <f ca="1">'2.XDTD_S.Tr.T'!AE155</f>
        <v>0</v>
      </c>
      <c r="AD83" s="16">
        <f ca="1">'2.XDTD_S.Tr.T'!AF155</f>
        <v>0</v>
      </c>
      <c r="AE83" s="16">
        <f ca="1">'2.XDTD_S.Tr.T'!AG155</f>
        <v>0</v>
      </c>
      <c r="AF83" s="16">
        <f ca="1">'2.XDTD_S.Tr.T'!AH155</f>
        <v>0</v>
      </c>
      <c r="AG83" s="16">
        <f ca="1">'2.XDTD_S.Tr.T'!AI155</f>
        <v>0</v>
      </c>
      <c r="AH83" s="16">
        <f ca="1">'2.XDTD_S.Tr.T'!AJ155</f>
        <v>0</v>
      </c>
      <c r="AI83" s="16">
        <f ca="1">'2.XDTD_S.Tr.T'!AK155</f>
        <v>0</v>
      </c>
      <c r="AJ83" s="16">
        <f ca="1">'2.XDTD_S.Tr.T'!AL155</f>
        <v>0</v>
      </c>
      <c r="AK83" s="16">
        <f ca="1">'2.XDTD_S.Tr.T'!AM155</f>
        <v>0</v>
      </c>
      <c r="AL83" s="16">
        <f ca="1">'2.XDTD_S.Tr.T'!AN155</f>
        <v>0</v>
      </c>
      <c r="AM83" s="16">
        <f ca="1">'2.XDTD_S.Tr.T'!AO155</f>
        <v>0</v>
      </c>
      <c r="AN83" s="16">
        <f ca="1">'2.XDTD_S.Tr.T'!AP155</f>
        <v>0</v>
      </c>
      <c r="AO83" s="16">
        <f ca="1">'2.XDTD_S.Tr.T'!AP155</f>
        <v>0</v>
      </c>
      <c r="AP83" s="16">
        <f ca="1">'2.XDTD_S.Tr.T'!AR155</f>
        <v>0</v>
      </c>
      <c r="AQ83" s="16">
        <f ca="1">'2.XDTD_S.Tr.T'!AS155</f>
        <v>0</v>
      </c>
      <c r="AR83" s="16">
        <f ca="1">'2.XDTD_S.Tr.T'!AT155</f>
        <v>0</v>
      </c>
      <c r="AS83" s="16">
        <f ca="1">'2.XDTD_S.Tr.T'!AU155</f>
        <v>0</v>
      </c>
      <c r="AT83" s="16">
        <f ca="1">'2.XDTD_S.Tr.T'!AV155</f>
        <v>0</v>
      </c>
      <c r="AU83" s="16">
        <f ca="1">'2.XDTD_S.Tr.T'!AW155</f>
        <v>0</v>
      </c>
      <c r="AV83" s="16">
        <f ca="1">'2.XDTD_S.Tr.T'!AX155</f>
        <v>0</v>
      </c>
      <c r="AW83" s="16">
        <f ca="1">'2.XDTD_S.Tr.T'!AY155</f>
        <v>0</v>
      </c>
      <c r="AX83" s="16">
        <f ca="1">'2.XDTD_S.Tr.T'!AZ155</f>
        <v>0</v>
      </c>
      <c r="AY83" s="16">
        <f ca="1">'2.XDTD_S.Tr.T'!BA155</f>
        <v>0</v>
      </c>
      <c r="AZ83" s="16">
        <f ca="1">'2.XDTD_S.Tr.T'!BB155</f>
        <v>0</v>
      </c>
      <c r="BA83" s="16">
        <f ca="1">'2.XDTD_S.Tr.T'!BC155</f>
        <v>0</v>
      </c>
      <c r="BB83" s="16">
        <f ca="1">'2.XDTD_S.Tr.T'!BD155</f>
        <v>0</v>
      </c>
      <c r="BC83" s="16">
        <f ca="1">'2.XDTD_S.Tr.T'!BE155</f>
        <v>0</v>
      </c>
      <c r="BD83" s="16">
        <f ca="1">'2.XDTD_S.Tr.T'!BF155</f>
        <v>0</v>
      </c>
      <c r="BE83" s="16">
        <f ca="1">'2.XDTD_S.Tr.T'!BG155</f>
        <v>0</v>
      </c>
      <c r="BF83" s="16">
        <f ca="1">'2.XDTD_S.Tr.T'!BH155</f>
        <v>0</v>
      </c>
      <c r="BG83" s="16">
        <f ca="1">'2.XDTD_S.Tr.T'!BI155</f>
        <v>0</v>
      </c>
      <c r="BH83" s="16">
        <f ca="1">'2.XDTD_S.Tr.T'!BJ155</f>
        <v>0</v>
      </c>
      <c r="BI83" s="16">
        <f ca="1">'2.XDTD_S.Tr.T'!BK155</f>
        <v>0</v>
      </c>
      <c r="BJ83" s="16">
        <f ca="1">'2.XDTD_S.Tr.T'!BL155</f>
        <v>0</v>
      </c>
      <c r="BK83" s="16">
        <f ca="1">'2.XDTD_S.Tr.T'!BM155</f>
        <v>0</v>
      </c>
      <c r="BL83" s="16">
        <f ca="1">'2.XDTD_S.Tr.T'!BN155</f>
        <v>0</v>
      </c>
      <c r="BM83" s="16">
        <f ca="1">'2.XDTD_S.Tr.T'!BO155</f>
        <v>0</v>
      </c>
      <c r="BN83" s="16">
        <f ca="1">'2.XDTD_S.Tr.T'!BP155</f>
        <v>0</v>
      </c>
      <c r="BO83" s="16">
        <f ca="1">'2.XDTD_S.Tr.T'!BP155</f>
        <v>0</v>
      </c>
      <c r="BP83" s="16">
        <f ca="1">'2.XDTD_S.Tr.T'!BR155</f>
        <v>0</v>
      </c>
      <c r="BQ83" s="16">
        <f ca="1">'2.XDTD_S.Tr.T'!BS155</f>
        <v>0</v>
      </c>
      <c r="BR83" s="16">
        <f ca="1">'2.XDTD_S.Tr.T'!BT155</f>
        <v>0</v>
      </c>
      <c r="BS83" s="16">
        <f ca="1">'2.XDTD_S.Tr.T'!BU155</f>
        <v>0</v>
      </c>
      <c r="BT83" s="16">
        <f ca="1">'2.XDTD_S.Tr.T'!BV155</f>
        <v>0</v>
      </c>
      <c r="BU83" s="16">
        <f ca="1">'2.XDTD_S.Tr.T'!BW155</f>
        <v>0</v>
      </c>
      <c r="BV83" s="16">
        <f ca="1">'2.XDTD_S.Tr.T'!BX155</f>
        <v>0</v>
      </c>
      <c r="BW83" s="16">
        <f ca="1">'2.XDTD_S.Tr.T'!BY155</f>
        <v>0</v>
      </c>
      <c r="BX83" s="16">
        <f ca="1">'2.XDTD_S.Tr.T'!BZ155</f>
        <v>0</v>
      </c>
      <c r="BY83" s="16">
        <f ca="1">'2.XDTD_S.Tr.T'!CA155</f>
        <v>0</v>
      </c>
      <c r="BZ83" s="16">
        <f ca="1">'2.XDTD_S.Tr.T'!CB155</f>
        <v>0</v>
      </c>
      <c r="CA83" s="16">
        <f ca="1">'2.XDTD_S.Tr.T'!CC155</f>
        <v>0</v>
      </c>
      <c r="CB83" s="16">
        <f ca="1">'2.XDTD_S.Tr.T'!CD155</f>
        <v>0</v>
      </c>
      <c r="CC83" s="16">
        <f ca="1">'2.XDTD_S.Tr.T'!CE155</f>
        <v>0</v>
      </c>
      <c r="CD83" s="16">
        <f ca="1">'2.XDTD_S.Tr.T'!CF155</f>
        <v>0</v>
      </c>
      <c r="CE83" s="16">
        <f ca="1">'2.XDTD_S.Tr.T'!CG155</f>
        <v>0</v>
      </c>
      <c r="CF83" s="16">
        <f ca="1">'2.XDTD_S.Tr.T'!CH155</f>
        <v>0</v>
      </c>
      <c r="CG83" s="16">
        <f ca="1">'2.XDTD_S.Tr.T'!CI155</f>
        <v>0</v>
      </c>
      <c r="CH83" s="16">
        <f ca="1">'2.XDTD_S.Tr.T'!CJ155</f>
        <v>0</v>
      </c>
      <c r="CI83" s="16">
        <f ca="1">'2.XDTD_S.Tr.T'!CK155</f>
        <v>0</v>
      </c>
      <c r="CJ83" s="16">
        <f ca="1">'2.XDTD_S.Tr.T'!CL155</f>
        <v>0</v>
      </c>
      <c r="CK83" s="16">
        <f ca="1">'2.XDTD_S.Tr.T'!CM155</f>
        <v>0</v>
      </c>
      <c r="CL83" s="16">
        <f ca="1">'2.XDTD_S.Tr.T'!CN155</f>
        <v>0</v>
      </c>
      <c r="CM83" s="16">
        <f ca="1">'2.XDTD_S.Tr.T'!CO155</f>
        <v>0</v>
      </c>
      <c r="CN83" s="16">
        <f ca="1">'2.XDTD_S.Tr.T'!CP155</f>
        <v>0</v>
      </c>
      <c r="CO83" s="16">
        <f ca="1">'2.XDTD_S.Tr.T'!CP155</f>
        <v>0</v>
      </c>
    </row>
    <row r="84" spans="3:93" ht="19.95" hidden="1" customHeight="1">
      <c r="C84" s="5"/>
      <c r="D84" s="11">
        <f>'2.XDTD_S.Tr.T'!F156</f>
        <v>0</v>
      </c>
      <c r="E84" s="7">
        <f>'2.XDTD_S.Tr.T'!G156</f>
        <v>0</v>
      </c>
      <c r="F84" s="8">
        <f>'2.XDTD_S.Tr.T'!H156</f>
        <v>0</v>
      </c>
      <c r="G84" s="9">
        <f ca="1">'2.XDTD_S.Tr.T'!I156</f>
        <v>0</v>
      </c>
      <c r="H84" s="10">
        <f ca="1">'2.XDTD_S.Tr.T'!J156</f>
        <v>0</v>
      </c>
      <c r="I84" s="9">
        <f ca="1">'2.XDTD_S.Tr.T'!K156</f>
        <v>0</v>
      </c>
      <c r="J84" s="13">
        <f>'2.XDTD_S.Tr.T'!L156</f>
        <v>0</v>
      </c>
      <c r="K84" s="13">
        <f>'2.XDTD_S.Tr.T'!M156</f>
        <v>0</v>
      </c>
      <c r="L84" s="9">
        <f ca="1">'2.XDTD_S.Tr.T'!N156</f>
        <v>0</v>
      </c>
      <c r="M84" s="14">
        <f>'2.XDTD_S.Tr.T'!O156</f>
        <v>0</v>
      </c>
      <c r="N84" s="14">
        <f>'2.XDTD_S.Tr.T'!P156</f>
        <v>0</v>
      </c>
      <c r="O84" s="9">
        <f>'2.XDTD_S.Tr.T'!P156</f>
        <v>0</v>
      </c>
      <c r="P84" s="15">
        <f ca="1">'2.XDTD_S.Tr.T'!R156</f>
        <v>0</v>
      </c>
      <c r="Q84" s="16">
        <f ca="1">'2.XDTD_S.Tr.T'!S156</f>
        <v>0</v>
      </c>
      <c r="R84" s="16">
        <f ca="1">'2.XDTD_S.Tr.T'!T156</f>
        <v>0</v>
      </c>
      <c r="S84" s="16">
        <f ca="1">'2.XDTD_S.Tr.T'!U156</f>
        <v>0</v>
      </c>
      <c r="T84" s="16">
        <f ca="1">'2.XDTD_S.Tr.T'!V156</f>
        <v>0</v>
      </c>
      <c r="U84" s="16">
        <f ca="1">'2.XDTD_S.Tr.T'!W156</f>
        <v>0</v>
      </c>
      <c r="V84" s="16">
        <f ca="1">'2.XDTD_S.Tr.T'!X156</f>
        <v>0</v>
      </c>
      <c r="W84" s="16">
        <f ca="1">'2.XDTD_S.Tr.T'!Y156</f>
        <v>0</v>
      </c>
      <c r="X84" s="16">
        <f ca="1">'2.XDTD_S.Tr.T'!Z156</f>
        <v>0</v>
      </c>
      <c r="Y84" s="16">
        <f ca="1">'2.XDTD_S.Tr.T'!AA156</f>
        <v>0</v>
      </c>
      <c r="Z84" s="16">
        <f ca="1">'2.XDTD_S.Tr.T'!AB156</f>
        <v>0</v>
      </c>
      <c r="AA84" s="16">
        <f ca="1">'2.XDTD_S.Tr.T'!AC156</f>
        <v>0</v>
      </c>
      <c r="AB84" s="16">
        <f ca="1">'2.XDTD_S.Tr.T'!AD156</f>
        <v>0</v>
      </c>
      <c r="AC84" s="16">
        <f ca="1">'2.XDTD_S.Tr.T'!AE156</f>
        <v>0</v>
      </c>
      <c r="AD84" s="16">
        <f ca="1">'2.XDTD_S.Tr.T'!AF156</f>
        <v>0</v>
      </c>
      <c r="AE84" s="16">
        <f ca="1">'2.XDTD_S.Tr.T'!AG156</f>
        <v>0</v>
      </c>
      <c r="AF84" s="16">
        <f ca="1">'2.XDTD_S.Tr.T'!AH156</f>
        <v>0</v>
      </c>
      <c r="AG84" s="16">
        <f ca="1">'2.XDTD_S.Tr.T'!AI156</f>
        <v>0</v>
      </c>
      <c r="AH84" s="16">
        <f ca="1">'2.XDTD_S.Tr.T'!AJ156</f>
        <v>0</v>
      </c>
      <c r="AI84" s="16">
        <f ca="1">'2.XDTD_S.Tr.T'!AK156</f>
        <v>0</v>
      </c>
      <c r="AJ84" s="16">
        <f ca="1">'2.XDTD_S.Tr.T'!AL156</f>
        <v>0</v>
      </c>
      <c r="AK84" s="16">
        <f ca="1">'2.XDTD_S.Tr.T'!AM156</f>
        <v>0</v>
      </c>
      <c r="AL84" s="16">
        <f ca="1">'2.XDTD_S.Tr.T'!AN156</f>
        <v>0</v>
      </c>
      <c r="AM84" s="16">
        <f ca="1">'2.XDTD_S.Tr.T'!AO156</f>
        <v>0</v>
      </c>
      <c r="AN84" s="16">
        <f ca="1">'2.XDTD_S.Tr.T'!AP156</f>
        <v>0</v>
      </c>
      <c r="AO84" s="16">
        <f ca="1">'2.XDTD_S.Tr.T'!AP156</f>
        <v>0</v>
      </c>
      <c r="AP84" s="16">
        <f ca="1">'2.XDTD_S.Tr.T'!AR156</f>
        <v>0</v>
      </c>
      <c r="AQ84" s="16">
        <f ca="1">'2.XDTD_S.Tr.T'!AS156</f>
        <v>0</v>
      </c>
      <c r="AR84" s="16">
        <f ca="1">'2.XDTD_S.Tr.T'!AT156</f>
        <v>0</v>
      </c>
      <c r="AS84" s="16">
        <f ca="1">'2.XDTD_S.Tr.T'!AU156</f>
        <v>0</v>
      </c>
      <c r="AT84" s="16">
        <f ca="1">'2.XDTD_S.Tr.T'!AV156</f>
        <v>0</v>
      </c>
      <c r="AU84" s="16">
        <f ca="1">'2.XDTD_S.Tr.T'!AW156</f>
        <v>0</v>
      </c>
      <c r="AV84" s="16">
        <f ca="1">'2.XDTD_S.Tr.T'!AX156</f>
        <v>0</v>
      </c>
      <c r="AW84" s="16">
        <f ca="1">'2.XDTD_S.Tr.T'!AY156</f>
        <v>0</v>
      </c>
      <c r="AX84" s="16">
        <f ca="1">'2.XDTD_S.Tr.T'!AZ156</f>
        <v>0</v>
      </c>
      <c r="AY84" s="16">
        <f ca="1">'2.XDTD_S.Tr.T'!BA156</f>
        <v>0</v>
      </c>
      <c r="AZ84" s="16">
        <f ca="1">'2.XDTD_S.Tr.T'!BB156</f>
        <v>0</v>
      </c>
      <c r="BA84" s="16">
        <f ca="1">'2.XDTD_S.Tr.T'!BC156</f>
        <v>0</v>
      </c>
      <c r="BB84" s="16">
        <f ca="1">'2.XDTD_S.Tr.T'!BD156</f>
        <v>0</v>
      </c>
      <c r="BC84" s="16">
        <f ca="1">'2.XDTD_S.Tr.T'!BE156</f>
        <v>0</v>
      </c>
      <c r="BD84" s="16">
        <f ca="1">'2.XDTD_S.Tr.T'!BF156</f>
        <v>0</v>
      </c>
      <c r="BE84" s="16">
        <f ca="1">'2.XDTD_S.Tr.T'!BG156</f>
        <v>0</v>
      </c>
      <c r="BF84" s="16">
        <f ca="1">'2.XDTD_S.Tr.T'!BH156</f>
        <v>0</v>
      </c>
      <c r="BG84" s="16">
        <f ca="1">'2.XDTD_S.Tr.T'!BI156</f>
        <v>0</v>
      </c>
      <c r="BH84" s="16">
        <f ca="1">'2.XDTD_S.Tr.T'!BJ156</f>
        <v>0</v>
      </c>
      <c r="BI84" s="16">
        <f ca="1">'2.XDTD_S.Tr.T'!BK156</f>
        <v>0</v>
      </c>
      <c r="BJ84" s="16">
        <f ca="1">'2.XDTD_S.Tr.T'!BL156</f>
        <v>0</v>
      </c>
      <c r="BK84" s="16">
        <f ca="1">'2.XDTD_S.Tr.T'!BM156</f>
        <v>0</v>
      </c>
      <c r="BL84" s="16">
        <f ca="1">'2.XDTD_S.Tr.T'!BN156</f>
        <v>0</v>
      </c>
      <c r="BM84" s="16">
        <f ca="1">'2.XDTD_S.Tr.T'!BO156</f>
        <v>0</v>
      </c>
      <c r="BN84" s="16">
        <f ca="1">'2.XDTD_S.Tr.T'!BP156</f>
        <v>0</v>
      </c>
      <c r="BO84" s="16">
        <f ca="1">'2.XDTD_S.Tr.T'!BP156</f>
        <v>0</v>
      </c>
      <c r="BP84" s="16">
        <f ca="1">'2.XDTD_S.Tr.T'!BR156</f>
        <v>0</v>
      </c>
      <c r="BQ84" s="16">
        <f ca="1">'2.XDTD_S.Tr.T'!BS156</f>
        <v>0</v>
      </c>
      <c r="BR84" s="16">
        <f ca="1">'2.XDTD_S.Tr.T'!BT156</f>
        <v>0</v>
      </c>
      <c r="BS84" s="16">
        <f ca="1">'2.XDTD_S.Tr.T'!BU156</f>
        <v>0</v>
      </c>
      <c r="BT84" s="16">
        <f ca="1">'2.XDTD_S.Tr.T'!BV156</f>
        <v>0</v>
      </c>
      <c r="BU84" s="16">
        <f ca="1">'2.XDTD_S.Tr.T'!BW156</f>
        <v>0</v>
      </c>
      <c r="BV84" s="16">
        <f ca="1">'2.XDTD_S.Tr.T'!BX156</f>
        <v>0</v>
      </c>
      <c r="BW84" s="16">
        <f ca="1">'2.XDTD_S.Tr.T'!BY156</f>
        <v>0</v>
      </c>
      <c r="BX84" s="16">
        <f ca="1">'2.XDTD_S.Tr.T'!BZ156</f>
        <v>0</v>
      </c>
      <c r="BY84" s="16">
        <f ca="1">'2.XDTD_S.Tr.T'!CA156</f>
        <v>0</v>
      </c>
      <c r="BZ84" s="16">
        <f ca="1">'2.XDTD_S.Tr.T'!CB156</f>
        <v>0</v>
      </c>
      <c r="CA84" s="16">
        <f ca="1">'2.XDTD_S.Tr.T'!CC156</f>
        <v>0</v>
      </c>
      <c r="CB84" s="16">
        <f ca="1">'2.XDTD_S.Tr.T'!CD156</f>
        <v>0</v>
      </c>
      <c r="CC84" s="16">
        <f ca="1">'2.XDTD_S.Tr.T'!CE156</f>
        <v>0</v>
      </c>
      <c r="CD84" s="16">
        <f ca="1">'2.XDTD_S.Tr.T'!CF156</f>
        <v>0</v>
      </c>
      <c r="CE84" s="16">
        <f ca="1">'2.XDTD_S.Tr.T'!CG156</f>
        <v>0</v>
      </c>
      <c r="CF84" s="16">
        <f ca="1">'2.XDTD_S.Tr.T'!CH156</f>
        <v>0</v>
      </c>
      <c r="CG84" s="16">
        <f ca="1">'2.XDTD_S.Tr.T'!CI156</f>
        <v>0</v>
      </c>
      <c r="CH84" s="16">
        <f ca="1">'2.XDTD_S.Tr.T'!CJ156</f>
        <v>0</v>
      </c>
      <c r="CI84" s="16">
        <f ca="1">'2.XDTD_S.Tr.T'!CK156</f>
        <v>0</v>
      </c>
      <c r="CJ84" s="16">
        <f ca="1">'2.XDTD_S.Tr.T'!CL156</f>
        <v>0</v>
      </c>
      <c r="CK84" s="16">
        <f ca="1">'2.XDTD_S.Tr.T'!CM156</f>
        <v>0</v>
      </c>
      <c r="CL84" s="16">
        <f ca="1">'2.XDTD_S.Tr.T'!CN156</f>
        <v>0</v>
      </c>
      <c r="CM84" s="16">
        <f ca="1">'2.XDTD_S.Tr.T'!CO156</f>
        <v>0</v>
      </c>
      <c r="CN84" s="16">
        <f ca="1">'2.XDTD_S.Tr.T'!CP156</f>
        <v>0</v>
      </c>
      <c r="CO84" s="16">
        <f ca="1">'2.XDTD_S.Tr.T'!CP156</f>
        <v>0</v>
      </c>
    </row>
    <row r="85" spans="3:93" ht="19.95" hidden="1" customHeight="1">
      <c r="C85" s="5"/>
      <c r="D85" s="11">
        <f>'2.XDTD_S.Tr.T'!F157</f>
        <v>0</v>
      </c>
      <c r="E85" s="7">
        <f>'2.XDTD_S.Tr.T'!G157</f>
        <v>0</v>
      </c>
      <c r="F85" s="8">
        <f>'2.XDTD_S.Tr.T'!H157</f>
        <v>0</v>
      </c>
      <c r="G85" s="9">
        <f ca="1">'2.XDTD_S.Tr.T'!I157</f>
        <v>0</v>
      </c>
      <c r="H85" s="10">
        <f ca="1">'2.XDTD_S.Tr.T'!J157</f>
        <v>0</v>
      </c>
      <c r="I85" s="9">
        <f ca="1">'2.XDTD_S.Tr.T'!K157</f>
        <v>0</v>
      </c>
      <c r="J85" s="13">
        <f>'2.XDTD_S.Tr.T'!L157</f>
        <v>0</v>
      </c>
      <c r="K85" s="13">
        <f>'2.XDTD_S.Tr.T'!M157</f>
        <v>0</v>
      </c>
      <c r="L85" s="9">
        <f ca="1">'2.XDTD_S.Tr.T'!N157</f>
        <v>0</v>
      </c>
      <c r="M85" s="14">
        <f>'2.XDTD_S.Tr.T'!O157</f>
        <v>0</v>
      </c>
      <c r="N85" s="14">
        <f>'2.XDTD_S.Tr.T'!P157</f>
        <v>0</v>
      </c>
      <c r="O85" s="9">
        <f>'2.XDTD_S.Tr.T'!P157</f>
        <v>0</v>
      </c>
      <c r="P85" s="15">
        <f ca="1">'2.XDTD_S.Tr.T'!R157</f>
        <v>0</v>
      </c>
      <c r="Q85" s="16">
        <f ca="1">'2.XDTD_S.Tr.T'!S157</f>
        <v>0</v>
      </c>
      <c r="R85" s="16">
        <f ca="1">'2.XDTD_S.Tr.T'!T157</f>
        <v>0</v>
      </c>
      <c r="S85" s="16">
        <f ca="1">'2.XDTD_S.Tr.T'!U157</f>
        <v>0</v>
      </c>
      <c r="T85" s="16">
        <f ca="1">'2.XDTD_S.Tr.T'!V157</f>
        <v>0</v>
      </c>
      <c r="U85" s="16">
        <f ca="1">'2.XDTD_S.Tr.T'!W157</f>
        <v>0</v>
      </c>
      <c r="V85" s="16">
        <f ca="1">'2.XDTD_S.Tr.T'!X157</f>
        <v>0</v>
      </c>
      <c r="W85" s="16">
        <f ca="1">'2.XDTD_S.Tr.T'!Y157</f>
        <v>0</v>
      </c>
      <c r="X85" s="16">
        <f ca="1">'2.XDTD_S.Tr.T'!Z157</f>
        <v>0</v>
      </c>
      <c r="Y85" s="16">
        <f ca="1">'2.XDTD_S.Tr.T'!AA157</f>
        <v>0</v>
      </c>
      <c r="Z85" s="16">
        <f ca="1">'2.XDTD_S.Tr.T'!AB157</f>
        <v>0</v>
      </c>
      <c r="AA85" s="16">
        <f ca="1">'2.XDTD_S.Tr.T'!AC157</f>
        <v>0</v>
      </c>
      <c r="AB85" s="16">
        <f ca="1">'2.XDTD_S.Tr.T'!AD157</f>
        <v>0</v>
      </c>
      <c r="AC85" s="16">
        <f ca="1">'2.XDTD_S.Tr.T'!AE157</f>
        <v>0</v>
      </c>
      <c r="AD85" s="16">
        <f ca="1">'2.XDTD_S.Tr.T'!AF157</f>
        <v>0</v>
      </c>
      <c r="AE85" s="16">
        <f ca="1">'2.XDTD_S.Tr.T'!AG157</f>
        <v>0</v>
      </c>
      <c r="AF85" s="16">
        <f ca="1">'2.XDTD_S.Tr.T'!AH157</f>
        <v>0</v>
      </c>
      <c r="AG85" s="16">
        <f ca="1">'2.XDTD_S.Tr.T'!AI157</f>
        <v>0</v>
      </c>
      <c r="AH85" s="16">
        <f ca="1">'2.XDTD_S.Tr.T'!AJ157</f>
        <v>0</v>
      </c>
      <c r="AI85" s="16">
        <f ca="1">'2.XDTD_S.Tr.T'!AK157</f>
        <v>0</v>
      </c>
      <c r="AJ85" s="16">
        <f ca="1">'2.XDTD_S.Tr.T'!AL157</f>
        <v>0</v>
      </c>
      <c r="AK85" s="16">
        <f ca="1">'2.XDTD_S.Tr.T'!AM157</f>
        <v>0</v>
      </c>
      <c r="AL85" s="16">
        <f ca="1">'2.XDTD_S.Tr.T'!AN157</f>
        <v>0</v>
      </c>
      <c r="AM85" s="16">
        <f ca="1">'2.XDTD_S.Tr.T'!AO157</f>
        <v>0</v>
      </c>
      <c r="AN85" s="16">
        <f ca="1">'2.XDTD_S.Tr.T'!AP157</f>
        <v>0</v>
      </c>
      <c r="AO85" s="16">
        <f ca="1">'2.XDTD_S.Tr.T'!AP157</f>
        <v>0</v>
      </c>
      <c r="AP85" s="16">
        <f ca="1">'2.XDTD_S.Tr.T'!AR157</f>
        <v>0</v>
      </c>
      <c r="AQ85" s="16">
        <f ca="1">'2.XDTD_S.Tr.T'!AS157</f>
        <v>0</v>
      </c>
      <c r="AR85" s="16">
        <f ca="1">'2.XDTD_S.Tr.T'!AT157</f>
        <v>0</v>
      </c>
      <c r="AS85" s="16">
        <f ca="1">'2.XDTD_S.Tr.T'!AU157</f>
        <v>0</v>
      </c>
      <c r="AT85" s="16">
        <f ca="1">'2.XDTD_S.Tr.T'!AV157</f>
        <v>0</v>
      </c>
      <c r="AU85" s="16">
        <f ca="1">'2.XDTD_S.Tr.T'!AW157</f>
        <v>0</v>
      </c>
      <c r="AV85" s="16">
        <f ca="1">'2.XDTD_S.Tr.T'!AX157</f>
        <v>0</v>
      </c>
      <c r="AW85" s="16">
        <f ca="1">'2.XDTD_S.Tr.T'!AY157</f>
        <v>0</v>
      </c>
      <c r="AX85" s="16">
        <f ca="1">'2.XDTD_S.Tr.T'!AZ157</f>
        <v>0</v>
      </c>
      <c r="AY85" s="16">
        <f ca="1">'2.XDTD_S.Tr.T'!BA157</f>
        <v>0</v>
      </c>
      <c r="AZ85" s="16">
        <f ca="1">'2.XDTD_S.Tr.T'!BB157</f>
        <v>0</v>
      </c>
      <c r="BA85" s="16">
        <f ca="1">'2.XDTD_S.Tr.T'!BC157</f>
        <v>0</v>
      </c>
      <c r="BB85" s="16">
        <f ca="1">'2.XDTD_S.Tr.T'!BD157</f>
        <v>0</v>
      </c>
      <c r="BC85" s="16">
        <f ca="1">'2.XDTD_S.Tr.T'!BE157</f>
        <v>0</v>
      </c>
      <c r="BD85" s="16">
        <f ca="1">'2.XDTD_S.Tr.T'!BF157</f>
        <v>0</v>
      </c>
      <c r="BE85" s="16">
        <f ca="1">'2.XDTD_S.Tr.T'!BG157</f>
        <v>0</v>
      </c>
      <c r="BF85" s="16">
        <f ca="1">'2.XDTD_S.Tr.T'!BH157</f>
        <v>0</v>
      </c>
      <c r="BG85" s="16">
        <f ca="1">'2.XDTD_S.Tr.T'!BI157</f>
        <v>0</v>
      </c>
      <c r="BH85" s="16">
        <f ca="1">'2.XDTD_S.Tr.T'!BJ157</f>
        <v>0</v>
      </c>
      <c r="BI85" s="16">
        <f ca="1">'2.XDTD_S.Tr.T'!BK157</f>
        <v>0</v>
      </c>
      <c r="BJ85" s="16">
        <f ca="1">'2.XDTD_S.Tr.T'!BL157</f>
        <v>0</v>
      </c>
      <c r="BK85" s="16">
        <f ca="1">'2.XDTD_S.Tr.T'!BM157</f>
        <v>0</v>
      </c>
      <c r="BL85" s="16">
        <f ca="1">'2.XDTD_S.Tr.T'!BN157</f>
        <v>0</v>
      </c>
      <c r="BM85" s="16">
        <f ca="1">'2.XDTD_S.Tr.T'!BO157</f>
        <v>0</v>
      </c>
      <c r="BN85" s="16">
        <f ca="1">'2.XDTD_S.Tr.T'!BP157</f>
        <v>0</v>
      </c>
      <c r="BO85" s="16">
        <f ca="1">'2.XDTD_S.Tr.T'!BP157</f>
        <v>0</v>
      </c>
      <c r="BP85" s="16">
        <f ca="1">'2.XDTD_S.Tr.T'!BR157</f>
        <v>0</v>
      </c>
      <c r="BQ85" s="16">
        <f ca="1">'2.XDTD_S.Tr.T'!BS157</f>
        <v>0</v>
      </c>
      <c r="BR85" s="16">
        <f ca="1">'2.XDTD_S.Tr.T'!BT157</f>
        <v>0</v>
      </c>
      <c r="BS85" s="16">
        <f ca="1">'2.XDTD_S.Tr.T'!BU157</f>
        <v>0</v>
      </c>
      <c r="BT85" s="16">
        <f ca="1">'2.XDTD_S.Tr.T'!BV157</f>
        <v>0</v>
      </c>
      <c r="BU85" s="16">
        <f ca="1">'2.XDTD_S.Tr.T'!BW157</f>
        <v>0</v>
      </c>
      <c r="BV85" s="16">
        <f ca="1">'2.XDTD_S.Tr.T'!BX157</f>
        <v>0</v>
      </c>
      <c r="BW85" s="16">
        <f ca="1">'2.XDTD_S.Tr.T'!BY157</f>
        <v>0</v>
      </c>
      <c r="BX85" s="16">
        <f ca="1">'2.XDTD_S.Tr.T'!BZ157</f>
        <v>0</v>
      </c>
      <c r="BY85" s="16">
        <f ca="1">'2.XDTD_S.Tr.T'!CA157</f>
        <v>0</v>
      </c>
      <c r="BZ85" s="16">
        <f ca="1">'2.XDTD_S.Tr.T'!CB157</f>
        <v>0</v>
      </c>
      <c r="CA85" s="16">
        <f ca="1">'2.XDTD_S.Tr.T'!CC157</f>
        <v>0</v>
      </c>
      <c r="CB85" s="16">
        <f ca="1">'2.XDTD_S.Tr.T'!CD157</f>
        <v>0</v>
      </c>
      <c r="CC85" s="16">
        <f ca="1">'2.XDTD_S.Tr.T'!CE157</f>
        <v>0</v>
      </c>
      <c r="CD85" s="16">
        <f ca="1">'2.XDTD_S.Tr.T'!CF157</f>
        <v>0</v>
      </c>
      <c r="CE85" s="16">
        <f ca="1">'2.XDTD_S.Tr.T'!CG157</f>
        <v>0</v>
      </c>
      <c r="CF85" s="16">
        <f ca="1">'2.XDTD_S.Tr.T'!CH157</f>
        <v>0</v>
      </c>
      <c r="CG85" s="16">
        <f ca="1">'2.XDTD_S.Tr.T'!CI157</f>
        <v>0</v>
      </c>
      <c r="CH85" s="16">
        <f ca="1">'2.XDTD_S.Tr.T'!CJ157</f>
        <v>0</v>
      </c>
      <c r="CI85" s="16">
        <f ca="1">'2.XDTD_S.Tr.T'!CK157</f>
        <v>0</v>
      </c>
      <c r="CJ85" s="16">
        <f ca="1">'2.XDTD_S.Tr.T'!CL157</f>
        <v>0</v>
      </c>
      <c r="CK85" s="16">
        <f ca="1">'2.XDTD_S.Tr.T'!CM157</f>
        <v>0</v>
      </c>
      <c r="CL85" s="16">
        <f ca="1">'2.XDTD_S.Tr.T'!CN157</f>
        <v>0</v>
      </c>
      <c r="CM85" s="16">
        <f ca="1">'2.XDTD_S.Tr.T'!CO157</f>
        <v>0</v>
      </c>
      <c r="CN85" s="16">
        <f ca="1">'2.XDTD_S.Tr.T'!CP157</f>
        <v>0</v>
      </c>
      <c r="CO85" s="16">
        <f ca="1">'2.XDTD_S.Tr.T'!CP157</f>
        <v>0</v>
      </c>
    </row>
    <row r="86" spans="3:93" ht="19.95" customHeight="1">
      <c r="C86" s="5"/>
      <c r="D86" s="11" t="str">
        <f>'2.XDTD_S.Tr.T'!F158</f>
        <v>Tép khô</v>
      </c>
      <c r="E86" s="7" t="e">
        <f ca="1">'2.XDTD_S.Tr.T'!G158</f>
        <v>#NAME?</v>
      </c>
      <c r="F86" s="17">
        <f>'2.XDTD_S.Tr.T'!H158</f>
        <v>10</v>
      </c>
      <c r="G86" s="9">
        <f ca="1">'2.XDTD_S.Tr.T'!I158</f>
        <v>0</v>
      </c>
      <c r="H86" s="10">
        <f ca="1">'2.XDTD_S.Tr.T'!J158</f>
        <v>0</v>
      </c>
      <c r="I86" s="9">
        <f ca="1">'2.XDTD_S.Tr.T'!K158</f>
        <v>0</v>
      </c>
      <c r="J86" s="13" t="e">
        <f ca="1">'2.XDTD_S.Tr.T'!L158</f>
        <v>#NAME?</v>
      </c>
      <c r="K86" s="13" t="e">
        <f ca="1">'2.XDTD_S.Tr.T'!M158</f>
        <v>#NAME?</v>
      </c>
      <c r="L86" s="9">
        <f ca="1">'2.XDTD_S.Tr.T'!N158</f>
        <v>0</v>
      </c>
      <c r="M86" s="14" t="e">
        <f ca="1">'2.XDTD_S.Tr.T'!O158</f>
        <v>#NAME?</v>
      </c>
      <c r="N86" s="14" t="e">
        <f ca="1">'2.XDTD_S.Tr.T'!P158</f>
        <v>#NAME?</v>
      </c>
      <c r="O86" s="9" t="e">
        <f ca="1">'2.XDTD_S.Tr.T'!P158</f>
        <v>#NAME?</v>
      </c>
      <c r="P86" s="15">
        <f ca="1">'2.XDTD_S.Tr.T'!R158</f>
        <v>0</v>
      </c>
      <c r="Q86" s="16">
        <f ca="1">'2.XDTD_S.Tr.T'!S158</f>
        <v>0</v>
      </c>
      <c r="R86" s="16">
        <f ca="1">'2.XDTD_S.Tr.T'!T158</f>
        <v>0</v>
      </c>
      <c r="S86" s="16">
        <f ca="1">'2.XDTD_S.Tr.T'!U158</f>
        <v>0</v>
      </c>
      <c r="T86" s="16">
        <f ca="1">'2.XDTD_S.Tr.T'!V158</f>
        <v>0</v>
      </c>
      <c r="U86" s="16">
        <f ca="1">'2.XDTD_S.Tr.T'!W158</f>
        <v>0</v>
      </c>
      <c r="V86" s="16">
        <f ca="1">'2.XDTD_S.Tr.T'!X158</f>
        <v>0</v>
      </c>
      <c r="W86" s="16">
        <f ca="1">'2.XDTD_S.Tr.T'!Y158</f>
        <v>0</v>
      </c>
      <c r="X86" s="16">
        <f ca="1">'2.XDTD_S.Tr.T'!Z158</f>
        <v>0</v>
      </c>
      <c r="Y86" s="16">
        <f ca="1">'2.XDTD_S.Tr.T'!AA158</f>
        <v>0</v>
      </c>
      <c r="Z86" s="16">
        <f ca="1">'2.XDTD_S.Tr.T'!AB158</f>
        <v>0</v>
      </c>
      <c r="AA86" s="16">
        <f ca="1">'2.XDTD_S.Tr.T'!AC158</f>
        <v>0</v>
      </c>
      <c r="AB86" s="16">
        <f ca="1">'2.XDTD_S.Tr.T'!AD158</f>
        <v>0</v>
      </c>
      <c r="AC86" s="16">
        <f ca="1">'2.XDTD_S.Tr.T'!AE158</f>
        <v>0</v>
      </c>
      <c r="AD86" s="16">
        <f ca="1">'2.XDTD_S.Tr.T'!AF158</f>
        <v>0</v>
      </c>
      <c r="AE86" s="16">
        <f ca="1">'2.XDTD_S.Tr.T'!AG158</f>
        <v>0</v>
      </c>
      <c r="AF86" s="16">
        <f ca="1">'2.XDTD_S.Tr.T'!AH158</f>
        <v>0</v>
      </c>
      <c r="AG86" s="16">
        <f ca="1">'2.XDTD_S.Tr.T'!AI158</f>
        <v>0</v>
      </c>
      <c r="AH86" s="16">
        <f ca="1">'2.XDTD_S.Tr.T'!AJ158</f>
        <v>0</v>
      </c>
      <c r="AI86" s="16">
        <f ca="1">'2.XDTD_S.Tr.T'!AK158</f>
        <v>0</v>
      </c>
      <c r="AJ86" s="16">
        <f ca="1">'2.XDTD_S.Tr.T'!AL158</f>
        <v>0</v>
      </c>
      <c r="AK86" s="16">
        <f ca="1">'2.XDTD_S.Tr.T'!AM158</f>
        <v>0</v>
      </c>
      <c r="AL86" s="16">
        <f ca="1">'2.XDTD_S.Tr.T'!AN158</f>
        <v>0</v>
      </c>
      <c r="AM86" s="16">
        <f ca="1">'2.XDTD_S.Tr.T'!AO158</f>
        <v>0</v>
      </c>
      <c r="AN86" s="16">
        <f ca="1">'2.XDTD_S.Tr.T'!AP158</f>
        <v>0</v>
      </c>
      <c r="AO86" s="16">
        <f ca="1">'2.XDTD_S.Tr.T'!AP158</f>
        <v>0</v>
      </c>
      <c r="AP86" s="16">
        <f ca="1">'2.XDTD_S.Tr.T'!AR158</f>
        <v>0</v>
      </c>
      <c r="AQ86" s="16">
        <f ca="1">'2.XDTD_S.Tr.T'!AS158</f>
        <v>0</v>
      </c>
      <c r="AR86" s="16">
        <f ca="1">'2.XDTD_S.Tr.T'!AT158</f>
        <v>0</v>
      </c>
      <c r="AS86" s="16">
        <f ca="1">'2.XDTD_S.Tr.T'!AU158</f>
        <v>0</v>
      </c>
      <c r="AT86" s="16">
        <f ca="1">'2.XDTD_S.Tr.T'!AV158</f>
        <v>0</v>
      </c>
      <c r="AU86" s="16">
        <f ca="1">'2.XDTD_S.Tr.T'!AW158</f>
        <v>0</v>
      </c>
      <c r="AV86" s="16">
        <f ca="1">'2.XDTD_S.Tr.T'!AX158</f>
        <v>0</v>
      </c>
      <c r="AW86" s="16">
        <f ca="1">'2.XDTD_S.Tr.T'!AY158</f>
        <v>0</v>
      </c>
      <c r="AX86" s="16">
        <f ca="1">'2.XDTD_S.Tr.T'!AZ158</f>
        <v>0</v>
      </c>
      <c r="AY86" s="16">
        <f ca="1">'2.XDTD_S.Tr.T'!BA158</f>
        <v>0</v>
      </c>
      <c r="AZ86" s="16">
        <f ca="1">'2.XDTD_S.Tr.T'!BB158</f>
        <v>0</v>
      </c>
      <c r="BA86" s="16">
        <f ca="1">'2.XDTD_S.Tr.T'!BC158</f>
        <v>0</v>
      </c>
      <c r="BB86" s="16">
        <f ca="1">'2.XDTD_S.Tr.T'!BD158</f>
        <v>0</v>
      </c>
      <c r="BC86" s="16">
        <f ca="1">'2.XDTD_S.Tr.T'!BE158</f>
        <v>0</v>
      </c>
      <c r="BD86" s="16">
        <f ca="1">'2.XDTD_S.Tr.T'!BF158</f>
        <v>0</v>
      </c>
      <c r="BE86" s="16">
        <f ca="1">'2.XDTD_S.Tr.T'!BG158</f>
        <v>0</v>
      </c>
      <c r="BF86" s="16">
        <f ca="1">'2.XDTD_S.Tr.T'!BH158</f>
        <v>0</v>
      </c>
      <c r="BG86" s="16">
        <f ca="1">'2.XDTD_S.Tr.T'!BI158</f>
        <v>0</v>
      </c>
      <c r="BH86" s="16">
        <f ca="1">'2.XDTD_S.Tr.T'!BJ158</f>
        <v>0</v>
      </c>
      <c r="BI86" s="16">
        <f ca="1">'2.XDTD_S.Tr.T'!BK158</f>
        <v>0</v>
      </c>
      <c r="BJ86" s="16">
        <f ca="1">'2.XDTD_S.Tr.T'!BL158</f>
        <v>0</v>
      </c>
      <c r="BK86" s="16">
        <f ca="1">'2.XDTD_S.Tr.T'!BM158</f>
        <v>0</v>
      </c>
      <c r="BL86" s="16">
        <f ca="1">'2.XDTD_S.Tr.T'!BN158</f>
        <v>0</v>
      </c>
      <c r="BM86" s="16">
        <f ca="1">'2.XDTD_S.Tr.T'!BO158</f>
        <v>0</v>
      </c>
      <c r="BN86" s="16">
        <f ca="1">'2.XDTD_S.Tr.T'!BP158</f>
        <v>0</v>
      </c>
      <c r="BO86" s="16">
        <f ca="1">'2.XDTD_S.Tr.T'!BP158</f>
        <v>0</v>
      </c>
      <c r="BP86" s="16">
        <f ca="1">'2.XDTD_S.Tr.T'!BR158</f>
        <v>0</v>
      </c>
      <c r="BQ86" s="16">
        <f ca="1">'2.XDTD_S.Tr.T'!BS158</f>
        <v>0</v>
      </c>
      <c r="BR86" s="16">
        <f ca="1">'2.XDTD_S.Tr.T'!BT158</f>
        <v>0</v>
      </c>
      <c r="BS86" s="16">
        <f ca="1">'2.XDTD_S.Tr.T'!BU158</f>
        <v>0</v>
      </c>
      <c r="BT86" s="16">
        <f ca="1">'2.XDTD_S.Tr.T'!BV158</f>
        <v>0</v>
      </c>
      <c r="BU86" s="16">
        <f ca="1">'2.XDTD_S.Tr.T'!BW158</f>
        <v>0</v>
      </c>
      <c r="BV86" s="16">
        <f ca="1">'2.XDTD_S.Tr.T'!BX158</f>
        <v>0</v>
      </c>
      <c r="BW86" s="16">
        <f ca="1">'2.XDTD_S.Tr.T'!BY158</f>
        <v>0</v>
      </c>
      <c r="BX86" s="16">
        <f ca="1">'2.XDTD_S.Tr.T'!BZ158</f>
        <v>0</v>
      </c>
      <c r="BY86" s="16">
        <f ca="1">'2.XDTD_S.Tr.T'!CA158</f>
        <v>0</v>
      </c>
      <c r="BZ86" s="16">
        <f ca="1">'2.XDTD_S.Tr.T'!CB158</f>
        <v>0</v>
      </c>
      <c r="CA86" s="16">
        <f ca="1">'2.XDTD_S.Tr.T'!CC158</f>
        <v>0</v>
      </c>
      <c r="CB86" s="16">
        <f ca="1">'2.XDTD_S.Tr.T'!CD158</f>
        <v>0</v>
      </c>
      <c r="CC86" s="16">
        <f ca="1">'2.XDTD_S.Tr.T'!CE158</f>
        <v>0</v>
      </c>
      <c r="CD86" s="16">
        <f ca="1">'2.XDTD_S.Tr.T'!CF158</f>
        <v>0</v>
      </c>
      <c r="CE86" s="16">
        <f ca="1">'2.XDTD_S.Tr.T'!CG158</f>
        <v>0</v>
      </c>
      <c r="CF86" s="16">
        <f ca="1">'2.XDTD_S.Tr.T'!CH158</f>
        <v>0</v>
      </c>
      <c r="CG86" s="16">
        <f ca="1">'2.XDTD_S.Tr.T'!CI158</f>
        <v>0</v>
      </c>
      <c r="CH86" s="16">
        <f ca="1">'2.XDTD_S.Tr.T'!CJ158</f>
        <v>0</v>
      </c>
      <c r="CI86" s="16">
        <f ca="1">'2.XDTD_S.Tr.T'!CK158</f>
        <v>0</v>
      </c>
      <c r="CJ86" s="16">
        <f ca="1">'2.XDTD_S.Tr.T'!CL158</f>
        <v>0</v>
      </c>
      <c r="CK86" s="16">
        <f ca="1">'2.XDTD_S.Tr.T'!CM158</f>
        <v>0</v>
      </c>
      <c r="CL86" s="16">
        <f ca="1">'2.XDTD_S.Tr.T'!CN158</f>
        <v>0</v>
      </c>
      <c r="CM86" s="16">
        <f ca="1">'2.XDTD_S.Tr.T'!CO158</f>
        <v>0</v>
      </c>
      <c r="CN86" s="16">
        <f ca="1">'2.XDTD_S.Tr.T'!CP158</f>
        <v>0</v>
      </c>
      <c r="CO86" s="16">
        <f ca="1">'2.XDTD_S.Tr.T'!CP158</f>
        <v>0</v>
      </c>
    </row>
    <row r="87" spans="3:93" ht="19.95" hidden="1" customHeight="1">
      <c r="C87" s="5"/>
      <c r="D87" s="11">
        <f>'2.XDTD_S.Tr.T'!F159</f>
        <v>0</v>
      </c>
      <c r="E87" s="7">
        <f>'2.XDTD_S.Tr.T'!G159</f>
        <v>0</v>
      </c>
      <c r="F87" s="17">
        <f>'2.XDTD_S.Tr.T'!H159</f>
        <v>0</v>
      </c>
      <c r="G87" s="9">
        <f ca="1">'2.XDTD_S.Tr.T'!I159</f>
        <v>0</v>
      </c>
      <c r="H87" s="10">
        <f ca="1">'2.XDTD_S.Tr.T'!J159</f>
        <v>0</v>
      </c>
      <c r="I87" s="9">
        <f ca="1">'2.XDTD_S.Tr.T'!K159</f>
        <v>0</v>
      </c>
      <c r="J87" s="13">
        <f>'2.XDTD_S.Tr.T'!L159</f>
        <v>0</v>
      </c>
      <c r="K87" s="13">
        <f>'2.XDTD_S.Tr.T'!M159</f>
        <v>0</v>
      </c>
      <c r="L87" s="9">
        <f ca="1">'2.XDTD_S.Tr.T'!N159</f>
        <v>0</v>
      </c>
      <c r="M87" s="14">
        <f>'2.XDTD_S.Tr.T'!O159</f>
        <v>0</v>
      </c>
      <c r="N87" s="14">
        <f>'2.XDTD_S.Tr.T'!P159</f>
        <v>0</v>
      </c>
      <c r="O87" s="9">
        <f>'2.XDTD_S.Tr.T'!P159</f>
        <v>0</v>
      </c>
      <c r="P87" s="15">
        <f ca="1">'2.XDTD_S.Tr.T'!R159</f>
        <v>0</v>
      </c>
      <c r="Q87" s="16">
        <f ca="1">'2.XDTD_S.Tr.T'!S159</f>
        <v>0</v>
      </c>
      <c r="R87" s="16">
        <f ca="1">'2.XDTD_S.Tr.T'!T159</f>
        <v>0</v>
      </c>
      <c r="S87" s="16">
        <f ca="1">'2.XDTD_S.Tr.T'!U159</f>
        <v>0</v>
      </c>
      <c r="T87" s="16">
        <f ca="1">'2.XDTD_S.Tr.T'!V159</f>
        <v>0</v>
      </c>
      <c r="U87" s="16">
        <f ca="1">'2.XDTD_S.Tr.T'!W159</f>
        <v>0</v>
      </c>
      <c r="V87" s="16">
        <f ca="1">'2.XDTD_S.Tr.T'!X159</f>
        <v>0</v>
      </c>
      <c r="W87" s="16">
        <f ca="1">'2.XDTD_S.Tr.T'!Y159</f>
        <v>0</v>
      </c>
      <c r="X87" s="16">
        <f ca="1">'2.XDTD_S.Tr.T'!Z159</f>
        <v>0</v>
      </c>
      <c r="Y87" s="16">
        <f ca="1">'2.XDTD_S.Tr.T'!AA159</f>
        <v>0</v>
      </c>
      <c r="Z87" s="16">
        <f ca="1">'2.XDTD_S.Tr.T'!AB159</f>
        <v>0</v>
      </c>
      <c r="AA87" s="16">
        <f ca="1">'2.XDTD_S.Tr.T'!AC159</f>
        <v>0</v>
      </c>
      <c r="AB87" s="16">
        <f ca="1">'2.XDTD_S.Tr.T'!AD159</f>
        <v>0</v>
      </c>
      <c r="AC87" s="16">
        <f ca="1">'2.XDTD_S.Tr.T'!AE159</f>
        <v>0</v>
      </c>
      <c r="AD87" s="16">
        <f ca="1">'2.XDTD_S.Tr.T'!AF159</f>
        <v>0</v>
      </c>
      <c r="AE87" s="16">
        <f ca="1">'2.XDTD_S.Tr.T'!AG159</f>
        <v>0</v>
      </c>
      <c r="AF87" s="16">
        <f ca="1">'2.XDTD_S.Tr.T'!AH159</f>
        <v>0</v>
      </c>
      <c r="AG87" s="16">
        <f ca="1">'2.XDTD_S.Tr.T'!AI159</f>
        <v>0</v>
      </c>
      <c r="AH87" s="16">
        <f ca="1">'2.XDTD_S.Tr.T'!AJ159</f>
        <v>0</v>
      </c>
      <c r="AI87" s="16">
        <f ca="1">'2.XDTD_S.Tr.T'!AK159</f>
        <v>0</v>
      </c>
      <c r="AJ87" s="16">
        <f ca="1">'2.XDTD_S.Tr.T'!AL159</f>
        <v>0</v>
      </c>
      <c r="AK87" s="16">
        <f ca="1">'2.XDTD_S.Tr.T'!AM159</f>
        <v>0</v>
      </c>
      <c r="AL87" s="16">
        <f ca="1">'2.XDTD_S.Tr.T'!AN159</f>
        <v>0</v>
      </c>
      <c r="AM87" s="16">
        <f ca="1">'2.XDTD_S.Tr.T'!AO159</f>
        <v>0</v>
      </c>
      <c r="AN87" s="16">
        <f ca="1">'2.XDTD_S.Tr.T'!AP159</f>
        <v>0</v>
      </c>
      <c r="AO87" s="16">
        <f ca="1">'2.XDTD_S.Tr.T'!AP159</f>
        <v>0</v>
      </c>
      <c r="AP87" s="16">
        <f ca="1">'2.XDTD_S.Tr.T'!AR159</f>
        <v>0</v>
      </c>
      <c r="AQ87" s="16">
        <f ca="1">'2.XDTD_S.Tr.T'!AS159</f>
        <v>0</v>
      </c>
      <c r="AR87" s="16">
        <f ca="1">'2.XDTD_S.Tr.T'!AT159</f>
        <v>0</v>
      </c>
      <c r="AS87" s="16">
        <f ca="1">'2.XDTD_S.Tr.T'!AU159</f>
        <v>0</v>
      </c>
      <c r="AT87" s="16">
        <f ca="1">'2.XDTD_S.Tr.T'!AV159</f>
        <v>0</v>
      </c>
      <c r="AU87" s="16">
        <f ca="1">'2.XDTD_S.Tr.T'!AW159</f>
        <v>0</v>
      </c>
      <c r="AV87" s="16">
        <f ca="1">'2.XDTD_S.Tr.T'!AX159</f>
        <v>0</v>
      </c>
      <c r="AW87" s="16">
        <f ca="1">'2.XDTD_S.Tr.T'!AY159</f>
        <v>0</v>
      </c>
      <c r="AX87" s="16">
        <f ca="1">'2.XDTD_S.Tr.T'!AZ159</f>
        <v>0</v>
      </c>
      <c r="AY87" s="16">
        <f ca="1">'2.XDTD_S.Tr.T'!BA159</f>
        <v>0</v>
      </c>
      <c r="AZ87" s="16">
        <f ca="1">'2.XDTD_S.Tr.T'!BB159</f>
        <v>0</v>
      </c>
      <c r="BA87" s="16">
        <f ca="1">'2.XDTD_S.Tr.T'!BC159</f>
        <v>0</v>
      </c>
      <c r="BB87" s="16">
        <f ca="1">'2.XDTD_S.Tr.T'!BD159</f>
        <v>0</v>
      </c>
      <c r="BC87" s="16">
        <f ca="1">'2.XDTD_S.Tr.T'!BE159</f>
        <v>0</v>
      </c>
      <c r="BD87" s="16">
        <f ca="1">'2.XDTD_S.Tr.T'!BF159</f>
        <v>0</v>
      </c>
      <c r="BE87" s="16">
        <f ca="1">'2.XDTD_S.Tr.T'!BG159</f>
        <v>0</v>
      </c>
      <c r="BF87" s="16">
        <f ca="1">'2.XDTD_S.Tr.T'!BH159</f>
        <v>0</v>
      </c>
      <c r="BG87" s="16">
        <f ca="1">'2.XDTD_S.Tr.T'!BI159</f>
        <v>0</v>
      </c>
      <c r="BH87" s="16">
        <f ca="1">'2.XDTD_S.Tr.T'!BJ159</f>
        <v>0</v>
      </c>
      <c r="BI87" s="16">
        <f ca="1">'2.XDTD_S.Tr.T'!BK159</f>
        <v>0</v>
      </c>
      <c r="BJ87" s="16">
        <f ca="1">'2.XDTD_S.Tr.T'!BL159</f>
        <v>0</v>
      </c>
      <c r="BK87" s="16">
        <f ca="1">'2.XDTD_S.Tr.T'!BM159</f>
        <v>0</v>
      </c>
      <c r="BL87" s="16">
        <f ca="1">'2.XDTD_S.Tr.T'!BN159</f>
        <v>0</v>
      </c>
      <c r="BM87" s="16">
        <f ca="1">'2.XDTD_S.Tr.T'!BO159</f>
        <v>0</v>
      </c>
      <c r="BN87" s="16">
        <f ca="1">'2.XDTD_S.Tr.T'!BP159</f>
        <v>0</v>
      </c>
      <c r="BO87" s="16">
        <f ca="1">'2.XDTD_S.Tr.T'!BP159</f>
        <v>0</v>
      </c>
      <c r="BP87" s="16">
        <f ca="1">'2.XDTD_S.Tr.T'!BR159</f>
        <v>0</v>
      </c>
      <c r="BQ87" s="16">
        <f ca="1">'2.XDTD_S.Tr.T'!BS159</f>
        <v>0</v>
      </c>
      <c r="BR87" s="16">
        <f ca="1">'2.XDTD_S.Tr.T'!BT159</f>
        <v>0</v>
      </c>
      <c r="BS87" s="16">
        <f ca="1">'2.XDTD_S.Tr.T'!BU159</f>
        <v>0</v>
      </c>
      <c r="BT87" s="16">
        <f ca="1">'2.XDTD_S.Tr.T'!BV159</f>
        <v>0</v>
      </c>
      <c r="BU87" s="16">
        <f ca="1">'2.XDTD_S.Tr.T'!BW159</f>
        <v>0</v>
      </c>
      <c r="BV87" s="16">
        <f ca="1">'2.XDTD_S.Tr.T'!BX159</f>
        <v>0</v>
      </c>
      <c r="BW87" s="16">
        <f ca="1">'2.XDTD_S.Tr.T'!BY159</f>
        <v>0</v>
      </c>
      <c r="BX87" s="16">
        <f ca="1">'2.XDTD_S.Tr.T'!BZ159</f>
        <v>0</v>
      </c>
      <c r="BY87" s="16">
        <f ca="1">'2.XDTD_S.Tr.T'!CA159</f>
        <v>0</v>
      </c>
      <c r="BZ87" s="16">
        <f ca="1">'2.XDTD_S.Tr.T'!CB159</f>
        <v>0</v>
      </c>
      <c r="CA87" s="16">
        <f ca="1">'2.XDTD_S.Tr.T'!CC159</f>
        <v>0</v>
      </c>
      <c r="CB87" s="16">
        <f ca="1">'2.XDTD_S.Tr.T'!CD159</f>
        <v>0</v>
      </c>
      <c r="CC87" s="16">
        <f ca="1">'2.XDTD_S.Tr.T'!CE159</f>
        <v>0</v>
      </c>
      <c r="CD87" s="16">
        <f ca="1">'2.XDTD_S.Tr.T'!CF159</f>
        <v>0</v>
      </c>
      <c r="CE87" s="16">
        <f ca="1">'2.XDTD_S.Tr.T'!CG159</f>
        <v>0</v>
      </c>
      <c r="CF87" s="16">
        <f ca="1">'2.XDTD_S.Tr.T'!CH159</f>
        <v>0</v>
      </c>
      <c r="CG87" s="16">
        <f ca="1">'2.XDTD_S.Tr.T'!CI159</f>
        <v>0</v>
      </c>
      <c r="CH87" s="16">
        <f ca="1">'2.XDTD_S.Tr.T'!CJ159</f>
        <v>0</v>
      </c>
      <c r="CI87" s="16">
        <f ca="1">'2.XDTD_S.Tr.T'!CK159</f>
        <v>0</v>
      </c>
      <c r="CJ87" s="16">
        <f ca="1">'2.XDTD_S.Tr.T'!CL159</f>
        <v>0</v>
      </c>
      <c r="CK87" s="16">
        <f ca="1">'2.XDTD_S.Tr.T'!CM159</f>
        <v>0</v>
      </c>
      <c r="CL87" s="16">
        <f ca="1">'2.XDTD_S.Tr.T'!CN159</f>
        <v>0</v>
      </c>
      <c r="CM87" s="16">
        <f ca="1">'2.XDTD_S.Tr.T'!CO159</f>
        <v>0</v>
      </c>
      <c r="CN87" s="16">
        <f ca="1">'2.XDTD_S.Tr.T'!CP159</f>
        <v>0</v>
      </c>
      <c r="CO87" s="16">
        <f ca="1">'2.XDTD_S.Tr.T'!CP159</f>
        <v>0</v>
      </c>
    </row>
    <row r="88" spans="3:93" ht="19.95" hidden="1" customHeight="1">
      <c r="C88" s="5"/>
      <c r="D88" s="11">
        <f>'2.XDTD_S.Tr.T'!F160</f>
        <v>0</v>
      </c>
      <c r="E88" s="7">
        <f>'2.XDTD_S.Tr.T'!G160</f>
        <v>0</v>
      </c>
      <c r="F88" s="17">
        <f>'2.XDTD_S.Tr.T'!H160</f>
        <v>0</v>
      </c>
      <c r="G88" s="9">
        <f ca="1">'2.XDTD_S.Tr.T'!I160</f>
        <v>0</v>
      </c>
      <c r="H88" s="10">
        <f ca="1">'2.XDTD_S.Tr.T'!J160</f>
        <v>0</v>
      </c>
      <c r="I88" s="9">
        <f ca="1">'2.XDTD_S.Tr.T'!K160</f>
        <v>0</v>
      </c>
      <c r="J88" s="13">
        <f>'2.XDTD_S.Tr.T'!L160</f>
        <v>0</v>
      </c>
      <c r="K88" s="13">
        <f>'2.XDTD_S.Tr.T'!M160</f>
        <v>0</v>
      </c>
      <c r="L88" s="9">
        <f ca="1">'2.XDTD_S.Tr.T'!N160</f>
        <v>0</v>
      </c>
      <c r="M88" s="14">
        <f>'2.XDTD_S.Tr.T'!O160</f>
        <v>0</v>
      </c>
      <c r="N88" s="14">
        <f>'2.XDTD_S.Tr.T'!P160</f>
        <v>0</v>
      </c>
      <c r="O88" s="9">
        <f>'2.XDTD_S.Tr.T'!P160</f>
        <v>0</v>
      </c>
      <c r="P88" s="15">
        <f ca="1">'2.XDTD_S.Tr.T'!R160</f>
        <v>0</v>
      </c>
      <c r="Q88" s="16">
        <f ca="1">'2.XDTD_S.Tr.T'!S160</f>
        <v>0</v>
      </c>
      <c r="R88" s="16">
        <f ca="1">'2.XDTD_S.Tr.T'!T160</f>
        <v>0</v>
      </c>
      <c r="S88" s="16">
        <f ca="1">'2.XDTD_S.Tr.T'!U160</f>
        <v>0</v>
      </c>
      <c r="T88" s="16">
        <f ca="1">'2.XDTD_S.Tr.T'!V160</f>
        <v>0</v>
      </c>
      <c r="U88" s="16">
        <f ca="1">'2.XDTD_S.Tr.T'!W160</f>
        <v>0</v>
      </c>
      <c r="V88" s="16">
        <f ca="1">'2.XDTD_S.Tr.T'!X160</f>
        <v>0</v>
      </c>
      <c r="W88" s="16">
        <f ca="1">'2.XDTD_S.Tr.T'!Y160</f>
        <v>0</v>
      </c>
      <c r="X88" s="16">
        <f ca="1">'2.XDTD_S.Tr.T'!Z160</f>
        <v>0</v>
      </c>
      <c r="Y88" s="16">
        <f ca="1">'2.XDTD_S.Tr.T'!AA160</f>
        <v>0</v>
      </c>
      <c r="Z88" s="16">
        <f ca="1">'2.XDTD_S.Tr.T'!AB160</f>
        <v>0</v>
      </c>
      <c r="AA88" s="16">
        <f ca="1">'2.XDTD_S.Tr.T'!AC160</f>
        <v>0</v>
      </c>
      <c r="AB88" s="16">
        <f ca="1">'2.XDTD_S.Tr.T'!AD160</f>
        <v>0</v>
      </c>
      <c r="AC88" s="16">
        <f ca="1">'2.XDTD_S.Tr.T'!AE160</f>
        <v>0</v>
      </c>
      <c r="AD88" s="16">
        <f ca="1">'2.XDTD_S.Tr.T'!AF160</f>
        <v>0</v>
      </c>
      <c r="AE88" s="16">
        <f ca="1">'2.XDTD_S.Tr.T'!AG160</f>
        <v>0</v>
      </c>
      <c r="AF88" s="16">
        <f ca="1">'2.XDTD_S.Tr.T'!AH160</f>
        <v>0</v>
      </c>
      <c r="AG88" s="16">
        <f ca="1">'2.XDTD_S.Tr.T'!AI160</f>
        <v>0</v>
      </c>
      <c r="AH88" s="16">
        <f ca="1">'2.XDTD_S.Tr.T'!AJ160</f>
        <v>0</v>
      </c>
      <c r="AI88" s="16">
        <f ca="1">'2.XDTD_S.Tr.T'!AK160</f>
        <v>0</v>
      </c>
      <c r="AJ88" s="16">
        <f ca="1">'2.XDTD_S.Tr.T'!AL160</f>
        <v>0</v>
      </c>
      <c r="AK88" s="16">
        <f ca="1">'2.XDTD_S.Tr.T'!AM160</f>
        <v>0</v>
      </c>
      <c r="AL88" s="16">
        <f ca="1">'2.XDTD_S.Tr.T'!AN160</f>
        <v>0</v>
      </c>
      <c r="AM88" s="16">
        <f ca="1">'2.XDTD_S.Tr.T'!AO160</f>
        <v>0</v>
      </c>
      <c r="AN88" s="16">
        <f ca="1">'2.XDTD_S.Tr.T'!AP160</f>
        <v>0</v>
      </c>
      <c r="AO88" s="16">
        <f ca="1">'2.XDTD_S.Tr.T'!AP160</f>
        <v>0</v>
      </c>
      <c r="AP88" s="16">
        <f ca="1">'2.XDTD_S.Tr.T'!AR160</f>
        <v>0</v>
      </c>
      <c r="AQ88" s="16">
        <f ca="1">'2.XDTD_S.Tr.T'!AS160</f>
        <v>0</v>
      </c>
      <c r="AR88" s="16">
        <f ca="1">'2.XDTD_S.Tr.T'!AT160</f>
        <v>0</v>
      </c>
      <c r="AS88" s="16">
        <f ca="1">'2.XDTD_S.Tr.T'!AU160</f>
        <v>0</v>
      </c>
      <c r="AT88" s="16">
        <f ca="1">'2.XDTD_S.Tr.T'!AV160</f>
        <v>0</v>
      </c>
      <c r="AU88" s="16">
        <f ca="1">'2.XDTD_S.Tr.T'!AW160</f>
        <v>0</v>
      </c>
      <c r="AV88" s="16">
        <f ca="1">'2.XDTD_S.Tr.T'!AX160</f>
        <v>0</v>
      </c>
      <c r="AW88" s="16">
        <f ca="1">'2.XDTD_S.Tr.T'!AY160</f>
        <v>0</v>
      </c>
      <c r="AX88" s="16">
        <f ca="1">'2.XDTD_S.Tr.T'!AZ160</f>
        <v>0</v>
      </c>
      <c r="AY88" s="16">
        <f ca="1">'2.XDTD_S.Tr.T'!BA160</f>
        <v>0</v>
      </c>
      <c r="AZ88" s="16">
        <f ca="1">'2.XDTD_S.Tr.T'!BB160</f>
        <v>0</v>
      </c>
      <c r="BA88" s="16">
        <f ca="1">'2.XDTD_S.Tr.T'!BC160</f>
        <v>0</v>
      </c>
      <c r="BB88" s="16">
        <f ca="1">'2.XDTD_S.Tr.T'!BD160</f>
        <v>0</v>
      </c>
      <c r="BC88" s="16">
        <f ca="1">'2.XDTD_S.Tr.T'!BE160</f>
        <v>0</v>
      </c>
      <c r="BD88" s="16">
        <f ca="1">'2.XDTD_S.Tr.T'!BF160</f>
        <v>0</v>
      </c>
      <c r="BE88" s="16">
        <f ca="1">'2.XDTD_S.Tr.T'!BG160</f>
        <v>0</v>
      </c>
      <c r="BF88" s="16">
        <f ca="1">'2.XDTD_S.Tr.T'!BH160</f>
        <v>0</v>
      </c>
      <c r="BG88" s="16">
        <f ca="1">'2.XDTD_S.Tr.T'!BI160</f>
        <v>0</v>
      </c>
      <c r="BH88" s="16">
        <f ca="1">'2.XDTD_S.Tr.T'!BJ160</f>
        <v>0</v>
      </c>
      <c r="BI88" s="16">
        <f ca="1">'2.XDTD_S.Tr.T'!BK160</f>
        <v>0</v>
      </c>
      <c r="BJ88" s="16">
        <f ca="1">'2.XDTD_S.Tr.T'!BL160</f>
        <v>0</v>
      </c>
      <c r="BK88" s="16">
        <f ca="1">'2.XDTD_S.Tr.T'!BM160</f>
        <v>0</v>
      </c>
      <c r="BL88" s="16">
        <f ca="1">'2.XDTD_S.Tr.T'!BN160</f>
        <v>0</v>
      </c>
      <c r="BM88" s="16">
        <f ca="1">'2.XDTD_S.Tr.T'!BO160</f>
        <v>0</v>
      </c>
      <c r="BN88" s="16">
        <f ca="1">'2.XDTD_S.Tr.T'!BP160</f>
        <v>0</v>
      </c>
      <c r="BO88" s="16">
        <f ca="1">'2.XDTD_S.Tr.T'!BP160</f>
        <v>0</v>
      </c>
      <c r="BP88" s="16">
        <f ca="1">'2.XDTD_S.Tr.T'!BR160</f>
        <v>0</v>
      </c>
      <c r="BQ88" s="16">
        <f ca="1">'2.XDTD_S.Tr.T'!BS160</f>
        <v>0</v>
      </c>
      <c r="BR88" s="16">
        <f ca="1">'2.XDTD_S.Tr.T'!BT160</f>
        <v>0</v>
      </c>
      <c r="BS88" s="16">
        <f ca="1">'2.XDTD_S.Tr.T'!BU160</f>
        <v>0</v>
      </c>
      <c r="BT88" s="16">
        <f ca="1">'2.XDTD_S.Tr.T'!BV160</f>
        <v>0</v>
      </c>
      <c r="BU88" s="16">
        <f ca="1">'2.XDTD_S.Tr.T'!BW160</f>
        <v>0</v>
      </c>
      <c r="BV88" s="16">
        <f ca="1">'2.XDTD_S.Tr.T'!BX160</f>
        <v>0</v>
      </c>
      <c r="BW88" s="16">
        <f ca="1">'2.XDTD_S.Tr.T'!BY160</f>
        <v>0</v>
      </c>
      <c r="BX88" s="16">
        <f ca="1">'2.XDTD_S.Tr.T'!BZ160</f>
        <v>0</v>
      </c>
      <c r="BY88" s="16">
        <f ca="1">'2.XDTD_S.Tr.T'!CA160</f>
        <v>0</v>
      </c>
      <c r="BZ88" s="16">
        <f ca="1">'2.XDTD_S.Tr.T'!CB160</f>
        <v>0</v>
      </c>
      <c r="CA88" s="16">
        <f ca="1">'2.XDTD_S.Tr.T'!CC160</f>
        <v>0</v>
      </c>
      <c r="CB88" s="16">
        <f ca="1">'2.XDTD_S.Tr.T'!CD160</f>
        <v>0</v>
      </c>
      <c r="CC88" s="16">
        <f ca="1">'2.XDTD_S.Tr.T'!CE160</f>
        <v>0</v>
      </c>
      <c r="CD88" s="16">
        <f ca="1">'2.XDTD_S.Tr.T'!CF160</f>
        <v>0</v>
      </c>
      <c r="CE88" s="16">
        <f ca="1">'2.XDTD_S.Tr.T'!CG160</f>
        <v>0</v>
      </c>
      <c r="CF88" s="16">
        <f ca="1">'2.XDTD_S.Tr.T'!CH160</f>
        <v>0</v>
      </c>
      <c r="CG88" s="16">
        <f ca="1">'2.XDTD_S.Tr.T'!CI160</f>
        <v>0</v>
      </c>
      <c r="CH88" s="16">
        <f ca="1">'2.XDTD_S.Tr.T'!CJ160</f>
        <v>0</v>
      </c>
      <c r="CI88" s="16">
        <f ca="1">'2.XDTD_S.Tr.T'!CK160</f>
        <v>0</v>
      </c>
      <c r="CJ88" s="16">
        <f ca="1">'2.XDTD_S.Tr.T'!CL160</f>
        <v>0</v>
      </c>
      <c r="CK88" s="16">
        <f ca="1">'2.XDTD_S.Tr.T'!CM160</f>
        <v>0</v>
      </c>
      <c r="CL88" s="16">
        <f ca="1">'2.XDTD_S.Tr.T'!CN160</f>
        <v>0</v>
      </c>
      <c r="CM88" s="16">
        <f ca="1">'2.XDTD_S.Tr.T'!CO160</f>
        <v>0</v>
      </c>
      <c r="CN88" s="16">
        <f ca="1">'2.XDTD_S.Tr.T'!CP160</f>
        <v>0</v>
      </c>
      <c r="CO88" s="16">
        <f ca="1">'2.XDTD_S.Tr.T'!CP160</f>
        <v>0</v>
      </c>
    </row>
    <row r="89" spans="3:93" ht="19.95" hidden="1" customHeight="1">
      <c r="C89" s="5"/>
      <c r="D89" s="11">
        <f>'2.XDTD_S.Tr.T'!F161</f>
        <v>0</v>
      </c>
      <c r="E89" s="7">
        <f>'2.XDTD_S.Tr.T'!G161</f>
        <v>0</v>
      </c>
      <c r="F89" s="17">
        <f>'2.XDTD_S.Tr.T'!H161</f>
        <v>0</v>
      </c>
      <c r="G89" s="9">
        <f ca="1">'2.XDTD_S.Tr.T'!I161</f>
        <v>0</v>
      </c>
      <c r="H89" s="10">
        <f ca="1">'2.XDTD_S.Tr.T'!J161</f>
        <v>0</v>
      </c>
      <c r="I89" s="9">
        <f ca="1">'2.XDTD_S.Tr.T'!K161</f>
        <v>0</v>
      </c>
      <c r="J89" s="13">
        <f>'2.XDTD_S.Tr.T'!L161</f>
        <v>0</v>
      </c>
      <c r="K89" s="13">
        <f>'2.XDTD_S.Tr.T'!M161</f>
        <v>0</v>
      </c>
      <c r="L89" s="9">
        <f ca="1">'2.XDTD_S.Tr.T'!N161</f>
        <v>0</v>
      </c>
      <c r="M89" s="14">
        <f>'2.XDTD_S.Tr.T'!O161</f>
        <v>0</v>
      </c>
      <c r="N89" s="14">
        <f>'2.XDTD_S.Tr.T'!P161</f>
        <v>0</v>
      </c>
      <c r="O89" s="9">
        <f>'2.XDTD_S.Tr.T'!P161</f>
        <v>0</v>
      </c>
      <c r="P89" s="15">
        <f ca="1">'2.XDTD_S.Tr.T'!R161</f>
        <v>0</v>
      </c>
      <c r="Q89" s="16">
        <f ca="1">'2.XDTD_S.Tr.T'!S161</f>
        <v>0</v>
      </c>
      <c r="R89" s="16">
        <f ca="1">'2.XDTD_S.Tr.T'!T161</f>
        <v>0</v>
      </c>
      <c r="S89" s="16">
        <f ca="1">'2.XDTD_S.Tr.T'!U161</f>
        <v>0</v>
      </c>
      <c r="T89" s="16">
        <f ca="1">'2.XDTD_S.Tr.T'!V161</f>
        <v>0</v>
      </c>
      <c r="U89" s="16">
        <f ca="1">'2.XDTD_S.Tr.T'!W161</f>
        <v>0</v>
      </c>
      <c r="V89" s="16">
        <f ca="1">'2.XDTD_S.Tr.T'!X161</f>
        <v>0</v>
      </c>
      <c r="W89" s="16">
        <f ca="1">'2.XDTD_S.Tr.T'!Y161</f>
        <v>0</v>
      </c>
      <c r="X89" s="16">
        <f ca="1">'2.XDTD_S.Tr.T'!Z161</f>
        <v>0</v>
      </c>
      <c r="Y89" s="16">
        <f ca="1">'2.XDTD_S.Tr.T'!AA161</f>
        <v>0</v>
      </c>
      <c r="Z89" s="16">
        <f ca="1">'2.XDTD_S.Tr.T'!AB161</f>
        <v>0</v>
      </c>
      <c r="AA89" s="16">
        <f ca="1">'2.XDTD_S.Tr.T'!AC161</f>
        <v>0</v>
      </c>
      <c r="AB89" s="16">
        <f ca="1">'2.XDTD_S.Tr.T'!AD161</f>
        <v>0</v>
      </c>
      <c r="AC89" s="16">
        <f ca="1">'2.XDTD_S.Tr.T'!AE161</f>
        <v>0</v>
      </c>
      <c r="AD89" s="16">
        <f ca="1">'2.XDTD_S.Tr.T'!AF161</f>
        <v>0</v>
      </c>
      <c r="AE89" s="16">
        <f ca="1">'2.XDTD_S.Tr.T'!AG161</f>
        <v>0</v>
      </c>
      <c r="AF89" s="16">
        <f ca="1">'2.XDTD_S.Tr.T'!AH161</f>
        <v>0</v>
      </c>
      <c r="AG89" s="16">
        <f ca="1">'2.XDTD_S.Tr.T'!AI161</f>
        <v>0</v>
      </c>
      <c r="AH89" s="16">
        <f ca="1">'2.XDTD_S.Tr.T'!AJ161</f>
        <v>0</v>
      </c>
      <c r="AI89" s="16">
        <f ca="1">'2.XDTD_S.Tr.T'!AK161</f>
        <v>0</v>
      </c>
      <c r="AJ89" s="16">
        <f ca="1">'2.XDTD_S.Tr.T'!AL161</f>
        <v>0</v>
      </c>
      <c r="AK89" s="16">
        <f ca="1">'2.XDTD_S.Tr.T'!AM161</f>
        <v>0</v>
      </c>
      <c r="AL89" s="16">
        <f ca="1">'2.XDTD_S.Tr.T'!AN161</f>
        <v>0</v>
      </c>
      <c r="AM89" s="16">
        <f ca="1">'2.XDTD_S.Tr.T'!AO161</f>
        <v>0</v>
      </c>
      <c r="AN89" s="16">
        <f ca="1">'2.XDTD_S.Tr.T'!AP161</f>
        <v>0</v>
      </c>
      <c r="AO89" s="16">
        <f ca="1">'2.XDTD_S.Tr.T'!AP161</f>
        <v>0</v>
      </c>
      <c r="AP89" s="16">
        <f ca="1">'2.XDTD_S.Tr.T'!AR161</f>
        <v>0</v>
      </c>
      <c r="AQ89" s="16">
        <f ca="1">'2.XDTD_S.Tr.T'!AS161</f>
        <v>0</v>
      </c>
      <c r="AR89" s="16">
        <f ca="1">'2.XDTD_S.Tr.T'!AT161</f>
        <v>0</v>
      </c>
      <c r="AS89" s="16">
        <f ca="1">'2.XDTD_S.Tr.T'!AU161</f>
        <v>0</v>
      </c>
      <c r="AT89" s="16">
        <f ca="1">'2.XDTD_S.Tr.T'!AV161</f>
        <v>0</v>
      </c>
      <c r="AU89" s="16">
        <f ca="1">'2.XDTD_S.Tr.T'!AW161</f>
        <v>0</v>
      </c>
      <c r="AV89" s="16">
        <f ca="1">'2.XDTD_S.Tr.T'!AX161</f>
        <v>0</v>
      </c>
      <c r="AW89" s="16">
        <f ca="1">'2.XDTD_S.Tr.T'!AY161</f>
        <v>0</v>
      </c>
      <c r="AX89" s="16">
        <f ca="1">'2.XDTD_S.Tr.T'!AZ161</f>
        <v>0</v>
      </c>
      <c r="AY89" s="16">
        <f ca="1">'2.XDTD_S.Tr.T'!BA161</f>
        <v>0</v>
      </c>
      <c r="AZ89" s="16">
        <f ca="1">'2.XDTD_S.Tr.T'!BB161</f>
        <v>0</v>
      </c>
      <c r="BA89" s="16">
        <f ca="1">'2.XDTD_S.Tr.T'!BC161</f>
        <v>0</v>
      </c>
      <c r="BB89" s="16">
        <f ca="1">'2.XDTD_S.Tr.T'!BD161</f>
        <v>0</v>
      </c>
      <c r="BC89" s="16">
        <f ca="1">'2.XDTD_S.Tr.T'!BE161</f>
        <v>0</v>
      </c>
      <c r="BD89" s="16">
        <f ca="1">'2.XDTD_S.Tr.T'!BF161</f>
        <v>0</v>
      </c>
      <c r="BE89" s="16">
        <f ca="1">'2.XDTD_S.Tr.T'!BG161</f>
        <v>0</v>
      </c>
      <c r="BF89" s="16">
        <f ca="1">'2.XDTD_S.Tr.T'!BH161</f>
        <v>0</v>
      </c>
      <c r="BG89" s="16">
        <f ca="1">'2.XDTD_S.Tr.T'!BI161</f>
        <v>0</v>
      </c>
      <c r="BH89" s="16">
        <f ca="1">'2.XDTD_S.Tr.T'!BJ161</f>
        <v>0</v>
      </c>
      <c r="BI89" s="16">
        <f ca="1">'2.XDTD_S.Tr.T'!BK161</f>
        <v>0</v>
      </c>
      <c r="BJ89" s="16">
        <f ca="1">'2.XDTD_S.Tr.T'!BL161</f>
        <v>0</v>
      </c>
      <c r="BK89" s="16">
        <f ca="1">'2.XDTD_S.Tr.T'!BM161</f>
        <v>0</v>
      </c>
      <c r="BL89" s="16">
        <f ca="1">'2.XDTD_S.Tr.T'!BN161</f>
        <v>0</v>
      </c>
      <c r="BM89" s="16">
        <f ca="1">'2.XDTD_S.Tr.T'!BO161</f>
        <v>0</v>
      </c>
      <c r="BN89" s="16">
        <f ca="1">'2.XDTD_S.Tr.T'!BP161</f>
        <v>0</v>
      </c>
      <c r="BO89" s="16">
        <f ca="1">'2.XDTD_S.Tr.T'!BP161</f>
        <v>0</v>
      </c>
      <c r="BP89" s="16">
        <f ca="1">'2.XDTD_S.Tr.T'!BR161</f>
        <v>0</v>
      </c>
      <c r="BQ89" s="16">
        <f ca="1">'2.XDTD_S.Tr.T'!BS161</f>
        <v>0</v>
      </c>
      <c r="BR89" s="16">
        <f ca="1">'2.XDTD_S.Tr.T'!BT161</f>
        <v>0</v>
      </c>
      <c r="BS89" s="16">
        <f ca="1">'2.XDTD_S.Tr.T'!BU161</f>
        <v>0</v>
      </c>
      <c r="BT89" s="16">
        <f ca="1">'2.XDTD_S.Tr.T'!BV161</f>
        <v>0</v>
      </c>
      <c r="BU89" s="16">
        <f ca="1">'2.XDTD_S.Tr.T'!BW161</f>
        <v>0</v>
      </c>
      <c r="BV89" s="16">
        <f ca="1">'2.XDTD_S.Tr.T'!BX161</f>
        <v>0</v>
      </c>
      <c r="BW89" s="16">
        <f ca="1">'2.XDTD_S.Tr.T'!BY161</f>
        <v>0</v>
      </c>
      <c r="BX89" s="16">
        <f ca="1">'2.XDTD_S.Tr.T'!BZ161</f>
        <v>0</v>
      </c>
      <c r="BY89" s="16">
        <f ca="1">'2.XDTD_S.Tr.T'!CA161</f>
        <v>0</v>
      </c>
      <c r="BZ89" s="16">
        <f ca="1">'2.XDTD_S.Tr.T'!CB161</f>
        <v>0</v>
      </c>
      <c r="CA89" s="16">
        <f ca="1">'2.XDTD_S.Tr.T'!CC161</f>
        <v>0</v>
      </c>
      <c r="CB89" s="16">
        <f ca="1">'2.XDTD_S.Tr.T'!CD161</f>
        <v>0</v>
      </c>
      <c r="CC89" s="16">
        <f ca="1">'2.XDTD_S.Tr.T'!CE161</f>
        <v>0</v>
      </c>
      <c r="CD89" s="16">
        <f ca="1">'2.XDTD_S.Tr.T'!CF161</f>
        <v>0</v>
      </c>
      <c r="CE89" s="16">
        <f ca="1">'2.XDTD_S.Tr.T'!CG161</f>
        <v>0</v>
      </c>
      <c r="CF89" s="16">
        <f ca="1">'2.XDTD_S.Tr.T'!CH161</f>
        <v>0</v>
      </c>
      <c r="CG89" s="16">
        <f ca="1">'2.XDTD_S.Tr.T'!CI161</f>
        <v>0</v>
      </c>
      <c r="CH89" s="16">
        <f ca="1">'2.XDTD_S.Tr.T'!CJ161</f>
        <v>0</v>
      </c>
      <c r="CI89" s="16">
        <f ca="1">'2.XDTD_S.Tr.T'!CK161</f>
        <v>0</v>
      </c>
      <c r="CJ89" s="16">
        <f ca="1">'2.XDTD_S.Tr.T'!CL161</f>
        <v>0</v>
      </c>
      <c r="CK89" s="16">
        <f ca="1">'2.XDTD_S.Tr.T'!CM161</f>
        <v>0</v>
      </c>
      <c r="CL89" s="16">
        <f ca="1">'2.XDTD_S.Tr.T'!CN161</f>
        <v>0</v>
      </c>
      <c r="CM89" s="16">
        <f ca="1">'2.XDTD_S.Tr.T'!CO161</f>
        <v>0</v>
      </c>
      <c r="CN89" s="16">
        <f ca="1">'2.XDTD_S.Tr.T'!CP161</f>
        <v>0</v>
      </c>
      <c r="CO89" s="16">
        <f ca="1">'2.XDTD_S.Tr.T'!CP161</f>
        <v>0</v>
      </c>
    </row>
    <row r="90" spans="3:93" ht="19.95" customHeight="1">
      <c r="C90" s="5"/>
      <c r="D90" s="11" t="str">
        <f>'2.XDTD_S.Tr.T'!F162</f>
        <v>Bơ thực vật</v>
      </c>
      <c r="E90" s="7" t="e">
        <f ca="1">'2.XDTD_S.Tr.T'!G162</f>
        <v>#NAME?</v>
      </c>
      <c r="F90" s="17">
        <f>'2.XDTD_S.Tr.T'!H162</f>
        <v>3.7</v>
      </c>
      <c r="G90" s="9">
        <f ca="1">'2.XDTD_S.Tr.T'!I162</f>
        <v>0</v>
      </c>
      <c r="H90" s="10">
        <f ca="1">'2.XDTD_S.Tr.T'!J162</f>
        <v>0</v>
      </c>
      <c r="I90" s="9">
        <f ca="1">'2.XDTD_S.Tr.T'!K162</f>
        <v>0</v>
      </c>
      <c r="J90" s="13" t="e">
        <f ca="1">'2.XDTD_S.Tr.T'!L162</f>
        <v>#NAME?</v>
      </c>
      <c r="K90" s="13" t="e">
        <f ca="1">'2.XDTD_S.Tr.T'!M162</f>
        <v>#NAME?</v>
      </c>
      <c r="L90" s="9">
        <f ca="1">'2.XDTD_S.Tr.T'!N162</f>
        <v>0</v>
      </c>
      <c r="M90" s="14" t="e">
        <f ca="1">'2.XDTD_S.Tr.T'!O162</f>
        <v>#NAME?</v>
      </c>
      <c r="N90" s="14" t="e">
        <f ca="1">'2.XDTD_S.Tr.T'!P162</f>
        <v>#NAME?</v>
      </c>
      <c r="O90" s="9" t="e">
        <f ca="1">'2.XDTD_S.Tr.T'!P162</f>
        <v>#NAME?</v>
      </c>
      <c r="P90" s="15">
        <f ca="1">'2.XDTD_S.Tr.T'!R162</f>
        <v>0</v>
      </c>
      <c r="Q90" s="16">
        <f ca="1">'2.XDTD_S.Tr.T'!S162</f>
        <v>0</v>
      </c>
      <c r="R90" s="16">
        <f ca="1">'2.XDTD_S.Tr.T'!T162</f>
        <v>0</v>
      </c>
      <c r="S90" s="16">
        <f ca="1">'2.XDTD_S.Tr.T'!U162</f>
        <v>0</v>
      </c>
      <c r="T90" s="16">
        <f ca="1">'2.XDTD_S.Tr.T'!V162</f>
        <v>0</v>
      </c>
      <c r="U90" s="16">
        <f ca="1">'2.XDTD_S.Tr.T'!W162</f>
        <v>0</v>
      </c>
      <c r="V90" s="16">
        <f ca="1">'2.XDTD_S.Tr.T'!X162</f>
        <v>0</v>
      </c>
      <c r="W90" s="16">
        <f ca="1">'2.XDTD_S.Tr.T'!Y162</f>
        <v>0</v>
      </c>
      <c r="X90" s="16">
        <f ca="1">'2.XDTD_S.Tr.T'!Z162</f>
        <v>0</v>
      </c>
      <c r="Y90" s="16">
        <f ca="1">'2.XDTD_S.Tr.T'!AA162</f>
        <v>0</v>
      </c>
      <c r="Z90" s="16">
        <f ca="1">'2.XDTD_S.Tr.T'!AB162</f>
        <v>0</v>
      </c>
      <c r="AA90" s="16">
        <f ca="1">'2.XDTD_S.Tr.T'!AC162</f>
        <v>0</v>
      </c>
      <c r="AB90" s="16">
        <f ca="1">'2.XDTD_S.Tr.T'!AD162</f>
        <v>0</v>
      </c>
      <c r="AC90" s="16">
        <f ca="1">'2.XDTD_S.Tr.T'!AE162</f>
        <v>0</v>
      </c>
      <c r="AD90" s="16">
        <f ca="1">'2.XDTD_S.Tr.T'!AF162</f>
        <v>0</v>
      </c>
      <c r="AE90" s="16">
        <f ca="1">'2.XDTD_S.Tr.T'!AG162</f>
        <v>0</v>
      </c>
      <c r="AF90" s="16">
        <f ca="1">'2.XDTD_S.Tr.T'!AH162</f>
        <v>0</v>
      </c>
      <c r="AG90" s="16">
        <f ca="1">'2.XDTD_S.Tr.T'!AI162</f>
        <v>0</v>
      </c>
      <c r="AH90" s="16">
        <f ca="1">'2.XDTD_S.Tr.T'!AJ162</f>
        <v>0</v>
      </c>
      <c r="AI90" s="16">
        <f ca="1">'2.XDTD_S.Tr.T'!AK162</f>
        <v>0</v>
      </c>
      <c r="AJ90" s="16">
        <f ca="1">'2.XDTD_S.Tr.T'!AL162</f>
        <v>0</v>
      </c>
      <c r="AK90" s="16">
        <f ca="1">'2.XDTD_S.Tr.T'!AM162</f>
        <v>0</v>
      </c>
      <c r="AL90" s="16">
        <f ca="1">'2.XDTD_S.Tr.T'!AN162</f>
        <v>0</v>
      </c>
      <c r="AM90" s="16">
        <f ca="1">'2.XDTD_S.Tr.T'!AO162</f>
        <v>0</v>
      </c>
      <c r="AN90" s="16">
        <f ca="1">'2.XDTD_S.Tr.T'!AP162</f>
        <v>0</v>
      </c>
      <c r="AO90" s="16">
        <f ca="1">'2.XDTD_S.Tr.T'!AP162</f>
        <v>0</v>
      </c>
      <c r="AP90" s="16">
        <f ca="1">'2.XDTD_S.Tr.T'!AR162</f>
        <v>0</v>
      </c>
      <c r="AQ90" s="16">
        <f ca="1">'2.XDTD_S.Tr.T'!AS162</f>
        <v>0</v>
      </c>
      <c r="AR90" s="16">
        <f ca="1">'2.XDTD_S.Tr.T'!AT162</f>
        <v>0</v>
      </c>
      <c r="AS90" s="16">
        <f ca="1">'2.XDTD_S.Tr.T'!AU162</f>
        <v>0</v>
      </c>
      <c r="AT90" s="16">
        <f ca="1">'2.XDTD_S.Tr.T'!AV162</f>
        <v>0</v>
      </c>
      <c r="AU90" s="16">
        <f ca="1">'2.XDTD_S.Tr.T'!AW162</f>
        <v>0</v>
      </c>
      <c r="AV90" s="16">
        <f ca="1">'2.XDTD_S.Tr.T'!AX162</f>
        <v>0</v>
      </c>
      <c r="AW90" s="16">
        <f ca="1">'2.XDTD_S.Tr.T'!AY162</f>
        <v>0</v>
      </c>
      <c r="AX90" s="16">
        <f ca="1">'2.XDTD_S.Tr.T'!AZ162</f>
        <v>0</v>
      </c>
      <c r="AY90" s="16">
        <f ca="1">'2.XDTD_S.Tr.T'!BA162</f>
        <v>0</v>
      </c>
      <c r="AZ90" s="16">
        <f ca="1">'2.XDTD_S.Tr.T'!BB162</f>
        <v>0</v>
      </c>
      <c r="BA90" s="16">
        <f ca="1">'2.XDTD_S.Tr.T'!BC162</f>
        <v>0</v>
      </c>
      <c r="BB90" s="16">
        <f ca="1">'2.XDTD_S.Tr.T'!BD162</f>
        <v>0</v>
      </c>
      <c r="BC90" s="16">
        <f ca="1">'2.XDTD_S.Tr.T'!BE162</f>
        <v>0</v>
      </c>
      <c r="BD90" s="16">
        <f ca="1">'2.XDTD_S.Tr.T'!BF162</f>
        <v>0</v>
      </c>
      <c r="BE90" s="16">
        <f ca="1">'2.XDTD_S.Tr.T'!BG162</f>
        <v>0</v>
      </c>
      <c r="BF90" s="16">
        <f ca="1">'2.XDTD_S.Tr.T'!BH162</f>
        <v>0</v>
      </c>
      <c r="BG90" s="16">
        <f ca="1">'2.XDTD_S.Tr.T'!BI162</f>
        <v>0</v>
      </c>
      <c r="BH90" s="16">
        <f ca="1">'2.XDTD_S.Tr.T'!BJ162</f>
        <v>0</v>
      </c>
      <c r="BI90" s="16">
        <f ca="1">'2.XDTD_S.Tr.T'!BK162</f>
        <v>0</v>
      </c>
      <c r="BJ90" s="16">
        <f ca="1">'2.XDTD_S.Tr.T'!BL162</f>
        <v>0</v>
      </c>
      <c r="BK90" s="16">
        <f ca="1">'2.XDTD_S.Tr.T'!BM162</f>
        <v>0</v>
      </c>
      <c r="BL90" s="16">
        <f ca="1">'2.XDTD_S.Tr.T'!BN162</f>
        <v>0</v>
      </c>
      <c r="BM90" s="16">
        <f ca="1">'2.XDTD_S.Tr.T'!BO162</f>
        <v>0</v>
      </c>
      <c r="BN90" s="16">
        <f ca="1">'2.XDTD_S.Tr.T'!BP162</f>
        <v>0</v>
      </c>
      <c r="BO90" s="16">
        <f ca="1">'2.XDTD_S.Tr.T'!BP162</f>
        <v>0</v>
      </c>
      <c r="BP90" s="16">
        <f ca="1">'2.XDTD_S.Tr.T'!BR162</f>
        <v>0</v>
      </c>
      <c r="BQ90" s="16">
        <f ca="1">'2.XDTD_S.Tr.T'!BS162</f>
        <v>0</v>
      </c>
      <c r="BR90" s="16">
        <f ca="1">'2.XDTD_S.Tr.T'!BT162</f>
        <v>0</v>
      </c>
      <c r="BS90" s="16">
        <f ca="1">'2.XDTD_S.Tr.T'!BU162</f>
        <v>0</v>
      </c>
      <c r="BT90" s="16">
        <f ca="1">'2.XDTD_S.Tr.T'!BV162</f>
        <v>0</v>
      </c>
      <c r="BU90" s="16">
        <f ca="1">'2.XDTD_S.Tr.T'!BW162</f>
        <v>0</v>
      </c>
      <c r="BV90" s="16">
        <f ca="1">'2.XDTD_S.Tr.T'!BX162</f>
        <v>0</v>
      </c>
      <c r="BW90" s="16">
        <f ca="1">'2.XDTD_S.Tr.T'!BY162</f>
        <v>0</v>
      </c>
      <c r="BX90" s="16">
        <f ca="1">'2.XDTD_S.Tr.T'!BZ162</f>
        <v>0</v>
      </c>
      <c r="BY90" s="16">
        <f ca="1">'2.XDTD_S.Tr.T'!CA162</f>
        <v>0</v>
      </c>
      <c r="BZ90" s="16">
        <f ca="1">'2.XDTD_S.Tr.T'!CB162</f>
        <v>0</v>
      </c>
      <c r="CA90" s="16">
        <f ca="1">'2.XDTD_S.Tr.T'!CC162</f>
        <v>0</v>
      </c>
      <c r="CB90" s="16">
        <f ca="1">'2.XDTD_S.Tr.T'!CD162</f>
        <v>0</v>
      </c>
      <c r="CC90" s="16">
        <f ca="1">'2.XDTD_S.Tr.T'!CE162</f>
        <v>0</v>
      </c>
      <c r="CD90" s="16">
        <f ca="1">'2.XDTD_S.Tr.T'!CF162</f>
        <v>0</v>
      </c>
      <c r="CE90" s="16">
        <f ca="1">'2.XDTD_S.Tr.T'!CG162</f>
        <v>0</v>
      </c>
      <c r="CF90" s="16">
        <f ca="1">'2.XDTD_S.Tr.T'!CH162</f>
        <v>0</v>
      </c>
      <c r="CG90" s="16">
        <f ca="1">'2.XDTD_S.Tr.T'!CI162</f>
        <v>0</v>
      </c>
      <c r="CH90" s="16">
        <f ca="1">'2.XDTD_S.Tr.T'!CJ162</f>
        <v>0</v>
      </c>
      <c r="CI90" s="16">
        <f ca="1">'2.XDTD_S.Tr.T'!CK162</f>
        <v>0</v>
      </c>
      <c r="CJ90" s="16">
        <f ca="1">'2.XDTD_S.Tr.T'!CL162</f>
        <v>0</v>
      </c>
      <c r="CK90" s="16">
        <f ca="1">'2.XDTD_S.Tr.T'!CM162</f>
        <v>0</v>
      </c>
      <c r="CL90" s="16">
        <f ca="1">'2.XDTD_S.Tr.T'!CN162</f>
        <v>0</v>
      </c>
      <c r="CM90" s="16">
        <f ca="1">'2.XDTD_S.Tr.T'!CO162</f>
        <v>0</v>
      </c>
      <c r="CN90" s="16">
        <f ca="1">'2.XDTD_S.Tr.T'!CP162</f>
        <v>0</v>
      </c>
      <c r="CO90" s="16">
        <f ca="1">'2.XDTD_S.Tr.T'!CP162</f>
        <v>0</v>
      </c>
    </row>
    <row r="91" spans="3:93" ht="19.95" hidden="1" customHeight="1">
      <c r="C91" s="5"/>
      <c r="D91" s="11">
        <f>'2.XDTD_S.Tr.T'!F163</f>
        <v>0</v>
      </c>
      <c r="E91" s="7">
        <f>'2.XDTD_S.Tr.T'!G163</f>
        <v>0</v>
      </c>
      <c r="F91" s="17">
        <f>'2.XDTD_S.Tr.T'!H163</f>
        <v>0</v>
      </c>
      <c r="G91" s="9">
        <f ca="1">'2.XDTD_S.Tr.T'!I163</f>
        <v>0</v>
      </c>
      <c r="H91" s="10">
        <f ca="1">'2.XDTD_S.Tr.T'!J163</f>
        <v>0</v>
      </c>
      <c r="I91" s="9">
        <f ca="1">'2.XDTD_S.Tr.T'!K163</f>
        <v>0</v>
      </c>
      <c r="J91" s="13">
        <f>'2.XDTD_S.Tr.T'!L163</f>
        <v>0</v>
      </c>
      <c r="K91" s="13">
        <f>'2.XDTD_S.Tr.T'!M163</f>
        <v>0</v>
      </c>
      <c r="L91" s="9">
        <f ca="1">'2.XDTD_S.Tr.T'!N163</f>
        <v>0</v>
      </c>
      <c r="M91" s="14">
        <f>'2.XDTD_S.Tr.T'!O163</f>
        <v>0</v>
      </c>
      <c r="N91" s="14">
        <f>'2.XDTD_S.Tr.T'!P163</f>
        <v>0</v>
      </c>
      <c r="O91" s="9">
        <f>'2.XDTD_S.Tr.T'!P163</f>
        <v>0</v>
      </c>
      <c r="P91" s="15">
        <f ca="1">'2.XDTD_S.Tr.T'!R163</f>
        <v>0</v>
      </c>
      <c r="Q91" s="16">
        <f ca="1">'2.XDTD_S.Tr.T'!S163</f>
        <v>0</v>
      </c>
      <c r="R91" s="16">
        <f ca="1">'2.XDTD_S.Tr.T'!T163</f>
        <v>0</v>
      </c>
      <c r="S91" s="16">
        <f ca="1">'2.XDTD_S.Tr.T'!U163</f>
        <v>0</v>
      </c>
      <c r="T91" s="16">
        <f ca="1">'2.XDTD_S.Tr.T'!V163</f>
        <v>0</v>
      </c>
      <c r="U91" s="16">
        <f ca="1">'2.XDTD_S.Tr.T'!W163</f>
        <v>0</v>
      </c>
      <c r="V91" s="16">
        <f ca="1">'2.XDTD_S.Tr.T'!X163</f>
        <v>0</v>
      </c>
      <c r="W91" s="16">
        <f ca="1">'2.XDTD_S.Tr.T'!Y163</f>
        <v>0</v>
      </c>
      <c r="X91" s="16">
        <f ca="1">'2.XDTD_S.Tr.T'!Z163</f>
        <v>0</v>
      </c>
      <c r="Y91" s="16">
        <f ca="1">'2.XDTD_S.Tr.T'!AA163</f>
        <v>0</v>
      </c>
      <c r="Z91" s="16">
        <f ca="1">'2.XDTD_S.Tr.T'!AB163</f>
        <v>0</v>
      </c>
      <c r="AA91" s="16">
        <f ca="1">'2.XDTD_S.Tr.T'!AC163</f>
        <v>0</v>
      </c>
      <c r="AB91" s="16">
        <f ca="1">'2.XDTD_S.Tr.T'!AD163</f>
        <v>0</v>
      </c>
      <c r="AC91" s="16">
        <f ca="1">'2.XDTD_S.Tr.T'!AE163</f>
        <v>0</v>
      </c>
      <c r="AD91" s="16">
        <f ca="1">'2.XDTD_S.Tr.T'!AF163</f>
        <v>0</v>
      </c>
      <c r="AE91" s="16">
        <f ca="1">'2.XDTD_S.Tr.T'!AG163</f>
        <v>0</v>
      </c>
      <c r="AF91" s="16">
        <f ca="1">'2.XDTD_S.Tr.T'!AH163</f>
        <v>0</v>
      </c>
      <c r="AG91" s="16">
        <f ca="1">'2.XDTD_S.Tr.T'!AI163</f>
        <v>0</v>
      </c>
      <c r="AH91" s="16">
        <f ca="1">'2.XDTD_S.Tr.T'!AJ163</f>
        <v>0</v>
      </c>
      <c r="AI91" s="16">
        <f ca="1">'2.XDTD_S.Tr.T'!AK163</f>
        <v>0</v>
      </c>
      <c r="AJ91" s="16">
        <f ca="1">'2.XDTD_S.Tr.T'!AL163</f>
        <v>0</v>
      </c>
      <c r="AK91" s="16">
        <f ca="1">'2.XDTD_S.Tr.T'!AM163</f>
        <v>0</v>
      </c>
      <c r="AL91" s="16">
        <f ca="1">'2.XDTD_S.Tr.T'!AN163</f>
        <v>0</v>
      </c>
      <c r="AM91" s="16">
        <f ca="1">'2.XDTD_S.Tr.T'!AO163</f>
        <v>0</v>
      </c>
      <c r="AN91" s="16">
        <f ca="1">'2.XDTD_S.Tr.T'!AP163</f>
        <v>0</v>
      </c>
      <c r="AO91" s="16">
        <f ca="1">'2.XDTD_S.Tr.T'!AP163</f>
        <v>0</v>
      </c>
      <c r="AP91" s="16">
        <f ca="1">'2.XDTD_S.Tr.T'!AR163</f>
        <v>0</v>
      </c>
      <c r="AQ91" s="16">
        <f ca="1">'2.XDTD_S.Tr.T'!AS163</f>
        <v>0</v>
      </c>
      <c r="AR91" s="16">
        <f ca="1">'2.XDTD_S.Tr.T'!AT163</f>
        <v>0</v>
      </c>
      <c r="AS91" s="16">
        <f ca="1">'2.XDTD_S.Tr.T'!AU163</f>
        <v>0</v>
      </c>
      <c r="AT91" s="16">
        <f ca="1">'2.XDTD_S.Tr.T'!AV163</f>
        <v>0</v>
      </c>
      <c r="AU91" s="16">
        <f ca="1">'2.XDTD_S.Tr.T'!AW163</f>
        <v>0</v>
      </c>
      <c r="AV91" s="16">
        <f ca="1">'2.XDTD_S.Tr.T'!AX163</f>
        <v>0</v>
      </c>
      <c r="AW91" s="16">
        <f ca="1">'2.XDTD_S.Tr.T'!AY163</f>
        <v>0</v>
      </c>
      <c r="AX91" s="16">
        <f ca="1">'2.XDTD_S.Tr.T'!AZ163</f>
        <v>0</v>
      </c>
      <c r="AY91" s="16">
        <f ca="1">'2.XDTD_S.Tr.T'!BA163</f>
        <v>0</v>
      </c>
      <c r="AZ91" s="16">
        <f ca="1">'2.XDTD_S.Tr.T'!BB163</f>
        <v>0</v>
      </c>
      <c r="BA91" s="16">
        <f ca="1">'2.XDTD_S.Tr.T'!BC163</f>
        <v>0</v>
      </c>
      <c r="BB91" s="16">
        <f ca="1">'2.XDTD_S.Tr.T'!BD163</f>
        <v>0</v>
      </c>
      <c r="BC91" s="16">
        <f ca="1">'2.XDTD_S.Tr.T'!BE163</f>
        <v>0</v>
      </c>
      <c r="BD91" s="16">
        <f ca="1">'2.XDTD_S.Tr.T'!BF163</f>
        <v>0</v>
      </c>
      <c r="BE91" s="16">
        <f ca="1">'2.XDTD_S.Tr.T'!BG163</f>
        <v>0</v>
      </c>
      <c r="BF91" s="16">
        <f ca="1">'2.XDTD_S.Tr.T'!BH163</f>
        <v>0</v>
      </c>
      <c r="BG91" s="16">
        <f ca="1">'2.XDTD_S.Tr.T'!BI163</f>
        <v>0</v>
      </c>
      <c r="BH91" s="16">
        <f ca="1">'2.XDTD_S.Tr.T'!BJ163</f>
        <v>0</v>
      </c>
      <c r="BI91" s="16">
        <f ca="1">'2.XDTD_S.Tr.T'!BK163</f>
        <v>0</v>
      </c>
      <c r="BJ91" s="16">
        <f ca="1">'2.XDTD_S.Tr.T'!BL163</f>
        <v>0</v>
      </c>
      <c r="BK91" s="16">
        <f ca="1">'2.XDTD_S.Tr.T'!BM163</f>
        <v>0</v>
      </c>
      <c r="BL91" s="16">
        <f ca="1">'2.XDTD_S.Tr.T'!BN163</f>
        <v>0</v>
      </c>
      <c r="BM91" s="16">
        <f ca="1">'2.XDTD_S.Tr.T'!BO163</f>
        <v>0</v>
      </c>
      <c r="BN91" s="16">
        <f ca="1">'2.XDTD_S.Tr.T'!BP163</f>
        <v>0</v>
      </c>
      <c r="BO91" s="16">
        <f ca="1">'2.XDTD_S.Tr.T'!BP163</f>
        <v>0</v>
      </c>
      <c r="BP91" s="16">
        <f ca="1">'2.XDTD_S.Tr.T'!BR163</f>
        <v>0</v>
      </c>
      <c r="BQ91" s="16">
        <f ca="1">'2.XDTD_S.Tr.T'!BS163</f>
        <v>0</v>
      </c>
      <c r="BR91" s="16">
        <f ca="1">'2.XDTD_S.Tr.T'!BT163</f>
        <v>0</v>
      </c>
      <c r="BS91" s="16">
        <f ca="1">'2.XDTD_S.Tr.T'!BU163</f>
        <v>0</v>
      </c>
      <c r="BT91" s="16">
        <f ca="1">'2.XDTD_S.Tr.T'!BV163</f>
        <v>0</v>
      </c>
      <c r="BU91" s="16">
        <f ca="1">'2.XDTD_S.Tr.T'!BW163</f>
        <v>0</v>
      </c>
      <c r="BV91" s="16">
        <f ca="1">'2.XDTD_S.Tr.T'!BX163</f>
        <v>0</v>
      </c>
      <c r="BW91" s="16">
        <f ca="1">'2.XDTD_S.Tr.T'!BY163</f>
        <v>0</v>
      </c>
      <c r="BX91" s="16">
        <f ca="1">'2.XDTD_S.Tr.T'!BZ163</f>
        <v>0</v>
      </c>
      <c r="BY91" s="16">
        <f ca="1">'2.XDTD_S.Tr.T'!CA163</f>
        <v>0</v>
      </c>
      <c r="BZ91" s="16">
        <f ca="1">'2.XDTD_S.Tr.T'!CB163</f>
        <v>0</v>
      </c>
      <c r="CA91" s="16">
        <f ca="1">'2.XDTD_S.Tr.T'!CC163</f>
        <v>0</v>
      </c>
      <c r="CB91" s="16">
        <f ca="1">'2.XDTD_S.Tr.T'!CD163</f>
        <v>0</v>
      </c>
      <c r="CC91" s="16">
        <f ca="1">'2.XDTD_S.Tr.T'!CE163</f>
        <v>0</v>
      </c>
      <c r="CD91" s="16">
        <f ca="1">'2.XDTD_S.Tr.T'!CF163</f>
        <v>0</v>
      </c>
      <c r="CE91" s="16">
        <f ca="1">'2.XDTD_S.Tr.T'!CG163</f>
        <v>0</v>
      </c>
      <c r="CF91" s="16">
        <f ca="1">'2.XDTD_S.Tr.T'!CH163</f>
        <v>0</v>
      </c>
      <c r="CG91" s="16">
        <f ca="1">'2.XDTD_S.Tr.T'!CI163</f>
        <v>0</v>
      </c>
      <c r="CH91" s="16">
        <f ca="1">'2.XDTD_S.Tr.T'!CJ163</f>
        <v>0</v>
      </c>
      <c r="CI91" s="16">
        <f ca="1">'2.XDTD_S.Tr.T'!CK163</f>
        <v>0</v>
      </c>
      <c r="CJ91" s="16">
        <f ca="1">'2.XDTD_S.Tr.T'!CL163</f>
        <v>0</v>
      </c>
      <c r="CK91" s="16">
        <f ca="1">'2.XDTD_S.Tr.T'!CM163</f>
        <v>0</v>
      </c>
      <c r="CL91" s="16">
        <f ca="1">'2.XDTD_S.Tr.T'!CN163</f>
        <v>0</v>
      </c>
      <c r="CM91" s="16">
        <f ca="1">'2.XDTD_S.Tr.T'!CO163</f>
        <v>0</v>
      </c>
      <c r="CN91" s="16">
        <f ca="1">'2.XDTD_S.Tr.T'!CP163</f>
        <v>0</v>
      </c>
      <c r="CO91" s="16">
        <f ca="1">'2.XDTD_S.Tr.T'!CP163</f>
        <v>0</v>
      </c>
    </row>
    <row r="92" spans="3:93" ht="19.95" hidden="1" customHeight="1">
      <c r="C92" s="5"/>
      <c r="D92" s="11">
        <f>'2.XDTD_S.Tr.T'!F164</f>
        <v>0</v>
      </c>
      <c r="E92" s="7">
        <f>'2.XDTD_S.Tr.T'!G164</f>
        <v>0</v>
      </c>
      <c r="F92" s="17">
        <f>'2.XDTD_S.Tr.T'!H164</f>
        <v>0</v>
      </c>
      <c r="G92" s="9">
        <f ca="1">'2.XDTD_S.Tr.T'!I164</f>
        <v>0</v>
      </c>
      <c r="H92" s="10">
        <f ca="1">'2.XDTD_S.Tr.T'!J164</f>
        <v>0</v>
      </c>
      <c r="I92" s="9">
        <f ca="1">'2.XDTD_S.Tr.T'!K164</f>
        <v>0</v>
      </c>
      <c r="J92" s="13">
        <f>'2.XDTD_S.Tr.T'!L164</f>
        <v>0</v>
      </c>
      <c r="K92" s="13">
        <f>'2.XDTD_S.Tr.T'!M164</f>
        <v>0</v>
      </c>
      <c r="L92" s="9">
        <f ca="1">'2.XDTD_S.Tr.T'!N164</f>
        <v>0</v>
      </c>
      <c r="M92" s="14">
        <f>'2.XDTD_S.Tr.T'!O164</f>
        <v>0</v>
      </c>
      <c r="N92" s="14">
        <f>'2.XDTD_S.Tr.T'!P164</f>
        <v>0</v>
      </c>
      <c r="O92" s="9">
        <f>'2.XDTD_S.Tr.T'!P164</f>
        <v>0</v>
      </c>
      <c r="P92" s="15">
        <f ca="1">'2.XDTD_S.Tr.T'!R164</f>
        <v>0</v>
      </c>
      <c r="Q92" s="16">
        <f ca="1">'2.XDTD_S.Tr.T'!S164</f>
        <v>0</v>
      </c>
      <c r="R92" s="16">
        <f ca="1">'2.XDTD_S.Tr.T'!T164</f>
        <v>0</v>
      </c>
      <c r="S92" s="16">
        <f ca="1">'2.XDTD_S.Tr.T'!U164</f>
        <v>0</v>
      </c>
      <c r="T92" s="16">
        <f ca="1">'2.XDTD_S.Tr.T'!V164</f>
        <v>0</v>
      </c>
      <c r="U92" s="16">
        <f ca="1">'2.XDTD_S.Tr.T'!W164</f>
        <v>0</v>
      </c>
      <c r="V92" s="16">
        <f ca="1">'2.XDTD_S.Tr.T'!X164</f>
        <v>0</v>
      </c>
      <c r="W92" s="16">
        <f ca="1">'2.XDTD_S.Tr.T'!Y164</f>
        <v>0</v>
      </c>
      <c r="X92" s="16">
        <f ca="1">'2.XDTD_S.Tr.T'!Z164</f>
        <v>0</v>
      </c>
      <c r="Y92" s="16">
        <f ca="1">'2.XDTD_S.Tr.T'!AA164</f>
        <v>0</v>
      </c>
      <c r="Z92" s="16">
        <f ca="1">'2.XDTD_S.Tr.T'!AB164</f>
        <v>0</v>
      </c>
      <c r="AA92" s="16">
        <f ca="1">'2.XDTD_S.Tr.T'!AC164</f>
        <v>0</v>
      </c>
      <c r="AB92" s="16">
        <f ca="1">'2.XDTD_S.Tr.T'!AD164</f>
        <v>0</v>
      </c>
      <c r="AC92" s="16">
        <f ca="1">'2.XDTD_S.Tr.T'!AE164</f>
        <v>0</v>
      </c>
      <c r="AD92" s="16">
        <f ca="1">'2.XDTD_S.Tr.T'!AF164</f>
        <v>0</v>
      </c>
      <c r="AE92" s="16">
        <f ca="1">'2.XDTD_S.Tr.T'!AG164</f>
        <v>0</v>
      </c>
      <c r="AF92" s="16">
        <f ca="1">'2.XDTD_S.Tr.T'!AH164</f>
        <v>0</v>
      </c>
      <c r="AG92" s="16">
        <f ca="1">'2.XDTD_S.Tr.T'!AI164</f>
        <v>0</v>
      </c>
      <c r="AH92" s="16">
        <f ca="1">'2.XDTD_S.Tr.T'!AJ164</f>
        <v>0</v>
      </c>
      <c r="AI92" s="16">
        <f ca="1">'2.XDTD_S.Tr.T'!AK164</f>
        <v>0</v>
      </c>
      <c r="AJ92" s="16">
        <f ca="1">'2.XDTD_S.Tr.T'!AL164</f>
        <v>0</v>
      </c>
      <c r="AK92" s="16">
        <f ca="1">'2.XDTD_S.Tr.T'!AM164</f>
        <v>0</v>
      </c>
      <c r="AL92" s="16">
        <f ca="1">'2.XDTD_S.Tr.T'!AN164</f>
        <v>0</v>
      </c>
      <c r="AM92" s="16">
        <f ca="1">'2.XDTD_S.Tr.T'!AO164</f>
        <v>0</v>
      </c>
      <c r="AN92" s="16">
        <f ca="1">'2.XDTD_S.Tr.T'!AP164</f>
        <v>0</v>
      </c>
      <c r="AO92" s="16">
        <f ca="1">'2.XDTD_S.Tr.T'!AP164</f>
        <v>0</v>
      </c>
      <c r="AP92" s="16">
        <f ca="1">'2.XDTD_S.Tr.T'!AR164</f>
        <v>0</v>
      </c>
      <c r="AQ92" s="16">
        <f ca="1">'2.XDTD_S.Tr.T'!AS164</f>
        <v>0</v>
      </c>
      <c r="AR92" s="16">
        <f ca="1">'2.XDTD_S.Tr.T'!AT164</f>
        <v>0</v>
      </c>
      <c r="AS92" s="16">
        <f ca="1">'2.XDTD_S.Tr.T'!AU164</f>
        <v>0</v>
      </c>
      <c r="AT92" s="16">
        <f ca="1">'2.XDTD_S.Tr.T'!AV164</f>
        <v>0</v>
      </c>
      <c r="AU92" s="16">
        <f ca="1">'2.XDTD_S.Tr.T'!AW164</f>
        <v>0</v>
      </c>
      <c r="AV92" s="16">
        <f ca="1">'2.XDTD_S.Tr.T'!AX164</f>
        <v>0</v>
      </c>
      <c r="AW92" s="16">
        <f ca="1">'2.XDTD_S.Tr.T'!AY164</f>
        <v>0</v>
      </c>
      <c r="AX92" s="16">
        <f ca="1">'2.XDTD_S.Tr.T'!AZ164</f>
        <v>0</v>
      </c>
      <c r="AY92" s="16">
        <f ca="1">'2.XDTD_S.Tr.T'!BA164</f>
        <v>0</v>
      </c>
      <c r="AZ92" s="16">
        <f ca="1">'2.XDTD_S.Tr.T'!BB164</f>
        <v>0</v>
      </c>
      <c r="BA92" s="16">
        <f ca="1">'2.XDTD_S.Tr.T'!BC164</f>
        <v>0</v>
      </c>
      <c r="BB92" s="16">
        <f ca="1">'2.XDTD_S.Tr.T'!BD164</f>
        <v>0</v>
      </c>
      <c r="BC92" s="16">
        <f ca="1">'2.XDTD_S.Tr.T'!BE164</f>
        <v>0</v>
      </c>
      <c r="BD92" s="16">
        <f ca="1">'2.XDTD_S.Tr.T'!BF164</f>
        <v>0</v>
      </c>
      <c r="BE92" s="16">
        <f ca="1">'2.XDTD_S.Tr.T'!BG164</f>
        <v>0</v>
      </c>
      <c r="BF92" s="16">
        <f ca="1">'2.XDTD_S.Tr.T'!BH164</f>
        <v>0</v>
      </c>
      <c r="BG92" s="16">
        <f ca="1">'2.XDTD_S.Tr.T'!BI164</f>
        <v>0</v>
      </c>
      <c r="BH92" s="16">
        <f ca="1">'2.XDTD_S.Tr.T'!BJ164</f>
        <v>0</v>
      </c>
      <c r="BI92" s="16">
        <f ca="1">'2.XDTD_S.Tr.T'!BK164</f>
        <v>0</v>
      </c>
      <c r="BJ92" s="16">
        <f ca="1">'2.XDTD_S.Tr.T'!BL164</f>
        <v>0</v>
      </c>
      <c r="BK92" s="16">
        <f ca="1">'2.XDTD_S.Tr.T'!BM164</f>
        <v>0</v>
      </c>
      <c r="BL92" s="16">
        <f ca="1">'2.XDTD_S.Tr.T'!BN164</f>
        <v>0</v>
      </c>
      <c r="BM92" s="16">
        <f ca="1">'2.XDTD_S.Tr.T'!BO164</f>
        <v>0</v>
      </c>
      <c r="BN92" s="16">
        <f ca="1">'2.XDTD_S.Tr.T'!BP164</f>
        <v>0</v>
      </c>
      <c r="BO92" s="16">
        <f ca="1">'2.XDTD_S.Tr.T'!BP164</f>
        <v>0</v>
      </c>
      <c r="BP92" s="16">
        <f ca="1">'2.XDTD_S.Tr.T'!BR164</f>
        <v>0</v>
      </c>
      <c r="BQ92" s="16">
        <f ca="1">'2.XDTD_S.Tr.T'!BS164</f>
        <v>0</v>
      </c>
      <c r="BR92" s="16">
        <f ca="1">'2.XDTD_S.Tr.T'!BT164</f>
        <v>0</v>
      </c>
      <c r="BS92" s="16">
        <f ca="1">'2.XDTD_S.Tr.T'!BU164</f>
        <v>0</v>
      </c>
      <c r="BT92" s="16">
        <f ca="1">'2.XDTD_S.Tr.T'!BV164</f>
        <v>0</v>
      </c>
      <c r="BU92" s="16">
        <f ca="1">'2.XDTD_S.Tr.T'!BW164</f>
        <v>0</v>
      </c>
      <c r="BV92" s="16">
        <f ca="1">'2.XDTD_S.Tr.T'!BX164</f>
        <v>0</v>
      </c>
      <c r="BW92" s="16">
        <f ca="1">'2.XDTD_S.Tr.T'!BY164</f>
        <v>0</v>
      </c>
      <c r="BX92" s="16">
        <f ca="1">'2.XDTD_S.Tr.T'!BZ164</f>
        <v>0</v>
      </c>
      <c r="BY92" s="16">
        <f ca="1">'2.XDTD_S.Tr.T'!CA164</f>
        <v>0</v>
      </c>
      <c r="BZ92" s="16">
        <f ca="1">'2.XDTD_S.Tr.T'!CB164</f>
        <v>0</v>
      </c>
      <c r="CA92" s="16">
        <f ca="1">'2.XDTD_S.Tr.T'!CC164</f>
        <v>0</v>
      </c>
      <c r="CB92" s="16">
        <f ca="1">'2.XDTD_S.Tr.T'!CD164</f>
        <v>0</v>
      </c>
      <c r="CC92" s="16">
        <f ca="1">'2.XDTD_S.Tr.T'!CE164</f>
        <v>0</v>
      </c>
      <c r="CD92" s="16">
        <f ca="1">'2.XDTD_S.Tr.T'!CF164</f>
        <v>0</v>
      </c>
      <c r="CE92" s="16">
        <f ca="1">'2.XDTD_S.Tr.T'!CG164</f>
        <v>0</v>
      </c>
      <c r="CF92" s="16">
        <f ca="1">'2.XDTD_S.Tr.T'!CH164</f>
        <v>0</v>
      </c>
      <c r="CG92" s="16">
        <f ca="1">'2.XDTD_S.Tr.T'!CI164</f>
        <v>0</v>
      </c>
      <c r="CH92" s="16">
        <f ca="1">'2.XDTD_S.Tr.T'!CJ164</f>
        <v>0</v>
      </c>
      <c r="CI92" s="16">
        <f ca="1">'2.XDTD_S.Tr.T'!CK164</f>
        <v>0</v>
      </c>
      <c r="CJ92" s="16">
        <f ca="1">'2.XDTD_S.Tr.T'!CL164</f>
        <v>0</v>
      </c>
      <c r="CK92" s="16">
        <f ca="1">'2.XDTD_S.Tr.T'!CM164</f>
        <v>0</v>
      </c>
      <c r="CL92" s="16">
        <f ca="1">'2.XDTD_S.Tr.T'!CN164</f>
        <v>0</v>
      </c>
      <c r="CM92" s="16">
        <f ca="1">'2.XDTD_S.Tr.T'!CO164</f>
        <v>0</v>
      </c>
      <c r="CN92" s="16">
        <f ca="1">'2.XDTD_S.Tr.T'!CP164</f>
        <v>0</v>
      </c>
      <c r="CO92" s="16">
        <f ca="1">'2.XDTD_S.Tr.T'!CP164</f>
        <v>0</v>
      </c>
    </row>
    <row r="93" spans="3:93" ht="19.95" hidden="1" customHeight="1">
      <c r="C93" s="5"/>
      <c r="D93" s="11">
        <f>'2.XDTD_S.Tr.T'!F165</f>
        <v>0</v>
      </c>
      <c r="E93" s="7">
        <f>'2.XDTD_S.Tr.T'!G165</f>
        <v>0</v>
      </c>
      <c r="F93" s="17">
        <f>'2.XDTD_S.Tr.T'!H165</f>
        <v>0</v>
      </c>
      <c r="G93" s="9">
        <f ca="1">'2.XDTD_S.Tr.T'!I165</f>
        <v>0</v>
      </c>
      <c r="H93" s="10">
        <f ca="1">'2.XDTD_S.Tr.T'!J165</f>
        <v>0</v>
      </c>
      <c r="I93" s="9">
        <f ca="1">'2.XDTD_S.Tr.T'!K165</f>
        <v>0</v>
      </c>
      <c r="J93" s="13">
        <f>'2.XDTD_S.Tr.T'!L165</f>
        <v>0</v>
      </c>
      <c r="K93" s="13">
        <f>'2.XDTD_S.Tr.T'!M165</f>
        <v>0</v>
      </c>
      <c r="L93" s="9">
        <f ca="1">'2.XDTD_S.Tr.T'!N165</f>
        <v>0</v>
      </c>
      <c r="M93" s="14">
        <f>'2.XDTD_S.Tr.T'!O165</f>
        <v>0</v>
      </c>
      <c r="N93" s="14">
        <f>'2.XDTD_S.Tr.T'!P165</f>
        <v>0</v>
      </c>
      <c r="O93" s="9">
        <f>'2.XDTD_S.Tr.T'!P165</f>
        <v>0</v>
      </c>
      <c r="P93" s="15">
        <f ca="1">'2.XDTD_S.Tr.T'!R165</f>
        <v>0</v>
      </c>
      <c r="Q93" s="16">
        <f ca="1">'2.XDTD_S.Tr.T'!S165</f>
        <v>0</v>
      </c>
      <c r="R93" s="16">
        <f ca="1">'2.XDTD_S.Tr.T'!T165</f>
        <v>0</v>
      </c>
      <c r="S93" s="16">
        <f ca="1">'2.XDTD_S.Tr.T'!U165</f>
        <v>0</v>
      </c>
      <c r="T93" s="16">
        <f ca="1">'2.XDTD_S.Tr.T'!V165</f>
        <v>0</v>
      </c>
      <c r="U93" s="16">
        <f ca="1">'2.XDTD_S.Tr.T'!W165</f>
        <v>0</v>
      </c>
      <c r="V93" s="16">
        <f ca="1">'2.XDTD_S.Tr.T'!X165</f>
        <v>0</v>
      </c>
      <c r="W93" s="16">
        <f ca="1">'2.XDTD_S.Tr.T'!Y165</f>
        <v>0</v>
      </c>
      <c r="X93" s="16">
        <f ca="1">'2.XDTD_S.Tr.T'!Z165</f>
        <v>0</v>
      </c>
      <c r="Y93" s="16">
        <f ca="1">'2.XDTD_S.Tr.T'!AA165</f>
        <v>0</v>
      </c>
      <c r="Z93" s="16">
        <f ca="1">'2.XDTD_S.Tr.T'!AB165</f>
        <v>0</v>
      </c>
      <c r="AA93" s="16">
        <f ca="1">'2.XDTD_S.Tr.T'!AC165</f>
        <v>0</v>
      </c>
      <c r="AB93" s="16">
        <f ca="1">'2.XDTD_S.Tr.T'!AD165</f>
        <v>0</v>
      </c>
      <c r="AC93" s="16">
        <f ca="1">'2.XDTD_S.Tr.T'!AE165</f>
        <v>0</v>
      </c>
      <c r="AD93" s="16">
        <f ca="1">'2.XDTD_S.Tr.T'!AF165</f>
        <v>0</v>
      </c>
      <c r="AE93" s="16">
        <f ca="1">'2.XDTD_S.Tr.T'!AG165</f>
        <v>0</v>
      </c>
      <c r="AF93" s="16">
        <f ca="1">'2.XDTD_S.Tr.T'!AH165</f>
        <v>0</v>
      </c>
      <c r="AG93" s="16">
        <f ca="1">'2.XDTD_S.Tr.T'!AI165</f>
        <v>0</v>
      </c>
      <c r="AH93" s="16">
        <f ca="1">'2.XDTD_S.Tr.T'!AJ165</f>
        <v>0</v>
      </c>
      <c r="AI93" s="16">
        <f ca="1">'2.XDTD_S.Tr.T'!AK165</f>
        <v>0</v>
      </c>
      <c r="AJ93" s="16">
        <f ca="1">'2.XDTD_S.Tr.T'!AL165</f>
        <v>0</v>
      </c>
      <c r="AK93" s="16">
        <f ca="1">'2.XDTD_S.Tr.T'!AM165</f>
        <v>0</v>
      </c>
      <c r="AL93" s="16">
        <f ca="1">'2.XDTD_S.Tr.T'!AN165</f>
        <v>0</v>
      </c>
      <c r="AM93" s="16">
        <f ca="1">'2.XDTD_S.Tr.T'!AO165</f>
        <v>0</v>
      </c>
      <c r="AN93" s="16">
        <f ca="1">'2.XDTD_S.Tr.T'!AP165</f>
        <v>0</v>
      </c>
      <c r="AO93" s="16">
        <f ca="1">'2.XDTD_S.Tr.T'!AP165</f>
        <v>0</v>
      </c>
      <c r="AP93" s="16">
        <f ca="1">'2.XDTD_S.Tr.T'!AR165</f>
        <v>0</v>
      </c>
      <c r="AQ93" s="16">
        <f ca="1">'2.XDTD_S.Tr.T'!AS165</f>
        <v>0</v>
      </c>
      <c r="AR93" s="16">
        <f ca="1">'2.XDTD_S.Tr.T'!AT165</f>
        <v>0</v>
      </c>
      <c r="AS93" s="16">
        <f ca="1">'2.XDTD_S.Tr.T'!AU165</f>
        <v>0</v>
      </c>
      <c r="AT93" s="16">
        <f ca="1">'2.XDTD_S.Tr.T'!AV165</f>
        <v>0</v>
      </c>
      <c r="AU93" s="16">
        <f ca="1">'2.XDTD_S.Tr.T'!AW165</f>
        <v>0</v>
      </c>
      <c r="AV93" s="16">
        <f ca="1">'2.XDTD_S.Tr.T'!AX165</f>
        <v>0</v>
      </c>
      <c r="AW93" s="16">
        <f ca="1">'2.XDTD_S.Tr.T'!AY165</f>
        <v>0</v>
      </c>
      <c r="AX93" s="16">
        <f ca="1">'2.XDTD_S.Tr.T'!AZ165</f>
        <v>0</v>
      </c>
      <c r="AY93" s="16">
        <f ca="1">'2.XDTD_S.Tr.T'!BA165</f>
        <v>0</v>
      </c>
      <c r="AZ93" s="16">
        <f ca="1">'2.XDTD_S.Tr.T'!BB165</f>
        <v>0</v>
      </c>
      <c r="BA93" s="16">
        <f ca="1">'2.XDTD_S.Tr.T'!BC165</f>
        <v>0</v>
      </c>
      <c r="BB93" s="16">
        <f ca="1">'2.XDTD_S.Tr.T'!BD165</f>
        <v>0</v>
      </c>
      <c r="BC93" s="16">
        <f ca="1">'2.XDTD_S.Tr.T'!BE165</f>
        <v>0</v>
      </c>
      <c r="BD93" s="16">
        <f ca="1">'2.XDTD_S.Tr.T'!BF165</f>
        <v>0</v>
      </c>
      <c r="BE93" s="16">
        <f ca="1">'2.XDTD_S.Tr.T'!BG165</f>
        <v>0</v>
      </c>
      <c r="BF93" s="16">
        <f ca="1">'2.XDTD_S.Tr.T'!BH165</f>
        <v>0</v>
      </c>
      <c r="BG93" s="16">
        <f ca="1">'2.XDTD_S.Tr.T'!BI165</f>
        <v>0</v>
      </c>
      <c r="BH93" s="16">
        <f ca="1">'2.XDTD_S.Tr.T'!BJ165</f>
        <v>0</v>
      </c>
      <c r="BI93" s="16">
        <f ca="1">'2.XDTD_S.Tr.T'!BK165</f>
        <v>0</v>
      </c>
      <c r="BJ93" s="16">
        <f ca="1">'2.XDTD_S.Tr.T'!BL165</f>
        <v>0</v>
      </c>
      <c r="BK93" s="16">
        <f ca="1">'2.XDTD_S.Tr.T'!BM165</f>
        <v>0</v>
      </c>
      <c r="BL93" s="16">
        <f ca="1">'2.XDTD_S.Tr.T'!BN165</f>
        <v>0</v>
      </c>
      <c r="BM93" s="16">
        <f ca="1">'2.XDTD_S.Tr.T'!BO165</f>
        <v>0</v>
      </c>
      <c r="BN93" s="16">
        <f ca="1">'2.XDTD_S.Tr.T'!BP165</f>
        <v>0</v>
      </c>
      <c r="BO93" s="16">
        <f ca="1">'2.XDTD_S.Tr.T'!BP165</f>
        <v>0</v>
      </c>
      <c r="BP93" s="16">
        <f ca="1">'2.XDTD_S.Tr.T'!BR165</f>
        <v>0</v>
      </c>
      <c r="BQ93" s="16">
        <f ca="1">'2.XDTD_S.Tr.T'!BS165</f>
        <v>0</v>
      </c>
      <c r="BR93" s="16">
        <f ca="1">'2.XDTD_S.Tr.T'!BT165</f>
        <v>0</v>
      </c>
      <c r="BS93" s="16">
        <f ca="1">'2.XDTD_S.Tr.T'!BU165</f>
        <v>0</v>
      </c>
      <c r="BT93" s="16">
        <f ca="1">'2.XDTD_S.Tr.T'!BV165</f>
        <v>0</v>
      </c>
      <c r="BU93" s="16">
        <f ca="1">'2.XDTD_S.Tr.T'!BW165</f>
        <v>0</v>
      </c>
      <c r="BV93" s="16">
        <f ca="1">'2.XDTD_S.Tr.T'!BX165</f>
        <v>0</v>
      </c>
      <c r="BW93" s="16">
        <f ca="1">'2.XDTD_S.Tr.T'!BY165</f>
        <v>0</v>
      </c>
      <c r="BX93" s="16">
        <f ca="1">'2.XDTD_S.Tr.T'!BZ165</f>
        <v>0</v>
      </c>
      <c r="BY93" s="16">
        <f ca="1">'2.XDTD_S.Tr.T'!CA165</f>
        <v>0</v>
      </c>
      <c r="BZ93" s="16">
        <f ca="1">'2.XDTD_S.Tr.T'!CB165</f>
        <v>0</v>
      </c>
      <c r="CA93" s="16">
        <f ca="1">'2.XDTD_S.Tr.T'!CC165</f>
        <v>0</v>
      </c>
      <c r="CB93" s="16">
        <f ca="1">'2.XDTD_S.Tr.T'!CD165</f>
        <v>0</v>
      </c>
      <c r="CC93" s="16">
        <f ca="1">'2.XDTD_S.Tr.T'!CE165</f>
        <v>0</v>
      </c>
      <c r="CD93" s="16">
        <f ca="1">'2.XDTD_S.Tr.T'!CF165</f>
        <v>0</v>
      </c>
      <c r="CE93" s="16">
        <f ca="1">'2.XDTD_S.Tr.T'!CG165</f>
        <v>0</v>
      </c>
      <c r="CF93" s="16">
        <f ca="1">'2.XDTD_S.Tr.T'!CH165</f>
        <v>0</v>
      </c>
      <c r="CG93" s="16">
        <f ca="1">'2.XDTD_S.Tr.T'!CI165</f>
        <v>0</v>
      </c>
      <c r="CH93" s="16">
        <f ca="1">'2.XDTD_S.Tr.T'!CJ165</f>
        <v>0</v>
      </c>
      <c r="CI93" s="16">
        <f ca="1">'2.XDTD_S.Tr.T'!CK165</f>
        <v>0</v>
      </c>
      <c r="CJ93" s="16">
        <f ca="1">'2.XDTD_S.Tr.T'!CL165</f>
        <v>0</v>
      </c>
      <c r="CK93" s="16">
        <f ca="1">'2.XDTD_S.Tr.T'!CM165</f>
        <v>0</v>
      </c>
      <c r="CL93" s="16">
        <f ca="1">'2.XDTD_S.Tr.T'!CN165</f>
        <v>0</v>
      </c>
      <c r="CM93" s="16">
        <f ca="1">'2.XDTD_S.Tr.T'!CO165</f>
        <v>0</v>
      </c>
      <c r="CN93" s="16">
        <f ca="1">'2.XDTD_S.Tr.T'!CP165</f>
        <v>0</v>
      </c>
      <c r="CO93" s="16">
        <f ca="1">'2.XDTD_S.Tr.T'!CP165</f>
        <v>0</v>
      </c>
    </row>
    <row r="94" spans="3:93" ht="19.95" hidden="1" customHeight="1">
      <c r="C94" s="5"/>
      <c r="D94" s="11">
        <f>'2.XDTD_S.Tr.T'!F166</f>
        <v>0</v>
      </c>
      <c r="E94" s="7">
        <f>'2.XDTD_S.Tr.T'!G166</f>
        <v>0</v>
      </c>
      <c r="F94" s="17">
        <f>'2.XDTD_S.Tr.T'!H166</f>
        <v>0</v>
      </c>
      <c r="G94" s="9">
        <f ca="1">'2.XDTD_S.Tr.T'!I166</f>
        <v>0</v>
      </c>
      <c r="H94" s="10">
        <f ca="1">'2.XDTD_S.Tr.T'!J166</f>
        <v>0</v>
      </c>
      <c r="I94" s="9">
        <f ca="1">'2.XDTD_S.Tr.T'!K166</f>
        <v>0</v>
      </c>
      <c r="J94" s="13">
        <f>'2.XDTD_S.Tr.T'!L166</f>
        <v>0</v>
      </c>
      <c r="K94" s="13">
        <f>'2.XDTD_S.Tr.T'!M166</f>
        <v>0</v>
      </c>
      <c r="L94" s="9">
        <f ca="1">'2.XDTD_S.Tr.T'!N166</f>
        <v>0</v>
      </c>
      <c r="M94" s="14">
        <f>'2.XDTD_S.Tr.T'!O166</f>
        <v>0</v>
      </c>
      <c r="N94" s="14">
        <f>'2.XDTD_S.Tr.T'!P166</f>
        <v>0</v>
      </c>
      <c r="O94" s="9">
        <f>'2.XDTD_S.Tr.T'!P166</f>
        <v>0</v>
      </c>
      <c r="P94" s="15">
        <f ca="1">'2.XDTD_S.Tr.T'!R166</f>
        <v>0</v>
      </c>
      <c r="Q94" s="16">
        <f ca="1">'2.XDTD_S.Tr.T'!S166</f>
        <v>0</v>
      </c>
      <c r="R94" s="16">
        <f ca="1">'2.XDTD_S.Tr.T'!T166</f>
        <v>0</v>
      </c>
      <c r="S94" s="16">
        <f ca="1">'2.XDTD_S.Tr.T'!U166</f>
        <v>0</v>
      </c>
      <c r="T94" s="16">
        <f ca="1">'2.XDTD_S.Tr.T'!V166</f>
        <v>0</v>
      </c>
      <c r="U94" s="16">
        <f ca="1">'2.XDTD_S.Tr.T'!W166</f>
        <v>0</v>
      </c>
      <c r="V94" s="16">
        <f ca="1">'2.XDTD_S.Tr.T'!X166</f>
        <v>0</v>
      </c>
      <c r="W94" s="16">
        <f ca="1">'2.XDTD_S.Tr.T'!Y166</f>
        <v>0</v>
      </c>
      <c r="X94" s="16">
        <f ca="1">'2.XDTD_S.Tr.T'!Z166</f>
        <v>0</v>
      </c>
      <c r="Y94" s="16">
        <f ca="1">'2.XDTD_S.Tr.T'!AA166</f>
        <v>0</v>
      </c>
      <c r="Z94" s="16">
        <f ca="1">'2.XDTD_S.Tr.T'!AB166</f>
        <v>0</v>
      </c>
      <c r="AA94" s="16">
        <f ca="1">'2.XDTD_S.Tr.T'!AC166</f>
        <v>0</v>
      </c>
      <c r="AB94" s="16">
        <f ca="1">'2.XDTD_S.Tr.T'!AD166</f>
        <v>0</v>
      </c>
      <c r="AC94" s="16">
        <f ca="1">'2.XDTD_S.Tr.T'!AE166</f>
        <v>0</v>
      </c>
      <c r="AD94" s="16">
        <f ca="1">'2.XDTD_S.Tr.T'!AF166</f>
        <v>0</v>
      </c>
      <c r="AE94" s="16">
        <f ca="1">'2.XDTD_S.Tr.T'!AG166</f>
        <v>0</v>
      </c>
      <c r="AF94" s="16">
        <f ca="1">'2.XDTD_S.Tr.T'!AH166</f>
        <v>0</v>
      </c>
      <c r="AG94" s="16">
        <f ca="1">'2.XDTD_S.Tr.T'!AI166</f>
        <v>0</v>
      </c>
      <c r="AH94" s="16">
        <f ca="1">'2.XDTD_S.Tr.T'!AJ166</f>
        <v>0</v>
      </c>
      <c r="AI94" s="16">
        <f ca="1">'2.XDTD_S.Tr.T'!AK166</f>
        <v>0</v>
      </c>
      <c r="AJ94" s="16">
        <f ca="1">'2.XDTD_S.Tr.T'!AL166</f>
        <v>0</v>
      </c>
      <c r="AK94" s="16">
        <f ca="1">'2.XDTD_S.Tr.T'!AM166</f>
        <v>0</v>
      </c>
      <c r="AL94" s="16">
        <f ca="1">'2.XDTD_S.Tr.T'!AN166</f>
        <v>0</v>
      </c>
      <c r="AM94" s="16">
        <f ca="1">'2.XDTD_S.Tr.T'!AO166</f>
        <v>0</v>
      </c>
      <c r="AN94" s="16">
        <f ca="1">'2.XDTD_S.Tr.T'!AP166</f>
        <v>0</v>
      </c>
      <c r="AO94" s="16">
        <f ca="1">'2.XDTD_S.Tr.T'!AP166</f>
        <v>0</v>
      </c>
      <c r="AP94" s="16">
        <f ca="1">'2.XDTD_S.Tr.T'!AR166</f>
        <v>0</v>
      </c>
      <c r="AQ94" s="16">
        <f ca="1">'2.XDTD_S.Tr.T'!AS166</f>
        <v>0</v>
      </c>
      <c r="AR94" s="16">
        <f ca="1">'2.XDTD_S.Tr.T'!AT166</f>
        <v>0</v>
      </c>
      <c r="AS94" s="16">
        <f ca="1">'2.XDTD_S.Tr.T'!AU166</f>
        <v>0</v>
      </c>
      <c r="AT94" s="16">
        <f ca="1">'2.XDTD_S.Tr.T'!AV166</f>
        <v>0</v>
      </c>
      <c r="AU94" s="16">
        <f ca="1">'2.XDTD_S.Tr.T'!AW166</f>
        <v>0</v>
      </c>
      <c r="AV94" s="16">
        <f ca="1">'2.XDTD_S.Tr.T'!AX166</f>
        <v>0</v>
      </c>
      <c r="AW94" s="16">
        <f ca="1">'2.XDTD_S.Tr.T'!AY166</f>
        <v>0</v>
      </c>
      <c r="AX94" s="16">
        <f ca="1">'2.XDTD_S.Tr.T'!AZ166</f>
        <v>0</v>
      </c>
      <c r="AY94" s="16">
        <f ca="1">'2.XDTD_S.Tr.T'!BA166</f>
        <v>0</v>
      </c>
      <c r="AZ94" s="16">
        <f ca="1">'2.XDTD_S.Tr.T'!BB166</f>
        <v>0</v>
      </c>
      <c r="BA94" s="16">
        <f ca="1">'2.XDTD_S.Tr.T'!BC166</f>
        <v>0</v>
      </c>
      <c r="BB94" s="16">
        <f ca="1">'2.XDTD_S.Tr.T'!BD166</f>
        <v>0</v>
      </c>
      <c r="BC94" s="16">
        <f ca="1">'2.XDTD_S.Tr.T'!BE166</f>
        <v>0</v>
      </c>
      <c r="BD94" s="16">
        <f ca="1">'2.XDTD_S.Tr.T'!BF166</f>
        <v>0</v>
      </c>
      <c r="BE94" s="16">
        <f ca="1">'2.XDTD_S.Tr.T'!BG166</f>
        <v>0</v>
      </c>
      <c r="BF94" s="16">
        <f ca="1">'2.XDTD_S.Tr.T'!BH166</f>
        <v>0</v>
      </c>
      <c r="BG94" s="16">
        <f ca="1">'2.XDTD_S.Tr.T'!BI166</f>
        <v>0</v>
      </c>
      <c r="BH94" s="16">
        <f ca="1">'2.XDTD_S.Tr.T'!BJ166</f>
        <v>0</v>
      </c>
      <c r="BI94" s="16">
        <f ca="1">'2.XDTD_S.Tr.T'!BK166</f>
        <v>0</v>
      </c>
      <c r="BJ94" s="16">
        <f ca="1">'2.XDTD_S.Tr.T'!BL166</f>
        <v>0</v>
      </c>
      <c r="BK94" s="16">
        <f ca="1">'2.XDTD_S.Tr.T'!BM166</f>
        <v>0</v>
      </c>
      <c r="BL94" s="16">
        <f ca="1">'2.XDTD_S.Tr.T'!BN166</f>
        <v>0</v>
      </c>
      <c r="BM94" s="16">
        <f ca="1">'2.XDTD_S.Tr.T'!BO166</f>
        <v>0</v>
      </c>
      <c r="BN94" s="16">
        <f ca="1">'2.XDTD_S.Tr.T'!BP166</f>
        <v>0</v>
      </c>
      <c r="BO94" s="16">
        <f ca="1">'2.XDTD_S.Tr.T'!BP166</f>
        <v>0</v>
      </c>
      <c r="BP94" s="16">
        <f ca="1">'2.XDTD_S.Tr.T'!BR166</f>
        <v>0</v>
      </c>
      <c r="BQ94" s="16">
        <f ca="1">'2.XDTD_S.Tr.T'!BS166</f>
        <v>0</v>
      </c>
      <c r="BR94" s="16">
        <f ca="1">'2.XDTD_S.Tr.T'!BT166</f>
        <v>0</v>
      </c>
      <c r="BS94" s="16">
        <f ca="1">'2.XDTD_S.Tr.T'!BU166</f>
        <v>0</v>
      </c>
      <c r="BT94" s="16">
        <f ca="1">'2.XDTD_S.Tr.T'!BV166</f>
        <v>0</v>
      </c>
      <c r="BU94" s="16">
        <f ca="1">'2.XDTD_S.Tr.T'!BW166</f>
        <v>0</v>
      </c>
      <c r="BV94" s="16">
        <f ca="1">'2.XDTD_S.Tr.T'!BX166</f>
        <v>0</v>
      </c>
      <c r="BW94" s="16">
        <f ca="1">'2.XDTD_S.Tr.T'!BY166</f>
        <v>0</v>
      </c>
      <c r="BX94" s="16">
        <f ca="1">'2.XDTD_S.Tr.T'!BZ166</f>
        <v>0</v>
      </c>
      <c r="BY94" s="16">
        <f ca="1">'2.XDTD_S.Tr.T'!CA166</f>
        <v>0</v>
      </c>
      <c r="BZ94" s="16">
        <f ca="1">'2.XDTD_S.Tr.T'!CB166</f>
        <v>0</v>
      </c>
      <c r="CA94" s="16">
        <f ca="1">'2.XDTD_S.Tr.T'!CC166</f>
        <v>0</v>
      </c>
      <c r="CB94" s="16">
        <f ca="1">'2.XDTD_S.Tr.T'!CD166</f>
        <v>0</v>
      </c>
      <c r="CC94" s="16">
        <f ca="1">'2.XDTD_S.Tr.T'!CE166</f>
        <v>0</v>
      </c>
      <c r="CD94" s="16">
        <f ca="1">'2.XDTD_S.Tr.T'!CF166</f>
        <v>0</v>
      </c>
      <c r="CE94" s="16">
        <f ca="1">'2.XDTD_S.Tr.T'!CG166</f>
        <v>0</v>
      </c>
      <c r="CF94" s="16">
        <f ca="1">'2.XDTD_S.Tr.T'!CH166</f>
        <v>0</v>
      </c>
      <c r="CG94" s="16">
        <f ca="1">'2.XDTD_S.Tr.T'!CI166</f>
        <v>0</v>
      </c>
      <c r="CH94" s="16">
        <f ca="1">'2.XDTD_S.Tr.T'!CJ166</f>
        <v>0</v>
      </c>
      <c r="CI94" s="16">
        <f ca="1">'2.XDTD_S.Tr.T'!CK166</f>
        <v>0</v>
      </c>
      <c r="CJ94" s="16">
        <f ca="1">'2.XDTD_S.Tr.T'!CL166</f>
        <v>0</v>
      </c>
      <c r="CK94" s="16">
        <f ca="1">'2.XDTD_S.Tr.T'!CM166</f>
        <v>0</v>
      </c>
      <c r="CL94" s="16">
        <f ca="1">'2.XDTD_S.Tr.T'!CN166</f>
        <v>0</v>
      </c>
      <c r="CM94" s="16">
        <f ca="1">'2.XDTD_S.Tr.T'!CO166</f>
        <v>0</v>
      </c>
      <c r="CN94" s="16">
        <f ca="1">'2.XDTD_S.Tr.T'!CP166</f>
        <v>0</v>
      </c>
      <c r="CO94" s="16">
        <f ca="1">'2.XDTD_S.Tr.T'!CP166</f>
        <v>0</v>
      </c>
    </row>
    <row r="95" spans="3:93" ht="19.95" hidden="1" customHeight="1">
      <c r="C95" s="5"/>
      <c r="D95" s="11">
        <f>'2.XDTD_S.Tr.T'!F167</f>
        <v>0</v>
      </c>
      <c r="E95" s="7">
        <f>'2.XDTD_S.Tr.T'!G167</f>
        <v>0</v>
      </c>
      <c r="F95" s="17">
        <f>'2.XDTD_S.Tr.T'!H167</f>
        <v>0</v>
      </c>
      <c r="G95" s="9">
        <f ca="1">'2.XDTD_S.Tr.T'!I167</f>
        <v>0</v>
      </c>
      <c r="H95" s="10">
        <f ca="1">'2.XDTD_S.Tr.T'!J167</f>
        <v>0</v>
      </c>
      <c r="I95" s="9">
        <f ca="1">'2.XDTD_S.Tr.T'!K167</f>
        <v>0</v>
      </c>
      <c r="J95" s="13">
        <f>'2.XDTD_S.Tr.T'!L167</f>
        <v>0</v>
      </c>
      <c r="K95" s="13">
        <f>'2.XDTD_S.Tr.T'!M167</f>
        <v>0</v>
      </c>
      <c r="L95" s="9">
        <f ca="1">'2.XDTD_S.Tr.T'!N167</f>
        <v>0</v>
      </c>
      <c r="M95" s="14">
        <f>'2.XDTD_S.Tr.T'!O167</f>
        <v>0</v>
      </c>
      <c r="N95" s="14">
        <f>'2.XDTD_S.Tr.T'!P167</f>
        <v>0</v>
      </c>
      <c r="O95" s="9">
        <f>'2.XDTD_S.Tr.T'!P167</f>
        <v>0</v>
      </c>
      <c r="P95" s="15">
        <f ca="1">'2.XDTD_S.Tr.T'!R167</f>
        <v>0</v>
      </c>
      <c r="Q95" s="16">
        <f ca="1">'2.XDTD_S.Tr.T'!S167</f>
        <v>0</v>
      </c>
      <c r="R95" s="16">
        <f ca="1">'2.XDTD_S.Tr.T'!T167</f>
        <v>0</v>
      </c>
      <c r="S95" s="16">
        <f ca="1">'2.XDTD_S.Tr.T'!U167</f>
        <v>0</v>
      </c>
      <c r="T95" s="16">
        <f ca="1">'2.XDTD_S.Tr.T'!V167</f>
        <v>0</v>
      </c>
      <c r="U95" s="16">
        <f ca="1">'2.XDTD_S.Tr.T'!W167</f>
        <v>0</v>
      </c>
      <c r="V95" s="16">
        <f ca="1">'2.XDTD_S.Tr.T'!X167</f>
        <v>0</v>
      </c>
      <c r="W95" s="16">
        <f ca="1">'2.XDTD_S.Tr.T'!Y167</f>
        <v>0</v>
      </c>
      <c r="X95" s="16">
        <f ca="1">'2.XDTD_S.Tr.T'!Z167</f>
        <v>0</v>
      </c>
      <c r="Y95" s="16">
        <f ca="1">'2.XDTD_S.Tr.T'!AA167</f>
        <v>0</v>
      </c>
      <c r="Z95" s="16">
        <f ca="1">'2.XDTD_S.Tr.T'!AB167</f>
        <v>0</v>
      </c>
      <c r="AA95" s="16">
        <f ca="1">'2.XDTD_S.Tr.T'!AC167</f>
        <v>0</v>
      </c>
      <c r="AB95" s="16">
        <f ca="1">'2.XDTD_S.Tr.T'!AD167</f>
        <v>0</v>
      </c>
      <c r="AC95" s="16">
        <f ca="1">'2.XDTD_S.Tr.T'!AE167</f>
        <v>0</v>
      </c>
      <c r="AD95" s="16">
        <f ca="1">'2.XDTD_S.Tr.T'!AF167</f>
        <v>0</v>
      </c>
      <c r="AE95" s="16">
        <f ca="1">'2.XDTD_S.Tr.T'!AG167</f>
        <v>0</v>
      </c>
      <c r="AF95" s="16">
        <f ca="1">'2.XDTD_S.Tr.T'!AH167</f>
        <v>0</v>
      </c>
      <c r="AG95" s="16">
        <f ca="1">'2.XDTD_S.Tr.T'!AI167</f>
        <v>0</v>
      </c>
      <c r="AH95" s="16">
        <f ca="1">'2.XDTD_S.Tr.T'!AJ167</f>
        <v>0</v>
      </c>
      <c r="AI95" s="16">
        <f ca="1">'2.XDTD_S.Tr.T'!AK167</f>
        <v>0</v>
      </c>
      <c r="AJ95" s="16">
        <f ca="1">'2.XDTD_S.Tr.T'!AL167</f>
        <v>0</v>
      </c>
      <c r="AK95" s="16">
        <f ca="1">'2.XDTD_S.Tr.T'!AM167</f>
        <v>0</v>
      </c>
      <c r="AL95" s="16">
        <f ca="1">'2.XDTD_S.Tr.T'!AN167</f>
        <v>0</v>
      </c>
      <c r="AM95" s="16">
        <f ca="1">'2.XDTD_S.Tr.T'!AO167</f>
        <v>0</v>
      </c>
      <c r="AN95" s="16">
        <f ca="1">'2.XDTD_S.Tr.T'!AP167</f>
        <v>0</v>
      </c>
      <c r="AO95" s="16">
        <f ca="1">'2.XDTD_S.Tr.T'!AP167</f>
        <v>0</v>
      </c>
      <c r="AP95" s="16">
        <f ca="1">'2.XDTD_S.Tr.T'!AR167</f>
        <v>0</v>
      </c>
      <c r="AQ95" s="16">
        <f ca="1">'2.XDTD_S.Tr.T'!AS167</f>
        <v>0</v>
      </c>
      <c r="AR95" s="16">
        <f ca="1">'2.XDTD_S.Tr.T'!AT167</f>
        <v>0</v>
      </c>
      <c r="AS95" s="16">
        <f ca="1">'2.XDTD_S.Tr.T'!AU167</f>
        <v>0</v>
      </c>
      <c r="AT95" s="16">
        <f ca="1">'2.XDTD_S.Tr.T'!AV167</f>
        <v>0</v>
      </c>
      <c r="AU95" s="16">
        <f ca="1">'2.XDTD_S.Tr.T'!AW167</f>
        <v>0</v>
      </c>
      <c r="AV95" s="16">
        <f ca="1">'2.XDTD_S.Tr.T'!AX167</f>
        <v>0</v>
      </c>
      <c r="AW95" s="16">
        <f ca="1">'2.XDTD_S.Tr.T'!AY167</f>
        <v>0</v>
      </c>
      <c r="AX95" s="16">
        <f ca="1">'2.XDTD_S.Tr.T'!AZ167</f>
        <v>0</v>
      </c>
      <c r="AY95" s="16">
        <f ca="1">'2.XDTD_S.Tr.T'!BA167</f>
        <v>0</v>
      </c>
      <c r="AZ95" s="16">
        <f ca="1">'2.XDTD_S.Tr.T'!BB167</f>
        <v>0</v>
      </c>
      <c r="BA95" s="16">
        <f ca="1">'2.XDTD_S.Tr.T'!BC167</f>
        <v>0</v>
      </c>
      <c r="BB95" s="16">
        <f ca="1">'2.XDTD_S.Tr.T'!BD167</f>
        <v>0</v>
      </c>
      <c r="BC95" s="16">
        <f ca="1">'2.XDTD_S.Tr.T'!BE167</f>
        <v>0</v>
      </c>
      <c r="BD95" s="16">
        <f ca="1">'2.XDTD_S.Tr.T'!BF167</f>
        <v>0</v>
      </c>
      <c r="BE95" s="16">
        <f ca="1">'2.XDTD_S.Tr.T'!BG167</f>
        <v>0</v>
      </c>
      <c r="BF95" s="16">
        <f ca="1">'2.XDTD_S.Tr.T'!BH167</f>
        <v>0</v>
      </c>
      <c r="BG95" s="16">
        <f ca="1">'2.XDTD_S.Tr.T'!BI167</f>
        <v>0</v>
      </c>
      <c r="BH95" s="16">
        <f ca="1">'2.XDTD_S.Tr.T'!BJ167</f>
        <v>0</v>
      </c>
      <c r="BI95" s="16">
        <f ca="1">'2.XDTD_S.Tr.T'!BK167</f>
        <v>0</v>
      </c>
      <c r="BJ95" s="16">
        <f ca="1">'2.XDTD_S.Tr.T'!BL167</f>
        <v>0</v>
      </c>
      <c r="BK95" s="16">
        <f ca="1">'2.XDTD_S.Tr.T'!BM167</f>
        <v>0</v>
      </c>
      <c r="BL95" s="16">
        <f ca="1">'2.XDTD_S.Tr.T'!BN167</f>
        <v>0</v>
      </c>
      <c r="BM95" s="16">
        <f ca="1">'2.XDTD_S.Tr.T'!BO167</f>
        <v>0</v>
      </c>
      <c r="BN95" s="16">
        <f ca="1">'2.XDTD_S.Tr.T'!BP167</f>
        <v>0</v>
      </c>
      <c r="BO95" s="16">
        <f ca="1">'2.XDTD_S.Tr.T'!BP167</f>
        <v>0</v>
      </c>
      <c r="BP95" s="16">
        <f ca="1">'2.XDTD_S.Tr.T'!BR167</f>
        <v>0</v>
      </c>
      <c r="BQ95" s="16">
        <f ca="1">'2.XDTD_S.Tr.T'!BS167</f>
        <v>0</v>
      </c>
      <c r="BR95" s="16">
        <f ca="1">'2.XDTD_S.Tr.T'!BT167</f>
        <v>0</v>
      </c>
      <c r="BS95" s="16">
        <f ca="1">'2.XDTD_S.Tr.T'!BU167</f>
        <v>0</v>
      </c>
      <c r="BT95" s="16">
        <f ca="1">'2.XDTD_S.Tr.T'!BV167</f>
        <v>0</v>
      </c>
      <c r="BU95" s="16">
        <f ca="1">'2.XDTD_S.Tr.T'!BW167</f>
        <v>0</v>
      </c>
      <c r="BV95" s="16">
        <f ca="1">'2.XDTD_S.Tr.T'!BX167</f>
        <v>0</v>
      </c>
      <c r="BW95" s="16">
        <f ca="1">'2.XDTD_S.Tr.T'!BY167</f>
        <v>0</v>
      </c>
      <c r="BX95" s="16">
        <f ca="1">'2.XDTD_S.Tr.T'!BZ167</f>
        <v>0</v>
      </c>
      <c r="BY95" s="16">
        <f ca="1">'2.XDTD_S.Tr.T'!CA167</f>
        <v>0</v>
      </c>
      <c r="BZ95" s="16">
        <f ca="1">'2.XDTD_S.Tr.T'!CB167</f>
        <v>0</v>
      </c>
      <c r="CA95" s="16">
        <f ca="1">'2.XDTD_S.Tr.T'!CC167</f>
        <v>0</v>
      </c>
      <c r="CB95" s="16">
        <f ca="1">'2.XDTD_S.Tr.T'!CD167</f>
        <v>0</v>
      </c>
      <c r="CC95" s="16">
        <f ca="1">'2.XDTD_S.Tr.T'!CE167</f>
        <v>0</v>
      </c>
      <c r="CD95" s="16">
        <f ca="1">'2.XDTD_S.Tr.T'!CF167</f>
        <v>0</v>
      </c>
      <c r="CE95" s="16">
        <f ca="1">'2.XDTD_S.Tr.T'!CG167</f>
        <v>0</v>
      </c>
      <c r="CF95" s="16">
        <f ca="1">'2.XDTD_S.Tr.T'!CH167</f>
        <v>0</v>
      </c>
      <c r="CG95" s="16">
        <f ca="1">'2.XDTD_S.Tr.T'!CI167</f>
        <v>0</v>
      </c>
      <c r="CH95" s="16">
        <f ca="1">'2.XDTD_S.Tr.T'!CJ167</f>
        <v>0</v>
      </c>
      <c r="CI95" s="16">
        <f ca="1">'2.XDTD_S.Tr.T'!CK167</f>
        <v>0</v>
      </c>
      <c r="CJ95" s="16">
        <f ca="1">'2.XDTD_S.Tr.T'!CL167</f>
        <v>0</v>
      </c>
      <c r="CK95" s="16">
        <f ca="1">'2.XDTD_S.Tr.T'!CM167</f>
        <v>0</v>
      </c>
      <c r="CL95" s="16">
        <f ca="1">'2.XDTD_S.Tr.T'!CN167</f>
        <v>0</v>
      </c>
      <c r="CM95" s="16">
        <f ca="1">'2.XDTD_S.Tr.T'!CO167</f>
        <v>0</v>
      </c>
      <c r="CN95" s="16">
        <f ca="1">'2.XDTD_S.Tr.T'!CP167</f>
        <v>0</v>
      </c>
      <c r="CO95" s="16">
        <f ca="1">'2.XDTD_S.Tr.T'!CP167</f>
        <v>0</v>
      </c>
    </row>
    <row r="96" spans="3:93" ht="19.95" hidden="1" customHeight="1">
      <c r="C96" s="5"/>
      <c r="D96" s="11">
        <f>'2.XDTD_S.Tr.T'!F168</f>
        <v>0</v>
      </c>
      <c r="E96" s="7">
        <f>'2.XDTD_S.Tr.T'!G168</f>
        <v>0</v>
      </c>
      <c r="F96" s="17">
        <f>'2.XDTD_S.Tr.T'!H168</f>
        <v>0</v>
      </c>
      <c r="G96" s="9">
        <f ca="1">'2.XDTD_S.Tr.T'!I168</f>
        <v>0</v>
      </c>
      <c r="H96" s="10">
        <f ca="1">'2.XDTD_S.Tr.T'!J168</f>
        <v>0</v>
      </c>
      <c r="I96" s="9">
        <f ca="1">'2.XDTD_S.Tr.T'!K168</f>
        <v>0</v>
      </c>
      <c r="J96" s="13">
        <f>'2.XDTD_S.Tr.T'!L168</f>
        <v>0</v>
      </c>
      <c r="K96" s="13">
        <f>'2.XDTD_S.Tr.T'!M168</f>
        <v>0</v>
      </c>
      <c r="L96" s="9">
        <f ca="1">'2.XDTD_S.Tr.T'!N168</f>
        <v>0</v>
      </c>
      <c r="M96" s="14">
        <f>'2.XDTD_S.Tr.T'!O168</f>
        <v>0</v>
      </c>
      <c r="N96" s="14">
        <f>'2.XDTD_S.Tr.T'!P168</f>
        <v>0</v>
      </c>
      <c r="O96" s="9">
        <f>'2.XDTD_S.Tr.T'!P168</f>
        <v>0</v>
      </c>
      <c r="P96" s="15">
        <f ca="1">'2.XDTD_S.Tr.T'!R168</f>
        <v>0</v>
      </c>
      <c r="Q96" s="16">
        <f ca="1">'2.XDTD_S.Tr.T'!S168</f>
        <v>0</v>
      </c>
      <c r="R96" s="16">
        <f ca="1">'2.XDTD_S.Tr.T'!T168</f>
        <v>0</v>
      </c>
      <c r="S96" s="16">
        <f ca="1">'2.XDTD_S.Tr.T'!U168</f>
        <v>0</v>
      </c>
      <c r="T96" s="16">
        <f ca="1">'2.XDTD_S.Tr.T'!V168</f>
        <v>0</v>
      </c>
      <c r="U96" s="16">
        <f ca="1">'2.XDTD_S.Tr.T'!W168</f>
        <v>0</v>
      </c>
      <c r="V96" s="16">
        <f ca="1">'2.XDTD_S.Tr.T'!X168</f>
        <v>0</v>
      </c>
      <c r="W96" s="16">
        <f ca="1">'2.XDTD_S.Tr.T'!Y168</f>
        <v>0</v>
      </c>
      <c r="X96" s="16">
        <f ca="1">'2.XDTD_S.Tr.T'!Z168</f>
        <v>0</v>
      </c>
      <c r="Y96" s="16">
        <f ca="1">'2.XDTD_S.Tr.T'!AA168</f>
        <v>0</v>
      </c>
      <c r="Z96" s="16">
        <f ca="1">'2.XDTD_S.Tr.T'!AB168</f>
        <v>0</v>
      </c>
      <c r="AA96" s="16">
        <f ca="1">'2.XDTD_S.Tr.T'!AC168</f>
        <v>0</v>
      </c>
      <c r="AB96" s="16">
        <f ca="1">'2.XDTD_S.Tr.T'!AD168</f>
        <v>0</v>
      </c>
      <c r="AC96" s="16">
        <f ca="1">'2.XDTD_S.Tr.T'!AE168</f>
        <v>0</v>
      </c>
      <c r="AD96" s="16">
        <f ca="1">'2.XDTD_S.Tr.T'!AF168</f>
        <v>0</v>
      </c>
      <c r="AE96" s="16">
        <f ca="1">'2.XDTD_S.Tr.T'!AG168</f>
        <v>0</v>
      </c>
      <c r="AF96" s="16">
        <f ca="1">'2.XDTD_S.Tr.T'!AH168</f>
        <v>0</v>
      </c>
      <c r="AG96" s="16">
        <f ca="1">'2.XDTD_S.Tr.T'!AI168</f>
        <v>0</v>
      </c>
      <c r="AH96" s="16">
        <f ca="1">'2.XDTD_S.Tr.T'!AJ168</f>
        <v>0</v>
      </c>
      <c r="AI96" s="16">
        <f ca="1">'2.XDTD_S.Tr.T'!AK168</f>
        <v>0</v>
      </c>
      <c r="AJ96" s="16">
        <f ca="1">'2.XDTD_S.Tr.T'!AL168</f>
        <v>0</v>
      </c>
      <c r="AK96" s="16">
        <f ca="1">'2.XDTD_S.Tr.T'!AM168</f>
        <v>0</v>
      </c>
      <c r="AL96" s="16">
        <f ca="1">'2.XDTD_S.Tr.T'!AN168</f>
        <v>0</v>
      </c>
      <c r="AM96" s="16">
        <f ca="1">'2.XDTD_S.Tr.T'!AO168</f>
        <v>0</v>
      </c>
      <c r="AN96" s="16">
        <f ca="1">'2.XDTD_S.Tr.T'!AP168</f>
        <v>0</v>
      </c>
      <c r="AO96" s="16">
        <f ca="1">'2.XDTD_S.Tr.T'!AP168</f>
        <v>0</v>
      </c>
      <c r="AP96" s="16">
        <f ca="1">'2.XDTD_S.Tr.T'!AR168</f>
        <v>0</v>
      </c>
      <c r="AQ96" s="16">
        <f ca="1">'2.XDTD_S.Tr.T'!AS168</f>
        <v>0</v>
      </c>
      <c r="AR96" s="16">
        <f ca="1">'2.XDTD_S.Tr.T'!AT168</f>
        <v>0</v>
      </c>
      <c r="AS96" s="16">
        <f ca="1">'2.XDTD_S.Tr.T'!AU168</f>
        <v>0</v>
      </c>
      <c r="AT96" s="16">
        <f ca="1">'2.XDTD_S.Tr.T'!AV168</f>
        <v>0</v>
      </c>
      <c r="AU96" s="16">
        <f ca="1">'2.XDTD_S.Tr.T'!AW168</f>
        <v>0</v>
      </c>
      <c r="AV96" s="16">
        <f ca="1">'2.XDTD_S.Tr.T'!AX168</f>
        <v>0</v>
      </c>
      <c r="AW96" s="16">
        <f ca="1">'2.XDTD_S.Tr.T'!AY168</f>
        <v>0</v>
      </c>
      <c r="AX96" s="16">
        <f ca="1">'2.XDTD_S.Tr.T'!AZ168</f>
        <v>0</v>
      </c>
      <c r="AY96" s="16">
        <f ca="1">'2.XDTD_S.Tr.T'!BA168</f>
        <v>0</v>
      </c>
      <c r="AZ96" s="16">
        <f ca="1">'2.XDTD_S.Tr.T'!BB168</f>
        <v>0</v>
      </c>
      <c r="BA96" s="16">
        <f ca="1">'2.XDTD_S.Tr.T'!BC168</f>
        <v>0</v>
      </c>
      <c r="BB96" s="16">
        <f ca="1">'2.XDTD_S.Tr.T'!BD168</f>
        <v>0</v>
      </c>
      <c r="BC96" s="16">
        <f ca="1">'2.XDTD_S.Tr.T'!BE168</f>
        <v>0</v>
      </c>
      <c r="BD96" s="16">
        <f ca="1">'2.XDTD_S.Tr.T'!BF168</f>
        <v>0</v>
      </c>
      <c r="BE96" s="16">
        <f ca="1">'2.XDTD_S.Tr.T'!BG168</f>
        <v>0</v>
      </c>
      <c r="BF96" s="16">
        <f ca="1">'2.XDTD_S.Tr.T'!BH168</f>
        <v>0</v>
      </c>
      <c r="BG96" s="16">
        <f ca="1">'2.XDTD_S.Tr.T'!BI168</f>
        <v>0</v>
      </c>
      <c r="BH96" s="16">
        <f ca="1">'2.XDTD_S.Tr.T'!BJ168</f>
        <v>0</v>
      </c>
      <c r="BI96" s="16">
        <f ca="1">'2.XDTD_S.Tr.T'!BK168</f>
        <v>0</v>
      </c>
      <c r="BJ96" s="16">
        <f ca="1">'2.XDTD_S.Tr.T'!BL168</f>
        <v>0</v>
      </c>
      <c r="BK96" s="16">
        <f ca="1">'2.XDTD_S.Tr.T'!BM168</f>
        <v>0</v>
      </c>
      <c r="BL96" s="16">
        <f ca="1">'2.XDTD_S.Tr.T'!BN168</f>
        <v>0</v>
      </c>
      <c r="BM96" s="16">
        <f ca="1">'2.XDTD_S.Tr.T'!BO168</f>
        <v>0</v>
      </c>
      <c r="BN96" s="16">
        <f ca="1">'2.XDTD_S.Tr.T'!BP168</f>
        <v>0</v>
      </c>
      <c r="BO96" s="16">
        <f ca="1">'2.XDTD_S.Tr.T'!BP168</f>
        <v>0</v>
      </c>
      <c r="BP96" s="16">
        <f ca="1">'2.XDTD_S.Tr.T'!BR168</f>
        <v>0</v>
      </c>
      <c r="BQ96" s="16">
        <f ca="1">'2.XDTD_S.Tr.T'!BS168</f>
        <v>0</v>
      </c>
      <c r="BR96" s="16">
        <f ca="1">'2.XDTD_S.Tr.T'!BT168</f>
        <v>0</v>
      </c>
      <c r="BS96" s="16">
        <f ca="1">'2.XDTD_S.Tr.T'!BU168</f>
        <v>0</v>
      </c>
      <c r="BT96" s="16">
        <f ca="1">'2.XDTD_S.Tr.T'!BV168</f>
        <v>0</v>
      </c>
      <c r="BU96" s="16">
        <f ca="1">'2.XDTD_S.Tr.T'!BW168</f>
        <v>0</v>
      </c>
      <c r="BV96" s="16">
        <f ca="1">'2.XDTD_S.Tr.T'!BX168</f>
        <v>0</v>
      </c>
      <c r="BW96" s="16">
        <f ca="1">'2.XDTD_S.Tr.T'!BY168</f>
        <v>0</v>
      </c>
      <c r="BX96" s="16">
        <f ca="1">'2.XDTD_S.Tr.T'!BZ168</f>
        <v>0</v>
      </c>
      <c r="BY96" s="16">
        <f ca="1">'2.XDTD_S.Tr.T'!CA168</f>
        <v>0</v>
      </c>
      <c r="BZ96" s="16">
        <f ca="1">'2.XDTD_S.Tr.T'!CB168</f>
        <v>0</v>
      </c>
      <c r="CA96" s="16">
        <f ca="1">'2.XDTD_S.Tr.T'!CC168</f>
        <v>0</v>
      </c>
      <c r="CB96" s="16">
        <f ca="1">'2.XDTD_S.Tr.T'!CD168</f>
        <v>0</v>
      </c>
      <c r="CC96" s="16">
        <f ca="1">'2.XDTD_S.Tr.T'!CE168</f>
        <v>0</v>
      </c>
      <c r="CD96" s="16">
        <f ca="1">'2.XDTD_S.Tr.T'!CF168</f>
        <v>0</v>
      </c>
      <c r="CE96" s="16">
        <f ca="1">'2.XDTD_S.Tr.T'!CG168</f>
        <v>0</v>
      </c>
      <c r="CF96" s="16">
        <f ca="1">'2.XDTD_S.Tr.T'!CH168</f>
        <v>0</v>
      </c>
      <c r="CG96" s="16">
        <f ca="1">'2.XDTD_S.Tr.T'!CI168</f>
        <v>0</v>
      </c>
      <c r="CH96" s="16">
        <f ca="1">'2.XDTD_S.Tr.T'!CJ168</f>
        <v>0</v>
      </c>
      <c r="CI96" s="16">
        <f ca="1">'2.XDTD_S.Tr.T'!CK168</f>
        <v>0</v>
      </c>
      <c r="CJ96" s="16">
        <f ca="1">'2.XDTD_S.Tr.T'!CL168</f>
        <v>0</v>
      </c>
      <c r="CK96" s="16">
        <f ca="1">'2.XDTD_S.Tr.T'!CM168</f>
        <v>0</v>
      </c>
      <c r="CL96" s="16">
        <f ca="1">'2.XDTD_S.Tr.T'!CN168</f>
        <v>0</v>
      </c>
      <c r="CM96" s="16">
        <f ca="1">'2.XDTD_S.Tr.T'!CO168</f>
        <v>0</v>
      </c>
      <c r="CN96" s="16">
        <f ca="1">'2.XDTD_S.Tr.T'!CP168</f>
        <v>0</v>
      </c>
      <c r="CO96" s="16">
        <f ca="1">'2.XDTD_S.Tr.T'!CP168</f>
        <v>0</v>
      </c>
    </row>
    <row r="97" spans="3:93" ht="19.95" customHeight="1">
      <c r="C97" s="5"/>
      <c r="D97" s="6" t="str">
        <f>'2.XDTD_S.Tr.T'!F189</f>
        <v>Gạo tẻ máy</v>
      </c>
      <c r="E97" s="7" t="e">
        <f ca="1">'2.XDTD_S.Tr.T'!G189</f>
        <v>#NAME?</v>
      </c>
      <c r="F97" s="17">
        <f>'2.XDTD_S.Tr.T'!H189</f>
        <v>52</v>
      </c>
      <c r="G97" s="9">
        <f ca="1">'2.XDTD_S.Tr.T'!I189</f>
        <v>0</v>
      </c>
      <c r="H97" s="10">
        <f ca="1">'2.XDTD_S.Tr.T'!J189</f>
        <v>0</v>
      </c>
      <c r="I97" s="9">
        <f ca="1">'2.XDTD_S.Tr.T'!K189</f>
        <v>0</v>
      </c>
      <c r="J97" s="13" t="e">
        <f ca="1">'2.XDTD_S.Tr.T'!L189</f>
        <v>#NAME?</v>
      </c>
      <c r="K97" s="13" t="e">
        <f ca="1">'2.XDTD_S.Tr.T'!M189</f>
        <v>#NAME?</v>
      </c>
      <c r="L97" s="9">
        <f ca="1">'2.XDTD_S.Tr.T'!N189</f>
        <v>0</v>
      </c>
      <c r="M97" s="14" t="e">
        <f ca="1">'2.XDTD_S.Tr.T'!O189</f>
        <v>#NAME?</v>
      </c>
      <c r="N97" s="14" t="e">
        <f ca="1">'2.XDTD_S.Tr.T'!P189</f>
        <v>#NAME?</v>
      </c>
      <c r="O97" s="9" t="e">
        <f ca="1">'2.XDTD_S.Tr.T'!P189</f>
        <v>#NAME?</v>
      </c>
      <c r="P97" s="15">
        <f ca="1">'2.XDTD_S.Tr.T'!R189</f>
        <v>0</v>
      </c>
      <c r="Q97" s="16">
        <f ca="1">'2.XDTD_S.Tr.T'!S189</f>
        <v>0</v>
      </c>
      <c r="R97" s="16">
        <f ca="1">'2.XDTD_S.Tr.T'!T189</f>
        <v>0</v>
      </c>
      <c r="S97" s="16">
        <f ca="1">'2.XDTD_S.Tr.T'!U189</f>
        <v>0</v>
      </c>
      <c r="T97" s="16">
        <f ca="1">'2.XDTD_S.Tr.T'!V189</f>
        <v>0</v>
      </c>
      <c r="U97" s="16">
        <f ca="1">'2.XDTD_S.Tr.T'!W189</f>
        <v>0</v>
      </c>
      <c r="V97" s="16">
        <f ca="1">'2.XDTD_S.Tr.T'!X189</f>
        <v>0</v>
      </c>
      <c r="W97" s="16">
        <f ca="1">'2.XDTD_S.Tr.T'!Y189</f>
        <v>0</v>
      </c>
      <c r="X97" s="16">
        <f ca="1">'2.XDTD_S.Tr.T'!Z189</f>
        <v>0</v>
      </c>
      <c r="Y97" s="16">
        <f ca="1">'2.XDTD_S.Tr.T'!AA189</f>
        <v>0</v>
      </c>
      <c r="Z97" s="16">
        <f ca="1">'2.XDTD_S.Tr.T'!AB189</f>
        <v>0</v>
      </c>
      <c r="AA97" s="16">
        <f ca="1">'2.XDTD_S.Tr.T'!AC189</f>
        <v>0</v>
      </c>
      <c r="AB97" s="16">
        <f ca="1">'2.XDTD_S.Tr.T'!AD189</f>
        <v>0</v>
      </c>
      <c r="AC97" s="16">
        <f ca="1">'2.XDTD_S.Tr.T'!AE189</f>
        <v>0</v>
      </c>
      <c r="AD97" s="16">
        <f ca="1">'2.XDTD_S.Tr.T'!AF189</f>
        <v>0</v>
      </c>
      <c r="AE97" s="16">
        <f ca="1">'2.XDTD_S.Tr.T'!AG189</f>
        <v>0</v>
      </c>
      <c r="AF97" s="16">
        <f ca="1">'2.XDTD_S.Tr.T'!AH189</f>
        <v>0</v>
      </c>
      <c r="AG97" s="16">
        <f ca="1">'2.XDTD_S.Tr.T'!AI189</f>
        <v>0</v>
      </c>
      <c r="AH97" s="16">
        <f ca="1">'2.XDTD_S.Tr.T'!AJ189</f>
        <v>0</v>
      </c>
      <c r="AI97" s="16">
        <f ca="1">'2.XDTD_S.Tr.T'!AK189</f>
        <v>0</v>
      </c>
      <c r="AJ97" s="16">
        <f ca="1">'2.XDTD_S.Tr.T'!AL189</f>
        <v>0</v>
      </c>
      <c r="AK97" s="16">
        <f ca="1">'2.XDTD_S.Tr.T'!AM189</f>
        <v>0</v>
      </c>
      <c r="AL97" s="16">
        <f ca="1">'2.XDTD_S.Tr.T'!AN189</f>
        <v>0</v>
      </c>
      <c r="AM97" s="16">
        <f ca="1">'2.XDTD_S.Tr.T'!AO189</f>
        <v>0</v>
      </c>
      <c r="AN97" s="16">
        <f ca="1">'2.XDTD_S.Tr.T'!AP189</f>
        <v>0</v>
      </c>
      <c r="AO97" s="16">
        <f ca="1">'2.XDTD_S.Tr.T'!AP189</f>
        <v>0</v>
      </c>
      <c r="AP97" s="16">
        <f ca="1">'2.XDTD_S.Tr.T'!AR189</f>
        <v>0</v>
      </c>
      <c r="AQ97" s="16">
        <f ca="1">'2.XDTD_S.Tr.T'!AS189</f>
        <v>0</v>
      </c>
      <c r="AR97" s="16">
        <f ca="1">'2.XDTD_S.Tr.T'!AT189</f>
        <v>0</v>
      </c>
      <c r="AS97" s="16">
        <f ca="1">'2.XDTD_S.Tr.T'!AU189</f>
        <v>0</v>
      </c>
      <c r="AT97" s="16">
        <f ca="1">'2.XDTD_S.Tr.T'!AV189</f>
        <v>0</v>
      </c>
      <c r="AU97" s="16">
        <f ca="1">'2.XDTD_S.Tr.T'!AW189</f>
        <v>0</v>
      </c>
      <c r="AV97" s="16">
        <f ca="1">'2.XDTD_S.Tr.T'!AX189</f>
        <v>0</v>
      </c>
      <c r="AW97" s="16">
        <f ca="1">'2.XDTD_S.Tr.T'!AY189</f>
        <v>0</v>
      </c>
      <c r="AX97" s="16">
        <f ca="1">'2.XDTD_S.Tr.T'!AZ189</f>
        <v>0</v>
      </c>
      <c r="AY97" s="16">
        <f ca="1">'2.XDTD_S.Tr.T'!BA189</f>
        <v>0</v>
      </c>
      <c r="AZ97" s="16">
        <f ca="1">'2.XDTD_S.Tr.T'!BB189</f>
        <v>0</v>
      </c>
      <c r="BA97" s="16">
        <f ca="1">'2.XDTD_S.Tr.T'!BC189</f>
        <v>0</v>
      </c>
      <c r="BB97" s="16">
        <f ca="1">'2.XDTD_S.Tr.T'!BD189</f>
        <v>0</v>
      </c>
      <c r="BC97" s="16">
        <f ca="1">'2.XDTD_S.Tr.T'!BE189</f>
        <v>0</v>
      </c>
      <c r="BD97" s="16">
        <f ca="1">'2.XDTD_S.Tr.T'!BF189</f>
        <v>0</v>
      </c>
      <c r="BE97" s="16">
        <f ca="1">'2.XDTD_S.Tr.T'!BG189</f>
        <v>0</v>
      </c>
      <c r="BF97" s="16">
        <f ca="1">'2.XDTD_S.Tr.T'!BH189</f>
        <v>0</v>
      </c>
      <c r="BG97" s="16">
        <f ca="1">'2.XDTD_S.Tr.T'!BI189</f>
        <v>0</v>
      </c>
      <c r="BH97" s="16">
        <f ca="1">'2.XDTD_S.Tr.T'!BJ189</f>
        <v>0</v>
      </c>
      <c r="BI97" s="16">
        <f ca="1">'2.XDTD_S.Tr.T'!BK189</f>
        <v>0</v>
      </c>
      <c r="BJ97" s="16">
        <f ca="1">'2.XDTD_S.Tr.T'!BL189</f>
        <v>0</v>
      </c>
      <c r="BK97" s="16">
        <f ca="1">'2.XDTD_S.Tr.T'!BM189</f>
        <v>0</v>
      </c>
      <c r="BL97" s="16">
        <f ca="1">'2.XDTD_S.Tr.T'!BN189</f>
        <v>0</v>
      </c>
      <c r="BM97" s="16">
        <f ca="1">'2.XDTD_S.Tr.T'!BO189</f>
        <v>0</v>
      </c>
      <c r="BN97" s="16">
        <f ca="1">'2.XDTD_S.Tr.T'!BP189</f>
        <v>0</v>
      </c>
      <c r="BO97" s="16">
        <f ca="1">'2.XDTD_S.Tr.T'!BP189</f>
        <v>0</v>
      </c>
      <c r="BP97" s="16">
        <f ca="1">'2.XDTD_S.Tr.T'!BR189</f>
        <v>0</v>
      </c>
      <c r="BQ97" s="16">
        <f ca="1">'2.XDTD_S.Tr.T'!BS189</f>
        <v>0</v>
      </c>
      <c r="BR97" s="16">
        <f ca="1">'2.XDTD_S.Tr.T'!BT189</f>
        <v>0</v>
      </c>
      <c r="BS97" s="16">
        <f ca="1">'2.XDTD_S.Tr.T'!BU189</f>
        <v>0</v>
      </c>
      <c r="BT97" s="16">
        <f ca="1">'2.XDTD_S.Tr.T'!BV189</f>
        <v>0</v>
      </c>
      <c r="BU97" s="16">
        <f ca="1">'2.XDTD_S.Tr.T'!BW189</f>
        <v>0</v>
      </c>
      <c r="BV97" s="16">
        <f ca="1">'2.XDTD_S.Tr.T'!BX189</f>
        <v>0</v>
      </c>
      <c r="BW97" s="16">
        <f ca="1">'2.XDTD_S.Tr.T'!BY189</f>
        <v>0</v>
      </c>
      <c r="BX97" s="16">
        <f ca="1">'2.XDTD_S.Tr.T'!BZ189</f>
        <v>0</v>
      </c>
      <c r="BY97" s="16">
        <f ca="1">'2.XDTD_S.Tr.T'!CA189</f>
        <v>0</v>
      </c>
      <c r="BZ97" s="16">
        <f ca="1">'2.XDTD_S.Tr.T'!CB189</f>
        <v>0</v>
      </c>
      <c r="CA97" s="16">
        <f ca="1">'2.XDTD_S.Tr.T'!CC189</f>
        <v>0</v>
      </c>
      <c r="CB97" s="16">
        <f ca="1">'2.XDTD_S.Tr.T'!CD189</f>
        <v>0</v>
      </c>
      <c r="CC97" s="16">
        <f ca="1">'2.XDTD_S.Tr.T'!CE189</f>
        <v>0</v>
      </c>
      <c r="CD97" s="16">
        <f ca="1">'2.XDTD_S.Tr.T'!CF189</f>
        <v>0</v>
      </c>
      <c r="CE97" s="16">
        <f ca="1">'2.XDTD_S.Tr.T'!CG189</f>
        <v>0</v>
      </c>
      <c r="CF97" s="16">
        <f ca="1">'2.XDTD_S.Tr.T'!CH189</f>
        <v>0</v>
      </c>
      <c r="CG97" s="16">
        <f ca="1">'2.XDTD_S.Tr.T'!CI189</f>
        <v>0</v>
      </c>
      <c r="CH97" s="16">
        <f ca="1">'2.XDTD_S.Tr.T'!CJ189</f>
        <v>0</v>
      </c>
      <c r="CI97" s="16">
        <f ca="1">'2.XDTD_S.Tr.T'!CK189</f>
        <v>0</v>
      </c>
      <c r="CJ97" s="16">
        <f ca="1">'2.XDTD_S.Tr.T'!CL189</f>
        <v>0</v>
      </c>
      <c r="CK97" s="16">
        <f ca="1">'2.XDTD_S.Tr.T'!CM189</f>
        <v>0</v>
      </c>
      <c r="CL97" s="16">
        <f ca="1">'2.XDTD_S.Tr.T'!CN189</f>
        <v>0</v>
      </c>
      <c r="CM97" s="16">
        <f ca="1">'2.XDTD_S.Tr.T'!CO189</f>
        <v>0</v>
      </c>
      <c r="CN97" s="16">
        <f ca="1">'2.XDTD_S.Tr.T'!CP189</f>
        <v>0</v>
      </c>
      <c r="CO97" s="16">
        <f ca="1">'2.XDTD_S.Tr.T'!CP189</f>
        <v>0</v>
      </c>
    </row>
    <row r="98" spans="3:93" ht="19.95" hidden="1" customHeight="1">
      <c r="C98" s="5"/>
      <c r="D98" s="11">
        <f>'2.XDTD_S.Tr.T'!F190</f>
        <v>0</v>
      </c>
      <c r="E98" s="7">
        <f>'2.XDTD_S.Tr.T'!G190</f>
        <v>0</v>
      </c>
      <c r="F98" s="8">
        <f>'2.XDTD_S.Tr.T'!H190</f>
        <v>0</v>
      </c>
      <c r="G98" s="9">
        <f ca="1">'2.XDTD_S.Tr.T'!I190</f>
        <v>0</v>
      </c>
      <c r="H98" s="10">
        <f ca="1">'2.XDTD_S.Tr.T'!J190</f>
        <v>0</v>
      </c>
      <c r="I98" s="9">
        <f ca="1">'2.XDTD_S.Tr.T'!K190</f>
        <v>0</v>
      </c>
      <c r="J98" s="13">
        <f>'2.XDTD_S.Tr.T'!L190</f>
        <v>0</v>
      </c>
      <c r="K98" s="13">
        <f>'2.XDTD_S.Tr.T'!M190</f>
        <v>0</v>
      </c>
      <c r="L98" s="9">
        <f ca="1">'2.XDTD_S.Tr.T'!N190</f>
        <v>0</v>
      </c>
      <c r="M98" s="14">
        <f>'2.XDTD_S.Tr.T'!O190</f>
        <v>0</v>
      </c>
      <c r="N98" s="14">
        <f>'2.XDTD_S.Tr.T'!P190</f>
        <v>0</v>
      </c>
      <c r="O98" s="9">
        <f>'2.XDTD_S.Tr.T'!P190</f>
        <v>0</v>
      </c>
      <c r="P98" s="15">
        <f ca="1">'2.XDTD_S.Tr.T'!R190</f>
        <v>0</v>
      </c>
      <c r="Q98" s="16">
        <f ca="1">'2.XDTD_S.Tr.T'!S190</f>
        <v>0</v>
      </c>
      <c r="R98" s="16">
        <f ca="1">'2.XDTD_S.Tr.T'!T190</f>
        <v>0</v>
      </c>
      <c r="S98" s="16">
        <f ca="1">'2.XDTD_S.Tr.T'!U190</f>
        <v>0</v>
      </c>
      <c r="T98" s="16">
        <f ca="1">'2.XDTD_S.Tr.T'!V190</f>
        <v>0</v>
      </c>
      <c r="U98" s="16">
        <f ca="1">'2.XDTD_S.Tr.T'!W190</f>
        <v>0</v>
      </c>
      <c r="V98" s="16">
        <f ca="1">'2.XDTD_S.Tr.T'!X190</f>
        <v>0</v>
      </c>
      <c r="W98" s="16">
        <f ca="1">'2.XDTD_S.Tr.T'!Y190</f>
        <v>0</v>
      </c>
      <c r="X98" s="16">
        <f ca="1">'2.XDTD_S.Tr.T'!Z190</f>
        <v>0</v>
      </c>
      <c r="Y98" s="16">
        <f ca="1">'2.XDTD_S.Tr.T'!AA190</f>
        <v>0</v>
      </c>
      <c r="Z98" s="16">
        <f ca="1">'2.XDTD_S.Tr.T'!AB190</f>
        <v>0</v>
      </c>
      <c r="AA98" s="16">
        <f ca="1">'2.XDTD_S.Tr.T'!AC190</f>
        <v>0</v>
      </c>
      <c r="AB98" s="16">
        <f ca="1">'2.XDTD_S.Tr.T'!AD190</f>
        <v>0</v>
      </c>
      <c r="AC98" s="16">
        <f ca="1">'2.XDTD_S.Tr.T'!AE190</f>
        <v>0</v>
      </c>
      <c r="AD98" s="16">
        <f ca="1">'2.XDTD_S.Tr.T'!AF190</f>
        <v>0</v>
      </c>
      <c r="AE98" s="16">
        <f ca="1">'2.XDTD_S.Tr.T'!AG190</f>
        <v>0</v>
      </c>
      <c r="AF98" s="16">
        <f ca="1">'2.XDTD_S.Tr.T'!AH190</f>
        <v>0</v>
      </c>
      <c r="AG98" s="16">
        <f ca="1">'2.XDTD_S.Tr.T'!AI190</f>
        <v>0</v>
      </c>
      <c r="AH98" s="16">
        <f ca="1">'2.XDTD_S.Tr.T'!AJ190</f>
        <v>0</v>
      </c>
      <c r="AI98" s="16">
        <f ca="1">'2.XDTD_S.Tr.T'!AK190</f>
        <v>0</v>
      </c>
      <c r="AJ98" s="16">
        <f ca="1">'2.XDTD_S.Tr.T'!AL190</f>
        <v>0</v>
      </c>
      <c r="AK98" s="16">
        <f ca="1">'2.XDTD_S.Tr.T'!AM190</f>
        <v>0</v>
      </c>
      <c r="AL98" s="16">
        <f ca="1">'2.XDTD_S.Tr.T'!AN190</f>
        <v>0</v>
      </c>
      <c r="AM98" s="16">
        <f ca="1">'2.XDTD_S.Tr.T'!AO190</f>
        <v>0</v>
      </c>
      <c r="AN98" s="16">
        <f ca="1">'2.XDTD_S.Tr.T'!AP190</f>
        <v>0</v>
      </c>
      <c r="AO98" s="16">
        <f ca="1">'2.XDTD_S.Tr.T'!AP190</f>
        <v>0</v>
      </c>
      <c r="AP98" s="16">
        <f ca="1">'2.XDTD_S.Tr.T'!AR190</f>
        <v>0</v>
      </c>
      <c r="AQ98" s="16">
        <f ca="1">'2.XDTD_S.Tr.T'!AS190</f>
        <v>0</v>
      </c>
      <c r="AR98" s="16">
        <f ca="1">'2.XDTD_S.Tr.T'!AT190</f>
        <v>0</v>
      </c>
      <c r="AS98" s="16">
        <f ca="1">'2.XDTD_S.Tr.T'!AU190</f>
        <v>0</v>
      </c>
      <c r="AT98" s="16">
        <f ca="1">'2.XDTD_S.Tr.T'!AV190</f>
        <v>0</v>
      </c>
      <c r="AU98" s="16">
        <f ca="1">'2.XDTD_S.Tr.T'!AW190</f>
        <v>0</v>
      </c>
      <c r="AV98" s="16">
        <f ca="1">'2.XDTD_S.Tr.T'!AX190</f>
        <v>0</v>
      </c>
      <c r="AW98" s="16">
        <f ca="1">'2.XDTD_S.Tr.T'!AY190</f>
        <v>0</v>
      </c>
      <c r="AX98" s="16">
        <f ca="1">'2.XDTD_S.Tr.T'!AZ190</f>
        <v>0</v>
      </c>
      <c r="AY98" s="16">
        <f ca="1">'2.XDTD_S.Tr.T'!BA190</f>
        <v>0</v>
      </c>
      <c r="AZ98" s="16">
        <f ca="1">'2.XDTD_S.Tr.T'!BB190</f>
        <v>0</v>
      </c>
      <c r="BA98" s="16">
        <f ca="1">'2.XDTD_S.Tr.T'!BC190</f>
        <v>0</v>
      </c>
      <c r="BB98" s="16">
        <f ca="1">'2.XDTD_S.Tr.T'!BD190</f>
        <v>0</v>
      </c>
      <c r="BC98" s="16">
        <f ca="1">'2.XDTD_S.Tr.T'!BE190</f>
        <v>0</v>
      </c>
      <c r="BD98" s="16">
        <f ca="1">'2.XDTD_S.Tr.T'!BF190</f>
        <v>0</v>
      </c>
      <c r="BE98" s="16">
        <f ca="1">'2.XDTD_S.Tr.T'!BG190</f>
        <v>0</v>
      </c>
      <c r="BF98" s="16">
        <f ca="1">'2.XDTD_S.Tr.T'!BH190</f>
        <v>0</v>
      </c>
      <c r="BG98" s="16">
        <f ca="1">'2.XDTD_S.Tr.T'!BI190</f>
        <v>0</v>
      </c>
      <c r="BH98" s="16">
        <f ca="1">'2.XDTD_S.Tr.T'!BJ190</f>
        <v>0</v>
      </c>
      <c r="BI98" s="16">
        <f ca="1">'2.XDTD_S.Tr.T'!BK190</f>
        <v>0</v>
      </c>
      <c r="BJ98" s="16">
        <f ca="1">'2.XDTD_S.Tr.T'!BL190</f>
        <v>0</v>
      </c>
      <c r="BK98" s="16">
        <f ca="1">'2.XDTD_S.Tr.T'!BM190</f>
        <v>0</v>
      </c>
      <c r="BL98" s="16">
        <f ca="1">'2.XDTD_S.Tr.T'!BN190</f>
        <v>0</v>
      </c>
      <c r="BM98" s="16">
        <f ca="1">'2.XDTD_S.Tr.T'!BO190</f>
        <v>0</v>
      </c>
      <c r="BN98" s="16">
        <f ca="1">'2.XDTD_S.Tr.T'!BP190</f>
        <v>0</v>
      </c>
      <c r="BO98" s="16">
        <f ca="1">'2.XDTD_S.Tr.T'!BP190</f>
        <v>0</v>
      </c>
      <c r="BP98" s="16">
        <f ca="1">'2.XDTD_S.Tr.T'!BR190</f>
        <v>0</v>
      </c>
      <c r="BQ98" s="16">
        <f ca="1">'2.XDTD_S.Tr.T'!BS190</f>
        <v>0</v>
      </c>
      <c r="BR98" s="16">
        <f ca="1">'2.XDTD_S.Tr.T'!BT190</f>
        <v>0</v>
      </c>
      <c r="BS98" s="16">
        <f ca="1">'2.XDTD_S.Tr.T'!BU190</f>
        <v>0</v>
      </c>
      <c r="BT98" s="16">
        <f ca="1">'2.XDTD_S.Tr.T'!BV190</f>
        <v>0</v>
      </c>
      <c r="BU98" s="16">
        <f ca="1">'2.XDTD_S.Tr.T'!BW190</f>
        <v>0</v>
      </c>
      <c r="BV98" s="16">
        <f ca="1">'2.XDTD_S.Tr.T'!BX190</f>
        <v>0</v>
      </c>
      <c r="BW98" s="16">
        <f ca="1">'2.XDTD_S.Tr.T'!BY190</f>
        <v>0</v>
      </c>
      <c r="BX98" s="16">
        <f ca="1">'2.XDTD_S.Tr.T'!BZ190</f>
        <v>0</v>
      </c>
      <c r="BY98" s="16">
        <f ca="1">'2.XDTD_S.Tr.T'!CA190</f>
        <v>0</v>
      </c>
      <c r="BZ98" s="16">
        <f ca="1">'2.XDTD_S.Tr.T'!CB190</f>
        <v>0</v>
      </c>
      <c r="CA98" s="16">
        <f ca="1">'2.XDTD_S.Tr.T'!CC190</f>
        <v>0</v>
      </c>
      <c r="CB98" s="16">
        <f ca="1">'2.XDTD_S.Tr.T'!CD190</f>
        <v>0</v>
      </c>
      <c r="CC98" s="16">
        <f ca="1">'2.XDTD_S.Tr.T'!CE190</f>
        <v>0</v>
      </c>
      <c r="CD98" s="16">
        <f ca="1">'2.XDTD_S.Tr.T'!CF190</f>
        <v>0</v>
      </c>
      <c r="CE98" s="16">
        <f ca="1">'2.XDTD_S.Tr.T'!CG190</f>
        <v>0</v>
      </c>
      <c r="CF98" s="16">
        <f ca="1">'2.XDTD_S.Tr.T'!CH190</f>
        <v>0</v>
      </c>
      <c r="CG98" s="16">
        <f ca="1">'2.XDTD_S.Tr.T'!CI190</f>
        <v>0</v>
      </c>
      <c r="CH98" s="16">
        <f ca="1">'2.XDTD_S.Tr.T'!CJ190</f>
        <v>0</v>
      </c>
      <c r="CI98" s="16">
        <f ca="1">'2.XDTD_S.Tr.T'!CK190</f>
        <v>0</v>
      </c>
      <c r="CJ98" s="16">
        <f ca="1">'2.XDTD_S.Tr.T'!CL190</f>
        <v>0</v>
      </c>
      <c r="CK98" s="16">
        <f ca="1">'2.XDTD_S.Tr.T'!CM190</f>
        <v>0</v>
      </c>
      <c r="CL98" s="16">
        <f ca="1">'2.XDTD_S.Tr.T'!CN190</f>
        <v>0</v>
      </c>
      <c r="CM98" s="16">
        <f ca="1">'2.XDTD_S.Tr.T'!CO190</f>
        <v>0</v>
      </c>
      <c r="CN98" s="16">
        <f ca="1">'2.XDTD_S.Tr.T'!CP190</f>
        <v>0</v>
      </c>
      <c r="CO98" s="16">
        <f ca="1">'2.XDTD_S.Tr.T'!CP190</f>
        <v>0</v>
      </c>
    </row>
    <row r="99" spans="3:93" ht="19.95" hidden="1" customHeight="1">
      <c r="C99" s="5"/>
      <c r="D99" s="11">
        <f>'2.XDTD_S.Tr.T'!F191</f>
        <v>0</v>
      </c>
      <c r="E99" s="7">
        <f>'2.XDTD_S.Tr.T'!G191</f>
        <v>0</v>
      </c>
      <c r="F99" s="8">
        <f>'2.XDTD_S.Tr.T'!H191</f>
        <v>0</v>
      </c>
      <c r="G99" s="9">
        <f ca="1">'2.XDTD_S.Tr.T'!I191</f>
        <v>0</v>
      </c>
      <c r="H99" s="10">
        <f ca="1">'2.XDTD_S.Tr.T'!J191</f>
        <v>0</v>
      </c>
      <c r="I99" s="9">
        <f ca="1">'2.XDTD_S.Tr.T'!K191</f>
        <v>0</v>
      </c>
      <c r="J99" s="13">
        <f>'2.XDTD_S.Tr.T'!L191</f>
        <v>0</v>
      </c>
      <c r="K99" s="13">
        <f>'2.XDTD_S.Tr.T'!M191</f>
        <v>0</v>
      </c>
      <c r="L99" s="9">
        <f ca="1">'2.XDTD_S.Tr.T'!N191</f>
        <v>0</v>
      </c>
      <c r="M99" s="14">
        <f>'2.XDTD_S.Tr.T'!O191</f>
        <v>0</v>
      </c>
      <c r="N99" s="14">
        <f>'2.XDTD_S.Tr.T'!P191</f>
        <v>0</v>
      </c>
      <c r="O99" s="9">
        <f>'2.XDTD_S.Tr.T'!P191</f>
        <v>0</v>
      </c>
      <c r="P99" s="15">
        <f ca="1">'2.XDTD_S.Tr.T'!R191</f>
        <v>0</v>
      </c>
      <c r="Q99" s="16">
        <f ca="1">'2.XDTD_S.Tr.T'!S191</f>
        <v>0</v>
      </c>
      <c r="R99" s="16">
        <f ca="1">'2.XDTD_S.Tr.T'!T191</f>
        <v>0</v>
      </c>
      <c r="S99" s="16">
        <f ca="1">'2.XDTD_S.Tr.T'!U191</f>
        <v>0</v>
      </c>
      <c r="T99" s="16">
        <f ca="1">'2.XDTD_S.Tr.T'!V191</f>
        <v>0</v>
      </c>
      <c r="U99" s="16">
        <f ca="1">'2.XDTD_S.Tr.T'!W191</f>
        <v>0</v>
      </c>
      <c r="V99" s="16">
        <f ca="1">'2.XDTD_S.Tr.T'!X191</f>
        <v>0</v>
      </c>
      <c r="W99" s="16">
        <f ca="1">'2.XDTD_S.Tr.T'!Y191</f>
        <v>0</v>
      </c>
      <c r="X99" s="16">
        <f ca="1">'2.XDTD_S.Tr.T'!Z191</f>
        <v>0</v>
      </c>
      <c r="Y99" s="16">
        <f ca="1">'2.XDTD_S.Tr.T'!AA191</f>
        <v>0</v>
      </c>
      <c r="Z99" s="16">
        <f ca="1">'2.XDTD_S.Tr.T'!AB191</f>
        <v>0</v>
      </c>
      <c r="AA99" s="16">
        <f ca="1">'2.XDTD_S.Tr.T'!AC191</f>
        <v>0</v>
      </c>
      <c r="AB99" s="16">
        <f ca="1">'2.XDTD_S.Tr.T'!AD191</f>
        <v>0</v>
      </c>
      <c r="AC99" s="16">
        <f ca="1">'2.XDTD_S.Tr.T'!AE191</f>
        <v>0</v>
      </c>
      <c r="AD99" s="16">
        <f ca="1">'2.XDTD_S.Tr.T'!AF191</f>
        <v>0</v>
      </c>
      <c r="AE99" s="16">
        <f ca="1">'2.XDTD_S.Tr.T'!AG191</f>
        <v>0</v>
      </c>
      <c r="AF99" s="16">
        <f ca="1">'2.XDTD_S.Tr.T'!AH191</f>
        <v>0</v>
      </c>
      <c r="AG99" s="16">
        <f ca="1">'2.XDTD_S.Tr.T'!AI191</f>
        <v>0</v>
      </c>
      <c r="AH99" s="16">
        <f ca="1">'2.XDTD_S.Tr.T'!AJ191</f>
        <v>0</v>
      </c>
      <c r="AI99" s="16">
        <f ca="1">'2.XDTD_S.Tr.T'!AK191</f>
        <v>0</v>
      </c>
      <c r="AJ99" s="16">
        <f ca="1">'2.XDTD_S.Tr.T'!AL191</f>
        <v>0</v>
      </c>
      <c r="AK99" s="16">
        <f ca="1">'2.XDTD_S.Tr.T'!AM191</f>
        <v>0</v>
      </c>
      <c r="AL99" s="16">
        <f ca="1">'2.XDTD_S.Tr.T'!AN191</f>
        <v>0</v>
      </c>
      <c r="AM99" s="16">
        <f ca="1">'2.XDTD_S.Tr.T'!AO191</f>
        <v>0</v>
      </c>
      <c r="AN99" s="16">
        <f ca="1">'2.XDTD_S.Tr.T'!AP191</f>
        <v>0</v>
      </c>
      <c r="AO99" s="16">
        <f ca="1">'2.XDTD_S.Tr.T'!AP191</f>
        <v>0</v>
      </c>
      <c r="AP99" s="16">
        <f ca="1">'2.XDTD_S.Tr.T'!AR191</f>
        <v>0</v>
      </c>
      <c r="AQ99" s="16">
        <f ca="1">'2.XDTD_S.Tr.T'!AS191</f>
        <v>0</v>
      </c>
      <c r="AR99" s="16">
        <f ca="1">'2.XDTD_S.Tr.T'!AT191</f>
        <v>0</v>
      </c>
      <c r="AS99" s="16">
        <f ca="1">'2.XDTD_S.Tr.T'!AU191</f>
        <v>0</v>
      </c>
      <c r="AT99" s="16">
        <f ca="1">'2.XDTD_S.Tr.T'!AV191</f>
        <v>0</v>
      </c>
      <c r="AU99" s="16">
        <f ca="1">'2.XDTD_S.Tr.T'!AW191</f>
        <v>0</v>
      </c>
      <c r="AV99" s="16">
        <f ca="1">'2.XDTD_S.Tr.T'!AX191</f>
        <v>0</v>
      </c>
      <c r="AW99" s="16">
        <f ca="1">'2.XDTD_S.Tr.T'!AY191</f>
        <v>0</v>
      </c>
      <c r="AX99" s="16">
        <f ca="1">'2.XDTD_S.Tr.T'!AZ191</f>
        <v>0</v>
      </c>
      <c r="AY99" s="16">
        <f ca="1">'2.XDTD_S.Tr.T'!BA191</f>
        <v>0</v>
      </c>
      <c r="AZ99" s="16">
        <f ca="1">'2.XDTD_S.Tr.T'!BB191</f>
        <v>0</v>
      </c>
      <c r="BA99" s="16">
        <f ca="1">'2.XDTD_S.Tr.T'!BC191</f>
        <v>0</v>
      </c>
      <c r="BB99" s="16">
        <f ca="1">'2.XDTD_S.Tr.T'!BD191</f>
        <v>0</v>
      </c>
      <c r="BC99" s="16">
        <f ca="1">'2.XDTD_S.Tr.T'!BE191</f>
        <v>0</v>
      </c>
      <c r="BD99" s="16">
        <f ca="1">'2.XDTD_S.Tr.T'!BF191</f>
        <v>0</v>
      </c>
      <c r="BE99" s="16">
        <f ca="1">'2.XDTD_S.Tr.T'!BG191</f>
        <v>0</v>
      </c>
      <c r="BF99" s="16">
        <f ca="1">'2.XDTD_S.Tr.T'!BH191</f>
        <v>0</v>
      </c>
      <c r="BG99" s="16">
        <f ca="1">'2.XDTD_S.Tr.T'!BI191</f>
        <v>0</v>
      </c>
      <c r="BH99" s="16">
        <f ca="1">'2.XDTD_S.Tr.T'!BJ191</f>
        <v>0</v>
      </c>
      <c r="BI99" s="16">
        <f ca="1">'2.XDTD_S.Tr.T'!BK191</f>
        <v>0</v>
      </c>
      <c r="BJ99" s="16">
        <f ca="1">'2.XDTD_S.Tr.T'!BL191</f>
        <v>0</v>
      </c>
      <c r="BK99" s="16">
        <f ca="1">'2.XDTD_S.Tr.T'!BM191</f>
        <v>0</v>
      </c>
      <c r="BL99" s="16">
        <f ca="1">'2.XDTD_S.Tr.T'!BN191</f>
        <v>0</v>
      </c>
      <c r="BM99" s="16">
        <f ca="1">'2.XDTD_S.Tr.T'!BO191</f>
        <v>0</v>
      </c>
      <c r="BN99" s="16">
        <f ca="1">'2.XDTD_S.Tr.T'!BP191</f>
        <v>0</v>
      </c>
      <c r="BO99" s="16">
        <f ca="1">'2.XDTD_S.Tr.T'!BP191</f>
        <v>0</v>
      </c>
      <c r="BP99" s="16">
        <f ca="1">'2.XDTD_S.Tr.T'!BR191</f>
        <v>0</v>
      </c>
      <c r="BQ99" s="16">
        <f ca="1">'2.XDTD_S.Tr.T'!BS191</f>
        <v>0</v>
      </c>
      <c r="BR99" s="16">
        <f ca="1">'2.XDTD_S.Tr.T'!BT191</f>
        <v>0</v>
      </c>
      <c r="BS99" s="16">
        <f ca="1">'2.XDTD_S.Tr.T'!BU191</f>
        <v>0</v>
      </c>
      <c r="BT99" s="16">
        <f ca="1">'2.XDTD_S.Tr.T'!BV191</f>
        <v>0</v>
      </c>
      <c r="BU99" s="16">
        <f ca="1">'2.XDTD_S.Tr.T'!BW191</f>
        <v>0</v>
      </c>
      <c r="BV99" s="16">
        <f ca="1">'2.XDTD_S.Tr.T'!BX191</f>
        <v>0</v>
      </c>
      <c r="BW99" s="16">
        <f ca="1">'2.XDTD_S.Tr.T'!BY191</f>
        <v>0</v>
      </c>
      <c r="BX99" s="16">
        <f ca="1">'2.XDTD_S.Tr.T'!BZ191</f>
        <v>0</v>
      </c>
      <c r="BY99" s="16">
        <f ca="1">'2.XDTD_S.Tr.T'!CA191</f>
        <v>0</v>
      </c>
      <c r="BZ99" s="16">
        <f ca="1">'2.XDTD_S.Tr.T'!CB191</f>
        <v>0</v>
      </c>
      <c r="CA99" s="16">
        <f ca="1">'2.XDTD_S.Tr.T'!CC191</f>
        <v>0</v>
      </c>
      <c r="CB99" s="16">
        <f ca="1">'2.XDTD_S.Tr.T'!CD191</f>
        <v>0</v>
      </c>
      <c r="CC99" s="16">
        <f ca="1">'2.XDTD_S.Tr.T'!CE191</f>
        <v>0</v>
      </c>
      <c r="CD99" s="16">
        <f ca="1">'2.XDTD_S.Tr.T'!CF191</f>
        <v>0</v>
      </c>
      <c r="CE99" s="16">
        <f ca="1">'2.XDTD_S.Tr.T'!CG191</f>
        <v>0</v>
      </c>
      <c r="CF99" s="16">
        <f ca="1">'2.XDTD_S.Tr.T'!CH191</f>
        <v>0</v>
      </c>
      <c r="CG99" s="16">
        <f ca="1">'2.XDTD_S.Tr.T'!CI191</f>
        <v>0</v>
      </c>
      <c r="CH99" s="16">
        <f ca="1">'2.XDTD_S.Tr.T'!CJ191</f>
        <v>0</v>
      </c>
      <c r="CI99" s="16">
        <f ca="1">'2.XDTD_S.Tr.T'!CK191</f>
        <v>0</v>
      </c>
      <c r="CJ99" s="16">
        <f ca="1">'2.XDTD_S.Tr.T'!CL191</f>
        <v>0</v>
      </c>
      <c r="CK99" s="16">
        <f ca="1">'2.XDTD_S.Tr.T'!CM191</f>
        <v>0</v>
      </c>
      <c r="CL99" s="16">
        <f ca="1">'2.XDTD_S.Tr.T'!CN191</f>
        <v>0</v>
      </c>
      <c r="CM99" s="16">
        <f ca="1">'2.XDTD_S.Tr.T'!CO191</f>
        <v>0</v>
      </c>
      <c r="CN99" s="16">
        <f ca="1">'2.XDTD_S.Tr.T'!CP191</f>
        <v>0</v>
      </c>
      <c r="CO99" s="16">
        <f ca="1">'2.XDTD_S.Tr.T'!CP191</f>
        <v>0</v>
      </c>
    </row>
    <row r="100" spans="3:93" ht="19.95" hidden="1" customHeight="1">
      <c r="C100" s="5"/>
      <c r="D100" s="11">
        <f>'2.XDTD_S.Tr.T'!F192</f>
        <v>0</v>
      </c>
      <c r="E100" s="7">
        <f>'2.XDTD_S.Tr.T'!G192</f>
        <v>0</v>
      </c>
      <c r="F100" s="8">
        <f>'2.XDTD_S.Tr.T'!H192</f>
        <v>0</v>
      </c>
      <c r="G100" s="9">
        <f ca="1">'2.XDTD_S.Tr.T'!I192</f>
        <v>0</v>
      </c>
      <c r="H100" s="10">
        <f ca="1">'2.XDTD_S.Tr.T'!J192</f>
        <v>0</v>
      </c>
      <c r="I100" s="9">
        <f ca="1">'2.XDTD_S.Tr.T'!K192</f>
        <v>0</v>
      </c>
      <c r="J100" s="13">
        <f>'2.XDTD_S.Tr.T'!L192</f>
        <v>0</v>
      </c>
      <c r="K100" s="13">
        <f>'2.XDTD_S.Tr.T'!M192</f>
        <v>0</v>
      </c>
      <c r="L100" s="9">
        <f ca="1">'2.XDTD_S.Tr.T'!N192</f>
        <v>0</v>
      </c>
      <c r="M100" s="14">
        <f>'2.XDTD_S.Tr.T'!O192</f>
        <v>0</v>
      </c>
      <c r="N100" s="14">
        <f>'2.XDTD_S.Tr.T'!P192</f>
        <v>0</v>
      </c>
      <c r="O100" s="9">
        <f>'2.XDTD_S.Tr.T'!P192</f>
        <v>0</v>
      </c>
      <c r="P100" s="15">
        <f ca="1">'2.XDTD_S.Tr.T'!R192</f>
        <v>0</v>
      </c>
      <c r="Q100" s="16">
        <f ca="1">'2.XDTD_S.Tr.T'!S192</f>
        <v>0</v>
      </c>
      <c r="R100" s="16">
        <f ca="1">'2.XDTD_S.Tr.T'!T192</f>
        <v>0</v>
      </c>
      <c r="S100" s="16">
        <f ca="1">'2.XDTD_S.Tr.T'!U192</f>
        <v>0</v>
      </c>
      <c r="T100" s="16">
        <f ca="1">'2.XDTD_S.Tr.T'!V192</f>
        <v>0</v>
      </c>
      <c r="U100" s="16">
        <f ca="1">'2.XDTD_S.Tr.T'!W192</f>
        <v>0</v>
      </c>
      <c r="V100" s="16">
        <f ca="1">'2.XDTD_S.Tr.T'!X192</f>
        <v>0</v>
      </c>
      <c r="W100" s="16">
        <f ca="1">'2.XDTD_S.Tr.T'!Y192</f>
        <v>0</v>
      </c>
      <c r="X100" s="16">
        <f ca="1">'2.XDTD_S.Tr.T'!Z192</f>
        <v>0</v>
      </c>
      <c r="Y100" s="16">
        <f ca="1">'2.XDTD_S.Tr.T'!AA192</f>
        <v>0</v>
      </c>
      <c r="Z100" s="16">
        <f ca="1">'2.XDTD_S.Tr.T'!AB192</f>
        <v>0</v>
      </c>
      <c r="AA100" s="16">
        <f ca="1">'2.XDTD_S.Tr.T'!AC192</f>
        <v>0</v>
      </c>
      <c r="AB100" s="16">
        <f ca="1">'2.XDTD_S.Tr.T'!AD192</f>
        <v>0</v>
      </c>
      <c r="AC100" s="16">
        <f ca="1">'2.XDTD_S.Tr.T'!AE192</f>
        <v>0</v>
      </c>
      <c r="AD100" s="16">
        <f ca="1">'2.XDTD_S.Tr.T'!AF192</f>
        <v>0</v>
      </c>
      <c r="AE100" s="16">
        <f ca="1">'2.XDTD_S.Tr.T'!AG192</f>
        <v>0</v>
      </c>
      <c r="AF100" s="16">
        <f ca="1">'2.XDTD_S.Tr.T'!AH192</f>
        <v>0</v>
      </c>
      <c r="AG100" s="16">
        <f ca="1">'2.XDTD_S.Tr.T'!AI192</f>
        <v>0</v>
      </c>
      <c r="AH100" s="16">
        <f ca="1">'2.XDTD_S.Tr.T'!AJ192</f>
        <v>0</v>
      </c>
      <c r="AI100" s="16">
        <f ca="1">'2.XDTD_S.Tr.T'!AK192</f>
        <v>0</v>
      </c>
      <c r="AJ100" s="16">
        <f ca="1">'2.XDTD_S.Tr.T'!AL192</f>
        <v>0</v>
      </c>
      <c r="AK100" s="16">
        <f ca="1">'2.XDTD_S.Tr.T'!AM192</f>
        <v>0</v>
      </c>
      <c r="AL100" s="16">
        <f ca="1">'2.XDTD_S.Tr.T'!AN192</f>
        <v>0</v>
      </c>
      <c r="AM100" s="16">
        <f ca="1">'2.XDTD_S.Tr.T'!AO192</f>
        <v>0</v>
      </c>
      <c r="AN100" s="16">
        <f ca="1">'2.XDTD_S.Tr.T'!AP192</f>
        <v>0</v>
      </c>
      <c r="AO100" s="16">
        <f ca="1">'2.XDTD_S.Tr.T'!AP192</f>
        <v>0</v>
      </c>
      <c r="AP100" s="16">
        <f ca="1">'2.XDTD_S.Tr.T'!AR192</f>
        <v>0</v>
      </c>
      <c r="AQ100" s="16">
        <f ca="1">'2.XDTD_S.Tr.T'!AS192</f>
        <v>0</v>
      </c>
      <c r="AR100" s="16">
        <f ca="1">'2.XDTD_S.Tr.T'!AT192</f>
        <v>0</v>
      </c>
      <c r="AS100" s="16">
        <f ca="1">'2.XDTD_S.Tr.T'!AU192</f>
        <v>0</v>
      </c>
      <c r="AT100" s="16">
        <f ca="1">'2.XDTD_S.Tr.T'!AV192</f>
        <v>0</v>
      </c>
      <c r="AU100" s="16">
        <f ca="1">'2.XDTD_S.Tr.T'!AW192</f>
        <v>0</v>
      </c>
      <c r="AV100" s="16">
        <f ca="1">'2.XDTD_S.Tr.T'!AX192</f>
        <v>0</v>
      </c>
      <c r="AW100" s="16">
        <f ca="1">'2.XDTD_S.Tr.T'!AY192</f>
        <v>0</v>
      </c>
      <c r="AX100" s="16">
        <f ca="1">'2.XDTD_S.Tr.T'!AZ192</f>
        <v>0</v>
      </c>
      <c r="AY100" s="16">
        <f ca="1">'2.XDTD_S.Tr.T'!BA192</f>
        <v>0</v>
      </c>
      <c r="AZ100" s="16">
        <f ca="1">'2.XDTD_S.Tr.T'!BB192</f>
        <v>0</v>
      </c>
      <c r="BA100" s="16">
        <f ca="1">'2.XDTD_S.Tr.T'!BC192</f>
        <v>0</v>
      </c>
      <c r="BB100" s="16">
        <f ca="1">'2.XDTD_S.Tr.T'!BD192</f>
        <v>0</v>
      </c>
      <c r="BC100" s="16">
        <f ca="1">'2.XDTD_S.Tr.T'!BE192</f>
        <v>0</v>
      </c>
      <c r="BD100" s="16">
        <f ca="1">'2.XDTD_S.Tr.T'!BF192</f>
        <v>0</v>
      </c>
      <c r="BE100" s="16">
        <f ca="1">'2.XDTD_S.Tr.T'!BG192</f>
        <v>0</v>
      </c>
      <c r="BF100" s="16">
        <f ca="1">'2.XDTD_S.Tr.T'!BH192</f>
        <v>0</v>
      </c>
      <c r="BG100" s="16">
        <f ca="1">'2.XDTD_S.Tr.T'!BI192</f>
        <v>0</v>
      </c>
      <c r="BH100" s="16">
        <f ca="1">'2.XDTD_S.Tr.T'!BJ192</f>
        <v>0</v>
      </c>
      <c r="BI100" s="16">
        <f ca="1">'2.XDTD_S.Tr.T'!BK192</f>
        <v>0</v>
      </c>
      <c r="BJ100" s="16">
        <f ca="1">'2.XDTD_S.Tr.T'!BL192</f>
        <v>0</v>
      </c>
      <c r="BK100" s="16">
        <f ca="1">'2.XDTD_S.Tr.T'!BM192</f>
        <v>0</v>
      </c>
      <c r="BL100" s="16">
        <f ca="1">'2.XDTD_S.Tr.T'!BN192</f>
        <v>0</v>
      </c>
      <c r="BM100" s="16">
        <f ca="1">'2.XDTD_S.Tr.T'!BO192</f>
        <v>0</v>
      </c>
      <c r="BN100" s="16">
        <f ca="1">'2.XDTD_S.Tr.T'!BP192</f>
        <v>0</v>
      </c>
      <c r="BO100" s="16">
        <f ca="1">'2.XDTD_S.Tr.T'!BP192</f>
        <v>0</v>
      </c>
      <c r="BP100" s="16">
        <f ca="1">'2.XDTD_S.Tr.T'!BR192</f>
        <v>0</v>
      </c>
      <c r="BQ100" s="16">
        <f ca="1">'2.XDTD_S.Tr.T'!BS192</f>
        <v>0</v>
      </c>
      <c r="BR100" s="16">
        <f ca="1">'2.XDTD_S.Tr.T'!BT192</f>
        <v>0</v>
      </c>
      <c r="BS100" s="16">
        <f ca="1">'2.XDTD_S.Tr.T'!BU192</f>
        <v>0</v>
      </c>
      <c r="BT100" s="16">
        <f ca="1">'2.XDTD_S.Tr.T'!BV192</f>
        <v>0</v>
      </c>
      <c r="BU100" s="16">
        <f ca="1">'2.XDTD_S.Tr.T'!BW192</f>
        <v>0</v>
      </c>
      <c r="BV100" s="16">
        <f ca="1">'2.XDTD_S.Tr.T'!BX192</f>
        <v>0</v>
      </c>
      <c r="BW100" s="16">
        <f ca="1">'2.XDTD_S.Tr.T'!BY192</f>
        <v>0</v>
      </c>
      <c r="BX100" s="16">
        <f ca="1">'2.XDTD_S.Tr.T'!BZ192</f>
        <v>0</v>
      </c>
      <c r="BY100" s="16">
        <f ca="1">'2.XDTD_S.Tr.T'!CA192</f>
        <v>0</v>
      </c>
      <c r="BZ100" s="16">
        <f ca="1">'2.XDTD_S.Tr.T'!CB192</f>
        <v>0</v>
      </c>
      <c r="CA100" s="16">
        <f ca="1">'2.XDTD_S.Tr.T'!CC192</f>
        <v>0</v>
      </c>
      <c r="CB100" s="16">
        <f ca="1">'2.XDTD_S.Tr.T'!CD192</f>
        <v>0</v>
      </c>
      <c r="CC100" s="16">
        <f ca="1">'2.XDTD_S.Tr.T'!CE192</f>
        <v>0</v>
      </c>
      <c r="CD100" s="16">
        <f ca="1">'2.XDTD_S.Tr.T'!CF192</f>
        <v>0</v>
      </c>
      <c r="CE100" s="16">
        <f ca="1">'2.XDTD_S.Tr.T'!CG192</f>
        <v>0</v>
      </c>
      <c r="CF100" s="16">
        <f ca="1">'2.XDTD_S.Tr.T'!CH192</f>
        <v>0</v>
      </c>
      <c r="CG100" s="16">
        <f ca="1">'2.XDTD_S.Tr.T'!CI192</f>
        <v>0</v>
      </c>
      <c r="CH100" s="16">
        <f ca="1">'2.XDTD_S.Tr.T'!CJ192</f>
        <v>0</v>
      </c>
      <c r="CI100" s="16">
        <f ca="1">'2.XDTD_S.Tr.T'!CK192</f>
        <v>0</v>
      </c>
      <c r="CJ100" s="16">
        <f ca="1">'2.XDTD_S.Tr.T'!CL192</f>
        <v>0</v>
      </c>
      <c r="CK100" s="16">
        <f ca="1">'2.XDTD_S.Tr.T'!CM192</f>
        <v>0</v>
      </c>
      <c r="CL100" s="16">
        <f ca="1">'2.XDTD_S.Tr.T'!CN192</f>
        <v>0</v>
      </c>
      <c r="CM100" s="16">
        <f ca="1">'2.XDTD_S.Tr.T'!CO192</f>
        <v>0</v>
      </c>
      <c r="CN100" s="16">
        <f ca="1">'2.XDTD_S.Tr.T'!CP192</f>
        <v>0</v>
      </c>
      <c r="CO100" s="16">
        <f ca="1">'2.XDTD_S.Tr.T'!CP192</f>
        <v>0</v>
      </c>
    </row>
    <row r="101" spans="3:93" ht="19.95" customHeight="1">
      <c r="C101" s="5"/>
      <c r="D101" s="11" t="str">
        <f>'2.XDTD_S.Tr.T'!F193</f>
        <v>Rau đay</v>
      </c>
      <c r="E101" s="7" t="e">
        <f ca="1">'2.XDTD_S.Tr.T'!G193</f>
        <v>#NAME?</v>
      </c>
      <c r="F101" s="8">
        <f>'2.XDTD_S.Tr.T'!H193</f>
        <v>30</v>
      </c>
      <c r="G101" s="9">
        <f ca="1">'2.XDTD_S.Tr.T'!I193</f>
        <v>0</v>
      </c>
      <c r="H101" s="10">
        <f ca="1">'2.XDTD_S.Tr.T'!J193</f>
        <v>0</v>
      </c>
      <c r="I101" s="9">
        <f ca="1">'2.XDTD_S.Tr.T'!K193</f>
        <v>0</v>
      </c>
      <c r="J101" s="13" t="e">
        <f ca="1">'2.XDTD_S.Tr.T'!L193</f>
        <v>#NAME?</v>
      </c>
      <c r="K101" s="13" t="e">
        <f ca="1">'2.XDTD_S.Tr.T'!M193</f>
        <v>#NAME?</v>
      </c>
      <c r="L101" s="9">
        <f ca="1">'2.XDTD_S.Tr.T'!N193</f>
        <v>0</v>
      </c>
      <c r="M101" s="14" t="e">
        <f ca="1">'2.XDTD_S.Tr.T'!O193</f>
        <v>#NAME?</v>
      </c>
      <c r="N101" s="14" t="e">
        <f ca="1">'2.XDTD_S.Tr.T'!P193</f>
        <v>#NAME?</v>
      </c>
      <c r="O101" s="9" t="e">
        <f ca="1">'2.XDTD_S.Tr.T'!P193</f>
        <v>#NAME?</v>
      </c>
      <c r="P101" s="15">
        <f ca="1">'2.XDTD_S.Tr.T'!R193</f>
        <v>0</v>
      </c>
      <c r="Q101" s="16">
        <f ca="1">'2.XDTD_S.Tr.T'!S193</f>
        <v>0</v>
      </c>
      <c r="R101" s="16">
        <f ca="1">'2.XDTD_S.Tr.T'!T193</f>
        <v>0</v>
      </c>
      <c r="S101" s="16">
        <f ca="1">'2.XDTD_S.Tr.T'!U193</f>
        <v>0</v>
      </c>
      <c r="T101" s="16">
        <f ca="1">'2.XDTD_S.Tr.T'!V193</f>
        <v>0</v>
      </c>
      <c r="U101" s="16">
        <f ca="1">'2.XDTD_S.Tr.T'!W193</f>
        <v>0</v>
      </c>
      <c r="V101" s="16">
        <f ca="1">'2.XDTD_S.Tr.T'!X193</f>
        <v>0</v>
      </c>
      <c r="W101" s="16">
        <f ca="1">'2.XDTD_S.Tr.T'!Y193</f>
        <v>0</v>
      </c>
      <c r="X101" s="16">
        <f ca="1">'2.XDTD_S.Tr.T'!Z193</f>
        <v>0</v>
      </c>
      <c r="Y101" s="16">
        <f ca="1">'2.XDTD_S.Tr.T'!AA193</f>
        <v>0</v>
      </c>
      <c r="Z101" s="16">
        <f ca="1">'2.XDTD_S.Tr.T'!AB193</f>
        <v>0</v>
      </c>
      <c r="AA101" s="16">
        <f ca="1">'2.XDTD_S.Tr.T'!AC193</f>
        <v>0</v>
      </c>
      <c r="AB101" s="16">
        <f ca="1">'2.XDTD_S.Tr.T'!AD193</f>
        <v>0</v>
      </c>
      <c r="AC101" s="16">
        <f ca="1">'2.XDTD_S.Tr.T'!AE193</f>
        <v>0</v>
      </c>
      <c r="AD101" s="16">
        <f ca="1">'2.XDTD_S.Tr.T'!AF193</f>
        <v>0</v>
      </c>
      <c r="AE101" s="16">
        <f ca="1">'2.XDTD_S.Tr.T'!AG193</f>
        <v>0</v>
      </c>
      <c r="AF101" s="16">
        <f ca="1">'2.XDTD_S.Tr.T'!AH193</f>
        <v>0</v>
      </c>
      <c r="AG101" s="16">
        <f ca="1">'2.XDTD_S.Tr.T'!AI193</f>
        <v>0</v>
      </c>
      <c r="AH101" s="16">
        <f ca="1">'2.XDTD_S.Tr.T'!AJ193</f>
        <v>0</v>
      </c>
      <c r="AI101" s="16">
        <f ca="1">'2.XDTD_S.Tr.T'!AK193</f>
        <v>0</v>
      </c>
      <c r="AJ101" s="16">
        <f ca="1">'2.XDTD_S.Tr.T'!AL193</f>
        <v>0</v>
      </c>
      <c r="AK101" s="16">
        <f ca="1">'2.XDTD_S.Tr.T'!AM193</f>
        <v>0</v>
      </c>
      <c r="AL101" s="16">
        <f ca="1">'2.XDTD_S.Tr.T'!AN193</f>
        <v>0</v>
      </c>
      <c r="AM101" s="16">
        <f ca="1">'2.XDTD_S.Tr.T'!AO193</f>
        <v>0</v>
      </c>
      <c r="AN101" s="16">
        <f ca="1">'2.XDTD_S.Tr.T'!AP193</f>
        <v>0</v>
      </c>
      <c r="AO101" s="16">
        <f ca="1">'2.XDTD_S.Tr.T'!AP193</f>
        <v>0</v>
      </c>
      <c r="AP101" s="16">
        <f ca="1">'2.XDTD_S.Tr.T'!AR193</f>
        <v>0</v>
      </c>
      <c r="AQ101" s="16">
        <f ca="1">'2.XDTD_S.Tr.T'!AS193</f>
        <v>0</v>
      </c>
      <c r="AR101" s="16">
        <f ca="1">'2.XDTD_S.Tr.T'!AT193</f>
        <v>0</v>
      </c>
      <c r="AS101" s="16">
        <f ca="1">'2.XDTD_S.Tr.T'!AU193</f>
        <v>0</v>
      </c>
      <c r="AT101" s="16">
        <f ca="1">'2.XDTD_S.Tr.T'!AV193</f>
        <v>0</v>
      </c>
      <c r="AU101" s="16">
        <f ca="1">'2.XDTD_S.Tr.T'!AW193</f>
        <v>0</v>
      </c>
      <c r="AV101" s="16">
        <f ca="1">'2.XDTD_S.Tr.T'!AX193</f>
        <v>0</v>
      </c>
      <c r="AW101" s="16">
        <f ca="1">'2.XDTD_S.Tr.T'!AY193</f>
        <v>0</v>
      </c>
      <c r="AX101" s="16">
        <f ca="1">'2.XDTD_S.Tr.T'!AZ193</f>
        <v>0</v>
      </c>
      <c r="AY101" s="16">
        <f ca="1">'2.XDTD_S.Tr.T'!BA193</f>
        <v>0</v>
      </c>
      <c r="AZ101" s="16">
        <f ca="1">'2.XDTD_S.Tr.T'!BB193</f>
        <v>0</v>
      </c>
      <c r="BA101" s="16">
        <f ca="1">'2.XDTD_S.Tr.T'!BC193</f>
        <v>0</v>
      </c>
      <c r="BB101" s="16">
        <f ca="1">'2.XDTD_S.Tr.T'!BD193</f>
        <v>0</v>
      </c>
      <c r="BC101" s="16">
        <f ca="1">'2.XDTD_S.Tr.T'!BE193</f>
        <v>0</v>
      </c>
      <c r="BD101" s="16">
        <f ca="1">'2.XDTD_S.Tr.T'!BF193</f>
        <v>0</v>
      </c>
      <c r="BE101" s="16">
        <f ca="1">'2.XDTD_S.Tr.T'!BG193</f>
        <v>0</v>
      </c>
      <c r="BF101" s="16">
        <f ca="1">'2.XDTD_S.Tr.T'!BH193</f>
        <v>0</v>
      </c>
      <c r="BG101" s="16">
        <f ca="1">'2.XDTD_S.Tr.T'!BI193</f>
        <v>0</v>
      </c>
      <c r="BH101" s="16">
        <f ca="1">'2.XDTD_S.Tr.T'!BJ193</f>
        <v>0</v>
      </c>
      <c r="BI101" s="16">
        <f ca="1">'2.XDTD_S.Tr.T'!BK193</f>
        <v>0</v>
      </c>
      <c r="BJ101" s="16">
        <f ca="1">'2.XDTD_S.Tr.T'!BL193</f>
        <v>0</v>
      </c>
      <c r="BK101" s="16">
        <f ca="1">'2.XDTD_S.Tr.T'!BM193</f>
        <v>0</v>
      </c>
      <c r="BL101" s="16">
        <f ca="1">'2.XDTD_S.Tr.T'!BN193</f>
        <v>0</v>
      </c>
      <c r="BM101" s="16">
        <f ca="1">'2.XDTD_S.Tr.T'!BO193</f>
        <v>0</v>
      </c>
      <c r="BN101" s="16">
        <f ca="1">'2.XDTD_S.Tr.T'!BP193</f>
        <v>0</v>
      </c>
      <c r="BO101" s="16">
        <f ca="1">'2.XDTD_S.Tr.T'!BP193</f>
        <v>0</v>
      </c>
      <c r="BP101" s="16">
        <f ca="1">'2.XDTD_S.Tr.T'!BR193</f>
        <v>0</v>
      </c>
      <c r="BQ101" s="16">
        <f ca="1">'2.XDTD_S.Tr.T'!BS193</f>
        <v>0</v>
      </c>
      <c r="BR101" s="16">
        <f ca="1">'2.XDTD_S.Tr.T'!BT193</f>
        <v>0</v>
      </c>
      <c r="BS101" s="16">
        <f ca="1">'2.XDTD_S.Tr.T'!BU193</f>
        <v>0</v>
      </c>
      <c r="BT101" s="16">
        <f ca="1">'2.XDTD_S.Tr.T'!BV193</f>
        <v>0</v>
      </c>
      <c r="BU101" s="16">
        <f ca="1">'2.XDTD_S.Tr.T'!BW193</f>
        <v>0</v>
      </c>
      <c r="BV101" s="16">
        <f ca="1">'2.XDTD_S.Tr.T'!BX193</f>
        <v>0</v>
      </c>
      <c r="BW101" s="16">
        <f ca="1">'2.XDTD_S.Tr.T'!BY193</f>
        <v>0</v>
      </c>
      <c r="BX101" s="16">
        <f ca="1">'2.XDTD_S.Tr.T'!BZ193</f>
        <v>0</v>
      </c>
      <c r="BY101" s="16">
        <f ca="1">'2.XDTD_S.Tr.T'!CA193</f>
        <v>0</v>
      </c>
      <c r="BZ101" s="16">
        <f ca="1">'2.XDTD_S.Tr.T'!CB193</f>
        <v>0</v>
      </c>
      <c r="CA101" s="16">
        <f ca="1">'2.XDTD_S.Tr.T'!CC193</f>
        <v>0</v>
      </c>
      <c r="CB101" s="16">
        <f ca="1">'2.XDTD_S.Tr.T'!CD193</f>
        <v>0</v>
      </c>
      <c r="CC101" s="16">
        <f ca="1">'2.XDTD_S.Tr.T'!CE193</f>
        <v>0</v>
      </c>
      <c r="CD101" s="16">
        <f ca="1">'2.XDTD_S.Tr.T'!CF193</f>
        <v>0</v>
      </c>
      <c r="CE101" s="16">
        <f ca="1">'2.XDTD_S.Tr.T'!CG193</f>
        <v>0</v>
      </c>
      <c r="CF101" s="16">
        <f ca="1">'2.XDTD_S.Tr.T'!CH193</f>
        <v>0</v>
      </c>
      <c r="CG101" s="16">
        <f ca="1">'2.XDTD_S.Tr.T'!CI193</f>
        <v>0</v>
      </c>
      <c r="CH101" s="16">
        <f ca="1">'2.XDTD_S.Tr.T'!CJ193</f>
        <v>0</v>
      </c>
      <c r="CI101" s="16">
        <f ca="1">'2.XDTD_S.Tr.T'!CK193</f>
        <v>0</v>
      </c>
      <c r="CJ101" s="16">
        <f ca="1">'2.XDTD_S.Tr.T'!CL193</f>
        <v>0</v>
      </c>
      <c r="CK101" s="16">
        <f ca="1">'2.XDTD_S.Tr.T'!CM193</f>
        <v>0</v>
      </c>
      <c r="CL101" s="16">
        <f ca="1">'2.XDTD_S.Tr.T'!CN193</f>
        <v>0</v>
      </c>
      <c r="CM101" s="16">
        <f ca="1">'2.XDTD_S.Tr.T'!CO193</f>
        <v>0</v>
      </c>
      <c r="CN101" s="16">
        <f ca="1">'2.XDTD_S.Tr.T'!CP193</f>
        <v>0</v>
      </c>
      <c r="CO101" s="16">
        <f ca="1">'2.XDTD_S.Tr.T'!CP193</f>
        <v>0</v>
      </c>
    </row>
    <row r="102" spans="3:93" ht="19.95" customHeight="1">
      <c r="C102" s="5"/>
      <c r="D102" s="11" t="str">
        <f>'2.XDTD_S.Tr.T'!F194</f>
        <v>Rau mồng tơi</v>
      </c>
      <c r="E102" s="7" t="e">
        <f ca="1">'2.XDTD_S.Tr.T'!G194</f>
        <v>#NAME?</v>
      </c>
      <c r="F102" s="8">
        <f>'2.XDTD_S.Tr.T'!H194</f>
        <v>50</v>
      </c>
      <c r="G102" s="9">
        <f ca="1">'2.XDTD_S.Tr.T'!I194</f>
        <v>0</v>
      </c>
      <c r="H102" s="10">
        <f ca="1">'2.XDTD_S.Tr.T'!J194</f>
        <v>0</v>
      </c>
      <c r="I102" s="9">
        <f ca="1">'2.XDTD_S.Tr.T'!K194</f>
        <v>0</v>
      </c>
      <c r="J102" s="13" t="e">
        <f ca="1">'2.XDTD_S.Tr.T'!L194</f>
        <v>#NAME?</v>
      </c>
      <c r="K102" s="13" t="e">
        <f ca="1">'2.XDTD_S.Tr.T'!M194</f>
        <v>#NAME?</v>
      </c>
      <c r="L102" s="9">
        <f ca="1">'2.XDTD_S.Tr.T'!N194</f>
        <v>0</v>
      </c>
      <c r="M102" s="14" t="e">
        <f ca="1">'2.XDTD_S.Tr.T'!O194</f>
        <v>#NAME?</v>
      </c>
      <c r="N102" s="14" t="e">
        <f ca="1">'2.XDTD_S.Tr.T'!P194</f>
        <v>#NAME?</v>
      </c>
      <c r="O102" s="9" t="e">
        <f ca="1">'2.XDTD_S.Tr.T'!P194</f>
        <v>#NAME?</v>
      </c>
      <c r="P102" s="15">
        <f ca="1">'2.XDTD_S.Tr.T'!R194</f>
        <v>0</v>
      </c>
      <c r="Q102" s="16">
        <f ca="1">'2.XDTD_S.Tr.T'!S194</f>
        <v>0</v>
      </c>
      <c r="R102" s="16">
        <f ca="1">'2.XDTD_S.Tr.T'!T194</f>
        <v>0</v>
      </c>
      <c r="S102" s="16">
        <f ca="1">'2.XDTD_S.Tr.T'!U194</f>
        <v>0</v>
      </c>
      <c r="T102" s="16">
        <f ca="1">'2.XDTD_S.Tr.T'!V194</f>
        <v>0</v>
      </c>
      <c r="U102" s="16">
        <f ca="1">'2.XDTD_S.Tr.T'!W194</f>
        <v>0</v>
      </c>
      <c r="V102" s="16">
        <f ca="1">'2.XDTD_S.Tr.T'!X194</f>
        <v>0</v>
      </c>
      <c r="W102" s="16">
        <f ca="1">'2.XDTD_S.Tr.T'!Y194</f>
        <v>0</v>
      </c>
      <c r="X102" s="16">
        <f ca="1">'2.XDTD_S.Tr.T'!Z194</f>
        <v>0</v>
      </c>
      <c r="Y102" s="16">
        <f ca="1">'2.XDTD_S.Tr.T'!AA194</f>
        <v>0</v>
      </c>
      <c r="Z102" s="16">
        <f ca="1">'2.XDTD_S.Tr.T'!AB194</f>
        <v>0</v>
      </c>
      <c r="AA102" s="16">
        <f ca="1">'2.XDTD_S.Tr.T'!AC194</f>
        <v>0</v>
      </c>
      <c r="AB102" s="16">
        <f ca="1">'2.XDTD_S.Tr.T'!AD194</f>
        <v>0</v>
      </c>
      <c r="AC102" s="16">
        <f ca="1">'2.XDTD_S.Tr.T'!AE194</f>
        <v>0</v>
      </c>
      <c r="AD102" s="16">
        <f ca="1">'2.XDTD_S.Tr.T'!AF194</f>
        <v>0</v>
      </c>
      <c r="AE102" s="16">
        <f ca="1">'2.XDTD_S.Tr.T'!AG194</f>
        <v>0</v>
      </c>
      <c r="AF102" s="16">
        <f ca="1">'2.XDTD_S.Tr.T'!AH194</f>
        <v>0</v>
      </c>
      <c r="AG102" s="16">
        <f ca="1">'2.XDTD_S.Tr.T'!AI194</f>
        <v>0</v>
      </c>
      <c r="AH102" s="16">
        <f ca="1">'2.XDTD_S.Tr.T'!AJ194</f>
        <v>0</v>
      </c>
      <c r="AI102" s="16">
        <f ca="1">'2.XDTD_S.Tr.T'!AK194</f>
        <v>0</v>
      </c>
      <c r="AJ102" s="16">
        <f ca="1">'2.XDTD_S.Tr.T'!AL194</f>
        <v>0</v>
      </c>
      <c r="AK102" s="16">
        <f ca="1">'2.XDTD_S.Tr.T'!AM194</f>
        <v>0</v>
      </c>
      <c r="AL102" s="16">
        <f ca="1">'2.XDTD_S.Tr.T'!AN194</f>
        <v>0</v>
      </c>
      <c r="AM102" s="16">
        <f ca="1">'2.XDTD_S.Tr.T'!AO194</f>
        <v>0</v>
      </c>
      <c r="AN102" s="16">
        <f ca="1">'2.XDTD_S.Tr.T'!AP194</f>
        <v>0</v>
      </c>
      <c r="AO102" s="16">
        <f ca="1">'2.XDTD_S.Tr.T'!AP194</f>
        <v>0</v>
      </c>
      <c r="AP102" s="16">
        <f ca="1">'2.XDTD_S.Tr.T'!AR194</f>
        <v>0</v>
      </c>
      <c r="AQ102" s="16">
        <f ca="1">'2.XDTD_S.Tr.T'!AS194</f>
        <v>0</v>
      </c>
      <c r="AR102" s="16">
        <f ca="1">'2.XDTD_S.Tr.T'!AT194</f>
        <v>0</v>
      </c>
      <c r="AS102" s="16">
        <f ca="1">'2.XDTD_S.Tr.T'!AU194</f>
        <v>0</v>
      </c>
      <c r="AT102" s="16">
        <f ca="1">'2.XDTD_S.Tr.T'!AV194</f>
        <v>0</v>
      </c>
      <c r="AU102" s="16">
        <f ca="1">'2.XDTD_S.Tr.T'!AW194</f>
        <v>0</v>
      </c>
      <c r="AV102" s="16">
        <f ca="1">'2.XDTD_S.Tr.T'!AX194</f>
        <v>0</v>
      </c>
      <c r="AW102" s="16">
        <f ca="1">'2.XDTD_S.Tr.T'!AY194</f>
        <v>0</v>
      </c>
      <c r="AX102" s="16">
        <f ca="1">'2.XDTD_S.Tr.T'!AZ194</f>
        <v>0</v>
      </c>
      <c r="AY102" s="16">
        <f ca="1">'2.XDTD_S.Tr.T'!BA194</f>
        <v>0</v>
      </c>
      <c r="AZ102" s="16">
        <f ca="1">'2.XDTD_S.Tr.T'!BB194</f>
        <v>0</v>
      </c>
      <c r="BA102" s="16">
        <f ca="1">'2.XDTD_S.Tr.T'!BC194</f>
        <v>0</v>
      </c>
      <c r="BB102" s="16">
        <f ca="1">'2.XDTD_S.Tr.T'!BD194</f>
        <v>0</v>
      </c>
      <c r="BC102" s="16">
        <f ca="1">'2.XDTD_S.Tr.T'!BE194</f>
        <v>0</v>
      </c>
      <c r="BD102" s="16">
        <f ca="1">'2.XDTD_S.Tr.T'!BF194</f>
        <v>0</v>
      </c>
      <c r="BE102" s="16">
        <f ca="1">'2.XDTD_S.Tr.T'!BG194</f>
        <v>0</v>
      </c>
      <c r="BF102" s="16">
        <f ca="1">'2.XDTD_S.Tr.T'!BH194</f>
        <v>0</v>
      </c>
      <c r="BG102" s="16">
        <f ca="1">'2.XDTD_S.Tr.T'!BI194</f>
        <v>0</v>
      </c>
      <c r="BH102" s="16">
        <f ca="1">'2.XDTD_S.Tr.T'!BJ194</f>
        <v>0</v>
      </c>
      <c r="BI102" s="16">
        <f ca="1">'2.XDTD_S.Tr.T'!BK194</f>
        <v>0</v>
      </c>
      <c r="BJ102" s="16">
        <f ca="1">'2.XDTD_S.Tr.T'!BL194</f>
        <v>0</v>
      </c>
      <c r="BK102" s="16">
        <f ca="1">'2.XDTD_S.Tr.T'!BM194</f>
        <v>0</v>
      </c>
      <c r="BL102" s="16">
        <f ca="1">'2.XDTD_S.Tr.T'!BN194</f>
        <v>0</v>
      </c>
      <c r="BM102" s="16">
        <f ca="1">'2.XDTD_S.Tr.T'!BO194</f>
        <v>0</v>
      </c>
      <c r="BN102" s="16">
        <f ca="1">'2.XDTD_S.Tr.T'!BP194</f>
        <v>0</v>
      </c>
      <c r="BO102" s="16">
        <f ca="1">'2.XDTD_S.Tr.T'!BP194</f>
        <v>0</v>
      </c>
      <c r="BP102" s="16">
        <f ca="1">'2.XDTD_S.Tr.T'!BR194</f>
        <v>0</v>
      </c>
      <c r="BQ102" s="16">
        <f ca="1">'2.XDTD_S.Tr.T'!BS194</f>
        <v>0</v>
      </c>
      <c r="BR102" s="16">
        <f ca="1">'2.XDTD_S.Tr.T'!BT194</f>
        <v>0</v>
      </c>
      <c r="BS102" s="16">
        <f ca="1">'2.XDTD_S.Tr.T'!BU194</f>
        <v>0</v>
      </c>
      <c r="BT102" s="16">
        <f ca="1">'2.XDTD_S.Tr.T'!BV194</f>
        <v>0</v>
      </c>
      <c r="BU102" s="16">
        <f ca="1">'2.XDTD_S.Tr.T'!BW194</f>
        <v>0</v>
      </c>
      <c r="BV102" s="16">
        <f ca="1">'2.XDTD_S.Tr.T'!BX194</f>
        <v>0</v>
      </c>
      <c r="BW102" s="16">
        <f ca="1">'2.XDTD_S.Tr.T'!BY194</f>
        <v>0</v>
      </c>
      <c r="BX102" s="16">
        <f ca="1">'2.XDTD_S.Tr.T'!BZ194</f>
        <v>0</v>
      </c>
      <c r="BY102" s="16">
        <f ca="1">'2.XDTD_S.Tr.T'!CA194</f>
        <v>0</v>
      </c>
      <c r="BZ102" s="16">
        <f ca="1">'2.XDTD_S.Tr.T'!CB194</f>
        <v>0</v>
      </c>
      <c r="CA102" s="16">
        <f ca="1">'2.XDTD_S.Tr.T'!CC194</f>
        <v>0</v>
      </c>
      <c r="CB102" s="16">
        <f ca="1">'2.XDTD_S.Tr.T'!CD194</f>
        <v>0</v>
      </c>
      <c r="CC102" s="16">
        <f ca="1">'2.XDTD_S.Tr.T'!CE194</f>
        <v>0</v>
      </c>
      <c r="CD102" s="16">
        <f ca="1">'2.XDTD_S.Tr.T'!CF194</f>
        <v>0</v>
      </c>
      <c r="CE102" s="16">
        <f ca="1">'2.XDTD_S.Tr.T'!CG194</f>
        <v>0</v>
      </c>
      <c r="CF102" s="16">
        <f ca="1">'2.XDTD_S.Tr.T'!CH194</f>
        <v>0</v>
      </c>
      <c r="CG102" s="16">
        <f ca="1">'2.XDTD_S.Tr.T'!CI194</f>
        <v>0</v>
      </c>
      <c r="CH102" s="16">
        <f ca="1">'2.XDTD_S.Tr.T'!CJ194</f>
        <v>0</v>
      </c>
      <c r="CI102" s="16">
        <f ca="1">'2.XDTD_S.Tr.T'!CK194</f>
        <v>0</v>
      </c>
      <c r="CJ102" s="16">
        <f ca="1">'2.XDTD_S.Tr.T'!CL194</f>
        <v>0</v>
      </c>
      <c r="CK102" s="16">
        <f ca="1">'2.XDTD_S.Tr.T'!CM194</f>
        <v>0</v>
      </c>
      <c r="CL102" s="16">
        <f ca="1">'2.XDTD_S.Tr.T'!CN194</f>
        <v>0</v>
      </c>
      <c r="CM102" s="16">
        <f ca="1">'2.XDTD_S.Tr.T'!CO194</f>
        <v>0</v>
      </c>
      <c r="CN102" s="16">
        <f ca="1">'2.XDTD_S.Tr.T'!CP194</f>
        <v>0</v>
      </c>
      <c r="CO102" s="16">
        <f ca="1">'2.XDTD_S.Tr.T'!CP194</f>
        <v>0</v>
      </c>
    </row>
    <row r="103" spans="3:93" ht="19.95" customHeight="1">
      <c r="C103" s="5"/>
      <c r="D103" s="11" t="str">
        <f>'2.XDTD_S.Tr.T'!F195</f>
        <v>Mướp</v>
      </c>
      <c r="E103" s="7" t="e">
        <f ca="1">'2.XDTD_S.Tr.T'!G195</f>
        <v>#NAME?</v>
      </c>
      <c r="F103" s="8">
        <f>'2.XDTD_S.Tr.T'!H195</f>
        <v>50</v>
      </c>
      <c r="G103" s="9">
        <f ca="1">'2.XDTD_S.Tr.T'!I195</f>
        <v>0</v>
      </c>
      <c r="H103" s="10">
        <f ca="1">'2.XDTD_S.Tr.T'!J195</f>
        <v>0</v>
      </c>
      <c r="I103" s="9">
        <f ca="1">'2.XDTD_S.Tr.T'!K195</f>
        <v>0</v>
      </c>
      <c r="J103" s="13" t="e">
        <f ca="1">'2.XDTD_S.Tr.T'!L195</f>
        <v>#NAME?</v>
      </c>
      <c r="K103" s="13" t="e">
        <f ca="1">'2.XDTD_S.Tr.T'!M195</f>
        <v>#NAME?</v>
      </c>
      <c r="L103" s="9">
        <f ca="1">'2.XDTD_S.Tr.T'!N195</f>
        <v>0</v>
      </c>
      <c r="M103" s="14" t="e">
        <f ca="1">'2.XDTD_S.Tr.T'!O195</f>
        <v>#NAME?</v>
      </c>
      <c r="N103" s="14" t="e">
        <f ca="1">'2.XDTD_S.Tr.T'!P195</f>
        <v>#NAME?</v>
      </c>
      <c r="O103" s="9" t="e">
        <f ca="1">'2.XDTD_S.Tr.T'!P195</f>
        <v>#NAME?</v>
      </c>
      <c r="P103" s="15">
        <f ca="1">'2.XDTD_S.Tr.T'!R195</f>
        <v>0</v>
      </c>
      <c r="Q103" s="16">
        <f ca="1">'2.XDTD_S.Tr.T'!S195</f>
        <v>0</v>
      </c>
      <c r="R103" s="16">
        <f ca="1">'2.XDTD_S.Tr.T'!T195</f>
        <v>0</v>
      </c>
      <c r="S103" s="16">
        <f ca="1">'2.XDTD_S.Tr.T'!U195</f>
        <v>0</v>
      </c>
      <c r="T103" s="16">
        <f ca="1">'2.XDTD_S.Tr.T'!V195</f>
        <v>0</v>
      </c>
      <c r="U103" s="16">
        <f ca="1">'2.XDTD_S.Tr.T'!W195</f>
        <v>0</v>
      </c>
      <c r="V103" s="16">
        <f ca="1">'2.XDTD_S.Tr.T'!X195</f>
        <v>0</v>
      </c>
      <c r="W103" s="16">
        <f ca="1">'2.XDTD_S.Tr.T'!Y195</f>
        <v>0</v>
      </c>
      <c r="X103" s="16">
        <f ca="1">'2.XDTD_S.Tr.T'!Z195</f>
        <v>0</v>
      </c>
      <c r="Y103" s="16">
        <f ca="1">'2.XDTD_S.Tr.T'!AA195</f>
        <v>0</v>
      </c>
      <c r="Z103" s="16">
        <f ca="1">'2.XDTD_S.Tr.T'!AB195</f>
        <v>0</v>
      </c>
      <c r="AA103" s="16">
        <f ca="1">'2.XDTD_S.Tr.T'!AC195</f>
        <v>0</v>
      </c>
      <c r="AB103" s="16">
        <f ca="1">'2.XDTD_S.Tr.T'!AD195</f>
        <v>0</v>
      </c>
      <c r="AC103" s="16">
        <f ca="1">'2.XDTD_S.Tr.T'!AE195</f>
        <v>0</v>
      </c>
      <c r="AD103" s="16">
        <f ca="1">'2.XDTD_S.Tr.T'!AF195</f>
        <v>0</v>
      </c>
      <c r="AE103" s="16">
        <f ca="1">'2.XDTD_S.Tr.T'!AG195</f>
        <v>0</v>
      </c>
      <c r="AF103" s="16">
        <f ca="1">'2.XDTD_S.Tr.T'!AH195</f>
        <v>0</v>
      </c>
      <c r="AG103" s="16">
        <f ca="1">'2.XDTD_S.Tr.T'!AI195</f>
        <v>0</v>
      </c>
      <c r="AH103" s="16">
        <f ca="1">'2.XDTD_S.Tr.T'!AJ195</f>
        <v>0</v>
      </c>
      <c r="AI103" s="16">
        <f ca="1">'2.XDTD_S.Tr.T'!AK195</f>
        <v>0</v>
      </c>
      <c r="AJ103" s="16">
        <f ca="1">'2.XDTD_S.Tr.T'!AL195</f>
        <v>0</v>
      </c>
      <c r="AK103" s="16">
        <f ca="1">'2.XDTD_S.Tr.T'!AM195</f>
        <v>0</v>
      </c>
      <c r="AL103" s="16">
        <f ca="1">'2.XDTD_S.Tr.T'!AN195</f>
        <v>0</v>
      </c>
      <c r="AM103" s="16">
        <f ca="1">'2.XDTD_S.Tr.T'!AO195</f>
        <v>0</v>
      </c>
      <c r="AN103" s="16">
        <f ca="1">'2.XDTD_S.Tr.T'!AP195</f>
        <v>0</v>
      </c>
      <c r="AO103" s="16">
        <f ca="1">'2.XDTD_S.Tr.T'!AP195</f>
        <v>0</v>
      </c>
      <c r="AP103" s="16">
        <f ca="1">'2.XDTD_S.Tr.T'!AR195</f>
        <v>0</v>
      </c>
      <c r="AQ103" s="16">
        <f ca="1">'2.XDTD_S.Tr.T'!AS195</f>
        <v>0</v>
      </c>
      <c r="AR103" s="16">
        <f ca="1">'2.XDTD_S.Tr.T'!AT195</f>
        <v>0</v>
      </c>
      <c r="AS103" s="16">
        <f ca="1">'2.XDTD_S.Tr.T'!AU195</f>
        <v>0</v>
      </c>
      <c r="AT103" s="16">
        <f ca="1">'2.XDTD_S.Tr.T'!AV195</f>
        <v>0</v>
      </c>
      <c r="AU103" s="16">
        <f ca="1">'2.XDTD_S.Tr.T'!AW195</f>
        <v>0</v>
      </c>
      <c r="AV103" s="16">
        <f ca="1">'2.XDTD_S.Tr.T'!AX195</f>
        <v>0</v>
      </c>
      <c r="AW103" s="16">
        <f ca="1">'2.XDTD_S.Tr.T'!AY195</f>
        <v>0</v>
      </c>
      <c r="AX103" s="16">
        <f ca="1">'2.XDTD_S.Tr.T'!AZ195</f>
        <v>0</v>
      </c>
      <c r="AY103" s="16">
        <f ca="1">'2.XDTD_S.Tr.T'!BA195</f>
        <v>0</v>
      </c>
      <c r="AZ103" s="16">
        <f ca="1">'2.XDTD_S.Tr.T'!BB195</f>
        <v>0</v>
      </c>
      <c r="BA103" s="16">
        <f ca="1">'2.XDTD_S.Tr.T'!BC195</f>
        <v>0</v>
      </c>
      <c r="BB103" s="16">
        <f ca="1">'2.XDTD_S.Tr.T'!BD195</f>
        <v>0</v>
      </c>
      <c r="BC103" s="16">
        <f ca="1">'2.XDTD_S.Tr.T'!BE195</f>
        <v>0</v>
      </c>
      <c r="BD103" s="16">
        <f ca="1">'2.XDTD_S.Tr.T'!BF195</f>
        <v>0</v>
      </c>
      <c r="BE103" s="16">
        <f ca="1">'2.XDTD_S.Tr.T'!BG195</f>
        <v>0</v>
      </c>
      <c r="BF103" s="16">
        <f ca="1">'2.XDTD_S.Tr.T'!BH195</f>
        <v>0</v>
      </c>
      <c r="BG103" s="16">
        <f ca="1">'2.XDTD_S.Tr.T'!BI195</f>
        <v>0</v>
      </c>
      <c r="BH103" s="16">
        <f ca="1">'2.XDTD_S.Tr.T'!BJ195</f>
        <v>0</v>
      </c>
      <c r="BI103" s="16">
        <f ca="1">'2.XDTD_S.Tr.T'!BK195</f>
        <v>0</v>
      </c>
      <c r="BJ103" s="16">
        <f ca="1">'2.XDTD_S.Tr.T'!BL195</f>
        <v>0</v>
      </c>
      <c r="BK103" s="16">
        <f ca="1">'2.XDTD_S.Tr.T'!BM195</f>
        <v>0</v>
      </c>
      <c r="BL103" s="16">
        <f ca="1">'2.XDTD_S.Tr.T'!BN195</f>
        <v>0</v>
      </c>
      <c r="BM103" s="16">
        <f ca="1">'2.XDTD_S.Tr.T'!BO195</f>
        <v>0</v>
      </c>
      <c r="BN103" s="16">
        <f ca="1">'2.XDTD_S.Tr.T'!BP195</f>
        <v>0</v>
      </c>
      <c r="BO103" s="16">
        <f ca="1">'2.XDTD_S.Tr.T'!BP195</f>
        <v>0</v>
      </c>
      <c r="BP103" s="16">
        <f ca="1">'2.XDTD_S.Tr.T'!BR195</f>
        <v>0</v>
      </c>
      <c r="BQ103" s="16">
        <f ca="1">'2.XDTD_S.Tr.T'!BS195</f>
        <v>0</v>
      </c>
      <c r="BR103" s="16">
        <f ca="1">'2.XDTD_S.Tr.T'!BT195</f>
        <v>0</v>
      </c>
      <c r="BS103" s="16">
        <f ca="1">'2.XDTD_S.Tr.T'!BU195</f>
        <v>0</v>
      </c>
      <c r="BT103" s="16">
        <f ca="1">'2.XDTD_S.Tr.T'!BV195</f>
        <v>0</v>
      </c>
      <c r="BU103" s="16">
        <f ca="1">'2.XDTD_S.Tr.T'!BW195</f>
        <v>0</v>
      </c>
      <c r="BV103" s="16">
        <f ca="1">'2.XDTD_S.Tr.T'!BX195</f>
        <v>0</v>
      </c>
      <c r="BW103" s="16">
        <f ca="1">'2.XDTD_S.Tr.T'!BY195</f>
        <v>0</v>
      </c>
      <c r="BX103" s="16">
        <f ca="1">'2.XDTD_S.Tr.T'!BZ195</f>
        <v>0</v>
      </c>
      <c r="BY103" s="16">
        <f ca="1">'2.XDTD_S.Tr.T'!CA195</f>
        <v>0</v>
      </c>
      <c r="BZ103" s="16">
        <f ca="1">'2.XDTD_S.Tr.T'!CB195</f>
        <v>0</v>
      </c>
      <c r="CA103" s="16">
        <f ca="1">'2.XDTD_S.Tr.T'!CC195</f>
        <v>0</v>
      </c>
      <c r="CB103" s="16">
        <f ca="1">'2.XDTD_S.Tr.T'!CD195</f>
        <v>0</v>
      </c>
      <c r="CC103" s="16">
        <f ca="1">'2.XDTD_S.Tr.T'!CE195</f>
        <v>0</v>
      </c>
      <c r="CD103" s="16">
        <f ca="1">'2.XDTD_S.Tr.T'!CF195</f>
        <v>0</v>
      </c>
      <c r="CE103" s="16">
        <f ca="1">'2.XDTD_S.Tr.T'!CG195</f>
        <v>0</v>
      </c>
      <c r="CF103" s="16">
        <f ca="1">'2.XDTD_S.Tr.T'!CH195</f>
        <v>0</v>
      </c>
      <c r="CG103" s="16">
        <f ca="1">'2.XDTD_S.Tr.T'!CI195</f>
        <v>0</v>
      </c>
      <c r="CH103" s="16">
        <f ca="1">'2.XDTD_S.Tr.T'!CJ195</f>
        <v>0</v>
      </c>
      <c r="CI103" s="16">
        <f ca="1">'2.XDTD_S.Tr.T'!CK195</f>
        <v>0</v>
      </c>
      <c r="CJ103" s="16">
        <f ca="1">'2.XDTD_S.Tr.T'!CL195</f>
        <v>0</v>
      </c>
      <c r="CK103" s="16">
        <f ca="1">'2.XDTD_S.Tr.T'!CM195</f>
        <v>0</v>
      </c>
      <c r="CL103" s="16">
        <f ca="1">'2.XDTD_S.Tr.T'!CN195</f>
        <v>0</v>
      </c>
      <c r="CM103" s="16">
        <f ca="1">'2.XDTD_S.Tr.T'!CO195</f>
        <v>0</v>
      </c>
      <c r="CN103" s="16">
        <f ca="1">'2.XDTD_S.Tr.T'!CP195</f>
        <v>0</v>
      </c>
      <c r="CO103" s="16">
        <f ca="1">'2.XDTD_S.Tr.T'!CP195</f>
        <v>0</v>
      </c>
    </row>
    <row r="104" spans="3:93" ht="19.95" hidden="1" customHeight="1">
      <c r="C104" s="5"/>
      <c r="D104" s="11">
        <f>'2.XDTD_S.Tr.T'!F196</f>
        <v>0</v>
      </c>
      <c r="E104" s="7">
        <f>'2.XDTD_S.Tr.T'!G196</f>
        <v>0</v>
      </c>
      <c r="F104" s="8">
        <f>'2.XDTD_S.Tr.T'!H196</f>
        <v>0</v>
      </c>
      <c r="G104" s="9">
        <f ca="1">'2.XDTD_S.Tr.T'!I196</f>
        <v>0</v>
      </c>
      <c r="H104" s="10">
        <f ca="1">'2.XDTD_S.Tr.T'!J196</f>
        <v>0</v>
      </c>
      <c r="I104" s="9">
        <f ca="1">'2.XDTD_S.Tr.T'!K196</f>
        <v>0</v>
      </c>
      <c r="J104" s="13">
        <f>'2.XDTD_S.Tr.T'!L196</f>
        <v>0</v>
      </c>
      <c r="K104" s="13">
        <f>'2.XDTD_S.Tr.T'!M196</f>
        <v>0</v>
      </c>
      <c r="L104" s="9">
        <f ca="1">'2.XDTD_S.Tr.T'!N196</f>
        <v>0</v>
      </c>
      <c r="M104" s="14">
        <f>'2.XDTD_S.Tr.T'!O196</f>
        <v>0</v>
      </c>
      <c r="N104" s="14">
        <f>'2.XDTD_S.Tr.T'!P196</f>
        <v>0</v>
      </c>
      <c r="O104" s="9">
        <f>'2.XDTD_S.Tr.T'!P196</f>
        <v>0</v>
      </c>
      <c r="P104" s="15">
        <f ca="1">'2.XDTD_S.Tr.T'!R196</f>
        <v>0</v>
      </c>
      <c r="Q104" s="16">
        <f ca="1">'2.XDTD_S.Tr.T'!S196</f>
        <v>0</v>
      </c>
      <c r="R104" s="16">
        <f ca="1">'2.XDTD_S.Tr.T'!T196</f>
        <v>0</v>
      </c>
      <c r="S104" s="16">
        <f ca="1">'2.XDTD_S.Tr.T'!U196</f>
        <v>0</v>
      </c>
      <c r="T104" s="16">
        <f ca="1">'2.XDTD_S.Tr.T'!V196</f>
        <v>0</v>
      </c>
      <c r="U104" s="16">
        <f ca="1">'2.XDTD_S.Tr.T'!W196</f>
        <v>0</v>
      </c>
      <c r="V104" s="16">
        <f ca="1">'2.XDTD_S.Tr.T'!X196</f>
        <v>0</v>
      </c>
      <c r="W104" s="16">
        <f ca="1">'2.XDTD_S.Tr.T'!Y196</f>
        <v>0</v>
      </c>
      <c r="X104" s="16">
        <f ca="1">'2.XDTD_S.Tr.T'!Z196</f>
        <v>0</v>
      </c>
      <c r="Y104" s="16">
        <f ca="1">'2.XDTD_S.Tr.T'!AA196</f>
        <v>0</v>
      </c>
      <c r="Z104" s="16">
        <f ca="1">'2.XDTD_S.Tr.T'!AB196</f>
        <v>0</v>
      </c>
      <c r="AA104" s="16">
        <f ca="1">'2.XDTD_S.Tr.T'!AC196</f>
        <v>0</v>
      </c>
      <c r="AB104" s="16">
        <f ca="1">'2.XDTD_S.Tr.T'!AD196</f>
        <v>0</v>
      </c>
      <c r="AC104" s="16">
        <f ca="1">'2.XDTD_S.Tr.T'!AE196</f>
        <v>0</v>
      </c>
      <c r="AD104" s="16">
        <f ca="1">'2.XDTD_S.Tr.T'!AF196</f>
        <v>0</v>
      </c>
      <c r="AE104" s="16">
        <f ca="1">'2.XDTD_S.Tr.T'!AG196</f>
        <v>0</v>
      </c>
      <c r="AF104" s="16">
        <f ca="1">'2.XDTD_S.Tr.T'!AH196</f>
        <v>0</v>
      </c>
      <c r="AG104" s="16">
        <f ca="1">'2.XDTD_S.Tr.T'!AI196</f>
        <v>0</v>
      </c>
      <c r="AH104" s="16">
        <f ca="1">'2.XDTD_S.Tr.T'!AJ196</f>
        <v>0</v>
      </c>
      <c r="AI104" s="16">
        <f ca="1">'2.XDTD_S.Tr.T'!AK196</f>
        <v>0</v>
      </c>
      <c r="AJ104" s="16">
        <f ca="1">'2.XDTD_S.Tr.T'!AL196</f>
        <v>0</v>
      </c>
      <c r="AK104" s="16">
        <f ca="1">'2.XDTD_S.Tr.T'!AM196</f>
        <v>0</v>
      </c>
      <c r="AL104" s="16">
        <f ca="1">'2.XDTD_S.Tr.T'!AN196</f>
        <v>0</v>
      </c>
      <c r="AM104" s="16">
        <f ca="1">'2.XDTD_S.Tr.T'!AO196</f>
        <v>0</v>
      </c>
      <c r="AN104" s="16">
        <f ca="1">'2.XDTD_S.Tr.T'!AP196</f>
        <v>0</v>
      </c>
      <c r="AO104" s="16">
        <f ca="1">'2.XDTD_S.Tr.T'!AP196</f>
        <v>0</v>
      </c>
      <c r="AP104" s="16">
        <f ca="1">'2.XDTD_S.Tr.T'!AR196</f>
        <v>0</v>
      </c>
      <c r="AQ104" s="16">
        <f ca="1">'2.XDTD_S.Tr.T'!AS196</f>
        <v>0</v>
      </c>
      <c r="AR104" s="16">
        <f ca="1">'2.XDTD_S.Tr.T'!AT196</f>
        <v>0</v>
      </c>
      <c r="AS104" s="16">
        <f ca="1">'2.XDTD_S.Tr.T'!AU196</f>
        <v>0</v>
      </c>
      <c r="AT104" s="16">
        <f ca="1">'2.XDTD_S.Tr.T'!AV196</f>
        <v>0</v>
      </c>
      <c r="AU104" s="16">
        <f ca="1">'2.XDTD_S.Tr.T'!AW196</f>
        <v>0</v>
      </c>
      <c r="AV104" s="16">
        <f ca="1">'2.XDTD_S.Tr.T'!AX196</f>
        <v>0</v>
      </c>
      <c r="AW104" s="16">
        <f ca="1">'2.XDTD_S.Tr.T'!AY196</f>
        <v>0</v>
      </c>
      <c r="AX104" s="16">
        <f ca="1">'2.XDTD_S.Tr.T'!AZ196</f>
        <v>0</v>
      </c>
      <c r="AY104" s="16">
        <f ca="1">'2.XDTD_S.Tr.T'!BA196</f>
        <v>0</v>
      </c>
      <c r="AZ104" s="16">
        <f ca="1">'2.XDTD_S.Tr.T'!BB196</f>
        <v>0</v>
      </c>
      <c r="BA104" s="16">
        <f ca="1">'2.XDTD_S.Tr.T'!BC196</f>
        <v>0</v>
      </c>
      <c r="BB104" s="16">
        <f ca="1">'2.XDTD_S.Tr.T'!BD196</f>
        <v>0</v>
      </c>
      <c r="BC104" s="16">
        <f ca="1">'2.XDTD_S.Tr.T'!BE196</f>
        <v>0</v>
      </c>
      <c r="BD104" s="16">
        <f ca="1">'2.XDTD_S.Tr.T'!BF196</f>
        <v>0</v>
      </c>
      <c r="BE104" s="16">
        <f ca="1">'2.XDTD_S.Tr.T'!BG196</f>
        <v>0</v>
      </c>
      <c r="BF104" s="16">
        <f ca="1">'2.XDTD_S.Tr.T'!BH196</f>
        <v>0</v>
      </c>
      <c r="BG104" s="16">
        <f ca="1">'2.XDTD_S.Tr.T'!BI196</f>
        <v>0</v>
      </c>
      <c r="BH104" s="16">
        <f ca="1">'2.XDTD_S.Tr.T'!BJ196</f>
        <v>0</v>
      </c>
      <c r="BI104" s="16">
        <f ca="1">'2.XDTD_S.Tr.T'!BK196</f>
        <v>0</v>
      </c>
      <c r="BJ104" s="16">
        <f ca="1">'2.XDTD_S.Tr.T'!BL196</f>
        <v>0</v>
      </c>
      <c r="BK104" s="16">
        <f ca="1">'2.XDTD_S.Tr.T'!BM196</f>
        <v>0</v>
      </c>
      <c r="BL104" s="16">
        <f ca="1">'2.XDTD_S.Tr.T'!BN196</f>
        <v>0</v>
      </c>
      <c r="BM104" s="16">
        <f ca="1">'2.XDTD_S.Tr.T'!BO196</f>
        <v>0</v>
      </c>
      <c r="BN104" s="16">
        <f ca="1">'2.XDTD_S.Tr.T'!BP196</f>
        <v>0</v>
      </c>
      <c r="BO104" s="16">
        <f ca="1">'2.XDTD_S.Tr.T'!BP196</f>
        <v>0</v>
      </c>
      <c r="BP104" s="16">
        <f ca="1">'2.XDTD_S.Tr.T'!BR196</f>
        <v>0</v>
      </c>
      <c r="BQ104" s="16">
        <f ca="1">'2.XDTD_S.Tr.T'!BS196</f>
        <v>0</v>
      </c>
      <c r="BR104" s="16">
        <f ca="1">'2.XDTD_S.Tr.T'!BT196</f>
        <v>0</v>
      </c>
      <c r="BS104" s="16">
        <f ca="1">'2.XDTD_S.Tr.T'!BU196</f>
        <v>0</v>
      </c>
      <c r="BT104" s="16">
        <f ca="1">'2.XDTD_S.Tr.T'!BV196</f>
        <v>0</v>
      </c>
      <c r="BU104" s="16">
        <f ca="1">'2.XDTD_S.Tr.T'!BW196</f>
        <v>0</v>
      </c>
      <c r="BV104" s="16">
        <f ca="1">'2.XDTD_S.Tr.T'!BX196</f>
        <v>0</v>
      </c>
      <c r="BW104" s="16">
        <f ca="1">'2.XDTD_S.Tr.T'!BY196</f>
        <v>0</v>
      </c>
      <c r="BX104" s="16">
        <f ca="1">'2.XDTD_S.Tr.T'!BZ196</f>
        <v>0</v>
      </c>
      <c r="BY104" s="16">
        <f ca="1">'2.XDTD_S.Tr.T'!CA196</f>
        <v>0</v>
      </c>
      <c r="BZ104" s="16">
        <f ca="1">'2.XDTD_S.Tr.T'!CB196</f>
        <v>0</v>
      </c>
      <c r="CA104" s="16">
        <f ca="1">'2.XDTD_S.Tr.T'!CC196</f>
        <v>0</v>
      </c>
      <c r="CB104" s="16">
        <f ca="1">'2.XDTD_S.Tr.T'!CD196</f>
        <v>0</v>
      </c>
      <c r="CC104" s="16">
        <f ca="1">'2.XDTD_S.Tr.T'!CE196</f>
        <v>0</v>
      </c>
      <c r="CD104" s="16">
        <f ca="1">'2.XDTD_S.Tr.T'!CF196</f>
        <v>0</v>
      </c>
      <c r="CE104" s="16">
        <f ca="1">'2.XDTD_S.Tr.T'!CG196</f>
        <v>0</v>
      </c>
      <c r="CF104" s="16">
        <f ca="1">'2.XDTD_S.Tr.T'!CH196</f>
        <v>0</v>
      </c>
      <c r="CG104" s="16">
        <f ca="1">'2.XDTD_S.Tr.T'!CI196</f>
        <v>0</v>
      </c>
      <c r="CH104" s="16">
        <f ca="1">'2.XDTD_S.Tr.T'!CJ196</f>
        <v>0</v>
      </c>
      <c r="CI104" s="16">
        <f ca="1">'2.XDTD_S.Tr.T'!CK196</f>
        <v>0</v>
      </c>
      <c r="CJ104" s="16">
        <f ca="1">'2.XDTD_S.Tr.T'!CL196</f>
        <v>0</v>
      </c>
      <c r="CK104" s="16">
        <f ca="1">'2.XDTD_S.Tr.T'!CM196</f>
        <v>0</v>
      </c>
      <c r="CL104" s="16">
        <f ca="1">'2.XDTD_S.Tr.T'!CN196</f>
        <v>0</v>
      </c>
      <c r="CM104" s="16">
        <f ca="1">'2.XDTD_S.Tr.T'!CO196</f>
        <v>0</v>
      </c>
      <c r="CN104" s="16">
        <f ca="1">'2.XDTD_S.Tr.T'!CP196</f>
        <v>0</v>
      </c>
      <c r="CO104" s="16">
        <f ca="1">'2.XDTD_S.Tr.T'!CP196</f>
        <v>0</v>
      </c>
    </row>
    <row r="105" spans="3:93" ht="19.95" hidden="1" customHeight="1">
      <c r="C105" s="5"/>
      <c r="D105" s="11">
        <f>'2.XDTD_S.Tr.T'!F197</f>
        <v>0</v>
      </c>
      <c r="E105" s="7">
        <f>'2.XDTD_S.Tr.T'!G197</f>
        <v>0</v>
      </c>
      <c r="F105" s="8">
        <f>'2.XDTD_S.Tr.T'!H197</f>
        <v>0</v>
      </c>
      <c r="G105" s="9">
        <f ca="1">'2.XDTD_S.Tr.T'!I197</f>
        <v>0</v>
      </c>
      <c r="H105" s="10">
        <f ca="1">'2.XDTD_S.Tr.T'!J197</f>
        <v>0</v>
      </c>
      <c r="I105" s="9">
        <f ca="1">'2.XDTD_S.Tr.T'!K197</f>
        <v>0</v>
      </c>
      <c r="J105" s="13">
        <f>'2.XDTD_S.Tr.T'!L197</f>
        <v>0</v>
      </c>
      <c r="K105" s="13">
        <f>'2.XDTD_S.Tr.T'!M197</f>
        <v>0</v>
      </c>
      <c r="L105" s="9">
        <f ca="1">'2.XDTD_S.Tr.T'!N197</f>
        <v>0</v>
      </c>
      <c r="M105" s="14">
        <f>'2.XDTD_S.Tr.T'!O197</f>
        <v>0</v>
      </c>
      <c r="N105" s="14">
        <f>'2.XDTD_S.Tr.T'!P197</f>
        <v>0</v>
      </c>
      <c r="O105" s="9">
        <f>'2.XDTD_S.Tr.T'!P197</f>
        <v>0</v>
      </c>
      <c r="P105" s="15">
        <f ca="1">'2.XDTD_S.Tr.T'!R197</f>
        <v>0</v>
      </c>
      <c r="Q105" s="16">
        <f ca="1">'2.XDTD_S.Tr.T'!S197</f>
        <v>0</v>
      </c>
      <c r="R105" s="16">
        <f ca="1">'2.XDTD_S.Tr.T'!T197</f>
        <v>0</v>
      </c>
      <c r="S105" s="16">
        <f ca="1">'2.XDTD_S.Tr.T'!U197</f>
        <v>0</v>
      </c>
      <c r="T105" s="16">
        <f ca="1">'2.XDTD_S.Tr.T'!V197</f>
        <v>0</v>
      </c>
      <c r="U105" s="16">
        <f ca="1">'2.XDTD_S.Tr.T'!W197</f>
        <v>0</v>
      </c>
      <c r="V105" s="16">
        <f ca="1">'2.XDTD_S.Tr.T'!X197</f>
        <v>0</v>
      </c>
      <c r="W105" s="16">
        <f ca="1">'2.XDTD_S.Tr.T'!Y197</f>
        <v>0</v>
      </c>
      <c r="X105" s="16">
        <f ca="1">'2.XDTD_S.Tr.T'!Z197</f>
        <v>0</v>
      </c>
      <c r="Y105" s="16">
        <f ca="1">'2.XDTD_S.Tr.T'!AA197</f>
        <v>0</v>
      </c>
      <c r="Z105" s="16">
        <f ca="1">'2.XDTD_S.Tr.T'!AB197</f>
        <v>0</v>
      </c>
      <c r="AA105" s="16">
        <f ca="1">'2.XDTD_S.Tr.T'!AC197</f>
        <v>0</v>
      </c>
      <c r="AB105" s="16">
        <f ca="1">'2.XDTD_S.Tr.T'!AD197</f>
        <v>0</v>
      </c>
      <c r="AC105" s="16">
        <f ca="1">'2.XDTD_S.Tr.T'!AE197</f>
        <v>0</v>
      </c>
      <c r="AD105" s="16">
        <f ca="1">'2.XDTD_S.Tr.T'!AF197</f>
        <v>0</v>
      </c>
      <c r="AE105" s="16">
        <f ca="1">'2.XDTD_S.Tr.T'!AG197</f>
        <v>0</v>
      </c>
      <c r="AF105" s="16">
        <f ca="1">'2.XDTD_S.Tr.T'!AH197</f>
        <v>0</v>
      </c>
      <c r="AG105" s="16">
        <f ca="1">'2.XDTD_S.Tr.T'!AI197</f>
        <v>0</v>
      </c>
      <c r="AH105" s="16">
        <f ca="1">'2.XDTD_S.Tr.T'!AJ197</f>
        <v>0</v>
      </c>
      <c r="AI105" s="16">
        <f ca="1">'2.XDTD_S.Tr.T'!AK197</f>
        <v>0</v>
      </c>
      <c r="AJ105" s="16">
        <f ca="1">'2.XDTD_S.Tr.T'!AL197</f>
        <v>0</v>
      </c>
      <c r="AK105" s="16">
        <f ca="1">'2.XDTD_S.Tr.T'!AM197</f>
        <v>0</v>
      </c>
      <c r="AL105" s="16">
        <f ca="1">'2.XDTD_S.Tr.T'!AN197</f>
        <v>0</v>
      </c>
      <c r="AM105" s="16">
        <f ca="1">'2.XDTD_S.Tr.T'!AO197</f>
        <v>0</v>
      </c>
      <c r="AN105" s="16">
        <f ca="1">'2.XDTD_S.Tr.T'!AP197</f>
        <v>0</v>
      </c>
      <c r="AO105" s="16">
        <f ca="1">'2.XDTD_S.Tr.T'!AP197</f>
        <v>0</v>
      </c>
      <c r="AP105" s="16">
        <f ca="1">'2.XDTD_S.Tr.T'!AR197</f>
        <v>0</v>
      </c>
      <c r="AQ105" s="16">
        <f ca="1">'2.XDTD_S.Tr.T'!AS197</f>
        <v>0</v>
      </c>
      <c r="AR105" s="16">
        <f ca="1">'2.XDTD_S.Tr.T'!AT197</f>
        <v>0</v>
      </c>
      <c r="AS105" s="16">
        <f ca="1">'2.XDTD_S.Tr.T'!AU197</f>
        <v>0</v>
      </c>
      <c r="AT105" s="16">
        <f ca="1">'2.XDTD_S.Tr.T'!AV197</f>
        <v>0</v>
      </c>
      <c r="AU105" s="16">
        <f ca="1">'2.XDTD_S.Tr.T'!AW197</f>
        <v>0</v>
      </c>
      <c r="AV105" s="16">
        <f ca="1">'2.XDTD_S.Tr.T'!AX197</f>
        <v>0</v>
      </c>
      <c r="AW105" s="16">
        <f ca="1">'2.XDTD_S.Tr.T'!AY197</f>
        <v>0</v>
      </c>
      <c r="AX105" s="16">
        <f ca="1">'2.XDTD_S.Tr.T'!AZ197</f>
        <v>0</v>
      </c>
      <c r="AY105" s="16">
        <f ca="1">'2.XDTD_S.Tr.T'!BA197</f>
        <v>0</v>
      </c>
      <c r="AZ105" s="16">
        <f ca="1">'2.XDTD_S.Tr.T'!BB197</f>
        <v>0</v>
      </c>
      <c r="BA105" s="16">
        <f ca="1">'2.XDTD_S.Tr.T'!BC197</f>
        <v>0</v>
      </c>
      <c r="BB105" s="16">
        <f ca="1">'2.XDTD_S.Tr.T'!BD197</f>
        <v>0</v>
      </c>
      <c r="BC105" s="16">
        <f ca="1">'2.XDTD_S.Tr.T'!BE197</f>
        <v>0</v>
      </c>
      <c r="BD105" s="16">
        <f ca="1">'2.XDTD_S.Tr.T'!BF197</f>
        <v>0</v>
      </c>
      <c r="BE105" s="16">
        <f ca="1">'2.XDTD_S.Tr.T'!BG197</f>
        <v>0</v>
      </c>
      <c r="BF105" s="16">
        <f ca="1">'2.XDTD_S.Tr.T'!BH197</f>
        <v>0</v>
      </c>
      <c r="BG105" s="16">
        <f ca="1">'2.XDTD_S.Tr.T'!BI197</f>
        <v>0</v>
      </c>
      <c r="BH105" s="16">
        <f ca="1">'2.XDTD_S.Tr.T'!BJ197</f>
        <v>0</v>
      </c>
      <c r="BI105" s="16">
        <f ca="1">'2.XDTD_S.Tr.T'!BK197</f>
        <v>0</v>
      </c>
      <c r="BJ105" s="16">
        <f ca="1">'2.XDTD_S.Tr.T'!BL197</f>
        <v>0</v>
      </c>
      <c r="BK105" s="16">
        <f ca="1">'2.XDTD_S.Tr.T'!BM197</f>
        <v>0</v>
      </c>
      <c r="BL105" s="16">
        <f ca="1">'2.XDTD_S.Tr.T'!BN197</f>
        <v>0</v>
      </c>
      <c r="BM105" s="16">
        <f ca="1">'2.XDTD_S.Tr.T'!BO197</f>
        <v>0</v>
      </c>
      <c r="BN105" s="16">
        <f ca="1">'2.XDTD_S.Tr.T'!BP197</f>
        <v>0</v>
      </c>
      <c r="BO105" s="16">
        <f ca="1">'2.XDTD_S.Tr.T'!BP197</f>
        <v>0</v>
      </c>
      <c r="BP105" s="16">
        <f ca="1">'2.XDTD_S.Tr.T'!BR197</f>
        <v>0</v>
      </c>
      <c r="BQ105" s="16">
        <f ca="1">'2.XDTD_S.Tr.T'!BS197</f>
        <v>0</v>
      </c>
      <c r="BR105" s="16">
        <f ca="1">'2.XDTD_S.Tr.T'!BT197</f>
        <v>0</v>
      </c>
      <c r="BS105" s="16">
        <f ca="1">'2.XDTD_S.Tr.T'!BU197</f>
        <v>0</v>
      </c>
      <c r="BT105" s="16">
        <f ca="1">'2.XDTD_S.Tr.T'!BV197</f>
        <v>0</v>
      </c>
      <c r="BU105" s="16">
        <f ca="1">'2.XDTD_S.Tr.T'!BW197</f>
        <v>0</v>
      </c>
      <c r="BV105" s="16">
        <f ca="1">'2.XDTD_S.Tr.T'!BX197</f>
        <v>0</v>
      </c>
      <c r="BW105" s="16">
        <f ca="1">'2.XDTD_S.Tr.T'!BY197</f>
        <v>0</v>
      </c>
      <c r="BX105" s="16">
        <f ca="1">'2.XDTD_S.Tr.T'!BZ197</f>
        <v>0</v>
      </c>
      <c r="BY105" s="16">
        <f ca="1">'2.XDTD_S.Tr.T'!CA197</f>
        <v>0</v>
      </c>
      <c r="BZ105" s="16">
        <f ca="1">'2.XDTD_S.Tr.T'!CB197</f>
        <v>0</v>
      </c>
      <c r="CA105" s="16">
        <f ca="1">'2.XDTD_S.Tr.T'!CC197</f>
        <v>0</v>
      </c>
      <c r="CB105" s="16">
        <f ca="1">'2.XDTD_S.Tr.T'!CD197</f>
        <v>0</v>
      </c>
      <c r="CC105" s="16">
        <f ca="1">'2.XDTD_S.Tr.T'!CE197</f>
        <v>0</v>
      </c>
      <c r="CD105" s="16">
        <f ca="1">'2.XDTD_S.Tr.T'!CF197</f>
        <v>0</v>
      </c>
      <c r="CE105" s="16">
        <f ca="1">'2.XDTD_S.Tr.T'!CG197</f>
        <v>0</v>
      </c>
      <c r="CF105" s="16">
        <f ca="1">'2.XDTD_S.Tr.T'!CH197</f>
        <v>0</v>
      </c>
      <c r="CG105" s="16">
        <f ca="1">'2.XDTD_S.Tr.T'!CI197</f>
        <v>0</v>
      </c>
      <c r="CH105" s="16">
        <f ca="1">'2.XDTD_S.Tr.T'!CJ197</f>
        <v>0</v>
      </c>
      <c r="CI105" s="16">
        <f ca="1">'2.XDTD_S.Tr.T'!CK197</f>
        <v>0</v>
      </c>
      <c r="CJ105" s="16">
        <f ca="1">'2.XDTD_S.Tr.T'!CL197</f>
        <v>0</v>
      </c>
      <c r="CK105" s="16">
        <f ca="1">'2.XDTD_S.Tr.T'!CM197</f>
        <v>0</v>
      </c>
      <c r="CL105" s="16">
        <f ca="1">'2.XDTD_S.Tr.T'!CN197</f>
        <v>0</v>
      </c>
      <c r="CM105" s="16">
        <f ca="1">'2.XDTD_S.Tr.T'!CO197</f>
        <v>0</v>
      </c>
      <c r="CN105" s="16">
        <f ca="1">'2.XDTD_S.Tr.T'!CP197</f>
        <v>0</v>
      </c>
      <c r="CO105" s="16">
        <f ca="1">'2.XDTD_S.Tr.T'!CP197</f>
        <v>0</v>
      </c>
    </row>
    <row r="106" spans="3:93" ht="19.95" hidden="1" customHeight="1">
      <c r="C106" s="5"/>
      <c r="D106" s="11">
        <f>'2.XDTD_S.Tr.T'!F198</f>
        <v>0</v>
      </c>
      <c r="E106" s="7">
        <f>'2.XDTD_S.Tr.T'!G198</f>
        <v>0</v>
      </c>
      <c r="F106" s="8">
        <f>'2.XDTD_S.Tr.T'!H198</f>
        <v>0</v>
      </c>
      <c r="G106" s="9">
        <f ca="1">'2.XDTD_S.Tr.T'!I198</f>
        <v>0</v>
      </c>
      <c r="H106" s="10">
        <f ca="1">'2.XDTD_S.Tr.T'!J198</f>
        <v>0</v>
      </c>
      <c r="I106" s="9">
        <f ca="1">'2.XDTD_S.Tr.T'!K198</f>
        <v>0</v>
      </c>
      <c r="J106" s="13">
        <f>'2.XDTD_S.Tr.T'!L198</f>
        <v>0</v>
      </c>
      <c r="K106" s="13">
        <f>'2.XDTD_S.Tr.T'!M198</f>
        <v>0</v>
      </c>
      <c r="L106" s="9">
        <f ca="1">'2.XDTD_S.Tr.T'!N198</f>
        <v>0</v>
      </c>
      <c r="M106" s="14">
        <f>'2.XDTD_S.Tr.T'!O198</f>
        <v>0</v>
      </c>
      <c r="N106" s="14">
        <f>'2.XDTD_S.Tr.T'!P198</f>
        <v>0</v>
      </c>
      <c r="O106" s="9">
        <f>'2.XDTD_S.Tr.T'!P198</f>
        <v>0</v>
      </c>
      <c r="P106" s="15">
        <f ca="1">'2.XDTD_S.Tr.T'!R198</f>
        <v>0</v>
      </c>
      <c r="Q106" s="16">
        <f ca="1">'2.XDTD_S.Tr.T'!S198</f>
        <v>0</v>
      </c>
      <c r="R106" s="16">
        <f ca="1">'2.XDTD_S.Tr.T'!T198</f>
        <v>0</v>
      </c>
      <c r="S106" s="16">
        <f ca="1">'2.XDTD_S.Tr.T'!U198</f>
        <v>0</v>
      </c>
      <c r="T106" s="16">
        <f ca="1">'2.XDTD_S.Tr.T'!V198</f>
        <v>0</v>
      </c>
      <c r="U106" s="16">
        <f ca="1">'2.XDTD_S.Tr.T'!W198</f>
        <v>0</v>
      </c>
      <c r="V106" s="16">
        <f ca="1">'2.XDTD_S.Tr.T'!X198</f>
        <v>0</v>
      </c>
      <c r="W106" s="16">
        <f ca="1">'2.XDTD_S.Tr.T'!Y198</f>
        <v>0</v>
      </c>
      <c r="X106" s="16">
        <f ca="1">'2.XDTD_S.Tr.T'!Z198</f>
        <v>0</v>
      </c>
      <c r="Y106" s="16">
        <f ca="1">'2.XDTD_S.Tr.T'!AA198</f>
        <v>0</v>
      </c>
      <c r="Z106" s="16">
        <f ca="1">'2.XDTD_S.Tr.T'!AB198</f>
        <v>0</v>
      </c>
      <c r="AA106" s="16">
        <f ca="1">'2.XDTD_S.Tr.T'!AC198</f>
        <v>0</v>
      </c>
      <c r="AB106" s="16">
        <f ca="1">'2.XDTD_S.Tr.T'!AD198</f>
        <v>0</v>
      </c>
      <c r="AC106" s="16">
        <f ca="1">'2.XDTD_S.Tr.T'!AE198</f>
        <v>0</v>
      </c>
      <c r="AD106" s="16">
        <f ca="1">'2.XDTD_S.Tr.T'!AF198</f>
        <v>0</v>
      </c>
      <c r="AE106" s="16">
        <f ca="1">'2.XDTD_S.Tr.T'!AG198</f>
        <v>0</v>
      </c>
      <c r="AF106" s="16">
        <f ca="1">'2.XDTD_S.Tr.T'!AH198</f>
        <v>0</v>
      </c>
      <c r="AG106" s="16">
        <f ca="1">'2.XDTD_S.Tr.T'!AI198</f>
        <v>0</v>
      </c>
      <c r="AH106" s="16">
        <f ca="1">'2.XDTD_S.Tr.T'!AJ198</f>
        <v>0</v>
      </c>
      <c r="AI106" s="16">
        <f ca="1">'2.XDTD_S.Tr.T'!AK198</f>
        <v>0</v>
      </c>
      <c r="AJ106" s="16">
        <f ca="1">'2.XDTD_S.Tr.T'!AL198</f>
        <v>0</v>
      </c>
      <c r="AK106" s="16">
        <f ca="1">'2.XDTD_S.Tr.T'!AM198</f>
        <v>0</v>
      </c>
      <c r="AL106" s="16">
        <f ca="1">'2.XDTD_S.Tr.T'!AN198</f>
        <v>0</v>
      </c>
      <c r="AM106" s="16">
        <f ca="1">'2.XDTD_S.Tr.T'!AO198</f>
        <v>0</v>
      </c>
      <c r="AN106" s="16">
        <f ca="1">'2.XDTD_S.Tr.T'!AP198</f>
        <v>0</v>
      </c>
      <c r="AO106" s="16">
        <f ca="1">'2.XDTD_S.Tr.T'!AP198</f>
        <v>0</v>
      </c>
      <c r="AP106" s="16">
        <f ca="1">'2.XDTD_S.Tr.T'!AR198</f>
        <v>0</v>
      </c>
      <c r="AQ106" s="16">
        <f ca="1">'2.XDTD_S.Tr.T'!AS198</f>
        <v>0</v>
      </c>
      <c r="AR106" s="16">
        <f ca="1">'2.XDTD_S.Tr.T'!AT198</f>
        <v>0</v>
      </c>
      <c r="AS106" s="16">
        <f ca="1">'2.XDTD_S.Tr.T'!AU198</f>
        <v>0</v>
      </c>
      <c r="AT106" s="16">
        <f ca="1">'2.XDTD_S.Tr.T'!AV198</f>
        <v>0</v>
      </c>
      <c r="AU106" s="16">
        <f ca="1">'2.XDTD_S.Tr.T'!AW198</f>
        <v>0</v>
      </c>
      <c r="AV106" s="16">
        <f ca="1">'2.XDTD_S.Tr.T'!AX198</f>
        <v>0</v>
      </c>
      <c r="AW106" s="16">
        <f ca="1">'2.XDTD_S.Tr.T'!AY198</f>
        <v>0</v>
      </c>
      <c r="AX106" s="16">
        <f ca="1">'2.XDTD_S.Tr.T'!AZ198</f>
        <v>0</v>
      </c>
      <c r="AY106" s="16">
        <f ca="1">'2.XDTD_S.Tr.T'!BA198</f>
        <v>0</v>
      </c>
      <c r="AZ106" s="16">
        <f ca="1">'2.XDTD_S.Tr.T'!BB198</f>
        <v>0</v>
      </c>
      <c r="BA106" s="16">
        <f ca="1">'2.XDTD_S.Tr.T'!BC198</f>
        <v>0</v>
      </c>
      <c r="BB106" s="16">
        <f ca="1">'2.XDTD_S.Tr.T'!BD198</f>
        <v>0</v>
      </c>
      <c r="BC106" s="16">
        <f ca="1">'2.XDTD_S.Tr.T'!BE198</f>
        <v>0</v>
      </c>
      <c r="BD106" s="16">
        <f ca="1">'2.XDTD_S.Tr.T'!BF198</f>
        <v>0</v>
      </c>
      <c r="BE106" s="16">
        <f ca="1">'2.XDTD_S.Tr.T'!BG198</f>
        <v>0</v>
      </c>
      <c r="BF106" s="16">
        <f ca="1">'2.XDTD_S.Tr.T'!BH198</f>
        <v>0</v>
      </c>
      <c r="BG106" s="16">
        <f ca="1">'2.XDTD_S.Tr.T'!BI198</f>
        <v>0</v>
      </c>
      <c r="BH106" s="16">
        <f ca="1">'2.XDTD_S.Tr.T'!BJ198</f>
        <v>0</v>
      </c>
      <c r="BI106" s="16">
        <f ca="1">'2.XDTD_S.Tr.T'!BK198</f>
        <v>0</v>
      </c>
      <c r="BJ106" s="16">
        <f ca="1">'2.XDTD_S.Tr.T'!BL198</f>
        <v>0</v>
      </c>
      <c r="BK106" s="16">
        <f ca="1">'2.XDTD_S.Tr.T'!BM198</f>
        <v>0</v>
      </c>
      <c r="BL106" s="16">
        <f ca="1">'2.XDTD_S.Tr.T'!BN198</f>
        <v>0</v>
      </c>
      <c r="BM106" s="16">
        <f ca="1">'2.XDTD_S.Tr.T'!BO198</f>
        <v>0</v>
      </c>
      <c r="BN106" s="16">
        <f ca="1">'2.XDTD_S.Tr.T'!BP198</f>
        <v>0</v>
      </c>
      <c r="BO106" s="16">
        <f ca="1">'2.XDTD_S.Tr.T'!BP198</f>
        <v>0</v>
      </c>
      <c r="BP106" s="16">
        <f ca="1">'2.XDTD_S.Tr.T'!BR198</f>
        <v>0</v>
      </c>
      <c r="BQ106" s="16">
        <f ca="1">'2.XDTD_S.Tr.T'!BS198</f>
        <v>0</v>
      </c>
      <c r="BR106" s="16">
        <f ca="1">'2.XDTD_S.Tr.T'!BT198</f>
        <v>0</v>
      </c>
      <c r="BS106" s="16">
        <f ca="1">'2.XDTD_S.Tr.T'!BU198</f>
        <v>0</v>
      </c>
      <c r="BT106" s="16">
        <f ca="1">'2.XDTD_S.Tr.T'!BV198</f>
        <v>0</v>
      </c>
      <c r="BU106" s="16">
        <f ca="1">'2.XDTD_S.Tr.T'!BW198</f>
        <v>0</v>
      </c>
      <c r="BV106" s="16">
        <f ca="1">'2.XDTD_S.Tr.T'!BX198</f>
        <v>0</v>
      </c>
      <c r="BW106" s="16">
        <f ca="1">'2.XDTD_S.Tr.T'!BY198</f>
        <v>0</v>
      </c>
      <c r="BX106" s="16">
        <f ca="1">'2.XDTD_S.Tr.T'!BZ198</f>
        <v>0</v>
      </c>
      <c r="BY106" s="16">
        <f ca="1">'2.XDTD_S.Tr.T'!CA198</f>
        <v>0</v>
      </c>
      <c r="BZ106" s="16">
        <f ca="1">'2.XDTD_S.Tr.T'!CB198</f>
        <v>0</v>
      </c>
      <c r="CA106" s="16">
        <f ca="1">'2.XDTD_S.Tr.T'!CC198</f>
        <v>0</v>
      </c>
      <c r="CB106" s="16">
        <f ca="1">'2.XDTD_S.Tr.T'!CD198</f>
        <v>0</v>
      </c>
      <c r="CC106" s="16">
        <f ca="1">'2.XDTD_S.Tr.T'!CE198</f>
        <v>0</v>
      </c>
      <c r="CD106" s="16">
        <f ca="1">'2.XDTD_S.Tr.T'!CF198</f>
        <v>0</v>
      </c>
      <c r="CE106" s="16">
        <f ca="1">'2.XDTD_S.Tr.T'!CG198</f>
        <v>0</v>
      </c>
      <c r="CF106" s="16">
        <f ca="1">'2.XDTD_S.Tr.T'!CH198</f>
        <v>0</v>
      </c>
      <c r="CG106" s="16">
        <f ca="1">'2.XDTD_S.Tr.T'!CI198</f>
        <v>0</v>
      </c>
      <c r="CH106" s="16">
        <f ca="1">'2.XDTD_S.Tr.T'!CJ198</f>
        <v>0</v>
      </c>
      <c r="CI106" s="16">
        <f ca="1">'2.XDTD_S.Tr.T'!CK198</f>
        <v>0</v>
      </c>
      <c r="CJ106" s="16">
        <f ca="1">'2.XDTD_S.Tr.T'!CL198</f>
        <v>0</v>
      </c>
      <c r="CK106" s="16">
        <f ca="1">'2.XDTD_S.Tr.T'!CM198</f>
        <v>0</v>
      </c>
      <c r="CL106" s="16">
        <f ca="1">'2.XDTD_S.Tr.T'!CN198</f>
        <v>0</v>
      </c>
      <c r="CM106" s="16">
        <f ca="1">'2.XDTD_S.Tr.T'!CO198</f>
        <v>0</v>
      </c>
      <c r="CN106" s="16">
        <f ca="1">'2.XDTD_S.Tr.T'!CP198</f>
        <v>0</v>
      </c>
      <c r="CO106" s="16">
        <f ca="1">'2.XDTD_S.Tr.T'!CP198</f>
        <v>0</v>
      </c>
    </row>
    <row r="107" spans="3:93" ht="19.95" hidden="1" customHeight="1">
      <c r="C107" s="5"/>
      <c r="D107" s="11">
        <f>'2.XDTD_S.Tr.T'!F199</f>
        <v>0</v>
      </c>
      <c r="E107" s="7">
        <f>'2.XDTD_S.Tr.T'!G199</f>
        <v>0</v>
      </c>
      <c r="F107" s="8">
        <f>'2.XDTD_S.Tr.T'!H199</f>
        <v>0</v>
      </c>
      <c r="G107" s="9">
        <f ca="1">'2.XDTD_S.Tr.T'!I199</f>
        <v>0</v>
      </c>
      <c r="H107" s="10">
        <f ca="1">'2.XDTD_S.Tr.T'!J199</f>
        <v>0</v>
      </c>
      <c r="I107" s="9">
        <f ca="1">'2.XDTD_S.Tr.T'!K199</f>
        <v>0</v>
      </c>
      <c r="J107" s="13">
        <f>'2.XDTD_S.Tr.T'!L199</f>
        <v>0</v>
      </c>
      <c r="K107" s="13">
        <f>'2.XDTD_S.Tr.T'!M199</f>
        <v>0</v>
      </c>
      <c r="L107" s="9">
        <f ca="1">'2.XDTD_S.Tr.T'!N199</f>
        <v>0</v>
      </c>
      <c r="M107" s="14">
        <f>'2.XDTD_S.Tr.T'!O199</f>
        <v>0</v>
      </c>
      <c r="N107" s="14">
        <f>'2.XDTD_S.Tr.T'!P199</f>
        <v>0</v>
      </c>
      <c r="O107" s="9">
        <f>'2.XDTD_S.Tr.T'!P199</f>
        <v>0</v>
      </c>
      <c r="P107" s="15">
        <f ca="1">'2.XDTD_S.Tr.T'!R199</f>
        <v>0</v>
      </c>
      <c r="Q107" s="16">
        <f ca="1">'2.XDTD_S.Tr.T'!S199</f>
        <v>0</v>
      </c>
      <c r="R107" s="16">
        <f ca="1">'2.XDTD_S.Tr.T'!T199</f>
        <v>0</v>
      </c>
      <c r="S107" s="16">
        <f ca="1">'2.XDTD_S.Tr.T'!U199</f>
        <v>0</v>
      </c>
      <c r="T107" s="16">
        <f ca="1">'2.XDTD_S.Tr.T'!V199</f>
        <v>0</v>
      </c>
      <c r="U107" s="16">
        <f ca="1">'2.XDTD_S.Tr.T'!W199</f>
        <v>0</v>
      </c>
      <c r="V107" s="16">
        <f ca="1">'2.XDTD_S.Tr.T'!X199</f>
        <v>0</v>
      </c>
      <c r="W107" s="16">
        <f ca="1">'2.XDTD_S.Tr.T'!Y199</f>
        <v>0</v>
      </c>
      <c r="X107" s="16">
        <f ca="1">'2.XDTD_S.Tr.T'!Z199</f>
        <v>0</v>
      </c>
      <c r="Y107" s="16">
        <f ca="1">'2.XDTD_S.Tr.T'!AA199</f>
        <v>0</v>
      </c>
      <c r="Z107" s="16">
        <f ca="1">'2.XDTD_S.Tr.T'!AB199</f>
        <v>0</v>
      </c>
      <c r="AA107" s="16">
        <f ca="1">'2.XDTD_S.Tr.T'!AC199</f>
        <v>0</v>
      </c>
      <c r="AB107" s="16">
        <f ca="1">'2.XDTD_S.Tr.T'!AD199</f>
        <v>0</v>
      </c>
      <c r="AC107" s="16">
        <f ca="1">'2.XDTD_S.Tr.T'!AE199</f>
        <v>0</v>
      </c>
      <c r="AD107" s="16">
        <f ca="1">'2.XDTD_S.Tr.T'!AF199</f>
        <v>0</v>
      </c>
      <c r="AE107" s="16">
        <f ca="1">'2.XDTD_S.Tr.T'!AG199</f>
        <v>0</v>
      </c>
      <c r="AF107" s="16">
        <f ca="1">'2.XDTD_S.Tr.T'!AH199</f>
        <v>0</v>
      </c>
      <c r="AG107" s="16">
        <f ca="1">'2.XDTD_S.Tr.T'!AI199</f>
        <v>0</v>
      </c>
      <c r="AH107" s="16">
        <f ca="1">'2.XDTD_S.Tr.T'!AJ199</f>
        <v>0</v>
      </c>
      <c r="AI107" s="16">
        <f ca="1">'2.XDTD_S.Tr.T'!AK199</f>
        <v>0</v>
      </c>
      <c r="AJ107" s="16">
        <f ca="1">'2.XDTD_S.Tr.T'!AL199</f>
        <v>0</v>
      </c>
      <c r="AK107" s="16">
        <f ca="1">'2.XDTD_S.Tr.T'!AM199</f>
        <v>0</v>
      </c>
      <c r="AL107" s="16">
        <f ca="1">'2.XDTD_S.Tr.T'!AN199</f>
        <v>0</v>
      </c>
      <c r="AM107" s="16">
        <f ca="1">'2.XDTD_S.Tr.T'!AO199</f>
        <v>0</v>
      </c>
      <c r="AN107" s="16">
        <f ca="1">'2.XDTD_S.Tr.T'!AP199</f>
        <v>0</v>
      </c>
      <c r="AO107" s="16">
        <f ca="1">'2.XDTD_S.Tr.T'!AP199</f>
        <v>0</v>
      </c>
      <c r="AP107" s="16">
        <f ca="1">'2.XDTD_S.Tr.T'!AR199</f>
        <v>0</v>
      </c>
      <c r="AQ107" s="16">
        <f ca="1">'2.XDTD_S.Tr.T'!AS199</f>
        <v>0</v>
      </c>
      <c r="AR107" s="16">
        <f ca="1">'2.XDTD_S.Tr.T'!AT199</f>
        <v>0</v>
      </c>
      <c r="AS107" s="16">
        <f ca="1">'2.XDTD_S.Tr.T'!AU199</f>
        <v>0</v>
      </c>
      <c r="AT107" s="16">
        <f ca="1">'2.XDTD_S.Tr.T'!AV199</f>
        <v>0</v>
      </c>
      <c r="AU107" s="16">
        <f ca="1">'2.XDTD_S.Tr.T'!AW199</f>
        <v>0</v>
      </c>
      <c r="AV107" s="16">
        <f ca="1">'2.XDTD_S.Tr.T'!AX199</f>
        <v>0</v>
      </c>
      <c r="AW107" s="16">
        <f ca="1">'2.XDTD_S.Tr.T'!AY199</f>
        <v>0</v>
      </c>
      <c r="AX107" s="16">
        <f ca="1">'2.XDTD_S.Tr.T'!AZ199</f>
        <v>0</v>
      </c>
      <c r="AY107" s="16">
        <f ca="1">'2.XDTD_S.Tr.T'!BA199</f>
        <v>0</v>
      </c>
      <c r="AZ107" s="16">
        <f ca="1">'2.XDTD_S.Tr.T'!BB199</f>
        <v>0</v>
      </c>
      <c r="BA107" s="16">
        <f ca="1">'2.XDTD_S.Tr.T'!BC199</f>
        <v>0</v>
      </c>
      <c r="BB107" s="16">
        <f ca="1">'2.XDTD_S.Tr.T'!BD199</f>
        <v>0</v>
      </c>
      <c r="BC107" s="16">
        <f ca="1">'2.XDTD_S.Tr.T'!BE199</f>
        <v>0</v>
      </c>
      <c r="BD107" s="16">
        <f ca="1">'2.XDTD_S.Tr.T'!BF199</f>
        <v>0</v>
      </c>
      <c r="BE107" s="16">
        <f ca="1">'2.XDTD_S.Tr.T'!BG199</f>
        <v>0</v>
      </c>
      <c r="BF107" s="16">
        <f ca="1">'2.XDTD_S.Tr.T'!BH199</f>
        <v>0</v>
      </c>
      <c r="BG107" s="16">
        <f ca="1">'2.XDTD_S.Tr.T'!BI199</f>
        <v>0</v>
      </c>
      <c r="BH107" s="16">
        <f ca="1">'2.XDTD_S.Tr.T'!BJ199</f>
        <v>0</v>
      </c>
      <c r="BI107" s="16">
        <f ca="1">'2.XDTD_S.Tr.T'!BK199</f>
        <v>0</v>
      </c>
      <c r="BJ107" s="16">
        <f ca="1">'2.XDTD_S.Tr.T'!BL199</f>
        <v>0</v>
      </c>
      <c r="BK107" s="16">
        <f ca="1">'2.XDTD_S.Tr.T'!BM199</f>
        <v>0</v>
      </c>
      <c r="BL107" s="16">
        <f ca="1">'2.XDTD_S.Tr.T'!BN199</f>
        <v>0</v>
      </c>
      <c r="BM107" s="16">
        <f ca="1">'2.XDTD_S.Tr.T'!BO199</f>
        <v>0</v>
      </c>
      <c r="BN107" s="16">
        <f ca="1">'2.XDTD_S.Tr.T'!BP199</f>
        <v>0</v>
      </c>
      <c r="BO107" s="16">
        <f ca="1">'2.XDTD_S.Tr.T'!BP199</f>
        <v>0</v>
      </c>
      <c r="BP107" s="16">
        <f ca="1">'2.XDTD_S.Tr.T'!BR199</f>
        <v>0</v>
      </c>
      <c r="BQ107" s="16">
        <f ca="1">'2.XDTD_S.Tr.T'!BS199</f>
        <v>0</v>
      </c>
      <c r="BR107" s="16">
        <f ca="1">'2.XDTD_S.Tr.T'!BT199</f>
        <v>0</v>
      </c>
      <c r="BS107" s="16">
        <f ca="1">'2.XDTD_S.Tr.T'!BU199</f>
        <v>0</v>
      </c>
      <c r="BT107" s="16">
        <f ca="1">'2.XDTD_S.Tr.T'!BV199</f>
        <v>0</v>
      </c>
      <c r="BU107" s="16">
        <f ca="1">'2.XDTD_S.Tr.T'!BW199</f>
        <v>0</v>
      </c>
      <c r="BV107" s="16">
        <f ca="1">'2.XDTD_S.Tr.T'!BX199</f>
        <v>0</v>
      </c>
      <c r="BW107" s="16">
        <f ca="1">'2.XDTD_S.Tr.T'!BY199</f>
        <v>0</v>
      </c>
      <c r="BX107" s="16">
        <f ca="1">'2.XDTD_S.Tr.T'!BZ199</f>
        <v>0</v>
      </c>
      <c r="BY107" s="16">
        <f ca="1">'2.XDTD_S.Tr.T'!CA199</f>
        <v>0</v>
      </c>
      <c r="BZ107" s="16">
        <f ca="1">'2.XDTD_S.Tr.T'!CB199</f>
        <v>0</v>
      </c>
      <c r="CA107" s="16">
        <f ca="1">'2.XDTD_S.Tr.T'!CC199</f>
        <v>0</v>
      </c>
      <c r="CB107" s="16">
        <f ca="1">'2.XDTD_S.Tr.T'!CD199</f>
        <v>0</v>
      </c>
      <c r="CC107" s="16">
        <f ca="1">'2.XDTD_S.Tr.T'!CE199</f>
        <v>0</v>
      </c>
      <c r="CD107" s="16">
        <f ca="1">'2.XDTD_S.Tr.T'!CF199</f>
        <v>0</v>
      </c>
      <c r="CE107" s="16">
        <f ca="1">'2.XDTD_S.Tr.T'!CG199</f>
        <v>0</v>
      </c>
      <c r="CF107" s="16">
        <f ca="1">'2.XDTD_S.Tr.T'!CH199</f>
        <v>0</v>
      </c>
      <c r="CG107" s="16">
        <f ca="1">'2.XDTD_S.Tr.T'!CI199</f>
        <v>0</v>
      </c>
      <c r="CH107" s="16">
        <f ca="1">'2.XDTD_S.Tr.T'!CJ199</f>
        <v>0</v>
      </c>
      <c r="CI107" s="16">
        <f ca="1">'2.XDTD_S.Tr.T'!CK199</f>
        <v>0</v>
      </c>
      <c r="CJ107" s="16">
        <f ca="1">'2.XDTD_S.Tr.T'!CL199</f>
        <v>0</v>
      </c>
      <c r="CK107" s="16">
        <f ca="1">'2.XDTD_S.Tr.T'!CM199</f>
        <v>0</v>
      </c>
      <c r="CL107" s="16">
        <f ca="1">'2.XDTD_S.Tr.T'!CN199</f>
        <v>0</v>
      </c>
      <c r="CM107" s="16">
        <f ca="1">'2.XDTD_S.Tr.T'!CO199</f>
        <v>0</v>
      </c>
      <c r="CN107" s="16">
        <f ca="1">'2.XDTD_S.Tr.T'!CP199</f>
        <v>0</v>
      </c>
      <c r="CO107" s="16">
        <f ca="1">'2.XDTD_S.Tr.T'!CP199</f>
        <v>0</v>
      </c>
    </row>
    <row r="108" spans="3:93" ht="19.95" hidden="1" customHeight="1">
      <c r="C108" s="5"/>
      <c r="D108" s="11">
        <f>'2.XDTD_S.Tr.T'!F200</f>
        <v>0</v>
      </c>
      <c r="E108" s="7">
        <f>'2.XDTD_S.Tr.T'!G200</f>
        <v>0</v>
      </c>
      <c r="F108" s="8">
        <f>'2.XDTD_S.Tr.T'!H200</f>
        <v>0</v>
      </c>
      <c r="G108" s="9">
        <f ca="1">'2.XDTD_S.Tr.T'!I200</f>
        <v>0</v>
      </c>
      <c r="H108" s="10">
        <f ca="1">'2.XDTD_S.Tr.T'!J200</f>
        <v>0</v>
      </c>
      <c r="I108" s="9">
        <f ca="1">'2.XDTD_S.Tr.T'!K200</f>
        <v>0</v>
      </c>
      <c r="J108" s="13">
        <f>'2.XDTD_S.Tr.T'!L200</f>
        <v>0</v>
      </c>
      <c r="K108" s="13">
        <f>'2.XDTD_S.Tr.T'!M200</f>
        <v>0</v>
      </c>
      <c r="L108" s="9">
        <f ca="1">'2.XDTD_S.Tr.T'!N200</f>
        <v>0</v>
      </c>
      <c r="M108" s="14">
        <f>'2.XDTD_S.Tr.T'!O200</f>
        <v>0</v>
      </c>
      <c r="N108" s="14">
        <f>'2.XDTD_S.Tr.T'!P200</f>
        <v>0</v>
      </c>
      <c r="O108" s="9">
        <f>'2.XDTD_S.Tr.T'!P200</f>
        <v>0</v>
      </c>
      <c r="P108" s="15">
        <f ca="1">'2.XDTD_S.Tr.T'!R200</f>
        <v>0</v>
      </c>
      <c r="Q108" s="16">
        <f ca="1">'2.XDTD_S.Tr.T'!S200</f>
        <v>0</v>
      </c>
      <c r="R108" s="16">
        <f ca="1">'2.XDTD_S.Tr.T'!T200</f>
        <v>0</v>
      </c>
      <c r="S108" s="16">
        <f ca="1">'2.XDTD_S.Tr.T'!U200</f>
        <v>0</v>
      </c>
      <c r="T108" s="16">
        <f ca="1">'2.XDTD_S.Tr.T'!V200</f>
        <v>0</v>
      </c>
      <c r="U108" s="16">
        <f ca="1">'2.XDTD_S.Tr.T'!W200</f>
        <v>0</v>
      </c>
      <c r="V108" s="16">
        <f ca="1">'2.XDTD_S.Tr.T'!X200</f>
        <v>0</v>
      </c>
      <c r="W108" s="16">
        <f ca="1">'2.XDTD_S.Tr.T'!Y200</f>
        <v>0</v>
      </c>
      <c r="X108" s="16">
        <f ca="1">'2.XDTD_S.Tr.T'!Z200</f>
        <v>0</v>
      </c>
      <c r="Y108" s="16">
        <f ca="1">'2.XDTD_S.Tr.T'!AA200</f>
        <v>0</v>
      </c>
      <c r="Z108" s="16">
        <f ca="1">'2.XDTD_S.Tr.T'!AB200</f>
        <v>0</v>
      </c>
      <c r="AA108" s="16">
        <f ca="1">'2.XDTD_S.Tr.T'!AC200</f>
        <v>0</v>
      </c>
      <c r="AB108" s="16">
        <f ca="1">'2.XDTD_S.Tr.T'!AD200</f>
        <v>0</v>
      </c>
      <c r="AC108" s="16">
        <f ca="1">'2.XDTD_S.Tr.T'!AE200</f>
        <v>0</v>
      </c>
      <c r="AD108" s="16">
        <f ca="1">'2.XDTD_S.Tr.T'!AF200</f>
        <v>0</v>
      </c>
      <c r="AE108" s="16">
        <f ca="1">'2.XDTD_S.Tr.T'!AG200</f>
        <v>0</v>
      </c>
      <c r="AF108" s="16">
        <f ca="1">'2.XDTD_S.Tr.T'!AH200</f>
        <v>0</v>
      </c>
      <c r="AG108" s="16">
        <f ca="1">'2.XDTD_S.Tr.T'!AI200</f>
        <v>0</v>
      </c>
      <c r="AH108" s="16">
        <f ca="1">'2.XDTD_S.Tr.T'!AJ200</f>
        <v>0</v>
      </c>
      <c r="AI108" s="16">
        <f ca="1">'2.XDTD_S.Tr.T'!AK200</f>
        <v>0</v>
      </c>
      <c r="AJ108" s="16">
        <f ca="1">'2.XDTD_S.Tr.T'!AL200</f>
        <v>0</v>
      </c>
      <c r="AK108" s="16">
        <f ca="1">'2.XDTD_S.Tr.T'!AM200</f>
        <v>0</v>
      </c>
      <c r="AL108" s="16">
        <f ca="1">'2.XDTD_S.Tr.T'!AN200</f>
        <v>0</v>
      </c>
      <c r="AM108" s="16">
        <f ca="1">'2.XDTD_S.Tr.T'!AO200</f>
        <v>0</v>
      </c>
      <c r="AN108" s="16">
        <f ca="1">'2.XDTD_S.Tr.T'!AP200</f>
        <v>0</v>
      </c>
      <c r="AO108" s="16">
        <f ca="1">'2.XDTD_S.Tr.T'!AP200</f>
        <v>0</v>
      </c>
      <c r="AP108" s="16">
        <f ca="1">'2.XDTD_S.Tr.T'!AR200</f>
        <v>0</v>
      </c>
      <c r="AQ108" s="16">
        <f ca="1">'2.XDTD_S.Tr.T'!AS200</f>
        <v>0</v>
      </c>
      <c r="AR108" s="16">
        <f ca="1">'2.XDTD_S.Tr.T'!AT200</f>
        <v>0</v>
      </c>
      <c r="AS108" s="16">
        <f ca="1">'2.XDTD_S.Tr.T'!AU200</f>
        <v>0</v>
      </c>
      <c r="AT108" s="16">
        <f ca="1">'2.XDTD_S.Tr.T'!AV200</f>
        <v>0</v>
      </c>
      <c r="AU108" s="16">
        <f ca="1">'2.XDTD_S.Tr.T'!AW200</f>
        <v>0</v>
      </c>
      <c r="AV108" s="16">
        <f ca="1">'2.XDTD_S.Tr.T'!AX200</f>
        <v>0</v>
      </c>
      <c r="AW108" s="16">
        <f ca="1">'2.XDTD_S.Tr.T'!AY200</f>
        <v>0</v>
      </c>
      <c r="AX108" s="16">
        <f ca="1">'2.XDTD_S.Tr.T'!AZ200</f>
        <v>0</v>
      </c>
      <c r="AY108" s="16">
        <f ca="1">'2.XDTD_S.Tr.T'!BA200</f>
        <v>0</v>
      </c>
      <c r="AZ108" s="16">
        <f ca="1">'2.XDTD_S.Tr.T'!BB200</f>
        <v>0</v>
      </c>
      <c r="BA108" s="16">
        <f ca="1">'2.XDTD_S.Tr.T'!BC200</f>
        <v>0</v>
      </c>
      <c r="BB108" s="16">
        <f ca="1">'2.XDTD_S.Tr.T'!BD200</f>
        <v>0</v>
      </c>
      <c r="BC108" s="16">
        <f ca="1">'2.XDTD_S.Tr.T'!BE200</f>
        <v>0</v>
      </c>
      <c r="BD108" s="16">
        <f ca="1">'2.XDTD_S.Tr.T'!BF200</f>
        <v>0</v>
      </c>
      <c r="BE108" s="16">
        <f ca="1">'2.XDTD_S.Tr.T'!BG200</f>
        <v>0</v>
      </c>
      <c r="BF108" s="16">
        <f ca="1">'2.XDTD_S.Tr.T'!BH200</f>
        <v>0</v>
      </c>
      <c r="BG108" s="16">
        <f ca="1">'2.XDTD_S.Tr.T'!BI200</f>
        <v>0</v>
      </c>
      <c r="BH108" s="16">
        <f ca="1">'2.XDTD_S.Tr.T'!BJ200</f>
        <v>0</v>
      </c>
      <c r="BI108" s="16">
        <f ca="1">'2.XDTD_S.Tr.T'!BK200</f>
        <v>0</v>
      </c>
      <c r="BJ108" s="16">
        <f ca="1">'2.XDTD_S.Tr.T'!BL200</f>
        <v>0</v>
      </c>
      <c r="BK108" s="16">
        <f ca="1">'2.XDTD_S.Tr.T'!BM200</f>
        <v>0</v>
      </c>
      <c r="BL108" s="16">
        <f ca="1">'2.XDTD_S.Tr.T'!BN200</f>
        <v>0</v>
      </c>
      <c r="BM108" s="16">
        <f ca="1">'2.XDTD_S.Tr.T'!BO200</f>
        <v>0</v>
      </c>
      <c r="BN108" s="16">
        <f ca="1">'2.XDTD_S.Tr.T'!BP200</f>
        <v>0</v>
      </c>
      <c r="BO108" s="16">
        <f ca="1">'2.XDTD_S.Tr.T'!BP200</f>
        <v>0</v>
      </c>
      <c r="BP108" s="16">
        <f ca="1">'2.XDTD_S.Tr.T'!BR200</f>
        <v>0</v>
      </c>
      <c r="BQ108" s="16">
        <f ca="1">'2.XDTD_S.Tr.T'!BS200</f>
        <v>0</v>
      </c>
      <c r="BR108" s="16">
        <f ca="1">'2.XDTD_S.Tr.T'!BT200</f>
        <v>0</v>
      </c>
      <c r="BS108" s="16">
        <f ca="1">'2.XDTD_S.Tr.T'!BU200</f>
        <v>0</v>
      </c>
      <c r="BT108" s="16">
        <f ca="1">'2.XDTD_S.Tr.T'!BV200</f>
        <v>0</v>
      </c>
      <c r="BU108" s="16">
        <f ca="1">'2.XDTD_S.Tr.T'!BW200</f>
        <v>0</v>
      </c>
      <c r="BV108" s="16">
        <f ca="1">'2.XDTD_S.Tr.T'!BX200</f>
        <v>0</v>
      </c>
      <c r="BW108" s="16">
        <f ca="1">'2.XDTD_S.Tr.T'!BY200</f>
        <v>0</v>
      </c>
      <c r="BX108" s="16">
        <f ca="1">'2.XDTD_S.Tr.T'!BZ200</f>
        <v>0</v>
      </c>
      <c r="BY108" s="16">
        <f ca="1">'2.XDTD_S.Tr.T'!CA200</f>
        <v>0</v>
      </c>
      <c r="BZ108" s="16">
        <f ca="1">'2.XDTD_S.Tr.T'!CB200</f>
        <v>0</v>
      </c>
      <c r="CA108" s="16">
        <f ca="1">'2.XDTD_S.Tr.T'!CC200</f>
        <v>0</v>
      </c>
      <c r="CB108" s="16">
        <f ca="1">'2.XDTD_S.Tr.T'!CD200</f>
        <v>0</v>
      </c>
      <c r="CC108" s="16">
        <f ca="1">'2.XDTD_S.Tr.T'!CE200</f>
        <v>0</v>
      </c>
      <c r="CD108" s="16">
        <f ca="1">'2.XDTD_S.Tr.T'!CF200</f>
        <v>0</v>
      </c>
      <c r="CE108" s="16">
        <f ca="1">'2.XDTD_S.Tr.T'!CG200</f>
        <v>0</v>
      </c>
      <c r="CF108" s="16">
        <f ca="1">'2.XDTD_S.Tr.T'!CH200</f>
        <v>0</v>
      </c>
      <c r="CG108" s="16">
        <f ca="1">'2.XDTD_S.Tr.T'!CI200</f>
        <v>0</v>
      </c>
      <c r="CH108" s="16">
        <f ca="1">'2.XDTD_S.Tr.T'!CJ200</f>
        <v>0</v>
      </c>
      <c r="CI108" s="16">
        <f ca="1">'2.XDTD_S.Tr.T'!CK200</f>
        <v>0</v>
      </c>
      <c r="CJ108" s="16">
        <f ca="1">'2.XDTD_S.Tr.T'!CL200</f>
        <v>0</v>
      </c>
      <c r="CK108" s="16">
        <f ca="1">'2.XDTD_S.Tr.T'!CM200</f>
        <v>0</v>
      </c>
      <c r="CL108" s="16">
        <f ca="1">'2.XDTD_S.Tr.T'!CN200</f>
        <v>0</v>
      </c>
      <c r="CM108" s="16">
        <f ca="1">'2.XDTD_S.Tr.T'!CO200</f>
        <v>0</v>
      </c>
      <c r="CN108" s="16">
        <f ca="1">'2.XDTD_S.Tr.T'!CP200</f>
        <v>0</v>
      </c>
      <c r="CO108" s="16">
        <f ca="1">'2.XDTD_S.Tr.T'!CP200</f>
        <v>0</v>
      </c>
    </row>
    <row r="109" spans="3:93" ht="19.95" customHeight="1">
      <c r="C109" s="5"/>
      <c r="D109" s="11" t="str">
        <f>'2.XDTD_S.Tr.T'!F201</f>
        <v>Thịt lợn nửa nạc, nửa mỡ</v>
      </c>
      <c r="E109" s="7" t="e">
        <f ca="1">'2.XDTD_S.Tr.T'!G201</f>
        <v>#NAME?</v>
      </c>
      <c r="F109" s="8">
        <f>'2.XDTD_S.Tr.T'!H201</f>
        <v>25</v>
      </c>
      <c r="G109" s="9">
        <f ca="1">'2.XDTD_S.Tr.T'!I201</f>
        <v>0</v>
      </c>
      <c r="H109" s="10">
        <f ca="1">'2.XDTD_S.Tr.T'!J201</f>
        <v>0</v>
      </c>
      <c r="I109" s="9">
        <f ca="1">'2.XDTD_S.Tr.T'!K201</f>
        <v>0</v>
      </c>
      <c r="J109" s="13" t="e">
        <f ca="1">'2.XDTD_S.Tr.T'!L201</f>
        <v>#NAME?</v>
      </c>
      <c r="K109" s="13" t="e">
        <f ca="1">'2.XDTD_S.Tr.T'!M201</f>
        <v>#NAME?</v>
      </c>
      <c r="L109" s="9">
        <f ca="1">'2.XDTD_S.Tr.T'!N201</f>
        <v>0</v>
      </c>
      <c r="M109" s="14" t="e">
        <f ca="1">'2.XDTD_S.Tr.T'!O201</f>
        <v>#NAME?</v>
      </c>
      <c r="N109" s="14" t="e">
        <f ca="1">'2.XDTD_S.Tr.T'!P201</f>
        <v>#NAME?</v>
      </c>
      <c r="O109" s="9" t="e">
        <f ca="1">'2.XDTD_S.Tr.T'!P201</f>
        <v>#NAME?</v>
      </c>
      <c r="P109" s="15">
        <f ca="1">'2.XDTD_S.Tr.T'!R201</f>
        <v>0</v>
      </c>
      <c r="Q109" s="16">
        <f ca="1">'2.XDTD_S.Tr.T'!S201</f>
        <v>0</v>
      </c>
      <c r="R109" s="16">
        <f ca="1">'2.XDTD_S.Tr.T'!T201</f>
        <v>0</v>
      </c>
      <c r="S109" s="16">
        <f ca="1">'2.XDTD_S.Tr.T'!U201</f>
        <v>0</v>
      </c>
      <c r="T109" s="16">
        <f ca="1">'2.XDTD_S.Tr.T'!V201</f>
        <v>0</v>
      </c>
      <c r="U109" s="16">
        <f ca="1">'2.XDTD_S.Tr.T'!W201</f>
        <v>0</v>
      </c>
      <c r="V109" s="16">
        <f ca="1">'2.XDTD_S.Tr.T'!X201</f>
        <v>0</v>
      </c>
      <c r="W109" s="16">
        <f ca="1">'2.XDTD_S.Tr.T'!Y201</f>
        <v>0</v>
      </c>
      <c r="X109" s="16">
        <f ca="1">'2.XDTD_S.Tr.T'!Z201</f>
        <v>0</v>
      </c>
      <c r="Y109" s="16">
        <f ca="1">'2.XDTD_S.Tr.T'!AA201</f>
        <v>0</v>
      </c>
      <c r="Z109" s="16">
        <f ca="1">'2.XDTD_S.Tr.T'!AB201</f>
        <v>0</v>
      </c>
      <c r="AA109" s="16">
        <f ca="1">'2.XDTD_S.Tr.T'!AC201</f>
        <v>0</v>
      </c>
      <c r="AB109" s="16">
        <f ca="1">'2.XDTD_S.Tr.T'!AD201</f>
        <v>0</v>
      </c>
      <c r="AC109" s="16">
        <f ca="1">'2.XDTD_S.Tr.T'!AE201</f>
        <v>0</v>
      </c>
      <c r="AD109" s="16">
        <f ca="1">'2.XDTD_S.Tr.T'!AF201</f>
        <v>0</v>
      </c>
      <c r="AE109" s="16">
        <f ca="1">'2.XDTD_S.Tr.T'!AG201</f>
        <v>0</v>
      </c>
      <c r="AF109" s="16">
        <f ca="1">'2.XDTD_S.Tr.T'!AH201</f>
        <v>0</v>
      </c>
      <c r="AG109" s="16">
        <f ca="1">'2.XDTD_S.Tr.T'!AI201</f>
        <v>0</v>
      </c>
      <c r="AH109" s="16">
        <f ca="1">'2.XDTD_S.Tr.T'!AJ201</f>
        <v>0</v>
      </c>
      <c r="AI109" s="16">
        <f ca="1">'2.XDTD_S.Tr.T'!AK201</f>
        <v>0</v>
      </c>
      <c r="AJ109" s="16">
        <f ca="1">'2.XDTD_S.Tr.T'!AL201</f>
        <v>0</v>
      </c>
      <c r="AK109" s="16">
        <f ca="1">'2.XDTD_S.Tr.T'!AM201</f>
        <v>0</v>
      </c>
      <c r="AL109" s="16">
        <f ca="1">'2.XDTD_S.Tr.T'!AN201</f>
        <v>0</v>
      </c>
      <c r="AM109" s="16">
        <f ca="1">'2.XDTD_S.Tr.T'!AO201</f>
        <v>0</v>
      </c>
      <c r="AN109" s="16">
        <f ca="1">'2.XDTD_S.Tr.T'!AP201</f>
        <v>0</v>
      </c>
      <c r="AO109" s="16">
        <f ca="1">'2.XDTD_S.Tr.T'!AP201</f>
        <v>0</v>
      </c>
      <c r="AP109" s="16">
        <f ca="1">'2.XDTD_S.Tr.T'!AR201</f>
        <v>0</v>
      </c>
      <c r="AQ109" s="16">
        <f ca="1">'2.XDTD_S.Tr.T'!AS201</f>
        <v>0</v>
      </c>
      <c r="AR109" s="16">
        <f ca="1">'2.XDTD_S.Tr.T'!AT201</f>
        <v>0</v>
      </c>
      <c r="AS109" s="16">
        <f ca="1">'2.XDTD_S.Tr.T'!AU201</f>
        <v>0</v>
      </c>
      <c r="AT109" s="16">
        <f ca="1">'2.XDTD_S.Tr.T'!AV201</f>
        <v>0</v>
      </c>
      <c r="AU109" s="16">
        <f ca="1">'2.XDTD_S.Tr.T'!AW201</f>
        <v>0</v>
      </c>
      <c r="AV109" s="16">
        <f ca="1">'2.XDTD_S.Tr.T'!AX201</f>
        <v>0</v>
      </c>
      <c r="AW109" s="16">
        <f ca="1">'2.XDTD_S.Tr.T'!AY201</f>
        <v>0</v>
      </c>
      <c r="AX109" s="16">
        <f ca="1">'2.XDTD_S.Tr.T'!AZ201</f>
        <v>0</v>
      </c>
      <c r="AY109" s="16">
        <f ca="1">'2.XDTD_S.Tr.T'!BA201</f>
        <v>0</v>
      </c>
      <c r="AZ109" s="16">
        <f ca="1">'2.XDTD_S.Tr.T'!BB201</f>
        <v>0</v>
      </c>
      <c r="BA109" s="16">
        <f ca="1">'2.XDTD_S.Tr.T'!BC201</f>
        <v>0</v>
      </c>
      <c r="BB109" s="16">
        <f ca="1">'2.XDTD_S.Tr.T'!BD201</f>
        <v>0</v>
      </c>
      <c r="BC109" s="16">
        <f ca="1">'2.XDTD_S.Tr.T'!BE201</f>
        <v>0</v>
      </c>
      <c r="BD109" s="16">
        <f ca="1">'2.XDTD_S.Tr.T'!BF201</f>
        <v>0</v>
      </c>
      <c r="BE109" s="16">
        <f ca="1">'2.XDTD_S.Tr.T'!BG201</f>
        <v>0</v>
      </c>
      <c r="BF109" s="16">
        <f ca="1">'2.XDTD_S.Tr.T'!BH201</f>
        <v>0</v>
      </c>
      <c r="BG109" s="16">
        <f ca="1">'2.XDTD_S.Tr.T'!BI201</f>
        <v>0</v>
      </c>
      <c r="BH109" s="16">
        <f ca="1">'2.XDTD_S.Tr.T'!BJ201</f>
        <v>0</v>
      </c>
      <c r="BI109" s="16">
        <f ca="1">'2.XDTD_S.Tr.T'!BK201</f>
        <v>0</v>
      </c>
      <c r="BJ109" s="16">
        <f ca="1">'2.XDTD_S.Tr.T'!BL201</f>
        <v>0</v>
      </c>
      <c r="BK109" s="16">
        <f ca="1">'2.XDTD_S.Tr.T'!BM201</f>
        <v>0</v>
      </c>
      <c r="BL109" s="16">
        <f ca="1">'2.XDTD_S.Tr.T'!BN201</f>
        <v>0</v>
      </c>
      <c r="BM109" s="16">
        <f ca="1">'2.XDTD_S.Tr.T'!BO201</f>
        <v>0</v>
      </c>
      <c r="BN109" s="16">
        <f ca="1">'2.XDTD_S.Tr.T'!BP201</f>
        <v>0</v>
      </c>
      <c r="BO109" s="16">
        <f ca="1">'2.XDTD_S.Tr.T'!BP201</f>
        <v>0</v>
      </c>
      <c r="BP109" s="16">
        <f ca="1">'2.XDTD_S.Tr.T'!BR201</f>
        <v>0</v>
      </c>
      <c r="BQ109" s="16">
        <f ca="1">'2.XDTD_S.Tr.T'!BS201</f>
        <v>0</v>
      </c>
      <c r="BR109" s="16">
        <f ca="1">'2.XDTD_S.Tr.T'!BT201</f>
        <v>0</v>
      </c>
      <c r="BS109" s="16">
        <f ca="1">'2.XDTD_S.Tr.T'!BU201</f>
        <v>0</v>
      </c>
      <c r="BT109" s="16">
        <f ca="1">'2.XDTD_S.Tr.T'!BV201</f>
        <v>0</v>
      </c>
      <c r="BU109" s="16">
        <f ca="1">'2.XDTD_S.Tr.T'!BW201</f>
        <v>0</v>
      </c>
      <c r="BV109" s="16">
        <f ca="1">'2.XDTD_S.Tr.T'!BX201</f>
        <v>0</v>
      </c>
      <c r="BW109" s="16">
        <f ca="1">'2.XDTD_S.Tr.T'!BY201</f>
        <v>0</v>
      </c>
      <c r="BX109" s="16">
        <f ca="1">'2.XDTD_S.Tr.T'!BZ201</f>
        <v>0</v>
      </c>
      <c r="BY109" s="16">
        <f ca="1">'2.XDTD_S.Tr.T'!CA201</f>
        <v>0</v>
      </c>
      <c r="BZ109" s="16">
        <f ca="1">'2.XDTD_S.Tr.T'!CB201</f>
        <v>0</v>
      </c>
      <c r="CA109" s="16">
        <f ca="1">'2.XDTD_S.Tr.T'!CC201</f>
        <v>0</v>
      </c>
      <c r="CB109" s="16">
        <f ca="1">'2.XDTD_S.Tr.T'!CD201</f>
        <v>0</v>
      </c>
      <c r="CC109" s="16">
        <f ca="1">'2.XDTD_S.Tr.T'!CE201</f>
        <v>0</v>
      </c>
      <c r="CD109" s="16">
        <f ca="1">'2.XDTD_S.Tr.T'!CF201</f>
        <v>0</v>
      </c>
      <c r="CE109" s="16">
        <f ca="1">'2.XDTD_S.Tr.T'!CG201</f>
        <v>0</v>
      </c>
      <c r="CF109" s="16">
        <f ca="1">'2.XDTD_S.Tr.T'!CH201</f>
        <v>0</v>
      </c>
      <c r="CG109" s="16">
        <f ca="1">'2.XDTD_S.Tr.T'!CI201</f>
        <v>0</v>
      </c>
      <c r="CH109" s="16">
        <f ca="1">'2.XDTD_S.Tr.T'!CJ201</f>
        <v>0</v>
      </c>
      <c r="CI109" s="16">
        <f ca="1">'2.XDTD_S.Tr.T'!CK201</f>
        <v>0</v>
      </c>
      <c r="CJ109" s="16">
        <f ca="1">'2.XDTD_S.Tr.T'!CL201</f>
        <v>0</v>
      </c>
      <c r="CK109" s="16">
        <f ca="1">'2.XDTD_S.Tr.T'!CM201</f>
        <v>0</v>
      </c>
      <c r="CL109" s="16">
        <f ca="1">'2.XDTD_S.Tr.T'!CN201</f>
        <v>0</v>
      </c>
      <c r="CM109" s="16">
        <f ca="1">'2.XDTD_S.Tr.T'!CO201</f>
        <v>0</v>
      </c>
      <c r="CN109" s="16">
        <f ca="1">'2.XDTD_S.Tr.T'!CP201</f>
        <v>0</v>
      </c>
      <c r="CO109" s="16">
        <f ca="1">'2.XDTD_S.Tr.T'!CP201</f>
        <v>0</v>
      </c>
    </row>
    <row r="110" spans="3:93" ht="19.95" customHeight="1">
      <c r="C110" s="5"/>
      <c r="D110" s="11" t="str">
        <f>'2.XDTD_S.Tr.T'!F202</f>
        <v>Trứng chim cút</v>
      </c>
      <c r="E110" s="7" t="e">
        <f ca="1">'2.XDTD_S.Tr.T'!G202</f>
        <v>#NAME?</v>
      </c>
      <c r="F110" s="8">
        <f>'2.XDTD_S.Tr.T'!H202</f>
        <v>20</v>
      </c>
      <c r="G110" s="9">
        <f ca="1">'2.XDTD_S.Tr.T'!I202</f>
        <v>0</v>
      </c>
      <c r="H110" s="10">
        <f ca="1">'2.XDTD_S.Tr.T'!J202</f>
        <v>0</v>
      </c>
      <c r="I110" s="9">
        <f ca="1">'2.XDTD_S.Tr.T'!K202</f>
        <v>0</v>
      </c>
      <c r="J110" s="13" t="e">
        <f ca="1">'2.XDTD_S.Tr.T'!L202</f>
        <v>#NAME?</v>
      </c>
      <c r="K110" s="13" t="e">
        <f ca="1">'2.XDTD_S.Tr.T'!M202</f>
        <v>#NAME?</v>
      </c>
      <c r="L110" s="9">
        <f ca="1">'2.XDTD_S.Tr.T'!N202</f>
        <v>0</v>
      </c>
      <c r="M110" s="14" t="e">
        <f ca="1">'2.XDTD_S.Tr.T'!O202</f>
        <v>#NAME?</v>
      </c>
      <c r="N110" s="14" t="e">
        <f ca="1">'2.XDTD_S.Tr.T'!P202</f>
        <v>#NAME?</v>
      </c>
      <c r="O110" s="9" t="e">
        <f ca="1">'2.XDTD_S.Tr.T'!P202</f>
        <v>#NAME?</v>
      </c>
      <c r="P110" s="15">
        <f ca="1">'2.XDTD_S.Tr.T'!R202</f>
        <v>0</v>
      </c>
      <c r="Q110" s="16">
        <f ca="1">'2.XDTD_S.Tr.T'!S202</f>
        <v>0</v>
      </c>
      <c r="R110" s="16">
        <f ca="1">'2.XDTD_S.Tr.T'!T202</f>
        <v>0</v>
      </c>
      <c r="S110" s="16">
        <f ca="1">'2.XDTD_S.Tr.T'!U202</f>
        <v>0</v>
      </c>
      <c r="T110" s="16">
        <f ca="1">'2.XDTD_S.Tr.T'!V202</f>
        <v>0</v>
      </c>
      <c r="U110" s="16">
        <f ca="1">'2.XDTD_S.Tr.T'!W202</f>
        <v>0</v>
      </c>
      <c r="V110" s="16">
        <f ca="1">'2.XDTD_S.Tr.T'!X202</f>
        <v>0</v>
      </c>
      <c r="W110" s="16">
        <f ca="1">'2.XDTD_S.Tr.T'!Y202</f>
        <v>0</v>
      </c>
      <c r="X110" s="16">
        <f ca="1">'2.XDTD_S.Tr.T'!Z202</f>
        <v>0</v>
      </c>
      <c r="Y110" s="16">
        <f ca="1">'2.XDTD_S.Tr.T'!AA202</f>
        <v>0</v>
      </c>
      <c r="Z110" s="16">
        <f ca="1">'2.XDTD_S.Tr.T'!AB202</f>
        <v>0</v>
      </c>
      <c r="AA110" s="16">
        <f ca="1">'2.XDTD_S.Tr.T'!AC202</f>
        <v>0</v>
      </c>
      <c r="AB110" s="16">
        <f ca="1">'2.XDTD_S.Tr.T'!AD202</f>
        <v>0</v>
      </c>
      <c r="AC110" s="16">
        <f ca="1">'2.XDTD_S.Tr.T'!AE202</f>
        <v>0</v>
      </c>
      <c r="AD110" s="16">
        <f ca="1">'2.XDTD_S.Tr.T'!AF202</f>
        <v>0</v>
      </c>
      <c r="AE110" s="16">
        <f ca="1">'2.XDTD_S.Tr.T'!AG202</f>
        <v>0</v>
      </c>
      <c r="AF110" s="16">
        <f ca="1">'2.XDTD_S.Tr.T'!AH202</f>
        <v>0</v>
      </c>
      <c r="AG110" s="16">
        <f ca="1">'2.XDTD_S.Tr.T'!AI202</f>
        <v>0</v>
      </c>
      <c r="AH110" s="16">
        <f ca="1">'2.XDTD_S.Tr.T'!AJ202</f>
        <v>0</v>
      </c>
      <c r="AI110" s="16">
        <f ca="1">'2.XDTD_S.Tr.T'!AK202</f>
        <v>0</v>
      </c>
      <c r="AJ110" s="16">
        <f ca="1">'2.XDTD_S.Tr.T'!AL202</f>
        <v>0</v>
      </c>
      <c r="AK110" s="16">
        <f ca="1">'2.XDTD_S.Tr.T'!AM202</f>
        <v>0</v>
      </c>
      <c r="AL110" s="16">
        <f ca="1">'2.XDTD_S.Tr.T'!AN202</f>
        <v>0</v>
      </c>
      <c r="AM110" s="16">
        <f ca="1">'2.XDTD_S.Tr.T'!AO202</f>
        <v>0</v>
      </c>
      <c r="AN110" s="16">
        <f ca="1">'2.XDTD_S.Tr.T'!AP202</f>
        <v>0</v>
      </c>
      <c r="AO110" s="16">
        <f ca="1">'2.XDTD_S.Tr.T'!AP202</f>
        <v>0</v>
      </c>
      <c r="AP110" s="16">
        <f ca="1">'2.XDTD_S.Tr.T'!AR202</f>
        <v>0</v>
      </c>
      <c r="AQ110" s="16">
        <f ca="1">'2.XDTD_S.Tr.T'!AS202</f>
        <v>0</v>
      </c>
      <c r="AR110" s="16">
        <f ca="1">'2.XDTD_S.Tr.T'!AT202</f>
        <v>0</v>
      </c>
      <c r="AS110" s="16">
        <f ca="1">'2.XDTD_S.Tr.T'!AU202</f>
        <v>0</v>
      </c>
      <c r="AT110" s="16">
        <f ca="1">'2.XDTD_S.Tr.T'!AV202</f>
        <v>0</v>
      </c>
      <c r="AU110" s="16">
        <f ca="1">'2.XDTD_S.Tr.T'!AW202</f>
        <v>0</v>
      </c>
      <c r="AV110" s="16">
        <f ca="1">'2.XDTD_S.Tr.T'!AX202</f>
        <v>0</v>
      </c>
      <c r="AW110" s="16">
        <f ca="1">'2.XDTD_S.Tr.T'!AY202</f>
        <v>0</v>
      </c>
      <c r="AX110" s="16">
        <f ca="1">'2.XDTD_S.Tr.T'!AZ202</f>
        <v>0</v>
      </c>
      <c r="AY110" s="16">
        <f ca="1">'2.XDTD_S.Tr.T'!BA202</f>
        <v>0</v>
      </c>
      <c r="AZ110" s="16">
        <f ca="1">'2.XDTD_S.Tr.T'!BB202</f>
        <v>0</v>
      </c>
      <c r="BA110" s="16">
        <f ca="1">'2.XDTD_S.Tr.T'!BC202</f>
        <v>0</v>
      </c>
      <c r="BB110" s="16">
        <f ca="1">'2.XDTD_S.Tr.T'!BD202</f>
        <v>0</v>
      </c>
      <c r="BC110" s="16">
        <f ca="1">'2.XDTD_S.Tr.T'!BE202</f>
        <v>0</v>
      </c>
      <c r="BD110" s="16">
        <f ca="1">'2.XDTD_S.Tr.T'!BF202</f>
        <v>0</v>
      </c>
      <c r="BE110" s="16">
        <f ca="1">'2.XDTD_S.Tr.T'!BG202</f>
        <v>0</v>
      </c>
      <c r="BF110" s="16">
        <f ca="1">'2.XDTD_S.Tr.T'!BH202</f>
        <v>0</v>
      </c>
      <c r="BG110" s="16">
        <f ca="1">'2.XDTD_S.Tr.T'!BI202</f>
        <v>0</v>
      </c>
      <c r="BH110" s="16">
        <f ca="1">'2.XDTD_S.Tr.T'!BJ202</f>
        <v>0</v>
      </c>
      <c r="BI110" s="16">
        <f ca="1">'2.XDTD_S.Tr.T'!BK202</f>
        <v>0</v>
      </c>
      <c r="BJ110" s="16">
        <f ca="1">'2.XDTD_S.Tr.T'!BL202</f>
        <v>0</v>
      </c>
      <c r="BK110" s="16">
        <f ca="1">'2.XDTD_S.Tr.T'!BM202</f>
        <v>0</v>
      </c>
      <c r="BL110" s="16">
        <f ca="1">'2.XDTD_S.Tr.T'!BN202</f>
        <v>0</v>
      </c>
      <c r="BM110" s="16">
        <f ca="1">'2.XDTD_S.Tr.T'!BO202</f>
        <v>0</v>
      </c>
      <c r="BN110" s="16">
        <f ca="1">'2.XDTD_S.Tr.T'!BP202</f>
        <v>0</v>
      </c>
      <c r="BO110" s="16">
        <f ca="1">'2.XDTD_S.Tr.T'!BP202</f>
        <v>0</v>
      </c>
      <c r="BP110" s="16">
        <f ca="1">'2.XDTD_S.Tr.T'!BR202</f>
        <v>0</v>
      </c>
      <c r="BQ110" s="16">
        <f ca="1">'2.XDTD_S.Tr.T'!BS202</f>
        <v>0</v>
      </c>
      <c r="BR110" s="16">
        <f ca="1">'2.XDTD_S.Tr.T'!BT202</f>
        <v>0</v>
      </c>
      <c r="BS110" s="16">
        <f ca="1">'2.XDTD_S.Tr.T'!BU202</f>
        <v>0</v>
      </c>
      <c r="BT110" s="16">
        <f ca="1">'2.XDTD_S.Tr.T'!BV202</f>
        <v>0</v>
      </c>
      <c r="BU110" s="16">
        <f ca="1">'2.XDTD_S.Tr.T'!BW202</f>
        <v>0</v>
      </c>
      <c r="BV110" s="16">
        <f ca="1">'2.XDTD_S.Tr.T'!BX202</f>
        <v>0</v>
      </c>
      <c r="BW110" s="16">
        <f ca="1">'2.XDTD_S.Tr.T'!BY202</f>
        <v>0</v>
      </c>
      <c r="BX110" s="16">
        <f ca="1">'2.XDTD_S.Tr.T'!BZ202</f>
        <v>0</v>
      </c>
      <c r="BY110" s="16">
        <f ca="1">'2.XDTD_S.Tr.T'!CA202</f>
        <v>0</v>
      </c>
      <c r="BZ110" s="16">
        <f ca="1">'2.XDTD_S.Tr.T'!CB202</f>
        <v>0</v>
      </c>
      <c r="CA110" s="16">
        <f ca="1">'2.XDTD_S.Tr.T'!CC202</f>
        <v>0</v>
      </c>
      <c r="CB110" s="16">
        <f ca="1">'2.XDTD_S.Tr.T'!CD202</f>
        <v>0</v>
      </c>
      <c r="CC110" s="16">
        <f ca="1">'2.XDTD_S.Tr.T'!CE202</f>
        <v>0</v>
      </c>
      <c r="CD110" s="16">
        <f ca="1">'2.XDTD_S.Tr.T'!CF202</f>
        <v>0</v>
      </c>
      <c r="CE110" s="16">
        <f ca="1">'2.XDTD_S.Tr.T'!CG202</f>
        <v>0</v>
      </c>
      <c r="CF110" s="16">
        <f ca="1">'2.XDTD_S.Tr.T'!CH202</f>
        <v>0</v>
      </c>
      <c r="CG110" s="16">
        <f ca="1">'2.XDTD_S.Tr.T'!CI202</f>
        <v>0</v>
      </c>
      <c r="CH110" s="16">
        <f ca="1">'2.XDTD_S.Tr.T'!CJ202</f>
        <v>0</v>
      </c>
      <c r="CI110" s="16">
        <f ca="1">'2.XDTD_S.Tr.T'!CK202</f>
        <v>0</v>
      </c>
      <c r="CJ110" s="16">
        <f ca="1">'2.XDTD_S.Tr.T'!CL202</f>
        <v>0</v>
      </c>
      <c r="CK110" s="16">
        <f ca="1">'2.XDTD_S.Tr.T'!CM202</f>
        <v>0</v>
      </c>
      <c r="CL110" s="16">
        <f ca="1">'2.XDTD_S.Tr.T'!CN202</f>
        <v>0</v>
      </c>
      <c r="CM110" s="16">
        <f ca="1">'2.XDTD_S.Tr.T'!CO202</f>
        <v>0</v>
      </c>
      <c r="CN110" s="16">
        <f ca="1">'2.XDTD_S.Tr.T'!CP202</f>
        <v>0</v>
      </c>
      <c r="CO110" s="16">
        <f ca="1">'2.XDTD_S.Tr.T'!CP202</f>
        <v>0</v>
      </c>
    </row>
    <row r="111" spans="3:93" ht="19.95" customHeight="1">
      <c r="C111" s="5"/>
      <c r="D111" s="11" t="str">
        <f>'2.XDTD_S.Tr.T'!F203</f>
        <v>Cua đồng</v>
      </c>
      <c r="E111" s="7" t="e">
        <f ca="1">'2.XDTD_S.Tr.T'!G203</f>
        <v>#NAME?</v>
      </c>
      <c r="F111" s="8">
        <f>'2.XDTD_S.Tr.T'!H203</f>
        <v>30</v>
      </c>
      <c r="G111" s="9">
        <f ca="1">'2.XDTD_S.Tr.T'!I203</f>
        <v>0</v>
      </c>
      <c r="H111" s="10">
        <f ca="1">'2.XDTD_S.Tr.T'!J203</f>
        <v>0</v>
      </c>
      <c r="I111" s="9">
        <f ca="1">'2.XDTD_S.Tr.T'!K203</f>
        <v>0</v>
      </c>
      <c r="J111" s="13" t="e">
        <f ca="1">'2.XDTD_S.Tr.T'!L203</f>
        <v>#NAME?</v>
      </c>
      <c r="K111" s="13" t="e">
        <f ca="1">'2.XDTD_S.Tr.T'!M203</f>
        <v>#NAME?</v>
      </c>
      <c r="L111" s="9">
        <f ca="1">'2.XDTD_S.Tr.T'!N203</f>
        <v>0</v>
      </c>
      <c r="M111" s="14" t="e">
        <f ca="1">'2.XDTD_S.Tr.T'!O203</f>
        <v>#NAME?</v>
      </c>
      <c r="N111" s="14" t="e">
        <f ca="1">'2.XDTD_S.Tr.T'!P203</f>
        <v>#NAME?</v>
      </c>
      <c r="O111" s="9" t="e">
        <f ca="1">'2.XDTD_S.Tr.T'!P203</f>
        <v>#NAME?</v>
      </c>
      <c r="P111" s="15">
        <f ca="1">'2.XDTD_S.Tr.T'!R203</f>
        <v>0</v>
      </c>
      <c r="Q111" s="16">
        <f ca="1">'2.XDTD_S.Tr.T'!S203</f>
        <v>0</v>
      </c>
      <c r="R111" s="16">
        <f ca="1">'2.XDTD_S.Tr.T'!T203</f>
        <v>0</v>
      </c>
      <c r="S111" s="16">
        <f ca="1">'2.XDTD_S.Tr.T'!U203</f>
        <v>0</v>
      </c>
      <c r="T111" s="16">
        <f ca="1">'2.XDTD_S.Tr.T'!V203</f>
        <v>0</v>
      </c>
      <c r="U111" s="16">
        <f ca="1">'2.XDTD_S.Tr.T'!W203</f>
        <v>0</v>
      </c>
      <c r="V111" s="16">
        <f ca="1">'2.XDTD_S.Tr.T'!X203</f>
        <v>0</v>
      </c>
      <c r="W111" s="16">
        <f ca="1">'2.XDTD_S.Tr.T'!Y203</f>
        <v>0</v>
      </c>
      <c r="X111" s="16">
        <f ca="1">'2.XDTD_S.Tr.T'!Z203</f>
        <v>0</v>
      </c>
      <c r="Y111" s="16">
        <f ca="1">'2.XDTD_S.Tr.T'!AA203</f>
        <v>0</v>
      </c>
      <c r="Z111" s="16">
        <f ca="1">'2.XDTD_S.Tr.T'!AB203</f>
        <v>0</v>
      </c>
      <c r="AA111" s="16">
        <f ca="1">'2.XDTD_S.Tr.T'!AC203</f>
        <v>0</v>
      </c>
      <c r="AB111" s="16">
        <f ca="1">'2.XDTD_S.Tr.T'!AD203</f>
        <v>0</v>
      </c>
      <c r="AC111" s="16">
        <f ca="1">'2.XDTD_S.Tr.T'!AE203</f>
        <v>0</v>
      </c>
      <c r="AD111" s="16">
        <f ca="1">'2.XDTD_S.Tr.T'!AF203</f>
        <v>0</v>
      </c>
      <c r="AE111" s="16">
        <f ca="1">'2.XDTD_S.Tr.T'!AG203</f>
        <v>0</v>
      </c>
      <c r="AF111" s="16">
        <f ca="1">'2.XDTD_S.Tr.T'!AH203</f>
        <v>0</v>
      </c>
      <c r="AG111" s="16">
        <f ca="1">'2.XDTD_S.Tr.T'!AI203</f>
        <v>0</v>
      </c>
      <c r="AH111" s="16">
        <f ca="1">'2.XDTD_S.Tr.T'!AJ203</f>
        <v>0</v>
      </c>
      <c r="AI111" s="16">
        <f ca="1">'2.XDTD_S.Tr.T'!AK203</f>
        <v>0</v>
      </c>
      <c r="AJ111" s="16">
        <f ca="1">'2.XDTD_S.Tr.T'!AL203</f>
        <v>0</v>
      </c>
      <c r="AK111" s="16">
        <f ca="1">'2.XDTD_S.Tr.T'!AM203</f>
        <v>0</v>
      </c>
      <c r="AL111" s="16">
        <f ca="1">'2.XDTD_S.Tr.T'!AN203</f>
        <v>0</v>
      </c>
      <c r="AM111" s="16">
        <f ca="1">'2.XDTD_S.Tr.T'!AO203</f>
        <v>0</v>
      </c>
      <c r="AN111" s="16">
        <f ca="1">'2.XDTD_S.Tr.T'!AP203</f>
        <v>0</v>
      </c>
      <c r="AO111" s="16">
        <f ca="1">'2.XDTD_S.Tr.T'!AP203</f>
        <v>0</v>
      </c>
      <c r="AP111" s="16">
        <f ca="1">'2.XDTD_S.Tr.T'!AR203</f>
        <v>0</v>
      </c>
      <c r="AQ111" s="16">
        <f ca="1">'2.XDTD_S.Tr.T'!AS203</f>
        <v>0</v>
      </c>
      <c r="AR111" s="16">
        <f ca="1">'2.XDTD_S.Tr.T'!AT203</f>
        <v>0</v>
      </c>
      <c r="AS111" s="16">
        <f ca="1">'2.XDTD_S.Tr.T'!AU203</f>
        <v>0</v>
      </c>
      <c r="AT111" s="16">
        <f ca="1">'2.XDTD_S.Tr.T'!AV203</f>
        <v>0</v>
      </c>
      <c r="AU111" s="16">
        <f ca="1">'2.XDTD_S.Tr.T'!AW203</f>
        <v>0</v>
      </c>
      <c r="AV111" s="16">
        <f ca="1">'2.XDTD_S.Tr.T'!AX203</f>
        <v>0</v>
      </c>
      <c r="AW111" s="16">
        <f ca="1">'2.XDTD_S.Tr.T'!AY203</f>
        <v>0</v>
      </c>
      <c r="AX111" s="16">
        <f ca="1">'2.XDTD_S.Tr.T'!AZ203</f>
        <v>0</v>
      </c>
      <c r="AY111" s="16">
        <f ca="1">'2.XDTD_S.Tr.T'!BA203</f>
        <v>0</v>
      </c>
      <c r="AZ111" s="16">
        <f ca="1">'2.XDTD_S.Tr.T'!BB203</f>
        <v>0</v>
      </c>
      <c r="BA111" s="16">
        <f ca="1">'2.XDTD_S.Tr.T'!BC203</f>
        <v>0</v>
      </c>
      <c r="BB111" s="16">
        <f ca="1">'2.XDTD_S.Tr.T'!BD203</f>
        <v>0</v>
      </c>
      <c r="BC111" s="16">
        <f ca="1">'2.XDTD_S.Tr.T'!BE203</f>
        <v>0</v>
      </c>
      <c r="BD111" s="16">
        <f ca="1">'2.XDTD_S.Tr.T'!BF203</f>
        <v>0</v>
      </c>
      <c r="BE111" s="16">
        <f ca="1">'2.XDTD_S.Tr.T'!BG203</f>
        <v>0</v>
      </c>
      <c r="BF111" s="16">
        <f ca="1">'2.XDTD_S.Tr.T'!BH203</f>
        <v>0</v>
      </c>
      <c r="BG111" s="16">
        <f ca="1">'2.XDTD_S.Tr.T'!BI203</f>
        <v>0</v>
      </c>
      <c r="BH111" s="16">
        <f ca="1">'2.XDTD_S.Tr.T'!BJ203</f>
        <v>0</v>
      </c>
      <c r="BI111" s="16">
        <f ca="1">'2.XDTD_S.Tr.T'!BK203</f>
        <v>0</v>
      </c>
      <c r="BJ111" s="16">
        <f ca="1">'2.XDTD_S.Tr.T'!BL203</f>
        <v>0</v>
      </c>
      <c r="BK111" s="16">
        <f ca="1">'2.XDTD_S.Tr.T'!BM203</f>
        <v>0</v>
      </c>
      <c r="BL111" s="16">
        <f ca="1">'2.XDTD_S.Tr.T'!BN203</f>
        <v>0</v>
      </c>
      <c r="BM111" s="16">
        <f ca="1">'2.XDTD_S.Tr.T'!BO203</f>
        <v>0</v>
      </c>
      <c r="BN111" s="16">
        <f ca="1">'2.XDTD_S.Tr.T'!BP203</f>
        <v>0</v>
      </c>
      <c r="BO111" s="16">
        <f ca="1">'2.XDTD_S.Tr.T'!BP203</f>
        <v>0</v>
      </c>
      <c r="BP111" s="16">
        <f ca="1">'2.XDTD_S.Tr.T'!BR203</f>
        <v>0</v>
      </c>
      <c r="BQ111" s="16">
        <f ca="1">'2.XDTD_S.Tr.T'!BS203</f>
        <v>0</v>
      </c>
      <c r="BR111" s="16">
        <f ca="1">'2.XDTD_S.Tr.T'!BT203</f>
        <v>0</v>
      </c>
      <c r="BS111" s="16">
        <f ca="1">'2.XDTD_S.Tr.T'!BU203</f>
        <v>0</v>
      </c>
      <c r="BT111" s="16">
        <f ca="1">'2.XDTD_S.Tr.T'!BV203</f>
        <v>0</v>
      </c>
      <c r="BU111" s="16">
        <f ca="1">'2.XDTD_S.Tr.T'!BW203</f>
        <v>0</v>
      </c>
      <c r="BV111" s="16">
        <f ca="1">'2.XDTD_S.Tr.T'!BX203</f>
        <v>0</v>
      </c>
      <c r="BW111" s="16">
        <f ca="1">'2.XDTD_S.Tr.T'!BY203</f>
        <v>0</v>
      </c>
      <c r="BX111" s="16">
        <f ca="1">'2.XDTD_S.Tr.T'!BZ203</f>
        <v>0</v>
      </c>
      <c r="BY111" s="16">
        <f ca="1">'2.XDTD_S.Tr.T'!CA203</f>
        <v>0</v>
      </c>
      <c r="BZ111" s="16">
        <f ca="1">'2.XDTD_S.Tr.T'!CB203</f>
        <v>0</v>
      </c>
      <c r="CA111" s="16">
        <f ca="1">'2.XDTD_S.Tr.T'!CC203</f>
        <v>0</v>
      </c>
      <c r="CB111" s="16">
        <f ca="1">'2.XDTD_S.Tr.T'!CD203</f>
        <v>0</v>
      </c>
      <c r="CC111" s="16">
        <f ca="1">'2.XDTD_S.Tr.T'!CE203</f>
        <v>0</v>
      </c>
      <c r="CD111" s="16">
        <f ca="1">'2.XDTD_S.Tr.T'!CF203</f>
        <v>0</v>
      </c>
      <c r="CE111" s="16">
        <f ca="1">'2.XDTD_S.Tr.T'!CG203</f>
        <v>0</v>
      </c>
      <c r="CF111" s="16">
        <f ca="1">'2.XDTD_S.Tr.T'!CH203</f>
        <v>0</v>
      </c>
      <c r="CG111" s="16">
        <f ca="1">'2.XDTD_S.Tr.T'!CI203</f>
        <v>0</v>
      </c>
      <c r="CH111" s="16">
        <f ca="1">'2.XDTD_S.Tr.T'!CJ203</f>
        <v>0</v>
      </c>
      <c r="CI111" s="16">
        <f ca="1">'2.XDTD_S.Tr.T'!CK203</f>
        <v>0</v>
      </c>
      <c r="CJ111" s="16">
        <f ca="1">'2.XDTD_S.Tr.T'!CL203</f>
        <v>0</v>
      </c>
      <c r="CK111" s="16">
        <f ca="1">'2.XDTD_S.Tr.T'!CM203</f>
        <v>0</v>
      </c>
      <c r="CL111" s="16">
        <f ca="1">'2.XDTD_S.Tr.T'!CN203</f>
        <v>0</v>
      </c>
      <c r="CM111" s="16">
        <f ca="1">'2.XDTD_S.Tr.T'!CO203</f>
        <v>0</v>
      </c>
      <c r="CN111" s="16">
        <f ca="1">'2.XDTD_S.Tr.T'!CP203</f>
        <v>0</v>
      </c>
      <c r="CO111" s="16">
        <f ca="1">'2.XDTD_S.Tr.T'!CP203</f>
        <v>0</v>
      </c>
    </row>
    <row r="112" spans="3:93" ht="19.95" hidden="1" customHeight="1">
      <c r="C112" s="5"/>
      <c r="D112" s="11">
        <f>'2.XDTD_S.Tr.T'!F204</f>
        <v>0</v>
      </c>
      <c r="E112" s="7">
        <f>'2.XDTD_S.Tr.T'!G204</f>
        <v>0</v>
      </c>
      <c r="F112" s="8">
        <f>'2.XDTD_S.Tr.T'!H204</f>
        <v>0</v>
      </c>
      <c r="G112" s="9">
        <f ca="1">'2.XDTD_S.Tr.T'!I204</f>
        <v>0</v>
      </c>
      <c r="H112" s="10">
        <f ca="1">'2.XDTD_S.Tr.T'!J204</f>
        <v>0</v>
      </c>
      <c r="I112" s="9">
        <f ca="1">'2.XDTD_S.Tr.T'!K204</f>
        <v>0</v>
      </c>
      <c r="J112" s="13">
        <f>'2.XDTD_S.Tr.T'!L204</f>
        <v>0</v>
      </c>
      <c r="K112" s="13">
        <f>'2.XDTD_S.Tr.T'!M204</f>
        <v>0</v>
      </c>
      <c r="L112" s="9">
        <f ca="1">'2.XDTD_S.Tr.T'!N204</f>
        <v>0</v>
      </c>
      <c r="M112" s="14">
        <f>'2.XDTD_S.Tr.T'!O204</f>
        <v>0</v>
      </c>
      <c r="N112" s="14">
        <f>'2.XDTD_S.Tr.T'!P204</f>
        <v>0</v>
      </c>
      <c r="O112" s="9">
        <f>'2.XDTD_S.Tr.T'!P204</f>
        <v>0</v>
      </c>
      <c r="P112" s="15">
        <f ca="1">'2.XDTD_S.Tr.T'!R204</f>
        <v>0</v>
      </c>
      <c r="Q112" s="16">
        <f ca="1">'2.XDTD_S.Tr.T'!S204</f>
        <v>0</v>
      </c>
      <c r="R112" s="16">
        <f ca="1">'2.XDTD_S.Tr.T'!T204</f>
        <v>0</v>
      </c>
      <c r="S112" s="16">
        <f ca="1">'2.XDTD_S.Tr.T'!U204</f>
        <v>0</v>
      </c>
      <c r="T112" s="16">
        <f ca="1">'2.XDTD_S.Tr.T'!V204</f>
        <v>0</v>
      </c>
      <c r="U112" s="16">
        <f ca="1">'2.XDTD_S.Tr.T'!W204</f>
        <v>0</v>
      </c>
      <c r="V112" s="16">
        <f ca="1">'2.XDTD_S.Tr.T'!X204</f>
        <v>0</v>
      </c>
      <c r="W112" s="16">
        <f ca="1">'2.XDTD_S.Tr.T'!Y204</f>
        <v>0</v>
      </c>
      <c r="X112" s="16">
        <f ca="1">'2.XDTD_S.Tr.T'!Z204</f>
        <v>0</v>
      </c>
      <c r="Y112" s="16">
        <f ca="1">'2.XDTD_S.Tr.T'!AA204</f>
        <v>0</v>
      </c>
      <c r="Z112" s="16">
        <f ca="1">'2.XDTD_S.Tr.T'!AB204</f>
        <v>0</v>
      </c>
      <c r="AA112" s="16">
        <f ca="1">'2.XDTD_S.Tr.T'!AC204</f>
        <v>0</v>
      </c>
      <c r="AB112" s="16">
        <f ca="1">'2.XDTD_S.Tr.T'!AD204</f>
        <v>0</v>
      </c>
      <c r="AC112" s="16">
        <f ca="1">'2.XDTD_S.Tr.T'!AE204</f>
        <v>0</v>
      </c>
      <c r="AD112" s="16">
        <f ca="1">'2.XDTD_S.Tr.T'!AF204</f>
        <v>0</v>
      </c>
      <c r="AE112" s="16">
        <f ca="1">'2.XDTD_S.Tr.T'!AG204</f>
        <v>0</v>
      </c>
      <c r="AF112" s="16">
        <f ca="1">'2.XDTD_S.Tr.T'!AH204</f>
        <v>0</v>
      </c>
      <c r="AG112" s="16">
        <f ca="1">'2.XDTD_S.Tr.T'!AI204</f>
        <v>0</v>
      </c>
      <c r="AH112" s="16">
        <f ca="1">'2.XDTD_S.Tr.T'!AJ204</f>
        <v>0</v>
      </c>
      <c r="AI112" s="16">
        <f ca="1">'2.XDTD_S.Tr.T'!AK204</f>
        <v>0</v>
      </c>
      <c r="AJ112" s="16">
        <f ca="1">'2.XDTD_S.Tr.T'!AL204</f>
        <v>0</v>
      </c>
      <c r="AK112" s="16">
        <f ca="1">'2.XDTD_S.Tr.T'!AM204</f>
        <v>0</v>
      </c>
      <c r="AL112" s="16">
        <f ca="1">'2.XDTD_S.Tr.T'!AN204</f>
        <v>0</v>
      </c>
      <c r="AM112" s="16">
        <f ca="1">'2.XDTD_S.Tr.T'!AO204</f>
        <v>0</v>
      </c>
      <c r="AN112" s="16">
        <f ca="1">'2.XDTD_S.Tr.T'!AP204</f>
        <v>0</v>
      </c>
      <c r="AO112" s="16">
        <f ca="1">'2.XDTD_S.Tr.T'!AP204</f>
        <v>0</v>
      </c>
      <c r="AP112" s="16">
        <f ca="1">'2.XDTD_S.Tr.T'!AR204</f>
        <v>0</v>
      </c>
      <c r="AQ112" s="16">
        <f ca="1">'2.XDTD_S.Tr.T'!AS204</f>
        <v>0</v>
      </c>
      <c r="AR112" s="16">
        <f ca="1">'2.XDTD_S.Tr.T'!AT204</f>
        <v>0</v>
      </c>
      <c r="AS112" s="16">
        <f ca="1">'2.XDTD_S.Tr.T'!AU204</f>
        <v>0</v>
      </c>
      <c r="AT112" s="16">
        <f ca="1">'2.XDTD_S.Tr.T'!AV204</f>
        <v>0</v>
      </c>
      <c r="AU112" s="16">
        <f ca="1">'2.XDTD_S.Tr.T'!AW204</f>
        <v>0</v>
      </c>
      <c r="AV112" s="16">
        <f ca="1">'2.XDTD_S.Tr.T'!AX204</f>
        <v>0</v>
      </c>
      <c r="AW112" s="16">
        <f ca="1">'2.XDTD_S.Tr.T'!AY204</f>
        <v>0</v>
      </c>
      <c r="AX112" s="16">
        <f ca="1">'2.XDTD_S.Tr.T'!AZ204</f>
        <v>0</v>
      </c>
      <c r="AY112" s="16">
        <f ca="1">'2.XDTD_S.Tr.T'!BA204</f>
        <v>0</v>
      </c>
      <c r="AZ112" s="16">
        <f ca="1">'2.XDTD_S.Tr.T'!BB204</f>
        <v>0</v>
      </c>
      <c r="BA112" s="16">
        <f ca="1">'2.XDTD_S.Tr.T'!BC204</f>
        <v>0</v>
      </c>
      <c r="BB112" s="16">
        <f ca="1">'2.XDTD_S.Tr.T'!BD204</f>
        <v>0</v>
      </c>
      <c r="BC112" s="16">
        <f ca="1">'2.XDTD_S.Tr.T'!BE204</f>
        <v>0</v>
      </c>
      <c r="BD112" s="16">
        <f ca="1">'2.XDTD_S.Tr.T'!BF204</f>
        <v>0</v>
      </c>
      <c r="BE112" s="16">
        <f ca="1">'2.XDTD_S.Tr.T'!BG204</f>
        <v>0</v>
      </c>
      <c r="BF112" s="16">
        <f ca="1">'2.XDTD_S.Tr.T'!BH204</f>
        <v>0</v>
      </c>
      <c r="BG112" s="16">
        <f ca="1">'2.XDTD_S.Tr.T'!BI204</f>
        <v>0</v>
      </c>
      <c r="BH112" s="16">
        <f ca="1">'2.XDTD_S.Tr.T'!BJ204</f>
        <v>0</v>
      </c>
      <c r="BI112" s="16">
        <f ca="1">'2.XDTD_S.Tr.T'!BK204</f>
        <v>0</v>
      </c>
      <c r="BJ112" s="16">
        <f ca="1">'2.XDTD_S.Tr.T'!BL204</f>
        <v>0</v>
      </c>
      <c r="BK112" s="16">
        <f ca="1">'2.XDTD_S.Tr.T'!BM204</f>
        <v>0</v>
      </c>
      <c r="BL112" s="16">
        <f ca="1">'2.XDTD_S.Tr.T'!BN204</f>
        <v>0</v>
      </c>
      <c r="BM112" s="16">
        <f ca="1">'2.XDTD_S.Tr.T'!BO204</f>
        <v>0</v>
      </c>
      <c r="BN112" s="16">
        <f ca="1">'2.XDTD_S.Tr.T'!BP204</f>
        <v>0</v>
      </c>
      <c r="BO112" s="16">
        <f ca="1">'2.XDTD_S.Tr.T'!BP204</f>
        <v>0</v>
      </c>
      <c r="BP112" s="16">
        <f ca="1">'2.XDTD_S.Tr.T'!BR204</f>
        <v>0</v>
      </c>
      <c r="BQ112" s="16">
        <f ca="1">'2.XDTD_S.Tr.T'!BS204</f>
        <v>0</v>
      </c>
      <c r="BR112" s="16">
        <f ca="1">'2.XDTD_S.Tr.T'!BT204</f>
        <v>0</v>
      </c>
      <c r="BS112" s="16">
        <f ca="1">'2.XDTD_S.Tr.T'!BU204</f>
        <v>0</v>
      </c>
      <c r="BT112" s="16">
        <f ca="1">'2.XDTD_S.Tr.T'!BV204</f>
        <v>0</v>
      </c>
      <c r="BU112" s="16">
        <f ca="1">'2.XDTD_S.Tr.T'!BW204</f>
        <v>0</v>
      </c>
      <c r="BV112" s="16">
        <f ca="1">'2.XDTD_S.Tr.T'!BX204</f>
        <v>0</v>
      </c>
      <c r="BW112" s="16">
        <f ca="1">'2.XDTD_S.Tr.T'!BY204</f>
        <v>0</v>
      </c>
      <c r="BX112" s="16">
        <f ca="1">'2.XDTD_S.Tr.T'!BZ204</f>
        <v>0</v>
      </c>
      <c r="BY112" s="16">
        <f ca="1">'2.XDTD_S.Tr.T'!CA204</f>
        <v>0</v>
      </c>
      <c r="BZ112" s="16">
        <f ca="1">'2.XDTD_S.Tr.T'!CB204</f>
        <v>0</v>
      </c>
      <c r="CA112" s="16">
        <f ca="1">'2.XDTD_S.Tr.T'!CC204</f>
        <v>0</v>
      </c>
      <c r="CB112" s="16">
        <f ca="1">'2.XDTD_S.Tr.T'!CD204</f>
        <v>0</v>
      </c>
      <c r="CC112" s="16">
        <f ca="1">'2.XDTD_S.Tr.T'!CE204</f>
        <v>0</v>
      </c>
      <c r="CD112" s="16">
        <f ca="1">'2.XDTD_S.Tr.T'!CF204</f>
        <v>0</v>
      </c>
      <c r="CE112" s="16">
        <f ca="1">'2.XDTD_S.Tr.T'!CG204</f>
        <v>0</v>
      </c>
      <c r="CF112" s="16">
        <f ca="1">'2.XDTD_S.Tr.T'!CH204</f>
        <v>0</v>
      </c>
      <c r="CG112" s="16">
        <f ca="1">'2.XDTD_S.Tr.T'!CI204</f>
        <v>0</v>
      </c>
      <c r="CH112" s="16">
        <f ca="1">'2.XDTD_S.Tr.T'!CJ204</f>
        <v>0</v>
      </c>
      <c r="CI112" s="16">
        <f ca="1">'2.XDTD_S.Tr.T'!CK204</f>
        <v>0</v>
      </c>
      <c r="CJ112" s="16">
        <f ca="1">'2.XDTD_S.Tr.T'!CL204</f>
        <v>0</v>
      </c>
      <c r="CK112" s="16">
        <f ca="1">'2.XDTD_S.Tr.T'!CM204</f>
        <v>0</v>
      </c>
      <c r="CL112" s="16">
        <f ca="1">'2.XDTD_S.Tr.T'!CN204</f>
        <v>0</v>
      </c>
      <c r="CM112" s="16">
        <f ca="1">'2.XDTD_S.Tr.T'!CO204</f>
        <v>0</v>
      </c>
      <c r="CN112" s="16">
        <f ca="1">'2.XDTD_S.Tr.T'!CP204</f>
        <v>0</v>
      </c>
      <c r="CO112" s="16">
        <f ca="1">'2.XDTD_S.Tr.T'!CP204</f>
        <v>0</v>
      </c>
    </row>
    <row r="113" spans="3:93" ht="19.95" hidden="1" customHeight="1">
      <c r="C113" s="5"/>
      <c r="D113" s="11">
        <f>'2.XDTD_S.Tr.T'!F205</f>
        <v>0</v>
      </c>
      <c r="E113" s="7">
        <f>'2.XDTD_S.Tr.T'!G205</f>
        <v>0</v>
      </c>
      <c r="F113" s="8">
        <f>'2.XDTD_S.Tr.T'!H205</f>
        <v>0</v>
      </c>
      <c r="G113" s="9">
        <f ca="1">'2.XDTD_S.Tr.T'!I205</f>
        <v>0</v>
      </c>
      <c r="H113" s="10">
        <f ca="1">'2.XDTD_S.Tr.T'!J205</f>
        <v>0</v>
      </c>
      <c r="I113" s="9">
        <f ca="1">'2.XDTD_S.Tr.T'!K205</f>
        <v>0</v>
      </c>
      <c r="J113" s="13">
        <f>'2.XDTD_S.Tr.T'!L205</f>
        <v>0</v>
      </c>
      <c r="K113" s="13">
        <f>'2.XDTD_S.Tr.T'!M205</f>
        <v>0</v>
      </c>
      <c r="L113" s="9">
        <f ca="1">'2.XDTD_S.Tr.T'!N205</f>
        <v>0</v>
      </c>
      <c r="M113" s="14">
        <f>'2.XDTD_S.Tr.T'!O205</f>
        <v>0</v>
      </c>
      <c r="N113" s="14">
        <f>'2.XDTD_S.Tr.T'!P205</f>
        <v>0</v>
      </c>
      <c r="O113" s="9">
        <f>'2.XDTD_S.Tr.T'!P205</f>
        <v>0</v>
      </c>
      <c r="P113" s="15">
        <f ca="1">'2.XDTD_S.Tr.T'!R205</f>
        <v>0</v>
      </c>
      <c r="Q113" s="16">
        <f ca="1">'2.XDTD_S.Tr.T'!S205</f>
        <v>0</v>
      </c>
      <c r="R113" s="16">
        <f ca="1">'2.XDTD_S.Tr.T'!T205</f>
        <v>0</v>
      </c>
      <c r="S113" s="16">
        <f ca="1">'2.XDTD_S.Tr.T'!U205</f>
        <v>0</v>
      </c>
      <c r="T113" s="16">
        <f ca="1">'2.XDTD_S.Tr.T'!V205</f>
        <v>0</v>
      </c>
      <c r="U113" s="16">
        <f ca="1">'2.XDTD_S.Tr.T'!W205</f>
        <v>0</v>
      </c>
      <c r="V113" s="16">
        <f ca="1">'2.XDTD_S.Tr.T'!X205</f>
        <v>0</v>
      </c>
      <c r="W113" s="16">
        <f ca="1">'2.XDTD_S.Tr.T'!Y205</f>
        <v>0</v>
      </c>
      <c r="X113" s="16">
        <f ca="1">'2.XDTD_S.Tr.T'!Z205</f>
        <v>0</v>
      </c>
      <c r="Y113" s="16">
        <f ca="1">'2.XDTD_S.Tr.T'!AA205</f>
        <v>0</v>
      </c>
      <c r="Z113" s="16">
        <f ca="1">'2.XDTD_S.Tr.T'!AB205</f>
        <v>0</v>
      </c>
      <c r="AA113" s="16">
        <f ca="1">'2.XDTD_S.Tr.T'!AC205</f>
        <v>0</v>
      </c>
      <c r="AB113" s="16">
        <f ca="1">'2.XDTD_S.Tr.T'!AD205</f>
        <v>0</v>
      </c>
      <c r="AC113" s="16">
        <f ca="1">'2.XDTD_S.Tr.T'!AE205</f>
        <v>0</v>
      </c>
      <c r="AD113" s="16">
        <f ca="1">'2.XDTD_S.Tr.T'!AF205</f>
        <v>0</v>
      </c>
      <c r="AE113" s="16">
        <f ca="1">'2.XDTD_S.Tr.T'!AG205</f>
        <v>0</v>
      </c>
      <c r="AF113" s="16">
        <f ca="1">'2.XDTD_S.Tr.T'!AH205</f>
        <v>0</v>
      </c>
      <c r="AG113" s="16">
        <f ca="1">'2.XDTD_S.Tr.T'!AI205</f>
        <v>0</v>
      </c>
      <c r="AH113" s="16">
        <f ca="1">'2.XDTD_S.Tr.T'!AJ205</f>
        <v>0</v>
      </c>
      <c r="AI113" s="16">
        <f ca="1">'2.XDTD_S.Tr.T'!AK205</f>
        <v>0</v>
      </c>
      <c r="AJ113" s="16">
        <f ca="1">'2.XDTD_S.Tr.T'!AL205</f>
        <v>0</v>
      </c>
      <c r="AK113" s="16">
        <f ca="1">'2.XDTD_S.Tr.T'!AM205</f>
        <v>0</v>
      </c>
      <c r="AL113" s="16">
        <f ca="1">'2.XDTD_S.Tr.T'!AN205</f>
        <v>0</v>
      </c>
      <c r="AM113" s="16">
        <f ca="1">'2.XDTD_S.Tr.T'!AO205</f>
        <v>0</v>
      </c>
      <c r="AN113" s="16">
        <f ca="1">'2.XDTD_S.Tr.T'!AP205</f>
        <v>0</v>
      </c>
      <c r="AO113" s="16">
        <f ca="1">'2.XDTD_S.Tr.T'!AP205</f>
        <v>0</v>
      </c>
      <c r="AP113" s="16">
        <f ca="1">'2.XDTD_S.Tr.T'!AR205</f>
        <v>0</v>
      </c>
      <c r="AQ113" s="16">
        <f ca="1">'2.XDTD_S.Tr.T'!AS205</f>
        <v>0</v>
      </c>
      <c r="AR113" s="16">
        <f ca="1">'2.XDTD_S.Tr.T'!AT205</f>
        <v>0</v>
      </c>
      <c r="AS113" s="16">
        <f ca="1">'2.XDTD_S.Tr.T'!AU205</f>
        <v>0</v>
      </c>
      <c r="AT113" s="16">
        <f ca="1">'2.XDTD_S.Tr.T'!AV205</f>
        <v>0</v>
      </c>
      <c r="AU113" s="16">
        <f ca="1">'2.XDTD_S.Tr.T'!AW205</f>
        <v>0</v>
      </c>
      <c r="AV113" s="16">
        <f ca="1">'2.XDTD_S.Tr.T'!AX205</f>
        <v>0</v>
      </c>
      <c r="AW113" s="16">
        <f ca="1">'2.XDTD_S.Tr.T'!AY205</f>
        <v>0</v>
      </c>
      <c r="AX113" s="16">
        <f ca="1">'2.XDTD_S.Tr.T'!AZ205</f>
        <v>0</v>
      </c>
      <c r="AY113" s="16">
        <f ca="1">'2.XDTD_S.Tr.T'!BA205</f>
        <v>0</v>
      </c>
      <c r="AZ113" s="16">
        <f ca="1">'2.XDTD_S.Tr.T'!BB205</f>
        <v>0</v>
      </c>
      <c r="BA113" s="16">
        <f ca="1">'2.XDTD_S.Tr.T'!BC205</f>
        <v>0</v>
      </c>
      <c r="BB113" s="16">
        <f ca="1">'2.XDTD_S.Tr.T'!BD205</f>
        <v>0</v>
      </c>
      <c r="BC113" s="16">
        <f ca="1">'2.XDTD_S.Tr.T'!BE205</f>
        <v>0</v>
      </c>
      <c r="BD113" s="16">
        <f ca="1">'2.XDTD_S.Tr.T'!BF205</f>
        <v>0</v>
      </c>
      <c r="BE113" s="16">
        <f ca="1">'2.XDTD_S.Tr.T'!BG205</f>
        <v>0</v>
      </c>
      <c r="BF113" s="16">
        <f ca="1">'2.XDTD_S.Tr.T'!BH205</f>
        <v>0</v>
      </c>
      <c r="BG113" s="16">
        <f ca="1">'2.XDTD_S.Tr.T'!BI205</f>
        <v>0</v>
      </c>
      <c r="BH113" s="16">
        <f ca="1">'2.XDTD_S.Tr.T'!BJ205</f>
        <v>0</v>
      </c>
      <c r="BI113" s="16">
        <f ca="1">'2.XDTD_S.Tr.T'!BK205</f>
        <v>0</v>
      </c>
      <c r="BJ113" s="16">
        <f ca="1">'2.XDTD_S.Tr.T'!BL205</f>
        <v>0</v>
      </c>
      <c r="BK113" s="16">
        <f ca="1">'2.XDTD_S.Tr.T'!BM205</f>
        <v>0</v>
      </c>
      <c r="BL113" s="16">
        <f ca="1">'2.XDTD_S.Tr.T'!BN205</f>
        <v>0</v>
      </c>
      <c r="BM113" s="16">
        <f ca="1">'2.XDTD_S.Tr.T'!BO205</f>
        <v>0</v>
      </c>
      <c r="BN113" s="16">
        <f ca="1">'2.XDTD_S.Tr.T'!BP205</f>
        <v>0</v>
      </c>
      <c r="BO113" s="16">
        <f ca="1">'2.XDTD_S.Tr.T'!BP205</f>
        <v>0</v>
      </c>
      <c r="BP113" s="16">
        <f ca="1">'2.XDTD_S.Tr.T'!BR205</f>
        <v>0</v>
      </c>
      <c r="BQ113" s="16">
        <f ca="1">'2.XDTD_S.Tr.T'!BS205</f>
        <v>0</v>
      </c>
      <c r="BR113" s="16">
        <f ca="1">'2.XDTD_S.Tr.T'!BT205</f>
        <v>0</v>
      </c>
      <c r="BS113" s="16">
        <f ca="1">'2.XDTD_S.Tr.T'!BU205</f>
        <v>0</v>
      </c>
      <c r="BT113" s="16">
        <f ca="1">'2.XDTD_S.Tr.T'!BV205</f>
        <v>0</v>
      </c>
      <c r="BU113" s="16">
        <f ca="1">'2.XDTD_S.Tr.T'!BW205</f>
        <v>0</v>
      </c>
      <c r="BV113" s="16">
        <f ca="1">'2.XDTD_S.Tr.T'!BX205</f>
        <v>0</v>
      </c>
      <c r="BW113" s="16">
        <f ca="1">'2.XDTD_S.Tr.T'!BY205</f>
        <v>0</v>
      </c>
      <c r="BX113" s="16">
        <f ca="1">'2.XDTD_S.Tr.T'!BZ205</f>
        <v>0</v>
      </c>
      <c r="BY113" s="16">
        <f ca="1">'2.XDTD_S.Tr.T'!CA205</f>
        <v>0</v>
      </c>
      <c r="BZ113" s="16">
        <f ca="1">'2.XDTD_S.Tr.T'!CB205</f>
        <v>0</v>
      </c>
      <c r="CA113" s="16">
        <f ca="1">'2.XDTD_S.Tr.T'!CC205</f>
        <v>0</v>
      </c>
      <c r="CB113" s="16">
        <f ca="1">'2.XDTD_S.Tr.T'!CD205</f>
        <v>0</v>
      </c>
      <c r="CC113" s="16">
        <f ca="1">'2.XDTD_S.Tr.T'!CE205</f>
        <v>0</v>
      </c>
      <c r="CD113" s="16">
        <f ca="1">'2.XDTD_S.Tr.T'!CF205</f>
        <v>0</v>
      </c>
      <c r="CE113" s="16">
        <f ca="1">'2.XDTD_S.Tr.T'!CG205</f>
        <v>0</v>
      </c>
      <c r="CF113" s="16">
        <f ca="1">'2.XDTD_S.Tr.T'!CH205</f>
        <v>0</v>
      </c>
      <c r="CG113" s="16">
        <f ca="1">'2.XDTD_S.Tr.T'!CI205</f>
        <v>0</v>
      </c>
      <c r="CH113" s="16">
        <f ca="1">'2.XDTD_S.Tr.T'!CJ205</f>
        <v>0</v>
      </c>
      <c r="CI113" s="16">
        <f ca="1">'2.XDTD_S.Tr.T'!CK205</f>
        <v>0</v>
      </c>
      <c r="CJ113" s="16">
        <f ca="1">'2.XDTD_S.Tr.T'!CL205</f>
        <v>0</v>
      </c>
      <c r="CK113" s="16">
        <f ca="1">'2.XDTD_S.Tr.T'!CM205</f>
        <v>0</v>
      </c>
      <c r="CL113" s="16">
        <f ca="1">'2.XDTD_S.Tr.T'!CN205</f>
        <v>0</v>
      </c>
      <c r="CM113" s="16">
        <f ca="1">'2.XDTD_S.Tr.T'!CO205</f>
        <v>0</v>
      </c>
      <c r="CN113" s="16">
        <f ca="1">'2.XDTD_S.Tr.T'!CP205</f>
        <v>0</v>
      </c>
      <c r="CO113" s="16">
        <f ca="1">'2.XDTD_S.Tr.T'!CP205</f>
        <v>0</v>
      </c>
    </row>
    <row r="114" spans="3:93" ht="19.95" hidden="1" customHeight="1">
      <c r="C114" s="5"/>
      <c r="D114" s="11">
        <f>'2.XDTD_S.Tr.T'!F206</f>
        <v>0</v>
      </c>
      <c r="E114" s="7">
        <f>'2.XDTD_S.Tr.T'!G206</f>
        <v>0</v>
      </c>
      <c r="F114" s="8">
        <f>'2.XDTD_S.Tr.T'!H206</f>
        <v>0</v>
      </c>
      <c r="G114" s="9">
        <f ca="1">'2.XDTD_S.Tr.T'!I206</f>
        <v>0</v>
      </c>
      <c r="H114" s="10">
        <f ca="1">'2.XDTD_S.Tr.T'!J206</f>
        <v>0</v>
      </c>
      <c r="I114" s="9">
        <f ca="1">'2.XDTD_S.Tr.T'!K206</f>
        <v>0</v>
      </c>
      <c r="J114" s="13">
        <f>'2.XDTD_S.Tr.T'!L206</f>
        <v>0</v>
      </c>
      <c r="K114" s="13">
        <f>'2.XDTD_S.Tr.T'!M206</f>
        <v>0</v>
      </c>
      <c r="L114" s="9">
        <f ca="1">'2.XDTD_S.Tr.T'!N206</f>
        <v>0</v>
      </c>
      <c r="M114" s="14">
        <f>'2.XDTD_S.Tr.T'!O206</f>
        <v>0</v>
      </c>
      <c r="N114" s="14">
        <f>'2.XDTD_S.Tr.T'!P206</f>
        <v>0</v>
      </c>
      <c r="O114" s="9">
        <f>'2.XDTD_S.Tr.T'!P206</f>
        <v>0</v>
      </c>
      <c r="P114" s="15">
        <f ca="1">'2.XDTD_S.Tr.T'!R206</f>
        <v>0</v>
      </c>
      <c r="Q114" s="16">
        <f ca="1">'2.XDTD_S.Tr.T'!S206</f>
        <v>0</v>
      </c>
      <c r="R114" s="16">
        <f ca="1">'2.XDTD_S.Tr.T'!T206</f>
        <v>0</v>
      </c>
      <c r="S114" s="16">
        <f ca="1">'2.XDTD_S.Tr.T'!U206</f>
        <v>0</v>
      </c>
      <c r="T114" s="16">
        <f ca="1">'2.XDTD_S.Tr.T'!V206</f>
        <v>0</v>
      </c>
      <c r="U114" s="16">
        <f ca="1">'2.XDTD_S.Tr.T'!W206</f>
        <v>0</v>
      </c>
      <c r="V114" s="16">
        <f ca="1">'2.XDTD_S.Tr.T'!X206</f>
        <v>0</v>
      </c>
      <c r="W114" s="16">
        <f ca="1">'2.XDTD_S.Tr.T'!Y206</f>
        <v>0</v>
      </c>
      <c r="X114" s="16">
        <f ca="1">'2.XDTD_S.Tr.T'!Z206</f>
        <v>0</v>
      </c>
      <c r="Y114" s="16">
        <f ca="1">'2.XDTD_S.Tr.T'!AA206</f>
        <v>0</v>
      </c>
      <c r="Z114" s="16">
        <f ca="1">'2.XDTD_S.Tr.T'!AB206</f>
        <v>0</v>
      </c>
      <c r="AA114" s="16">
        <f ca="1">'2.XDTD_S.Tr.T'!AC206</f>
        <v>0</v>
      </c>
      <c r="AB114" s="16">
        <f ca="1">'2.XDTD_S.Tr.T'!AD206</f>
        <v>0</v>
      </c>
      <c r="AC114" s="16">
        <f ca="1">'2.XDTD_S.Tr.T'!AE206</f>
        <v>0</v>
      </c>
      <c r="AD114" s="16">
        <f ca="1">'2.XDTD_S.Tr.T'!AF206</f>
        <v>0</v>
      </c>
      <c r="AE114" s="16">
        <f ca="1">'2.XDTD_S.Tr.T'!AG206</f>
        <v>0</v>
      </c>
      <c r="AF114" s="16">
        <f ca="1">'2.XDTD_S.Tr.T'!AH206</f>
        <v>0</v>
      </c>
      <c r="AG114" s="16">
        <f ca="1">'2.XDTD_S.Tr.T'!AI206</f>
        <v>0</v>
      </c>
      <c r="AH114" s="16">
        <f ca="1">'2.XDTD_S.Tr.T'!AJ206</f>
        <v>0</v>
      </c>
      <c r="AI114" s="16">
        <f ca="1">'2.XDTD_S.Tr.T'!AK206</f>
        <v>0</v>
      </c>
      <c r="AJ114" s="16">
        <f ca="1">'2.XDTD_S.Tr.T'!AL206</f>
        <v>0</v>
      </c>
      <c r="AK114" s="16">
        <f ca="1">'2.XDTD_S.Tr.T'!AM206</f>
        <v>0</v>
      </c>
      <c r="AL114" s="16">
        <f ca="1">'2.XDTD_S.Tr.T'!AN206</f>
        <v>0</v>
      </c>
      <c r="AM114" s="16">
        <f ca="1">'2.XDTD_S.Tr.T'!AO206</f>
        <v>0</v>
      </c>
      <c r="AN114" s="16">
        <f ca="1">'2.XDTD_S.Tr.T'!AP206</f>
        <v>0</v>
      </c>
      <c r="AO114" s="16">
        <f ca="1">'2.XDTD_S.Tr.T'!AP206</f>
        <v>0</v>
      </c>
      <c r="AP114" s="16">
        <f ca="1">'2.XDTD_S.Tr.T'!AR206</f>
        <v>0</v>
      </c>
      <c r="AQ114" s="16">
        <f ca="1">'2.XDTD_S.Tr.T'!AS206</f>
        <v>0</v>
      </c>
      <c r="AR114" s="16">
        <f ca="1">'2.XDTD_S.Tr.T'!AT206</f>
        <v>0</v>
      </c>
      <c r="AS114" s="16">
        <f ca="1">'2.XDTD_S.Tr.T'!AU206</f>
        <v>0</v>
      </c>
      <c r="AT114" s="16">
        <f ca="1">'2.XDTD_S.Tr.T'!AV206</f>
        <v>0</v>
      </c>
      <c r="AU114" s="16">
        <f ca="1">'2.XDTD_S.Tr.T'!AW206</f>
        <v>0</v>
      </c>
      <c r="AV114" s="16">
        <f ca="1">'2.XDTD_S.Tr.T'!AX206</f>
        <v>0</v>
      </c>
      <c r="AW114" s="16">
        <f ca="1">'2.XDTD_S.Tr.T'!AY206</f>
        <v>0</v>
      </c>
      <c r="AX114" s="16">
        <f ca="1">'2.XDTD_S.Tr.T'!AZ206</f>
        <v>0</v>
      </c>
      <c r="AY114" s="16">
        <f ca="1">'2.XDTD_S.Tr.T'!BA206</f>
        <v>0</v>
      </c>
      <c r="AZ114" s="16">
        <f ca="1">'2.XDTD_S.Tr.T'!BB206</f>
        <v>0</v>
      </c>
      <c r="BA114" s="16">
        <f ca="1">'2.XDTD_S.Tr.T'!BC206</f>
        <v>0</v>
      </c>
      <c r="BB114" s="16">
        <f ca="1">'2.XDTD_S.Tr.T'!BD206</f>
        <v>0</v>
      </c>
      <c r="BC114" s="16">
        <f ca="1">'2.XDTD_S.Tr.T'!BE206</f>
        <v>0</v>
      </c>
      <c r="BD114" s="16">
        <f ca="1">'2.XDTD_S.Tr.T'!BF206</f>
        <v>0</v>
      </c>
      <c r="BE114" s="16">
        <f ca="1">'2.XDTD_S.Tr.T'!BG206</f>
        <v>0</v>
      </c>
      <c r="BF114" s="16">
        <f ca="1">'2.XDTD_S.Tr.T'!BH206</f>
        <v>0</v>
      </c>
      <c r="BG114" s="16">
        <f ca="1">'2.XDTD_S.Tr.T'!BI206</f>
        <v>0</v>
      </c>
      <c r="BH114" s="16">
        <f ca="1">'2.XDTD_S.Tr.T'!BJ206</f>
        <v>0</v>
      </c>
      <c r="BI114" s="16">
        <f ca="1">'2.XDTD_S.Tr.T'!BK206</f>
        <v>0</v>
      </c>
      <c r="BJ114" s="16">
        <f ca="1">'2.XDTD_S.Tr.T'!BL206</f>
        <v>0</v>
      </c>
      <c r="BK114" s="16">
        <f ca="1">'2.XDTD_S.Tr.T'!BM206</f>
        <v>0</v>
      </c>
      <c r="BL114" s="16">
        <f ca="1">'2.XDTD_S.Tr.T'!BN206</f>
        <v>0</v>
      </c>
      <c r="BM114" s="16">
        <f ca="1">'2.XDTD_S.Tr.T'!BO206</f>
        <v>0</v>
      </c>
      <c r="BN114" s="16">
        <f ca="1">'2.XDTD_S.Tr.T'!BP206</f>
        <v>0</v>
      </c>
      <c r="BO114" s="16">
        <f ca="1">'2.XDTD_S.Tr.T'!BP206</f>
        <v>0</v>
      </c>
      <c r="BP114" s="16">
        <f ca="1">'2.XDTD_S.Tr.T'!BR206</f>
        <v>0</v>
      </c>
      <c r="BQ114" s="16">
        <f ca="1">'2.XDTD_S.Tr.T'!BS206</f>
        <v>0</v>
      </c>
      <c r="BR114" s="16">
        <f ca="1">'2.XDTD_S.Tr.T'!BT206</f>
        <v>0</v>
      </c>
      <c r="BS114" s="16">
        <f ca="1">'2.XDTD_S.Tr.T'!BU206</f>
        <v>0</v>
      </c>
      <c r="BT114" s="16">
        <f ca="1">'2.XDTD_S.Tr.T'!BV206</f>
        <v>0</v>
      </c>
      <c r="BU114" s="16">
        <f ca="1">'2.XDTD_S.Tr.T'!BW206</f>
        <v>0</v>
      </c>
      <c r="BV114" s="16">
        <f ca="1">'2.XDTD_S.Tr.T'!BX206</f>
        <v>0</v>
      </c>
      <c r="BW114" s="16">
        <f ca="1">'2.XDTD_S.Tr.T'!BY206</f>
        <v>0</v>
      </c>
      <c r="BX114" s="16">
        <f ca="1">'2.XDTD_S.Tr.T'!BZ206</f>
        <v>0</v>
      </c>
      <c r="BY114" s="16">
        <f ca="1">'2.XDTD_S.Tr.T'!CA206</f>
        <v>0</v>
      </c>
      <c r="BZ114" s="16">
        <f ca="1">'2.XDTD_S.Tr.T'!CB206</f>
        <v>0</v>
      </c>
      <c r="CA114" s="16">
        <f ca="1">'2.XDTD_S.Tr.T'!CC206</f>
        <v>0</v>
      </c>
      <c r="CB114" s="16">
        <f ca="1">'2.XDTD_S.Tr.T'!CD206</f>
        <v>0</v>
      </c>
      <c r="CC114" s="16">
        <f ca="1">'2.XDTD_S.Tr.T'!CE206</f>
        <v>0</v>
      </c>
      <c r="CD114" s="16">
        <f ca="1">'2.XDTD_S.Tr.T'!CF206</f>
        <v>0</v>
      </c>
      <c r="CE114" s="16">
        <f ca="1">'2.XDTD_S.Tr.T'!CG206</f>
        <v>0</v>
      </c>
      <c r="CF114" s="16">
        <f ca="1">'2.XDTD_S.Tr.T'!CH206</f>
        <v>0</v>
      </c>
      <c r="CG114" s="16">
        <f ca="1">'2.XDTD_S.Tr.T'!CI206</f>
        <v>0</v>
      </c>
      <c r="CH114" s="16">
        <f ca="1">'2.XDTD_S.Tr.T'!CJ206</f>
        <v>0</v>
      </c>
      <c r="CI114" s="16">
        <f ca="1">'2.XDTD_S.Tr.T'!CK206</f>
        <v>0</v>
      </c>
      <c r="CJ114" s="16">
        <f ca="1">'2.XDTD_S.Tr.T'!CL206</f>
        <v>0</v>
      </c>
      <c r="CK114" s="16">
        <f ca="1">'2.XDTD_S.Tr.T'!CM206</f>
        <v>0</v>
      </c>
      <c r="CL114" s="16">
        <f ca="1">'2.XDTD_S.Tr.T'!CN206</f>
        <v>0</v>
      </c>
      <c r="CM114" s="16">
        <f ca="1">'2.XDTD_S.Tr.T'!CO206</f>
        <v>0</v>
      </c>
      <c r="CN114" s="16">
        <f ca="1">'2.XDTD_S.Tr.T'!CP206</f>
        <v>0</v>
      </c>
      <c r="CO114" s="16">
        <f ca="1">'2.XDTD_S.Tr.T'!CP206</f>
        <v>0</v>
      </c>
    </row>
    <row r="115" spans="3:93" ht="19.95" hidden="1" customHeight="1">
      <c r="C115" s="5"/>
      <c r="D115" s="11">
        <f>'2.XDTD_S.Tr.T'!F207</f>
        <v>0</v>
      </c>
      <c r="E115" s="7">
        <f>'2.XDTD_S.Tr.T'!G207</f>
        <v>0</v>
      </c>
      <c r="F115" s="8">
        <f>'2.XDTD_S.Tr.T'!H207</f>
        <v>0</v>
      </c>
      <c r="G115" s="9">
        <f ca="1">'2.XDTD_S.Tr.T'!I207</f>
        <v>0</v>
      </c>
      <c r="H115" s="10">
        <f ca="1">'2.XDTD_S.Tr.T'!J207</f>
        <v>0</v>
      </c>
      <c r="I115" s="9">
        <f ca="1">'2.XDTD_S.Tr.T'!K207</f>
        <v>0</v>
      </c>
      <c r="J115" s="13">
        <f>'2.XDTD_S.Tr.T'!L207</f>
        <v>0</v>
      </c>
      <c r="K115" s="13">
        <f>'2.XDTD_S.Tr.T'!M207</f>
        <v>0</v>
      </c>
      <c r="L115" s="9">
        <f ca="1">'2.XDTD_S.Tr.T'!N207</f>
        <v>0</v>
      </c>
      <c r="M115" s="14">
        <f>'2.XDTD_S.Tr.T'!O207</f>
        <v>0</v>
      </c>
      <c r="N115" s="14">
        <f>'2.XDTD_S.Tr.T'!P207</f>
        <v>0</v>
      </c>
      <c r="O115" s="9">
        <f>'2.XDTD_S.Tr.T'!P207</f>
        <v>0</v>
      </c>
      <c r="P115" s="15">
        <f ca="1">'2.XDTD_S.Tr.T'!R207</f>
        <v>0</v>
      </c>
      <c r="Q115" s="16">
        <f ca="1">'2.XDTD_S.Tr.T'!S207</f>
        <v>0</v>
      </c>
      <c r="R115" s="16">
        <f ca="1">'2.XDTD_S.Tr.T'!T207</f>
        <v>0</v>
      </c>
      <c r="S115" s="16">
        <f ca="1">'2.XDTD_S.Tr.T'!U207</f>
        <v>0</v>
      </c>
      <c r="T115" s="16">
        <f ca="1">'2.XDTD_S.Tr.T'!V207</f>
        <v>0</v>
      </c>
      <c r="U115" s="16">
        <f ca="1">'2.XDTD_S.Tr.T'!W207</f>
        <v>0</v>
      </c>
      <c r="V115" s="16">
        <f ca="1">'2.XDTD_S.Tr.T'!X207</f>
        <v>0</v>
      </c>
      <c r="W115" s="16">
        <f ca="1">'2.XDTD_S.Tr.T'!Y207</f>
        <v>0</v>
      </c>
      <c r="X115" s="16">
        <f ca="1">'2.XDTD_S.Tr.T'!Z207</f>
        <v>0</v>
      </c>
      <c r="Y115" s="16">
        <f ca="1">'2.XDTD_S.Tr.T'!AA207</f>
        <v>0</v>
      </c>
      <c r="Z115" s="16">
        <f ca="1">'2.XDTD_S.Tr.T'!AB207</f>
        <v>0</v>
      </c>
      <c r="AA115" s="16">
        <f ca="1">'2.XDTD_S.Tr.T'!AC207</f>
        <v>0</v>
      </c>
      <c r="AB115" s="16">
        <f ca="1">'2.XDTD_S.Tr.T'!AD207</f>
        <v>0</v>
      </c>
      <c r="AC115" s="16">
        <f ca="1">'2.XDTD_S.Tr.T'!AE207</f>
        <v>0</v>
      </c>
      <c r="AD115" s="16">
        <f ca="1">'2.XDTD_S.Tr.T'!AF207</f>
        <v>0</v>
      </c>
      <c r="AE115" s="16">
        <f ca="1">'2.XDTD_S.Tr.T'!AG207</f>
        <v>0</v>
      </c>
      <c r="AF115" s="16">
        <f ca="1">'2.XDTD_S.Tr.T'!AH207</f>
        <v>0</v>
      </c>
      <c r="AG115" s="16">
        <f ca="1">'2.XDTD_S.Tr.T'!AI207</f>
        <v>0</v>
      </c>
      <c r="AH115" s="16">
        <f ca="1">'2.XDTD_S.Tr.T'!AJ207</f>
        <v>0</v>
      </c>
      <c r="AI115" s="16">
        <f ca="1">'2.XDTD_S.Tr.T'!AK207</f>
        <v>0</v>
      </c>
      <c r="AJ115" s="16">
        <f ca="1">'2.XDTD_S.Tr.T'!AL207</f>
        <v>0</v>
      </c>
      <c r="AK115" s="16">
        <f ca="1">'2.XDTD_S.Tr.T'!AM207</f>
        <v>0</v>
      </c>
      <c r="AL115" s="16">
        <f ca="1">'2.XDTD_S.Tr.T'!AN207</f>
        <v>0</v>
      </c>
      <c r="AM115" s="16">
        <f ca="1">'2.XDTD_S.Tr.T'!AO207</f>
        <v>0</v>
      </c>
      <c r="AN115" s="16">
        <f ca="1">'2.XDTD_S.Tr.T'!AP207</f>
        <v>0</v>
      </c>
      <c r="AO115" s="16">
        <f ca="1">'2.XDTD_S.Tr.T'!AP207</f>
        <v>0</v>
      </c>
      <c r="AP115" s="16">
        <f ca="1">'2.XDTD_S.Tr.T'!AR207</f>
        <v>0</v>
      </c>
      <c r="AQ115" s="16">
        <f ca="1">'2.XDTD_S.Tr.T'!AS207</f>
        <v>0</v>
      </c>
      <c r="AR115" s="16">
        <f ca="1">'2.XDTD_S.Tr.T'!AT207</f>
        <v>0</v>
      </c>
      <c r="AS115" s="16">
        <f ca="1">'2.XDTD_S.Tr.T'!AU207</f>
        <v>0</v>
      </c>
      <c r="AT115" s="16">
        <f ca="1">'2.XDTD_S.Tr.T'!AV207</f>
        <v>0</v>
      </c>
      <c r="AU115" s="16">
        <f ca="1">'2.XDTD_S.Tr.T'!AW207</f>
        <v>0</v>
      </c>
      <c r="AV115" s="16">
        <f ca="1">'2.XDTD_S.Tr.T'!AX207</f>
        <v>0</v>
      </c>
      <c r="AW115" s="16">
        <f ca="1">'2.XDTD_S.Tr.T'!AY207</f>
        <v>0</v>
      </c>
      <c r="AX115" s="16">
        <f ca="1">'2.XDTD_S.Tr.T'!AZ207</f>
        <v>0</v>
      </c>
      <c r="AY115" s="16">
        <f ca="1">'2.XDTD_S.Tr.T'!BA207</f>
        <v>0</v>
      </c>
      <c r="AZ115" s="16">
        <f ca="1">'2.XDTD_S.Tr.T'!BB207</f>
        <v>0</v>
      </c>
      <c r="BA115" s="16">
        <f ca="1">'2.XDTD_S.Tr.T'!BC207</f>
        <v>0</v>
      </c>
      <c r="BB115" s="16">
        <f ca="1">'2.XDTD_S.Tr.T'!BD207</f>
        <v>0</v>
      </c>
      <c r="BC115" s="16">
        <f ca="1">'2.XDTD_S.Tr.T'!BE207</f>
        <v>0</v>
      </c>
      <c r="BD115" s="16">
        <f ca="1">'2.XDTD_S.Tr.T'!BF207</f>
        <v>0</v>
      </c>
      <c r="BE115" s="16">
        <f ca="1">'2.XDTD_S.Tr.T'!BG207</f>
        <v>0</v>
      </c>
      <c r="BF115" s="16">
        <f ca="1">'2.XDTD_S.Tr.T'!BH207</f>
        <v>0</v>
      </c>
      <c r="BG115" s="16">
        <f ca="1">'2.XDTD_S.Tr.T'!BI207</f>
        <v>0</v>
      </c>
      <c r="BH115" s="16">
        <f ca="1">'2.XDTD_S.Tr.T'!BJ207</f>
        <v>0</v>
      </c>
      <c r="BI115" s="16">
        <f ca="1">'2.XDTD_S.Tr.T'!BK207</f>
        <v>0</v>
      </c>
      <c r="BJ115" s="16">
        <f ca="1">'2.XDTD_S.Tr.T'!BL207</f>
        <v>0</v>
      </c>
      <c r="BK115" s="16">
        <f ca="1">'2.XDTD_S.Tr.T'!BM207</f>
        <v>0</v>
      </c>
      <c r="BL115" s="16">
        <f ca="1">'2.XDTD_S.Tr.T'!BN207</f>
        <v>0</v>
      </c>
      <c r="BM115" s="16">
        <f ca="1">'2.XDTD_S.Tr.T'!BO207</f>
        <v>0</v>
      </c>
      <c r="BN115" s="16">
        <f ca="1">'2.XDTD_S.Tr.T'!BP207</f>
        <v>0</v>
      </c>
      <c r="BO115" s="16">
        <f ca="1">'2.XDTD_S.Tr.T'!BP207</f>
        <v>0</v>
      </c>
      <c r="BP115" s="16">
        <f ca="1">'2.XDTD_S.Tr.T'!BR207</f>
        <v>0</v>
      </c>
      <c r="BQ115" s="16">
        <f ca="1">'2.XDTD_S.Tr.T'!BS207</f>
        <v>0</v>
      </c>
      <c r="BR115" s="16">
        <f ca="1">'2.XDTD_S.Tr.T'!BT207</f>
        <v>0</v>
      </c>
      <c r="BS115" s="16">
        <f ca="1">'2.XDTD_S.Tr.T'!BU207</f>
        <v>0</v>
      </c>
      <c r="BT115" s="16">
        <f ca="1">'2.XDTD_S.Tr.T'!BV207</f>
        <v>0</v>
      </c>
      <c r="BU115" s="16">
        <f ca="1">'2.XDTD_S.Tr.T'!BW207</f>
        <v>0</v>
      </c>
      <c r="BV115" s="16">
        <f ca="1">'2.XDTD_S.Tr.T'!BX207</f>
        <v>0</v>
      </c>
      <c r="BW115" s="16">
        <f ca="1">'2.XDTD_S.Tr.T'!BY207</f>
        <v>0</v>
      </c>
      <c r="BX115" s="16">
        <f ca="1">'2.XDTD_S.Tr.T'!BZ207</f>
        <v>0</v>
      </c>
      <c r="BY115" s="16">
        <f ca="1">'2.XDTD_S.Tr.T'!CA207</f>
        <v>0</v>
      </c>
      <c r="BZ115" s="16">
        <f ca="1">'2.XDTD_S.Tr.T'!CB207</f>
        <v>0</v>
      </c>
      <c r="CA115" s="16">
        <f ca="1">'2.XDTD_S.Tr.T'!CC207</f>
        <v>0</v>
      </c>
      <c r="CB115" s="16">
        <f ca="1">'2.XDTD_S.Tr.T'!CD207</f>
        <v>0</v>
      </c>
      <c r="CC115" s="16">
        <f ca="1">'2.XDTD_S.Tr.T'!CE207</f>
        <v>0</v>
      </c>
      <c r="CD115" s="16">
        <f ca="1">'2.XDTD_S.Tr.T'!CF207</f>
        <v>0</v>
      </c>
      <c r="CE115" s="16">
        <f ca="1">'2.XDTD_S.Tr.T'!CG207</f>
        <v>0</v>
      </c>
      <c r="CF115" s="16">
        <f ca="1">'2.XDTD_S.Tr.T'!CH207</f>
        <v>0</v>
      </c>
      <c r="CG115" s="16">
        <f ca="1">'2.XDTD_S.Tr.T'!CI207</f>
        <v>0</v>
      </c>
      <c r="CH115" s="16">
        <f ca="1">'2.XDTD_S.Tr.T'!CJ207</f>
        <v>0</v>
      </c>
      <c r="CI115" s="16">
        <f ca="1">'2.XDTD_S.Tr.T'!CK207</f>
        <v>0</v>
      </c>
      <c r="CJ115" s="16">
        <f ca="1">'2.XDTD_S.Tr.T'!CL207</f>
        <v>0</v>
      </c>
      <c r="CK115" s="16">
        <f ca="1">'2.XDTD_S.Tr.T'!CM207</f>
        <v>0</v>
      </c>
      <c r="CL115" s="16">
        <f ca="1">'2.XDTD_S.Tr.T'!CN207</f>
        <v>0</v>
      </c>
      <c r="CM115" s="16">
        <f ca="1">'2.XDTD_S.Tr.T'!CO207</f>
        <v>0</v>
      </c>
      <c r="CN115" s="16">
        <f ca="1">'2.XDTD_S.Tr.T'!CP207</f>
        <v>0</v>
      </c>
      <c r="CO115" s="16">
        <f ca="1">'2.XDTD_S.Tr.T'!CP207</f>
        <v>0</v>
      </c>
    </row>
    <row r="116" spans="3:93" ht="19.95" hidden="1" customHeight="1">
      <c r="C116" s="5"/>
      <c r="D116" s="11">
        <f>'2.XDTD_S.Tr.T'!F208</f>
        <v>0</v>
      </c>
      <c r="E116" s="7">
        <f>'2.XDTD_S.Tr.T'!G208</f>
        <v>0</v>
      </c>
      <c r="F116" s="8">
        <f>'2.XDTD_S.Tr.T'!H208</f>
        <v>0</v>
      </c>
      <c r="G116" s="9">
        <f ca="1">'2.XDTD_S.Tr.T'!I208</f>
        <v>0</v>
      </c>
      <c r="H116" s="10">
        <f ca="1">'2.XDTD_S.Tr.T'!J208</f>
        <v>0</v>
      </c>
      <c r="I116" s="9">
        <f ca="1">'2.XDTD_S.Tr.T'!K208</f>
        <v>0</v>
      </c>
      <c r="J116" s="13">
        <f>'2.XDTD_S.Tr.T'!L208</f>
        <v>0</v>
      </c>
      <c r="K116" s="13">
        <f>'2.XDTD_S.Tr.T'!M208</f>
        <v>0</v>
      </c>
      <c r="L116" s="9">
        <f ca="1">'2.XDTD_S.Tr.T'!N208</f>
        <v>0</v>
      </c>
      <c r="M116" s="14">
        <f>'2.XDTD_S.Tr.T'!O208</f>
        <v>0</v>
      </c>
      <c r="N116" s="14">
        <f>'2.XDTD_S.Tr.T'!P208</f>
        <v>0</v>
      </c>
      <c r="O116" s="9">
        <f>'2.XDTD_S.Tr.T'!P208</f>
        <v>0</v>
      </c>
      <c r="P116" s="15">
        <f ca="1">'2.XDTD_S.Tr.T'!R208</f>
        <v>0</v>
      </c>
      <c r="Q116" s="16">
        <f ca="1">'2.XDTD_S.Tr.T'!S208</f>
        <v>0</v>
      </c>
      <c r="R116" s="16">
        <f ca="1">'2.XDTD_S.Tr.T'!T208</f>
        <v>0</v>
      </c>
      <c r="S116" s="16">
        <f ca="1">'2.XDTD_S.Tr.T'!U208</f>
        <v>0</v>
      </c>
      <c r="T116" s="16">
        <f ca="1">'2.XDTD_S.Tr.T'!V208</f>
        <v>0</v>
      </c>
      <c r="U116" s="16">
        <f ca="1">'2.XDTD_S.Tr.T'!W208</f>
        <v>0</v>
      </c>
      <c r="V116" s="16">
        <f ca="1">'2.XDTD_S.Tr.T'!X208</f>
        <v>0</v>
      </c>
      <c r="W116" s="16">
        <f ca="1">'2.XDTD_S.Tr.T'!Y208</f>
        <v>0</v>
      </c>
      <c r="X116" s="16">
        <f ca="1">'2.XDTD_S.Tr.T'!Z208</f>
        <v>0</v>
      </c>
      <c r="Y116" s="16">
        <f ca="1">'2.XDTD_S.Tr.T'!AA208</f>
        <v>0</v>
      </c>
      <c r="Z116" s="16">
        <f ca="1">'2.XDTD_S.Tr.T'!AB208</f>
        <v>0</v>
      </c>
      <c r="AA116" s="16">
        <f ca="1">'2.XDTD_S.Tr.T'!AC208</f>
        <v>0</v>
      </c>
      <c r="AB116" s="16">
        <f ca="1">'2.XDTD_S.Tr.T'!AD208</f>
        <v>0</v>
      </c>
      <c r="AC116" s="16">
        <f ca="1">'2.XDTD_S.Tr.T'!AE208</f>
        <v>0</v>
      </c>
      <c r="AD116" s="16">
        <f ca="1">'2.XDTD_S.Tr.T'!AF208</f>
        <v>0</v>
      </c>
      <c r="AE116" s="16">
        <f ca="1">'2.XDTD_S.Tr.T'!AG208</f>
        <v>0</v>
      </c>
      <c r="AF116" s="16">
        <f ca="1">'2.XDTD_S.Tr.T'!AH208</f>
        <v>0</v>
      </c>
      <c r="AG116" s="16">
        <f ca="1">'2.XDTD_S.Tr.T'!AI208</f>
        <v>0</v>
      </c>
      <c r="AH116" s="16">
        <f ca="1">'2.XDTD_S.Tr.T'!AJ208</f>
        <v>0</v>
      </c>
      <c r="AI116" s="16">
        <f ca="1">'2.XDTD_S.Tr.T'!AK208</f>
        <v>0</v>
      </c>
      <c r="AJ116" s="16">
        <f ca="1">'2.XDTD_S.Tr.T'!AL208</f>
        <v>0</v>
      </c>
      <c r="AK116" s="16">
        <f ca="1">'2.XDTD_S.Tr.T'!AM208</f>
        <v>0</v>
      </c>
      <c r="AL116" s="16">
        <f ca="1">'2.XDTD_S.Tr.T'!AN208</f>
        <v>0</v>
      </c>
      <c r="AM116" s="16">
        <f ca="1">'2.XDTD_S.Tr.T'!AO208</f>
        <v>0</v>
      </c>
      <c r="AN116" s="16">
        <f ca="1">'2.XDTD_S.Tr.T'!AP208</f>
        <v>0</v>
      </c>
      <c r="AO116" s="16">
        <f ca="1">'2.XDTD_S.Tr.T'!AP208</f>
        <v>0</v>
      </c>
      <c r="AP116" s="16">
        <f ca="1">'2.XDTD_S.Tr.T'!AR208</f>
        <v>0</v>
      </c>
      <c r="AQ116" s="16">
        <f ca="1">'2.XDTD_S.Tr.T'!AS208</f>
        <v>0</v>
      </c>
      <c r="AR116" s="16">
        <f ca="1">'2.XDTD_S.Tr.T'!AT208</f>
        <v>0</v>
      </c>
      <c r="AS116" s="16">
        <f ca="1">'2.XDTD_S.Tr.T'!AU208</f>
        <v>0</v>
      </c>
      <c r="AT116" s="16">
        <f ca="1">'2.XDTD_S.Tr.T'!AV208</f>
        <v>0</v>
      </c>
      <c r="AU116" s="16">
        <f ca="1">'2.XDTD_S.Tr.T'!AW208</f>
        <v>0</v>
      </c>
      <c r="AV116" s="16">
        <f ca="1">'2.XDTD_S.Tr.T'!AX208</f>
        <v>0</v>
      </c>
      <c r="AW116" s="16">
        <f ca="1">'2.XDTD_S.Tr.T'!AY208</f>
        <v>0</v>
      </c>
      <c r="AX116" s="16">
        <f ca="1">'2.XDTD_S.Tr.T'!AZ208</f>
        <v>0</v>
      </c>
      <c r="AY116" s="16">
        <f ca="1">'2.XDTD_S.Tr.T'!BA208</f>
        <v>0</v>
      </c>
      <c r="AZ116" s="16">
        <f ca="1">'2.XDTD_S.Tr.T'!BB208</f>
        <v>0</v>
      </c>
      <c r="BA116" s="16">
        <f ca="1">'2.XDTD_S.Tr.T'!BC208</f>
        <v>0</v>
      </c>
      <c r="BB116" s="16">
        <f ca="1">'2.XDTD_S.Tr.T'!BD208</f>
        <v>0</v>
      </c>
      <c r="BC116" s="16">
        <f ca="1">'2.XDTD_S.Tr.T'!BE208</f>
        <v>0</v>
      </c>
      <c r="BD116" s="16">
        <f ca="1">'2.XDTD_S.Tr.T'!BF208</f>
        <v>0</v>
      </c>
      <c r="BE116" s="16">
        <f ca="1">'2.XDTD_S.Tr.T'!BG208</f>
        <v>0</v>
      </c>
      <c r="BF116" s="16">
        <f ca="1">'2.XDTD_S.Tr.T'!BH208</f>
        <v>0</v>
      </c>
      <c r="BG116" s="16">
        <f ca="1">'2.XDTD_S.Tr.T'!BI208</f>
        <v>0</v>
      </c>
      <c r="BH116" s="16">
        <f ca="1">'2.XDTD_S.Tr.T'!BJ208</f>
        <v>0</v>
      </c>
      <c r="BI116" s="16">
        <f ca="1">'2.XDTD_S.Tr.T'!BK208</f>
        <v>0</v>
      </c>
      <c r="BJ116" s="16">
        <f ca="1">'2.XDTD_S.Tr.T'!BL208</f>
        <v>0</v>
      </c>
      <c r="BK116" s="16">
        <f ca="1">'2.XDTD_S.Tr.T'!BM208</f>
        <v>0</v>
      </c>
      <c r="BL116" s="16">
        <f ca="1">'2.XDTD_S.Tr.T'!BN208</f>
        <v>0</v>
      </c>
      <c r="BM116" s="16">
        <f ca="1">'2.XDTD_S.Tr.T'!BO208</f>
        <v>0</v>
      </c>
      <c r="BN116" s="16">
        <f ca="1">'2.XDTD_S.Tr.T'!BP208</f>
        <v>0</v>
      </c>
      <c r="BO116" s="16">
        <f ca="1">'2.XDTD_S.Tr.T'!BP208</f>
        <v>0</v>
      </c>
      <c r="BP116" s="16">
        <f ca="1">'2.XDTD_S.Tr.T'!BR208</f>
        <v>0</v>
      </c>
      <c r="BQ116" s="16">
        <f ca="1">'2.XDTD_S.Tr.T'!BS208</f>
        <v>0</v>
      </c>
      <c r="BR116" s="16">
        <f ca="1">'2.XDTD_S.Tr.T'!BT208</f>
        <v>0</v>
      </c>
      <c r="BS116" s="16">
        <f ca="1">'2.XDTD_S.Tr.T'!BU208</f>
        <v>0</v>
      </c>
      <c r="BT116" s="16">
        <f ca="1">'2.XDTD_S.Tr.T'!BV208</f>
        <v>0</v>
      </c>
      <c r="BU116" s="16">
        <f ca="1">'2.XDTD_S.Tr.T'!BW208</f>
        <v>0</v>
      </c>
      <c r="BV116" s="16">
        <f ca="1">'2.XDTD_S.Tr.T'!BX208</f>
        <v>0</v>
      </c>
      <c r="BW116" s="16">
        <f ca="1">'2.XDTD_S.Tr.T'!BY208</f>
        <v>0</v>
      </c>
      <c r="BX116" s="16">
        <f ca="1">'2.XDTD_S.Tr.T'!BZ208</f>
        <v>0</v>
      </c>
      <c r="BY116" s="16">
        <f ca="1">'2.XDTD_S.Tr.T'!CA208</f>
        <v>0</v>
      </c>
      <c r="BZ116" s="16">
        <f ca="1">'2.XDTD_S.Tr.T'!CB208</f>
        <v>0</v>
      </c>
      <c r="CA116" s="16">
        <f ca="1">'2.XDTD_S.Tr.T'!CC208</f>
        <v>0</v>
      </c>
      <c r="CB116" s="16">
        <f ca="1">'2.XDTD_S.Tr.T'!CD208</f>
        <v>0</v>
      </c>
      <c r="CC116" s="16">
        <f ca="1">'2.XDTD_S.Tr.T'!CE208</f>
        <v>0</v>
      </c>
      <c r="CD116" s="16">
        <f ca="1">'2.XDTD_S.Tr.T'!CF208</f>
        <v>0</v>
      </c>
      <c r="CE116" s="16">
        <f ca="1">'2.XDTD_S.Tr.T'!CG208</f>
        <v>0</v>
      </c>
      <c r="CF116" s="16">
        <f ca="1">'2.XDTD_S.Tr.T'!CH208</f>
        <v>0</v>
      </c>
      <c r="CG116" s="16">
        <f ca="1">'2.XDTD_S.Tr.T'!CI208</f>
        <v>0</v>
      </c>
      <c r="CH116" s="16">
        <f ca="1">'2.XDTD_S.Tr.T'!CJ208</f>
        <v>0</v>
      </c>
      <c r="CI116" s="16">
        <f ca="1">'2.XDTD_S.Tr.T'!CK208</f>
        <v>0</v>
      </c>
      <c r="CJ116" s="16">
        <f ca="1">'2.XDTD_S.Tr.T'!CL208</f>
        <v>0</v>
      </c>
      <c r="CK116" s="16">
        <f ca="1">'2.XDTD_S.Tr.T'!CM208</f>
        <v>0</v>
      </c>
      <c r="CL116" s="16">
        <f ca="1">'2.XDTD_S.Tr.T'!CN208</f>
        <v>0</v>
      </c>
      <c r="CM116" s="16">
        <f ca="1">'2.XDTD_S.Tr.T'!CO208</f>
        <v>0</v>
      </c>
      <c r="CN116" s="16">
        <f ca="1">'2.XDTD_S.Tr.T'!CP208</f>
        <v>0</v>
      </c>
      <c r="CO116" s="16">
        <f ca="1">'2.XDTD_S.Tr.T'!CP208</f>
        <v>0</v>
      </c>
    </row>
    <row r="117" spans="3:93" ht="19.95" hidden="1" customHeight="1">
      <c r="C117" s="5"/>
      <c r="D117" s="11">
        <f>'2.XDTD_S.Tr.T'!F209</f>
        <v>0</v>
      </c>
      <c r="E117" s="7">
        <f>'2.XDTD_S.Tr.T'!G209</f>
        <v>0</v>
      </c>
      <c r="F117" s="8">
        <f>'2.XDTD_S.Tr.T'!H209</f>
        <v>0</v>
      </c>
      <c r="G117" s="9">
        <f ca="1">'2.XDTD_S.Tr.T'!I209</f>
        <v>0</v>
      </c>
      <c r="H117" s="10">
        <f ca="1">'2.XDTD_S.Tr.T'!J209</f>
        <v>0</v>
      </c>
      <c r="I117" s="9">
        <f ca="1">'2.XDTD_S.Tr.T'!K209</f>
        <v>0</v>
      </c>
      <c r="J117" s="13">
        <f>'2.XDTD_S.Tr.T'!L209</f>
        <v>0</v>
      </c>
      <c r="K117" s="13">
        <f>'2.XDTD_S.Tr.T'!M209</f>
        <v>0</v>
      </c>
      <c r="L117" s="9">
        <f ca="1">'2.XDTD_S.Tr.T'!N209</f>
        <v>0</v>
      </c>
      <c r="M117" s="14">
        <f>'2.XDTD_S.Tr.T'!O209</f>
        <v>0</v>
      </c>
      <c r="N117" s="14">
        <f>'2.XDTD_S.Tr.T'!P209</f>
        <v>0</v>
      </c>
      <c r="O117" s="9">
        <f>'2.XDTD_S.Tr.T'!P209</f>
        <v>0</v>
      </c>
      <c r="P117" s="15">
        <f ca="1">'2.XDTD_S.Tr.T'!R209</f>
        <v>0</v>
      </c>
      <c r="Q117" s="16">
        <f ca="1">'2.XDTD_S.Tr.T'!S209</f>
        <v>0</v>
      </c>
      <c r="R117" s="16">
        <f ca="1">'2.XDTD_S.Tr.T'!T209</f>
        <v>0</v>
      </c>
      <c r="S117" s="16">
        <f ca="1">'2.XDTD_S.Tr.T'!U209</f>
        <v>0</v>
      </c>
      <c r="T117" s="16">
        <f ca="1">'2.XDTD_S.Tr.T'!V209</f>
        <v>0</v>
      </c>
      <c r="U117" s="16">
        <f ca="1">'2.XDTD_S.Tr.T'!W209</f>
        <v>0</v>
      </c>
      <c r="V117" s="16">
        <f ca="1">'2.XDTD_S.Tr.T'!X209</f>
        <v>0</v>
      </c>
      <c r="W117" s="16">
        <f ca="1">'2.XDTD_S.Tr.T'!Y209</f>
        <v>0</v>
      </c>
      <c r="X117" s="16">
        <f ca="1">'2.XDTD_S.Tr.T'!Z209</f>
        <v>0</v>
      </c>
      <c r="Y117" s="16">
        <f ca="1">'2.XDTD_S.Tr.T'!AA209</f>
        <v>0</v>
      </c>
      <c r="Z117" s="16">
        <f ca="1">'2.XDTD_S.Tr.T'!AB209</f>
        <v>0</v>
      </c>
      <c r="AA117" s="16">
        <f ca="1">'2.XDTD_S.Tr.T'!AC209</f>
        <v>0</v>
      </c>
      <c r="AB117" s="16">
        <f ca="1">'2.XDTD_S.Tr.T'!AD209</f>
        <v>0</v>
      </c>
      <c r="AC117" s="16">
        <f ca="1">'2.XDTD_S.Tr.T'!AE209</f>
        <v>0</v>
      </c>
      <c r="AD117" s="16">
        <f ca="1">'2.XDTD_S.Tr.T'!AF209</f>
        <v>0</v>
      </c>
      <c r="AE117" s="16">
        <f ca="1">'2.XDTD_S.Tr.T'!AG209</f>
        <v>0</v>
      </c>
      <c r="AF117" s="16">
        <f ca="1">'2.XDTD_S.Tr.T'!AH209</f>
        <v>0</v>
      </c>
      <c r="AG117" s="16">
        <f ca="1">'2.XDTD_S.Tr.T'!AI209</f>
        <v>0</v>
      </c>
      <c r="AH117" s="16">
        <f ca="1">'2.XDTD_S.Tr.T'!AJ209</f>
        <v>0</v>
      </c>
      <c r="AI117" s="16">
        <f ca="1">'2.XDTD_S.Tr.T'!AK209</f>
        <v>0</v>
      </c>
      <c r="AJ117" s="16">
        <f ca="1">'2.XDTD_S.Tr.T'!AL209</f>
        <v>0</v>
      </c>
      <c r="AK117" s="16">
        <f ca="1">'2.XDTD_S.Tr.T'!AM209</f>
        <v>0</v>
      </c>
      <c r="AL117" s="16">
        <f ca="1">'2.XDTD_S.Tr.T'!AN209</f>
        <v>0</v>
      </c>
      <c r="AM117" s="16">
        <f ca="1">'2.XDTD_S.Tr.T'!AO209</f>
        <v>0</v>
      </c>
      <c r="AN117" s="16">
        <f ca="1">'2.XDTD_S.Tr.T'!AP209</f>
        <v>0</v>
      </c>
      <c r="AO117" s="16">
        <f ca="1">'2.XDTD_S.Tr.T'!AP209</f>
        <v>0</v>
      </c>
      <c r="AP117" s="16">
        <f ca="1">'2.XDTD_S.Tr.T'!AR209</f>
        <v>0</v>
      </c>
      <c r="AQ117" s="16">
        <f ca="1">'2.XDTD_S.Tr.T'!AS209</f>
        <v>0</v>
      </c>
      <c r="AR117" s="16">
        <f ca="1">'2.XDTD_S.Tr.T'!AT209</f>
        <v>0</v>
      </c>
      <c r="AS117" s="16">
        <f ca="1">'2.XDTD_S.Tr.T'!AU209</f>
        <v>0</v>
      </c>
      <c r="AT117" s="16">
        <f ca="1">'2.XDTD_S.Tr.T'!AV209</f>
        <v>0</v>
      </c>
      <c r="AU117" s="16">
        <f ca="1">'2.XDTD_S.Tr.T'!AW209</f>
        <v>0</v>
      </c>
      <c r="AV117" s="16">
        <f ca="1">'2.XDTD_S.Tr.T'!AX209</f>
        <v>0</v>
      </c>
      <c r="AW117" s="16">
        <f ca="1">'2.XDTD_S.Tr.T'!AY209</f>
        <v>0</v>
      </c>
      <c r="AX117" s="16">
        <f ca="1">'2.XDTD_S.Tr.T'!AZ209</f>
        <v>0</v>
      </c>
      <c r="AY117" s="16">
        <f ca="1">'2.XDTD_S.Tr.T'!BA209</f>
        <v>0</v>
      </c>
      <c r="AZ117" s="16">
        <f ca="1">'2.XDTD_S.Tr.T'!BB209</f>
        <v>0</v>
      </c>
      <c r="BA117" s="16">
        <f ca="1">'2.XDTD_S.Tr.T'!BC209</f>
        <v>0</v>
      </c>
      <c r="BB117" s="16">
        <f ca="1">'2.XDTD_S.Tr.T'!BD209</f>
        <v>0</v>
      </c>
      <c r="BC117" s="16">
        <f ca="1">'2.XDTD_S.Tr.T'!BE209</f>
        <v>0</v>
      </c>
      <c r="BD117" s="16">
        <f ca="1">'2.XDTD_S.Tr.T'!BF209</f>
        <v>0</v>
      </c>
      <c r="BE117" s="16">
        <f ca="1">'2.XDTD_S.Tr.T'!BG209</f>
        <v>0</v>
      </c>
      <c r="BF117" s="16">
        <f ca="1">'2.XDTD_S.Tr.T'!BH209</f>
        <v>0</v>
      </c>
      <c r="BG117" s="16">
        <f ca="1">'2.XDTD_S.Tr.T'!BI209</f>
        <v>0</v>
      </c>
      <c r="BH117" s="16">
        <f ca="1">'2.XDTD_S.Tr.T'!BJ209</f>
        <v>0</v>
      </c>
      <c r="BI117" s="16">
        <f ca="1">'2.XDTD_S.Tr.T'!BK209</f>
        <v>0</v>
      </c>
      <c r="BJ117" s="16">
        <f ca="1">'2.XDTD_S.Tr.T'!BL209</f>
        <v>0</v>
      </c>
      <c r="BK117" s="16">
        <f ca="1">'2.XDTD_S.Tr.T'!BM209</f>
        <v>0</v>
      </c>
      <c r="BL117" s="16">
        <f ca="1">'2.XDTD_S.Tr.T'!BN209</f>
        <v>0</v>
      </c>
      <c r="BM117" s="16">
        <f ca="1">'2.XDTD_S.Tr.T'!BO209</f>
        <v>0</v>
      </c>
      <c r="BN117" s="16">
        <f ca="1">'2.XDTD_S.Tr.T'!BP209</f>
        <v>0</v>
      </c>
      <c r="BO117" s="16">
        <f ca="1">'2.XDTD_S.Tr.T'!BP209</f>
        <v>0</v>
      </c>
      <c r="BP117" s="16">
        <f ca="1">'2.XDTD_S.Tr.T'!BR209</f>
        <v>0</v>
      </c>
      <c r="BQ117" s="16">
        <f ca="1">'2.XDTD_S.Tr.T'!BS209</f>
        <v>0</v>
      </c>
      <c r="BR117" s="16">
        <f ca="1">'2.XDTD_S.Tr.T'!BT209</f>
        <v>0</v>
      </c>
      <c r="BS117" s="16">
        <f ca="1">'2.XDTD_S.Tr.T'!BU209</f>
        <v>0</v>
      </c>
      <c r="BT117" s="16">
        <f ca="1">'2.XDTD_S.Tr.T'!BV209</f>
        <v>0</v>
      </c>
      <c r="BU117" s="16">
        <f ca="1">'2.XDTD_S.Tr.T'!BW209</f>
        <v>0</v>
      </c>
      <c r="BV117" s="16">
        <f ca="1">'2.XDTD_S.Tr.T'!BX209</f>
        <v>0</v>
      </c>
      <c r="BW117" s="16">
        <f ca="1">'2.XDTD_S.Tr.T'!BY209</f>
        <v>0</v>
      </c>
      <c r="BX117" s="16">
        <f ca="1">'2.XDTD_S.Tr.T'!BZ209</f>
        <v>0</v>
      </c>
      <c r="BY117" s="16">
        <f ca="1">'2.XDTD_S.Tr.T'!CA209</f>
        <v>0</v>
      </c>
      <c r="BZ117" s="16">
        <f ca="1">'2.XDTD_S.Tr.T'!CB209</f>
        <v>0</v>
      </c>
      <c r="CA117" s="16">
        <f ca="1">'2.XDTD_S.Tr.T'!CC209</f>
        <v>0</v>
      </c>
      <c r="CB117" s="16">
        <f ca="1">'2.XDTD_S.Tr.T'!CD209</f>
        <v>0</v>
      </c>
      <c r="CC117" s="16">
        <f ca="1">'2.XDTD_S.Tr.T'!CE209</f>
        <v>0</v>
      </c>
      <c r="CD117" s="16">
        <f ca="1">'2.XDTD_S.Tr.T'!CF209</f>
        <v>0</v>
      </c>
      <c r="CE117" s="16">
        <f ca="1">'2.XDTD_S.Tr.T'!CG209</f>
        <v>0</v>
      </c>
      <c r="CF117" s="16">
        <f ca="1">'2.XDTD_S.Tr.T'!CH209</f>
        <v>0</v>
      </c>
      <c r="CG117" s="16">
        <f ca="1">'2.XDTD_S.Tr.T'!CI209</f>
        <v>0</v>
      </c>
      <c r="CH117" s="16">
        <f ca="1">'2.XDTD_S.Tr.T'!CJ209</f>
        <v>0</v>
      </c>
      <c r="CI117" s="16">
        <f ca="1">'2.XDTD_S.Tr.T'!CK209</f>
        <v>0</v>
      </c>
      <c r="CJ117" s="16">
        <f ca="1">'2.XDTD_S.Tr.T'!CL209</f>
        <v>0</v>
      </c>
      <c r="CK117" s="16">
        <f ca="1">'2.XDTD_S.Tr.T'!CM209</f>
        <v>0</v>
      </c>
      <c r="CL117" s="16">
        <f ca="1">'2.XDTD_S.Tr.T'!CN209</f>
        <v>0</v>
      </c>
      <c r="CM117" s="16">
        <f ca="1">'2.XDTD_S.Tr.T'!CO209</f>
        <v>0</v>
      </c>
      <c r="CN117" s="16">
        <f ca="1">'2.XDTD_S.Tr.T'!CP209</f>
        <v>0</v>
      </c>
      <c r="CO117" s="16">
        <f ca="1">'2.XDTD_S.Tr.T'!CP209</f>
        <v>0</v>
      </c>
    </row>
    <row r="118" spans="3:93" ht="19.95" hidden="1" customHeight="1">
      <c r="C118" s="5"/>
      <c r="D118" s="11">
        <f>'2.XDTD_S.Tr.T'!F210</f>
        <v>0</v>
      </c>
      <c r="E118" s="7">
        <f>'2.XDTD_S.Tr.T'!G210</f>
        <v>0</v>
      </c>
      <c r="F118" s="8">
        <f>'2.XDTD_S.Tr.T'!H210</f>
        <v>0</v>
      </c>
      <c r="G118" s="9">
        <f ca="1">'2.XDTD_S.Tr.T'!I210</f>
        <v>0</v>
      </c>
      <c r="H118" s="10">
        <f ca="1">'2.XDTD_S.Tr.T'!J210</f>
        <v>0</v>
      </c>
      <c r="I118" s="9">
        <f ca="1">'2.XDTD_S.Tr.T'!K210</f>
        <v>0</v>
      </c>
      <c r="J118" s="13">
        <f>'2.XDTD_S.Tr.T'!L210</f>
        <v>0</v>
      </c>
      <c r="K118" s="13">
        <f>'2.XDTD_S.Tr.T'!M210</f>
        <v>0</v>
      </c>
      <c r="L118" s="9">
        <f ca="1">'2.XDTD_S.Tr.T'!N210</f>
        <v>0</v>
      </c>
      <c r="M118" s="14">
        <f>'2.XDTD_S.Tr.T'!O210</f>
        <v>0</v>
      </c>
      <c r="N118" s="14">
        <f>'2.XDTD_S.Tr.T'!P210</f>
        <v>0</v>
      </c>
      <c r="O118" s="9">
        <f>'2.XDTD_S.Tr.T'!P210</f>
        <v>0</v>
      </c>
      <c r="P118" s="15">
        <f ca="1">'2.XDTD_S.Tr.T'!R210</f>
        <v>0</v>
      </c>
      <c r="Q118" s="37">
        <f ca="1">'2.XDTD_S.Tr.T'!S210</f>
        <v>0</v>
      </c>
      <c r="R118" s="16">
        <f ca="1">'2.XDTD_S.Tr.T'!T210</f>
        <v>0</v>
      </c>
      <c r="S118" s="16">
        <f ca="1">'2.XDTD_S.Tr.T'!U210</f>
        <v>0</v>
      </c>
      <c r="T118" s="16">
        <f ca="1">'2.XDTD_S.Tr.T'!V210</f>
        <v>0</v>
      </c>
      <c r="U118" s="16">
        <f ca="1">'2.XDTD_S.Tr.T'!W210</f>
        <v>0</v>
      </c>
      <c r="V118" s="16">
        <f ca="1">'2.XDTD_S.Tr.T'!X210</f>
        <v>0</v>
      </c>
      <c r="W118" s="16">
        <f ca="1">'2.XDTD_S.Tr.T'!Y210</f>
        <v>0</v>
      </c>
      <c r="X118" s="16">
        <f ca="1">'2.XDTD_S.Tr.T'!Z210</f>
        <v>0</v>
      </c>
      <c r="Y118" s="16">
        <f ca="1">'2.XDTD_S.Tr.T'!AA210</f>
        <v>0</v>
      </c>
      <c r="Z118" s="16">
        <f ca="1">'2.XDTD_S.Tr.T'!AB210</f>
        <v>0</v>
      </c>
      <c r="AA118" s="16">
        <f ca="1">'2.XDTD_S.Tr.T'!AC210</f>
        <v>0</v>
      </c>
      <c r="AB118" s="16">
        <f ca="1">'2.XDTD_S.Tr.T'!AD210</f>
        <v>0</v>
      </c>
      <c r="AC118" s="16">
        <f ca="1">'2.XDTD_S.Tr.T'!AE210</f>
        <v>0</v>
      </c>
      <c r="AD118" s="16">
        <f ca="1">'2.XDTD_S.Tr.T'!AF210</f>
        <v>0</v>
      </c>
      <c r="AE118" s="16">
        <f ca="1">'2.XDTD_S.Tr.T'!AG210</f>
        <v>0</v>
      </c>
      <c r="AF118" s="16">
        <f ca="1">'2.XDTD_S.Tr.T'!AH210</f>
        <v>0</v>
      </c>
      <c r="AG118" s="16">
        <f ca="1">'2.XDTD_S.Tr.T'!AI210</f>
        <v>0</v>
      </c>
      <c r="AH118" s="16">
        <f ca="1">'2.XDTD_S.Tr.T'!AJ210</f>
        <v>0</v>
      </c>
      <c r="AI118" s="16">
        <f ca="1">'2.XDTD_S.Tr.T'!AK210</f>
        <v>0</v>
      </c>
      <c r="AJ118" s="16">
        <f ca="1">'2.XDTD_S.Tr.T'!AL210</f>
        <v>0</v>
      </c>
      <c r="AK118" s="16">
        <f ca="1">'2.XDTD_S.Tr.T'!AM210</f>
        <v>0</v>
      </c>
      <c r="AL118" s="16">
        <f ca="1">'2.XDTD_S.Tr.T'!AN210</f>
        <v>0</v>
      </c>
      <c r="AM118" s="16">
        <f ca="1">'2.XDTD_S.Tr.T'!AO210</f>
        <v>0</v>
      </c>
      <c r="AN118" s="16">
        <f ca="1">'2.XDTD_S.Tr.T'!AP210</f>
        <v>0</v>
      </c>
      <c r="AO118" s="16">
        <f ca="1">'2.XDTD_S.Tr.T'!AP210</f>
        <v>0</v>
      </c>
      <c r="AP118" s="16">
        <f ca="1">'2.XDTD_S.Tr.T'!AR210</f>
        <v>0</v>
      </c>
      <c r="AQ118" s="16">
        <f ca="1">'2.XDTD_S.Tr.T'!AS210</f>
        <v>0</v>
      </c>
      <c r="AR118" s="16">
        <f ca="1">'2.XDTD_S.Tr.T'!AT210</f>
        <v>0</v>
      </c>
      <c r="AS118" s="16">
        <f ca="1">'2.XDTD_S.Tr.T'!AU210</f>
        <v>0</v>
      </c>
      <c r="AT118" s="16">
        <f ca="1">'2.XDTD_S.Tr.T'!AV210</f>
        <v>0</v>
      </c>
      <c r="AU118" s="16">
        <f ca="1">'2.XDTD_S.Tr.T'!AW210</f>
        <v>0</v>
      </c>
      <c r="AV118" s="16">
        <f ca="1">'2.XDTD_S.Tr.T'!AX210</f>
        <v>0</v>
      </c>
      <c r="AW118" s="16">
        <f ca="1">'2.XDTD_S.Tr.T'!AY210</f>
        <v>0</v>
      </c>
      <c r="AX118" s="16">
        <f ca="1">'2.XDTD_S.Tr.T'!AZ210</f>
        <v>0</v>
      </c>
      <c r="AY118" s="16">
        <f ca="1">'2.XDTD_S.Tr.T'!BA210</f>
        <v>0</v>
      </c>
      <c r="AZ118" s="16">
        <f ca="1">'2.XDTD_S.Tr.T'!BB210</f>
        <v>0</v>
      </c>
      <c r="BA118" s="16">
        <f ca="1">'2.XDTD_S.Tr.T'!BC210</f>
        <v>0</v>
      </c>
      <c r="BB118" s="16">
        <f ca="1">'2.XDTD_S.Tr.T'!BD210</f>
        <v>0</v>
      </c>
      <c r="BC118" s="16">
        <f ca="1">'2.XDTD_S.Tr.T'!BE210</f>
        <v>0</v>
      </c>
      <c r="BD118" s="16">
        <f ca="1">'2.XDTD_S.Tr.T'!BF210</f>
        <v>0</v>
      </c>
      <c r="BE118" s="16">
        <f ca="1">'2.XDTD_S.Tr.T'!BG210</f>
        <v>0</v>
      </c>
      <c r="BF118" s="16">
        <f ca="1">'2.XDTD_S.Tr.T'!BH210</f>
        <v>0</v>
      </c>
      <c r="BG118" s="16">
        <f ca="1">'2.XDTD_S.Tr.T'!BI210</f>
        <v>0</v>
      </c>
      <c r="BH118" s="16">
        <f ca="1">'2.XDTD_S.Tr.T'!BJ210</f>
        <v>0</v>
      </c>
      <c r="BI118" s="16">
        <f ca="1">'2.XDTD_S.Tr.T'!BK210</f>
        <v>0</v>
      </c>
      <c r="BJ118" s="16">
        <f ca="1">'2.XDTD_S.Tr.T'!BL210</f>
        <v>0</v>
      </c>
      <c r="BK118" s="16">
        <f ca="1">'2.XDTD_S.Tr.T'!BM210</f>
        <v>0</v>
      </c>
      <c r="BL118" s="16">
        <f ca="1">'2.XDTD_S.Tr.T'!BN210</f>
        <v>0</v>
      </c>
      <c r="BM118" s="16">
        <f ca="1">'2.XDTD_S.Tr.T'!BO210</f>
        <v>0</v>
      </c>
      <c r="BN118" s="16">
        <f ca="1">'2.XDTD_S.Tr.T'!BP210</f>
        <v>0</v>
      </c>
      <c r="BO118" s="16">
        <f ca="1">'2.XDTD_S.Tr.T'!BP210</f>
        <v>0</v>
      </c>
      <c r="BP118" s="16">
        <f ca="1">'2.XDTD_S.Tr.T'!BR210</f>
        <v>0</v>
      </c>
      <c r="BQ118" s="16">
        <f ca="1">'2.XDTD_S.Tr.T'!BS210</f>
        <v>0</v>
      </c>
      <c r="BR118" s="16">
        <f ca="1">'2.XDTD_S.Tr.T'!BT210</f>
        <v>0</v>
      </c>
      <c r="BS118" s="16">
        <f ca="1">'2.XDTD_S.Tr.T'!BU210</f>
        <v>0</v>
      </c>
      <c r="BT118" s="16">
        <f ca="1">'2.XDTD_S.Tr.T'!BV210</f>
        <v>0</v>
      </c>
      <c r="BU118" s="16">
        <f ca="1">'2.XDTD_S.Tr.T'!BW210</f>
        <v>0</v>
      </c>
      <c r="BV118" s="16">
        <f ca="1">'2.XDTD_S.Tr.T'!BX210</f>
        <v>0</v>
      </c>
      <c r="BW118" s="16">
        <f ca="1">'2.XDTD_S.Tr.T'!BY210</f>
        <v>0</v>
      </c>
      <c r="BX118" s="16">
        <f ca="1">'2.XDTD_S.Tr.T'!BZ210</f>
        <v>0</v>
      </c>
      <c r="BY118" s="16">
        <f ca="1">'2.XDTD_S.Tr.T'!CA210</f>
        <v>0</v>
      </c>
      <c r="BZ118" s="16">
        <f ca="1">'2.XDTD_S.Tr.T'!CB210</f>
        <v>0</v>
      </c>
      <c r="CA118" s="16">
        <f ca="1">'2.XDTD_S.Tr.T'!CC210</f>
        <v>0</v>
      </c>
      <c r="CB118" s="16">
        <f ca="1">'2.XDTD_S.Tr.T'!CD210</f>
        <v>0</v>
      </c>
      <c r="CC118" s="16">
        <f ca="1">'2.XDTD_S.Tr.T'!CE210</f>
        <v>0</v>
      </c>
      <c r="CD118" s="16">
        <f ca="1">'2.XDTD_S.Tr.T'!CF210</f>
        <v>0</v>
      </c>
      <c r="CE118" s="16">
        <f ca="1">'2.XDTD_S.Tr.T'!CG210</f>
        <v>0</v>
      </c>
      <c r="CF118" s="16">
        <f ca="1">'2.XDTD_S.Tr.T'!CH210</f>
        <v>0</v>
      </c>
      <c r="CG118" s="16">
        <f ca="1">'2.XDTD_S.Tr.T'!CI210</f>
        <v>0</v>
      </c>
      <c r="CH118" s="16">
        <f ca="1">'2.XDTD_S.Tr.T'!CJ210</f>
        <v>0</v>
      </c>
      <c r="CI118" s="16">
        <f ca="1">'2.XDTD_S.Tr.T'!CK210</f>
        <v>0</v>
      </c>
      <c r="CJ118" s="16">
        <f ca="1">'2.XDTD_S.Tr.T'!CL210</f>
        <v>0</v>
      </c>
      <c r="CK118" s="16">
        <f ca="1">'2.XDTD_S.Tr.T'!CM210</f>
        <v>0</v>
      </c>
      <c r="CL118" s="16">
        <f ca="1">'2.XDTD_S.Tr.T'!CN210</f>
        <v>0</v>
      </c>
      <c r="CM118" s="16">
        <f ca="1">'2.XDTD_S.Tr.T'!CO210</f>
        <v>0</v>
      </c>
      <c r="CN118" s="16">
        <f ca="1">'2.XDTD_S.Tr.T'!CP210</f>
        <v>0</v>
      </c>
      <c r="CO118" s="16">
        <f ca="1">'2.XDTD_S.Tr.T'!CP210</f>
        <v>0</v>
      </c>
    </row>
    <row r="119" spans="3:93" ht="19.95" hidden="1" customHeight="1">
      <c r="C119" s="5">
        <f ca="1">J119*4+K119*4+M119*9+N119*9+P119*4</f>
        <v>0</v>
      </c>
      <c r="D119" s="11">
        <f>'2.XDTD_S.Tr.T'!F211</f>
        <v>0</v>
      </c>
      <c r="E119" s="7">
        <f>'2.XDTD_S.Tr.T'!G211</f>
        <v>0</v>
      </c>
      <c r="F119" s="8">
        <f>'2.XDTD_S.Tr.T'!H211</f>
        <v>0</v>
      </c>
      <c r="G119" s="9">
        <f ca="1">'2.XDTD_S.Tr.T'!I211</f>
        <v>0</v>
      </c>
      <c r="H119" s="10">
        <f ca="1">'2.XDTD_S.Tr.T'!J211</f>
        <v>0</v>
      </c>
      <c r="I119" s="9">
        <f ca="1">'2.XDTD_S.Tr.T'!K211</f>
        <v>0</v>
      </c>
      <c r="J119" s="13">
        <f>'2.XDTD_S.Tr.T'!L211</f>
        <v>0</v>
      </c>
      <c r="K119" s="13">
        <f>'2.XDTD_S.Tr.T'!M211</f>
        <v>0</v>
      </c>
      <c r="L119" s="9">
        <f ca="1">'2.XDTD_S.Tr.T'!N211</f>
        <v>0</v>
      </c>
      <c r="M119" s="14">
        <f>'2.XDTD_S.Tr.T'!O211</f>
        <v>0</v>
      </c>
      <c r="N119" s="14">
        <f>'2.XDTD_S.Tr.T'!P211</f>
        <v>0</v>
      </c>
      <c r="O119" s="9">
        <f>'2.XDTD_S.Tr.T'!P211</f>
        <v>0</v>
      </c>
      <c r="P119" s="15">
        <f ca="1">'2.XDTD_S.Tr.T'!R211</f>
        <v>0</v>
      </c>
      <c r="Q119" s="37">
        <f ca="1">'2.XDTD_S.Tr.T'!S211</f>
        <v>0</v>
      </c>
      <c r="R119" s="16">
        <f ca="1">'2.XDTD_S.Tr.T'!T211</f>
        <v>0</v>
      </c>
      <c r="S119" s="16">
        <f ca="1">'2.XDTD_S.Tr.T'!U211</f>
        <v>0</v>
      </c>
      <c r="T119" s="16">
        <f ca="1">'2.XDTD_S.Tr.T'!V211</f>
        <v>0</v>
      </c>
      <c r="U119" s="16">
        <f ca="1">'2.XDTD_S.Tr.T'!W211</f>
        <v>0</v>
      </c>
      <c r="V119" s="16">
        <f ca="1">'2.XDTD_S.Tr.T'!X211</f>
        <v>0</v>
      </c>
      <c r="W119" s="16">
        <f ca="1">'2.XDTD_S.Tr.T'!Y211</f>
        <v>0</v>
      </c>
      <c r="X119" s="16">
        <f ca="1">'2.XDTD_S.Tr.T'!Z211</f>
        <v>0</v>
      </c>
      <c r="Y119" s="16">
        <f ca="1">'2.XDTD_S.Tr.T'!AA211</f>
        <v>0</v>
      </c>
      <c r="Z119" s="16">
        <f ca="1">'2.XDTD_S.Tr.T'!AB211</f>
        <v>0</v>
      </c>
      <c r="AA119" s="16">
        <f ca="1">'2.XDTD_S.Tr.T'!AC211</f>
        <v>0</v>
      </c>
      <c r="AB119" s="16">
        <f ca="1">'2.XDTD_S.Tr.T'!AD211</f>
        <v>0</v>
      </c>
      <c r="AC119" s="16">
        <f ca="1">'2.XDTD_S.Tr.T'!AE211</f>
        <v>0</v>
      </c>
      <c r="AD119" s="16">
        <f ca="1">'2.XDTD_S.Tr.T'!AF211</f>
        <v>0</v>
      </c>
      <c r="AE119" s="16">
        <f ca="1">'2.XDTD_S.Tr.T'!AG211</f>
        <v>0</v>
      </c>
      <c r="AF119" s="16">
        <f ca="1">'2.XDTD_S.Tr.T'!AH211</f>
        <v>0</v>
      </c>
      <c r="AG119" s="16">
        <f ca="1">'2.XDTD_S.Tr.T'!AI211</f>
        <v>0</v>
      </c>
      <c r="AH119" s="16">
        <f ca="1">'2.XDTD_S.Tr.T'!AJ211</f>
        <v>0</v>
      </c>
      <c r="AI119" s="16">
        <f ca="1">'2.XDTD_S.Tr.T'!AK211</f>
        <v>0</v>
      </c>
      <c r="AJ119" s="16">
        <f ca="1">'2.XDTD_S.Tr.T'!AL211</f>
        <v>0</v>
      </c>
      <c r="AK119" s="16">
        <f ca="1">'2.XDTD_S.Tr.T'!AM211</f>
        <v>0</v>
      </c>
      <c r="AL119" s="16">
        <f ca="1">'2.XDTD_S.Tr.T'!AN211</f>
        <v>0</v>
      </c>
      <c r="AM119" s="16">
        <f ca="1">'2.XDTD_S.Tr.T'!AO211</f>
        <v>0</v>
      </c>
      <c r="AN119" s="16">
        <f ca="1">'2.XDTD_S.Tr.T'!AP211</f>
        <v>0</v>
      </c>
      <c r="AO119" s="16">
        <f ca="1">'2.XDTD_S.Tr.T'!AP211</f>
        <v>0</v>
      </c>
      <c r="AP119" s="16">
        <f ca="1">'2.XDTD_S.Tr.T'!AR211</f>
        <v>0</v>
      </c>
      <c r="AQ119" s="16">
        <f ca="1">'2.XDTD_S.Tr.T'!AS211</f>
        <v>0</v>
      </c>
      <c r="AR119" s="16">
        <f ca="1">'2.XDTD_S.Tr.T'!AT211</f>
        <v>0</v>
      </c>
      <c r="AS119" s="16">
        <f ca="1">'2.XDTD_S.Tr.T'!AU211</f>
        <v>0</v>
      </c>
      <c r="AT119" s="16">
        <f ca="1">'2.XDTD_S.Tr.T'!AV211</f>
        <v>0</v>
      </c>
      <c r="AU119" s="16">
        <f ca="1">'2.XDTD_S.Tr.T'!AW211</f>
        <v>0</v>
      </c>
      <c r="AV119" s="16">
        <f ca="1">'2.XDTD_S.Tr.T'!AX211</f>
        <v>0</v>
      </c>
      <c r="AW119" s="16">
        <f ca="1">'2.XDTD_S.Tr.T'!AY211</f>
        <v>0</v>
      </c>
      <c r="AX119" s="16">
        <f ca="1">'2.XDTD_S.Tr.T'!AZ211</f>
        <v>0</v>
      </c>
      <c r="AY119" s="16">
        <f ca="1">'2.XDTD_S.Tr.T'!BA211</f>
        <v>0</v>
      </c>
      <c r="AZ119" s="16">
        <f ca="1">'2.XDTD_S.Tr.T'!BB211</f>
        <v>0</v>
      </c>
      <c r="BA119" s="16">
        <f ca="1">'2.XDTD_S.Tr.T'!BC211</f>
        <v>0</v>
      </c>
      <c r="BB119" s="16">
        <f ca="1">'2.XDTD_S.Tr.T'!BD211</f>
        <v>0</v>
      </c>
      <c r="BC119" s="16">
        <f ca="1">'2.XDTD_S.Tr.T'!BE211</f>
        <v>0</v>
      </c>
      <c r="BD119" s="16">
        <f ca="1">'2.XDTD_S.Tr.T'!BF211</f>
        <v>0</v>
      </c>
      <c r="BE119" s="16">
        <f ca="1">'2.XDTD_S.Tr.T'!BG211</f>
        <v>0</v>
      </c>
      <c r="BF119" s="16">
        <f ca="1">'2.XDTD_S.Tr.T'!BH211</f>
        <v>0</v>
      </c>
      <c r="BG119" s="16">
        <f ca="1">'2.XDTD_S.Tr.T'!BI211</f>
        <v>0</v>
      </c>
      <c r="BH119" s="16">
        <f ca="1">'2.XDTD_S.Tr.T'!BJ211</f>
        <v>0</v>
      </c>
      <c r="BI119" s="16">
        <f ca="1">'2.XDTD_S.Tr.T'!BK211</f>
        <v>0</v>
      </c>
      <c r="BJ119" s="16">
        <f ca="1">'2.XDTD_S.Tr.T'!BL211</f>
        <v>0</v>
      </c>
      <c r="BK119" s="16">
        <f ca="1">'2.XDTD_S.Tr.T'!BM211</f>
        <v>0</v>
      </c>
      <c r="BL119" s="16">
        <f ca="1">'2.XDTD_S.Tr.T'!BN211</f>
        <v>0</v>
      </c>
      <c r="BM119" s="16">
        <f ca="1">'2.XDTD_S.Tr.T'!BO211</f>
        <v>0</v>
      </c>
      <c r="BN119" s="16">
        <f ca="1">'2.XDTD_S.Tr.T'!BP211</f>
        <v>0</v>
      </c>
      <c r="BO119" s="16">
        <f ca="1">'2.XDTD_S.Tr.T'!BP211</f>
        <v>0</v>
      </c>
      <c r="BP119" s="16">
        <f ca="1">'2.XDTD_S.Tr.T'!BR211</f>
        <v>0</v>
      </c>
      <c r="BQ119" s="16">
        <f ca="1">'2.XDTD_S.Tr.T'!BS211</f>
        <v>0</v>
      </c>
      <c r="BR119" s="16">
        <f ca="1">'2.XDTD_S.Tr.T'!BT211</f>
        <v>0</v>
      </c>
      <c r="BS119" s="16">
        <f ca="1">'2.XDTD_S.Tr.T'!BU211</f>
        <v>0</v>
      </c>
      <c r="BT119" s="16">
        <f ca="1">'2.XDTD_S.Tr.T'!BV211</f>
        <v>0</v>
      </c>
      <c r="BU119" s="16">
        <f ca="1">'2.XDTD_S.Tr.T'!BW211</f>
        <v>0</v>
      </c>
      <c r="BV119" s="16">
        <f ca="1">'2.XDTD_S.Tr.T'!BX211</f>
        <v>0</v>
      </c>
      <c r="BW119" s="16">
        <f ca="1">'2.XDTD_S.Tr.T'!BY211</f>
        <v>0</v>
      </c>
      <c r="BX119" s="16">
        <f ca="1">'2.XDTD_S.Tr.T'!BZ211</f>
        <v>0</v>
      </c>
      <c r="BY119" s="16">
        <f ca="1">'2.XDTD_S.Tr.T'!CA211</f>
        <v>0</v>
      </c>
      <c r="BZ119" s="16">
        <f ca="1">'2.XDTD_S.Tr.T'!CB211</f>
        <v>0</v>
      </c>
      <c r="CA119" s="16">
        <f ca="1">'2.XDTD_S.Tr.T'!CC211</f>
        <v>0</v>
      </c>
      <c r="CB119" s="16">
        <f ca="1">'2.XDTD_S.Tr.T'!CD211</f>
        <v>0</v>
      </c>
      <c r="CC119" s="16">
        <f ca="1">'2.XDTD_S.Tr.T'!CE211</f>
        <v>0</v>
      </c>
      <c r="CD119" s="16">
        <f ca="1">'2.XDTD_S.Tr.T'!CF211</f>
        <v>0</v>
      </c>
      <c r="CE119" s="16">
        <f ca="1">'2.XDTD_S.Tr.T'!CG211</f>
        <v>0</v>
      </c>
      <c r="CF119" s="16">
        <f ca="1">'2.XDTD_S.Tr.T'!CH211</f>
        <v>0</v>
      </c>
      <c r="CG119" s="16">
        <f ca="1">'2.XDTD_S.Tr.T'!CI211</f>
        <v>0</v>
      </c>
      <c r="CH119" s="16">
        <f ca="1">'2.XDTD_S.Tr.T'!CJ211</f>
        <v>0</v>
      </c>
      <c r="CI119" s="16">
        <f ca="1">'2.XDTD_S.Tr.T'!CK211</f>
        <v>0</v>
      </c>
      <c r="CJ119" s="16">
        <f ca="1">'2.XDTD_S.Tr.T'!CL211</f>
        <v>0</v>
      </c>
      <c r="CK119" s="16">
        <f ca="1">'2.XDTD_S.Tr.T'!CM211</f>
        <v>0</v>
      </c>
      <c r="CL119" s="16">
        <f ca="1">'2.XDTD_S.Tr.T'!CN211</f>
        <v>0</v>
      </c>
      <c r="CM119" s="16">
        <f ca="1">'2.XDTD_S.Tr.T'!CO211</f>
        <v>0</v>
      </c>
      <c r="CN119" s="16">
        <f ca="1">'2.XDTD_S.Tr.T'!CP211</f>
        <v>0</v>
      </c>
      <c r="CO119" s="16">
        <f ca="1">'2.XDTD_S.Tr.T'!CP211</f>
        <v>0</v>
      </c>
    </row>
    <row r="120" spans="3:93" ht="27.6">
      <c r="D120" s="351" t="s">
        <v>972</v>
      </c>
      <c r="E120" s="351"/>
      <c r="F120" s="351"/>
      <c r="G120" s="18" t="s">
        <v>973</v>
      </c>
      <c r="H120" s="346">
        <f ca="1">SUM(H5:H119)</f>
        <v>0</v>
      </c>
      <c r="I120" s="30"/>
      <c r="J120" s="31" t="e">
        <f t="shared" ref="J120:N120" ca="1" si="0">SUM(J5:J119)</f>
        <v>#NAME?</v>
      </c>
      <c r="K120" s="31" t="e">
        <f t="shared" ca="1" si="0"/>
        <v>#NAME?</v>
      </c>
      <c r="L120" s="31">
        <f t="shared" ca="1" si="0"/>
        <v>0</v>
      </c>
      <c r="M120" s="32" t="e">
        <f t="shared" ca="1" si="0"/>
        <v>#NAME?</v>
      </c>
      <c r="N120" s="32" t="e">
        <f t="shared" ca="1" si="0"/>
        <v>#NAME?</v>
      </c>
      <c r="O120" s="30"/>
      <c r="P120" s="349">
        <f ca="1">SUM(P5:P119)</f>
        <v>0</v>
      </c>
      <c r="Q120" s="38">
        <f ca="1">SUM(P5:P119)</f>
        <v>0</v>
      </c>
      <c r="R120" s="38">
        <f t="shared" ref="R120:AW120" ca="1" si="1">SUM(R5:R119)</f>
        <v>0</v>
      </c>
      <c r="S120" s="38">
        <f t="shared" ca="1" si="1"/>
        <v>0</v>
      </c>
      <c r="T120" s="38">
        <f t="shared" ca="1" si="1"/>
        <v>0</v>
      </c>
      <c r="U120" s="38">
        <f t="shared" ca="1" si="1"/>
        <v>0</v>
      </c>
      <c r="V120" s="38">
        <f t="shared" ca="1" si="1"/>
        <v>0</v>
      </c>
      <c r="W120" s="38">
        <f t="shared" ca="1" si="1"/>
        <v>0</v>
      </c>
      <c r="X120" s="38">
        <f t="shared" ca="1" si="1"/>
        <v>0</v>
      </c>
      <c r="Y120" s="38">
        <f t="shared" ca="1" si="1"/>
        <v>0</v>
      </c>
      <c r="Z120" s="38">
        <f t="shared" ca="1" si="1"/>
        <v>0</v>
      </c>
      <c r="AA120" s="38">
        <f t="shared" ca="1" si="1"/>
        <v>0</v>
      </c>
      <c r="AB120" s="38">
        <f t="shared" ca="1" si="1"/>
        <v>0</v>
      </c>
      <c r="AC120" s="38">
        <f t="shared" ca="1" si="1"/>
        <v>0</v>
      </c>
      <c r="AD120" s="38">
        <f t="shared" ca="1" si="1"/>
        <v>0</v>
      </c>
      <c r="AE120" s="38">
        <f t="shared" ca="1" si="1"/>
        <v>0</v>
      </c>
      <c r="AF120" s="38">
        <f t="shared" ca="1" si="1"/>
        <v>0</v>
      </c>
      <c r="AG120" s="38">
        <f t="shared" ca="1" si="1"/>
        <v>0</v>
      </c>
      <c r="AH120" s="38">
        <f t="shared" ca="1" si="1"/>
        <v>0</v>
      </c>
      <c r="AI120" s="38">
        <f t="shared" ca="1" si="1"/>
        <v>0</v>
      </c>
      <c r="AJ120" s="38">
        <f t="shared" ca="1" si="1"/>
        <v>0</v>
      </c>
      <c r="AK120" s="38">
        <f t="shared" ca="1" si="1"/>
        <v>0</v>
      </c>
      <c r="AL120" s="38">
        <f t="shared" ca="1" si="1"/>
        <v>0</v>
      </c>
      <c r="AM120" s="38">
        <f t="shared" ca="1" si="1"/>
        <v>0</v>
      </c>
      <c r="AN120" s="38">
        <f t="shared" ca="1" si="1"/>
        <v>0</v>
      </c>
      <c r="AO120" s="38">
        <f t="shared" ca="1" si="1"/>
        <v>0</v>
      </c>
      <c r="AP120" s="38">
        <f t="shared" ca="1" si="1"/>
        <v>0</v>
      </c>
      <c r="AQ120" s="38">
        <f ca="1">SUM(AP5:AP119)</f>
        <v>0</v>
      </c>
      <c r="AR120" s="38">
        <f t="shared" ca="1" si="1"/>
        <v>0</v>
      </c>
      <c r="AS120" s="38">
        <f t="shared" ca="1" si="1"/>
        <v>0</v>
      </c>
      <c r="AT120" s="38">
        <f t="shared" ca="1" si="1"/>
        <v>0</v>
      </c>
      <c r="AU120" s="38">
        <f t="shared" ca="1" si="1"/>
        <v>0</v>
      </c>
      <c r="AV120" s="38">
        <f t="shared" ca="1" si="1"/>
        <v>0</v>
      </c>
      <c r="AW120" s="38">
        <f t="shared" ca="1" si="1"/>
        <v>0</v>
      </c>
      <c r="AX120" s="38">
        <f t="shared" ref="AX120:CO120" ca="1" si="2">SUM(AX5:AX119)</f>
        <v>0</v>
      </c>
      <c r="AY120" s="38">
        <f t="shared" ca="1" si="2"/>
        <v>0</v>
      </c>
      <c r="AZ120" s="38">
        <f t="shared" ca="1" si="2"/>
        <v>0</v>
      </c>
      <c r="BA120" s="38">
        <f t="shared" ca="1" si="2"/>
        <v>0</v>
      </c>
      <c r="BB120" s="38">
        <f t="shared" ca="1" si="2"/>
        <v>0</v>
      </c>
      <c r="BC120" s="38">
        <f t="shared" ca="1" si="2"/>
        <v>0</v>
      </c>
      <c r="BD120" s="38">
        <f t="shared" ca="1" si="2"/>
        <v>0</v>
      </c>
      <c r="BE120" s="38">
        <f t="shared" ca="1" si="2"/>
        <v>0</v>
      </c>
      <c r="BF120" s="38">
        <f t="shared" ca="1" si="2"/>
        <v>0</v>
      </c>
      <c r="BG120" s="38">
        <f t="shared" ca="1" si="2"/>
        <v>0</v>
      </c>
      <c r="BH120" s="38">
        <f t="shared" ca="1" si="2"/>
        <v>0</v>
      </c>
      <c r="BI120" s="38">
        <f t="shared" ca="1" si="2"/>
        <v>0</v>
      </c>
      <c r="BJ120" s="38">
        <f t="shared" ca="1" si="2"/>
        <v>0</v>
      </c>
      <c r="BK120" s="38">
        <f t="shared" ca="1" si="2"/>
        <v>0</v>
      </c>
      <c r="BL120" s="38">
        <f t="shared" ca="1" si="2"/>
        <v>0</v>
      </c>
      <c r="BM120" s="38">
        <f t="shared" ca="1" si="2"/>
        <v>0</v>
      </c>
      <c r="BN120" s="38">
        <f t="shared" ca="1" si="2"/>
        <v>0</v>
      </c>
      <c r="BO120" s="38">
        <f t="shared" ca="1" si="2"/>
        <v>0</v>
      </c>
      <c r="BP120" s="38">
        <f t="shared" ca="1" si="2"/>
        <v>0</v>
      </c>
      <c r="BQ120" s="38">
        <f ca="1">SUM(BP5:BP119)</f>
        <v>0</v>
      </c>
      <c r="BR120" s="38">
        <f t="shared" ca="1" si="2"/>
        <v>0</v>
      </c>
      <c r="BS120" s="38">
        <f t="shared" ca="1" si="2"/>
        <v>0</v>
      </c>
      <c r="BT120" s="38">
        <f t="shared" ca="1" si="2"/>
        <v>0</v>
      </c>
      <c r="BU120" s="38">
        <f t="shared" ca="1" si="2"/>
        <v>0</v>
      </c>
      <c r="BV120" s="38">
        <f t="shared" ca="1" si="2"/>
        <v>0</v>
      </c>
      <c r="BW120" s="38">
        <f t="shared" ca="1" si="2"/>
        <v>0</v>
      </c>
      <c r="BX120" s="38">
        <f t="shared" ca="1" si="2"/>
        <v>0</v>
      </c>
      <c r="BY120" s="38">
        <f t="shared" ca="1" si="2"/>
        <v>0</v>
      </c>
      <c r="BZ120" s="38">
        <f t="shared" ca="1" si="2"/>
        <v>0</v>
      </c>
      <c r="CA120" s="38">
        <f t="shared" ca="1" si="2"/>
        <v>0</v>
      </c>
      <c r="CB120" s="38">
        <f t="shared" ca="1" si="2"/>
        <v>0</v>
      </c>
      <c r="CC120" s="38">
        <f t="shared" ca="1" si="2"/>
        <v>0</v>
      </c>
      <c r="CD120" s="38">
        <f t="shared" ca="1" si="2"/>
        <v>0</v>
      </c>
      <c r="CE120" s="38">
        <f t="shared" ca="1" si="2"/>
        <v>0</v>
      </c>
      <c r="CF120" s="38">
        <f t="shared" ca="1" si="2"/>
        <v>0</v>
      </c>
      <c r="CG120" s="38">
        <f t="shared" ca="1" si="2"/>
        <v>0</v>
      </c>
      <c r="CH120" s="38">
        <f t="shared" ca="1" si="2"/>
        <v>0</v>
      </c>
      <c r="CI120" s="38">
        <f t="shared" ca="1" si="2"/>
        <v>0</v>
      </c>
      <c r="CJ120" s="38">
        <f t="shared" ca="1" si="2"/>
        <v>0</v>
      </c>
      <c r="CK120" s="38">
        <f t="shared" ca="1" si="2"/>
        <v>0</v>
      </c>
      <c r="CL120" s="38">
        <f t="shared" ca="1" si="2"/>
        <v>0</v>
      </c>
      <c r="CM120" s="38">
        <f t="shared" ca="1" si="2"/>
        <v>0</v>
      </c>
      <c r="CN120" s="38">
        <f t="shared" ca="1" si="2"/>
        <v>0</v>
      </c>
      <c r="CO120" s="38">
        <f t="shared" ca="1" si="2"/>
        <v>0</v>
      </c>
    </row>
    <row r="121" spans="3:93">
      <c r="D121" s="351"/>
      <c r="E121" s="351"/>
      <c r="F121" s="351"/>
      <c r="G121" s="19"/>
      <c r="H121" s="347"/>
      <c r="I121" s="30"/>
      <c r="J121" s="329" t="e">
        <f ca="1">J120+K120</f>
        <v>#NAME?</v>
      </c>
      <c r="K121" s="330"/>
      <c r="L121" s="30"/>
      <c r="M121" s="331" t="e">
        <f ca="1">M120+N120</f>
        <v>#NAME?</v>
      </c>
      <c r="N121" s="332"/>
      <c r="O121" s="30"/>
      <c r="P121" s="350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</row>
    <row r="122" spans="3:93">
      <c r="D122" s="340" t="s">
        <v>1067</v>
      </c>
      <c r="E122" s="20">
        <v>0.95</v>
      </c>
      <c r="F122" s="21" t="s">
        <v>975</v>
      </c>
      <c r="G122" s="19"/>
      <c r="H122" s="22">
        <f t="shared" ref="H122:M122" si="3">H123*0.95</f>
        <v>1653</v>
      </c>
      <c r="I122" s="12"/>
      <c r="J122" s="333">
        <f t="shared" si="3"/>
        <v>82.65</v>
      </c>
      <c r="K122" s="334"/>
      <c r="L122" s="12"/>
      <c r="M122" s="333">
        <f t="shared" si="3"/>
        <v>45.9166666666667</v>
      </c>
      <c r="N122" s="334"/>
      <c r="O122" s="12"/>
      <c r="P122" s="22">
        <f>P123*0.95</f>
        <v>227.28749999999999</v>
      </c>
      <c r="Q122" s="40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</row>
    <row r="123" spans="3:93">
      <c r="D123" s="341"/>
      <c r="E123" s="23">
        <v>1</v>
      </c>
      <c r="F123" s="24" t="s">
        <v>976</v>
      </c>
      <c r="G123" s="25"/>
      <c r="H123" s="26">
        <f>'Năng lượng_2024'!$D$34</f>
        <v>1740</v>
      </c>
      <c r="I123" s="33"/>
      <c r="J123" s="335">
        <f>'Năng lượng_2024'!$G$23</f>
        <v>87</v>
      </c>
      <c r="K123" s="336"/>
      <c r="L123" s="26"/>
      <c r="M123" s="335">
        <f>'Năng lượng_2024'!$G$26</f>
        <v>48.3333333333333</v>
      </c>
      <c r="N123" s="336"/>
      <c r="O123" s="26"/>
      <c r="P123" s="26">
        <f>'Năng lượng_2024'!$G$29</f>
        <v>239.25</v>
      </c>
      <c r="Q123" s="40"/>
      <c r="R123" s="29"/>
      <c r="S123" s="29"/>
      <c r="T123" s="29"/>
      <c r="U123" s="28"/>
      <c r="V123" s="29"/>
      <c r="W123" s="29"/>
      <c r="X123" s="29"/>
      <c r="Y123" s="29"/>
      <c r="Z123" s="29"/>
      <c r="AA123" s="29"/>
      <c r="AB123" s="29"/>
      <c r="AC123" s="29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</row>
    <row r="124" spans="3:93">
      <c r="Q124" s="40"/>
      <c r="R124" s="29"/>
      <c r="S124" s="29"/>
      <c r="T124" s="29"/>
      <c r="U124" s="28"/>
      <c r="V124" s="29"/>
      <c r="W124" s="29"/>
      <c r="X124" s="29"/>
      <c r="Y124" s="29"/>
      <c r="Z124" s="29"/>
      <c r="AA124" s="29"/>
      <c r="AB124" s="29"/>
      <c r="AC124" s="29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</row>
    <row r="125" spans="3:93">
      <c r="D125" s="337" t="s">
        <v>977</v>
      </c>
      <c r="E125" s="337"/>
      <c r="F125" s="337"/>
      <c r="G125" s="28"/>
      <c r="H125" s="27" t="str">
        <f ca="1">IF(AND(H120&gt;=H122,H120&lt;=H123),"Đạt","Không Đạt")</f>
        <v>Không Đạt</v>
      </c>
      <c r="I125" s="27"/>
      <c r="J125" s="337" t="e">
        <f ca="1">IF(AND(J121&gt;=J122,J121&lt;=J123),"Đạt","Không Đạt")</f>
        <v>#NAME?</v>
      </c>
      <c r="K125" s="337"/>
      <c r="L125" s="27"/>
      <c r="M125" s="337" t="e">
        <f ca="1">IF(AND(M121&gt;=M122,M121&lt;=M123),"Đạt","Không Đạt")</f>
        <v>#NAME?</v>
      </c>
      <c r="N125" s="337"/>
      <c r="O125" s="27"/>
      <c r="P125" s="27" t="str">
        <f ca="1">IF(AND(P120&gt;=P122,P120&lt;=P123),"Đạt","Không Đạt")</f>
        <v>Không Đạt</v>
      </c>
      <c r="Q125" s="28"/>
      <c r="R125" s="28"/>
      <c r="S125" s="28"/>
      <c r="T125" s="28"/>
      <c r="U125" s="28"/>
      <c r="V125" s="29"/>
      <c r="W125" s="29"/>
      <c r="X125" s="29"/>
      <c r="Y125" s="29"/>
      <c r="Z125" s="29"/>
      <c r="AA125" s="29"/>
      <c r="AB125" s="29"/>
      <c r="AC125" s="29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</row>
    <row r="126" spans="3:93">
      <c r="D126" s="28"/>
      <c r="E126" s="28"/>
      <c r="F126" s="28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8"/>
      <c r="R126" s="28"/>
      <c r="S126" s="28"/>
      <c r="T126" s="28"/>
      <c r="U126" s="28"/>
      <c r="V126" s="29"/>
      <c r="W126" s="29"/>
      <c r="X126" s="29"/>
      <c r="Y126" s="29"/>
      <c r="Z126" s="29"/>
      <c r="AA126" s="29"/>
      <c r="AB126" s="29"/>
      <c r="AC126" s="29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</row>
    <row r="127" spans="3:93">
      <c r="D127" s="28"/>
      <c r="E127" s="28"/>
      <c r="F127" s="28"/>
      <c r="G127" s="28"/>
      <c r="H127" s="28"/>
      <c r="I127" s="28"/>
      <c r="J127" s="34" t="s">
        <v>978</v>
      </c>
      <c r="K127" s="35">
        <f ca="1">IFERROR(J120/J121,0)</f>
        <v>0</v>
      </c>
      <c r="L127" s="36"/>
      <c r="M127" s="27" t="str">
        <f ca="1">IF(K127&gt;35%,"Thừa",IF(K127&gt;=30%,"Đạt","Thiếu"))</f>
        <v>Thiếu</v>
      </c>
      <c r="N127" s="28"/>
      <c r="O127" s="28"/>
      <c r="P127" s="28"/>
      <c r="Q127" s="28"/>
      <c r="R127" s="28"/>
      <c r="S127" s="28"/>
      <c r="T127" s="28"/>
      <c r="U127" s="28"/>
      <c r="V127" s="41"/>
      <c r="W127" s="41"/>
      <c r="X127" s="41"/>
      <c r="Y127" s="41"/>
      <c r="Z127" s="41"/>
      <c r="AA127" s="41"/>
      <c r="AB127" s="41"/>
      <c r="AC127" s="41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</row>
    <row r="128" spans="3:93">
      <c r="D128" s="28"/>
      <c r="E128" s="28"/>
      <c r="F128" s="28"/>
      <c r="G128" s="28"/>
      <c r="H128" s="28"/>
      <c r="I128" s="28"/>
      <c r="J128" s="34" t="s">
        <v>979</v>
      </c>
      <c r="K128" s="35">
        <f ca="1">IFERROR(M120/M121,0)</f>
        <v>0</v>
      </c>
      <c r="L128" s="36"/>
      <c r="M128" s="27" t="str">
        <f ca="1">IF(K128&gt;60%,"Thừa",IF(K128&gt;=50%,"Đạt","Thiếu"))</f>
        <v>Thiếu</v>
      </c>
      <c r="N128" s="28"/>
      <c r="O128" s="28"/>
      <c r="P128" s="28"/>
      <c r="Q128" s="28"/>
      <c r="R128" s="28"/>
      <c r="S128" s="28"/>
      <c r="T128" s="28"/>
      <c r="U128" s="28"/>
      <c r="V128" s="41"/>
      <c r="W128" s="41"/>
      <c r="X128" s="41"/>
      <c r="Y128" s="41"/>
      <c r="Z128" s="41"/>
      <c r="AA128" s="41"/>
      <c r="AB128" s="41"/>
      <c r="AC128" s="41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</row>
    <row r="129" spans="4:17">
      <c r="J129" s="34" t="s">
        <v>1068</v>
      </c>
      <c r="K129" s="45">
        <f ca="1">IFERROR(T120/U120,0)</f>
        <v>0</v>
      </c>
      <c r="M129" s="27" t="str">
        <f ca="1">IF(K129&gt;1.5,"Thừa",IF(K129&gt;=0.8,"Đạt","Thiếu"))</f>
        <v>Thiếu</v>
      </c>
    </row>
    <row r="132" spans="4:17">
      <c r="D132" s="5"/>
      <c r="E132" s="5"/>
      <c r="F132" s="5"/>
      <c r="G132" s="5">
        <f ca="1">'2.XDTD_S.Tr.T'!R39+'2.XDTD_S.Tr.T'!R83+'2.XDTD_S.Tr.T'!R126+'2.XDTD_S.Tr.T'!R169+'2.XDTD_S.Tr.T'!R212</f>
        <v>0</v>
      </c>
      <c r="H132" s="5"/>
      <c r="J132" s="338" t="e">
        <f ca="1">J121*4/H120</f>
        <v>#NAME?</v>
      </c>
      <c r="K132" s="339"/>
      <c r="L132" s="26"/>
      <c r="M132" s="338" t="e">
        <f ca="1">M121*9/H120</f>
        <v>#NAME?</v>
      </c>
      <c r="N132" s="339"/>
      <c r="O132" s="26"/>
      <c r="P132" s="23" t="e">
        <f ca="1">P120*4/H120</f>
        <v>#DIV/0!</v>
      </c>
      <c r="Q132" s="46" t="e">
        <f ca="1">J132+M132+P132</f>
        <v>#NAME?</v>
      </c>
    </row>
    <row r="133" spans="4:17">
      <c r="D133" s="5"/>
    </row>
  </sheetData>
  <mergeCells count="99">
    <mergeCell ref="CL3:CL4"/>
    <mergeCell ref="CM3:CM4"/>
    <mergeCell ref="CN3:CN4"/>
    <mergeCell ref="CO3:CO4"/>
    <mergeCell ref="D120:F121"/>
    <mergeCell ref="CG3:CG4"/>
    <mergeCell ref="CH3:CH4"/>
    <mergeCell ref="CI3:CI4"/>
    <mergeCell ref="CJ3:CJ4"/>
    <mergeCell ref="CK3:CK4"/>
    <mergeCell ref="CB3:CB4"/>
    <mergeCell ref="CC3:CC4"/>
    <mergeCell ref="CD3:CD4"/>
    <mergeCell ref="CE3:CE4"/>
    <mergeCell ref="CF3:CF4"/>
    <mergeCell ref="BW3:BW4"/>
    <mergeCell ref="BX3:BX4"/>
    <mergeCell ref="BY3:BY4"/>
    <mergeCell ref="BZ3:BZ4"/>
    <mergeCell ref="CA3:CA4"/>
    <mergeCell ref="BR3:BR4"/>
    <mergeCell ref="BS3:BS4"/>
    <mergeCell ref="BT3:BT4"/>
    <mergeCell ref="BU3:BU4"/>
    <mergeCell ref="BV3:BV4"/>
    <mergeCell ref="BM3:BM4"/>
    <mergeCell ref="BN3:BN4"/>
    <mergeCell ref="BO3:BO4"/>
    <mergeCell ref="BP3:BP4"/>
    <mergeCell ref="BQ3:BQ4"/>
    <mergeCell ref="BH3:BH4"/>
    <mergeCell ref="BI3:BI4"/>
    <mergeCell ref="BJ3:BJ4"/>
    <mergeCell ref="BK3:BK4"/>
    <mergeCell ref="BL3:BL4"/>
    <mergeCell ref="BC3:BC4"/>
    <mergeCell ref="BD3:BD4"/>
    <mergeCell ref="BE3:BE4"/>
    <mergeCell ref="BF3:BF4"/>
    <mergeCell ref="BG3:BG4"/>
    <mergeCell ref="AX3:AX4"/>
    <mergeCell ref="AY3:AY4"/>
    <mergeCell ref="AZ3:AZ4"/>
    <mergeCell ref="BA3:BA4"/>
    <mergeCell ref="BB3:BB4"/>
    <mergeCell ref="AS3:AS4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P3:P4"/>
    <mergeCell ref="P120:P121"/>
    <mergeCell ref="Q3:Q4"/>
    <mergeCell ref="R3:R4"/>
    <mergeCell ref="S3:S4"/>
    <mergeCell ref="J132:K132"/>
    <mergeCell ref="M132:N132"/>
    <mergeCell ref="D122:D123"/>
    <mergeCell ref="E3:E4"/>
    <mergeCell ref="F3:F4"/>
    <mergeCell ref="H3:H4"/>
    <mergeCell ref="H120:H121"/>
    <mergeCell ref="J122:K122"/>
    <mergeCell ref="M122:N122"/>
    <mergeCell ref="J123:K123"/>
    <mergeCell ref="M123:N123"/>
    <mergeCell ref="D125:F125"/>
    <mergeCell ref="J125:K125"/>
    <mergeCell ref="M125:N125"/>
    <mergeCell ref="A1:C1"/>
    <mergeCell ref="J3:K3"/>
    <mergeCell ref="M3:N3"/>
    <mergeCell ref="J121:K121"/>
    <mergeCell ref="M121:N121"/>
  </mergeCells>
  <conditionalFormatting sqref="H125:J125 L125:M125 O125:P125">
    <cfRule type="cellIs" dxfId="8" priority="16" operator="equal">
      <formula>"Không Đạt"</formula>
    </cfRule>
  </conditionalFormatting>
  <conditionalFormatting sqref="H125:P125">
    <cfRule type="cellIs" dxfId="7" priority="12" operator="equal">
      <formula>"Đạt"</formula>
    </cfRule>
  </conditionalFormatting>
  <conditionalFormatting sqref="J5:J119 M5:M119">
    <cfRule type="cellIs" dxfId="6" priority="2" operator="greaterThan">
      <formula>0</formula>
    </cfRule>
  </conditionalFormatting>
  <conditionalFormatting sqref="M127:M129">
    <cfRule type="cellIs" dxfId="5" priority="3" operator="equal">
      <formula>"Thừa"</formula>
    </cfRule>
    <cfRule type="cellIs" dxfId="4" priority="4" operator="equal">
      <formula>"Đạt"</formula>
    </cfRule>
    <cfRule type="cellIs" dxfId="3" priority="5" operator="equal">
      <formula>"Thiếu"</formula>
    </cfRule>
    <cfRule type="cellIs" dxfId="2" priority="7" operator="equal">
      <formula>"Thiếu"</formula>
    </cfRule>
    <cfRule type="cellIs" dxfId="1" priority="8" operator="equal">
      <formula>"Thiếu, Thừa"</formula>
    </cfRule>
  </conditionalFormatting>
  <conditionalFormatting sqref="N5:N119">
    <cfRule type="cellIs" dxfId="0" priority="1" operator="greaterThan">
      <formula>0</formula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FCDB 2017 (full)</vt:lpstr>
      <vt:lpstr>Năng lượng_2024</vt:lpstr>
      <vt:lpstr>2.XDTD_S.Tr.T</vt:lpstr>
      <vt:lpstr>3.Thuc_Don</vt:lpstr>
      <vt:lpstr>'Năng lượng_2024'!_Toc350567836</vt:lpstr>
      <vt:lpstr>'FCDB 2017 (full)'!Print_Area</vt:lpstr>
      <vt:lpstr>WW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Huyền</dc:creator>
  <cp:lastModifiedBy>Vu Minh</cp:lastModifiedBy>
  <dcterms:created xsi:type="dcterms:W3CDTF">2024-12-08T05:57:00Z</dcterms:created>
  <dcterms:modified xsi:type="dcterms:W3CDTF">2026-06-12T14:36:46Z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3687B0A9472540768636B811C554DC23_13</vt:lpwstr>
  </property>
  <property fmtid="{D5CDD505-2E9C-101B-9397-08002B2CF9AE}" pid="3" name="KSOProductBuildVer">
    <vt:lpwstr>1033-12.2.0.21931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2024-12-14T18:43:58Z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e1568108-1d9f-48ea-9c4b-c1e635d31b7b</vt:lpwstr>
  </property>
  <property fmtid="{D5CDD505-2E9C-101B-9397-08002B2CF9AE}" pid="9" name="MSIP_Label_defa4170-0d19-0005-0004-bc88714345d2_ActionId">
    <vt:lpwstr>62907143-25aa-45b6-a7bd-d486cab4b79d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KSOReadingLayout">
    <vt:bool>false</vt:bool>
  </property>
</Properties>
</file>